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52DA63F5-E191-9C41-8227-6F8A4AA3AF07}" xr6:coauthVersionLast="47" xr6:coauthVersionMax="47" xr10:uidLastSave="{00000000-0000-0000-0000-000000000000}"/>
  <bookViews>
    <workbookView xWindow="0" yWindow="660" windowWidth="30240" windowHeight="18980" activeTab="2" xr2:uid="{BD4C9608-8D1C-7342-80E5-67F463CF7BCF}"/>
  </bookViews>
  <sheets>
    <sheet name="2025.04" sheetId="1" r:id="rId1"/>
    <sheet name="2025.05" sheetId="2" r:id="rId2"/>
    <sheet name="2025.06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3" l="1"/>
  <c r="N77" i="3"/>
  <c r="H77" i="3"/>
  <c r="F77" i="3"/>
  <c r="Q76" i="3"/>
  <c r="Q77" i="3" s="1"/>
  <c r="P76" i="3"/>
  <c r="P77" i="3" s="1"/>
  <c r="O76" i="3"/>
  <c r="N76" i="3"/>
  <c r="I76" i="3"/>
  <c r="I77" i="3" s="1"/>
  <c r="H76" i="3"/>
  <c r="G76" i="3"/>
  <c r="G77" i="3" s="1"/>
  <c r="F76" i="3"/>
  <c r="BL70" i="3"/>
  <c r="BK70" i="3"/>
  <c r="BJ70" i="3"/>
  <c r="BL69" i="3"/>
  <c r="BK69" i="3"/>
  <c r="BJ69" i="3"/>
  <c r="BK68" i="3"/>
  <c r="BJ68" i="3"/>
  <c r="BL68" i="3" s="1"/>
  <c r="BL67" i="3"/>
  <c r="BK67" i="3"/>
  <c r="BJ67" i="3"/>
  <c r="BK66" i="3"/>
  <c r="BJ66" i="3"/>
  <c r="BK65" i="3"/>
  <c r="BJ65" i="3"/>
  <c r="BL65" i="3" s="1"/>
  <c r="BK64" i="3"/>
  <c r="BL64" i="3" s="1"/>
  <c r="BJ64" i="3"/>
  <c r="BK63" i="3"/>
  <c r="BJ63" i="3"/>
  <c r="BL63" i="3" s="1"/>
  <c r="BL62" i="3"/>
  <c r="BK62" i="3"/>
  <c r="BJ62" i="3"/>
  <c r="BK61" i="3"/>
  <c r="BJ61" i="3"/>
  <c r="BL61" i="3" s="1"/>
  <c r="BL60" i="3"/>
  <c r="BK60" i="3"/>
  <c r="BJ60" i="3"/>
  <c r="BL59" i="3"/>
  <c r="BK59" i="3"/>
  <c r="BJ59" i="3"/>
  <c r="BK58" i="3"/>
  <c r="BJ58" i="3"/>
  <c r="BL58" i="3" s="1"/>
  <c r="BK57" i="3"/>
  <c r="BJ57" i="3"/>
  <c r="BL57" i="3" s="1"/>
  <c r="BA57" i="3"/>
  <c r="X57" i="3"/>
  <c r="BL56" i="3"/>
  <c r="BK56" i="3"/>
  <c r="BJ56" i="3"/>
  <c r="Y56" i="3"/>
  <c r="X56" i="3"/>
  <c r="BK55" i="3"/>
  <c r="BJ55" i="3"/>
  <c r="BL55" i="3" s="1"/>
  <c r="AY55" i="3"/>
  <c r="BK54" i="3"/>
  <c r="BJ54" i="3"/>
  <c r="BL54" i="3" s="1"/>
  <c r="Y54" i="3"/>
  <c r="X55" i="3" s="1"/>
  <c r="X54" i="3"/>
  <c r="BK53" i="3"/>
  <c r="BJ53" i="3"/>
  <c r="BL53" i="3" s="1"/>
  <c r="X53" i="3"/>
  <c r="BL52" i="3"/>
  <c r="BK52" i="3"/>
  <c r="BJ52" i="3"/>
  <c r="Y52" i="3"/>
  <c r="Y58" i="3" s="1"/>
  <c r="X58" i="3" s="1"/>
  <c r="BK51" i="3"/>
  <c r="BK71" i="3" s="1"/>
  <c r="BJ51" i="3"/>
  <c r="BL51" i="3" s="1"/>
  <c r="BL50" i="3"/>
  <c r="BK50" i="3"/>
  <c r="BJ50" i="3"/>
  <c r="AR50" i="3"/>
  <c r="AX49" i="3"/>
  <c r="AR49" i="3"/>
  <c r="AF49" i="3"/>
  <c r="S48" i="3"/>
  <c r="Q48" i="3"/>
  <c r="K48" i="3"/>
  <c r="I48" i="3"/>
  <c r="AY46" i="3"/>
  <c r="AW47" i="3" s="1"/>
  <c r="AO46" i="3"/>
  <c r="K46" i="3"/>
  <c r="AG46" i="3" s="1"/>
  <c r="BI45" i="3"/>
  <c r="W45" i="3"/>
  <c r="BI44" i="3"/>
  <c r="BC44" i="3"/>
  <c r="BG43" i="3"/>
  <c r="BI43" i="3" s="1"/>
  <c r="BG42" i="3"/>
  <c r="BG46" i="3" s="1"/>
  <c r="V41" i="3"/>
  <c r="AR38" i="3"/>
  <c r="AB38" i="3"/>
  <c r="AJ38" i="3" s="1"/>
  <c r="O38" i="3"/>
  <c r="U38" i="3" s="1"/>
  <c r="AW37" i="3"/>
  <c r="AR37" i="3"/>
  <c r="AS37" i="3" s="1"/>
  <c r="AD37" i="3"/>
  <c r="AB37" i="3"/>
  <c r="BK36" i="3"/>
  <c r="BJ36" i="3"/>
  <c r="BI36" i="3"/>
  <c r="BH36" i="3"/>
  <c r="BH37" i="3" s="1"/>
  <c r="BG36" i="3"/>
  <c r="BE36" i="3"/>
  <c r="AW36" i="3"/>
  <c r="AV36" i="3"/>
  <c r="AV37" i="3" s="1"/>
  <c r="AT36" i="3"/>
  <c r="AT37" i="3" s="1"/>
  <c r="AU37" i="3" s="1"/>
  <c r="AR36" i="3"/>
  <c r="AQ36" i="3"/>
  <c r="AP36" i="3"/>
  <c r="AL36" i="3"/>
  <c r="AL37" i="3" s="1"/>
  <c r="AM37" i="3" s="1"/>
  <c r="AJ36" i="3"/>
  <c r="AJ37" i="3" s="1"/>
  <c r="AK37" i="3" s="1"/>
  <c r="AI36" i="3"/>
  <c r="AH36" i="3"/>
  <c r="AD36" i="3"/>
  <c r="AB36" i="3"/>
  <c r="AC36" i="3" s="1"/>
  <c r="Z36" i="3"/>
  <c r="AE37" i="3" s="1"/>
  <c r="Y36" i="3"/>
  <c r="X36" i="3"/>
  <c r="L36" i="3"/>
  <c r="H36" i="3"/>
  <c r="H37" i="3" s="1"/>
  <c r="I37" i="3" s="1"/>
  <c r="E36" i="3"/>
  <c r="F38" i="3" s="1"/>
  <c r="D36" i="3"/>
  <c r="C36" i="3"/>
  <c r="BN35" i="3"/>
  <c r="BL35" i="3"/>
  <c r="BD35" i="3"/>
  <c r="AY35" i="3"/>
  <c r="AX35" i="3"/>
  <c r="AU35" i="3"/>
  <c r="AS35" i="3"/>
  <c r="AO35" i="3"/>
  <c r="AN35" i="3"/>
  <c r="AM35" i="3"/>
  <c r="AK35" i="3"/>
  <c r="AG35" i="3"/>
  <c r="AF35" i="3"/>
  <c r="AE35" i="3"/>
  <c r="AC35" i="3"/>
  <c r="P35" i="3"/>
  <c r="V35" i="3" s="1"/>
  <c r="BB35" i="3" s="1"/>
  <c r="O35" i="3"/>
  <c r="N35" i="3"/>
  <c r="U35" i="3" s="1"/>
  <c r="BA35" i="3" s="1"/>
  <c r="M35" i="3"/>
  <c r="T35" i="3" s="1"/>
  <c r="K35" i="3"/>
  <c r="J35" i="3"/>
  <c r="I35" i="3"/>
  <c r="G35" i="3"/>
  <c r="BL34" i="3"/>
  <c r="BN34" i="3" s="1"/>
  <c r="BD34" i="3"/>
  <c r="AX34" i="3"/>
  <c r="AY34" i="3" s="1"/>
  <c r="AU34" i="3"/>
  <c r="AS34" i="3"/>
  <c r="AO34" i="3"/>
  <c r="AN34" i="3"/>
  <c r="AM34" i="3"/>
  <c r="AK34" i="3"/>
  <c r="AG34" i="3"/>
  <c r="AF34" i="3"/>
  <c r="AE34" i="3"/>
  <c r="AC34" i="3"/>
  <c r="V34" i="3"/>
  <c r="BB34" i="3" s="1"/>
  <c r="U34" i="3"/>
  <c r="BA34" i="3" s="1"/>
  <c r="T34" i="3"/>
  <c r="R34" i="3"/>
  <c r="S34" i="3" s="1"/>
  <c r="P34" i="3"/>
  <c r="N34" i="3"/>
  <c r="O34" i="3" s="1"/>
  <c r="M34" i="3"/>
  <c r="K34" i="3"/>
  <c r="J34" i="3"/>
  <c r="W34" i="3" s="1"/>
  <c r="BC34" i="3" s="1"/>
  <c r="I34" i="3"/>
  <c r="G34" i="3"/>
  <c r="BN33" i="3"/>
  <c r="BL33" i="3"/>
  <c r="BD33" i="3"/>
  <c r="AX33" i="3"/>
  <c r="AY33" i="3" s="1"/>
  <c r="AU33" i="3"/>
  <c r="AS33" i="3"/>
  <c r="AO33" i="3"/>
  <c r="AN33" i="3"/>
  <c r="AM33" i="3"/>
  <c r="AK33" i="3"/>
  <c r="AG33" i="3"/>
  <c r="AF33" i="3"/>
  <c r="AE33" i="3"/>
  <c r="AC33" i="3"/>
  <c r="R33" i="3"/>
  <c r="W33" i="3" s="1"/>
  <c r="BC33" i="3" s="1"/>
  <c r="Q33" i="3"/>
  <c r="P33" i="3"/>
  <c r="V33" i="3" s="1"/>
  <c r="BB33" i="3" s="1"/>
  <c r="N33" i="3"/>
  <c r="U33" i="3" s="1"/>
  <c r="BA33" i="3" s="1"/>
  <c r="M33" i="3"/>
  <c r="T33" i="3" s="1"/>
  <c r="K33" i="3"/>
  <c r="J33" i="3"/>
  <c r="I33" i="3"/>
  <c r="G33" i="3"/>
  <c r="BL32" i="3"/>
  <c r="BF32" i="3"/>
  <c r="BF36" i="3" s="1"/>
  <c r="BD32" i="3"/>
  <c r="AX32" i="3"/>
  <c r="AY32" i="3" s="1"/>
  <c r="AU32" i="3"/>
  <c r="AS32" i="3"/>
  <c r="AN32" i="3"/>
  <c r="AO32" i="3" s="1"/>
  <c r="AM32" i="3"/>
  <c r="AK32" i="3"/>
  <c r="AG32" i="3"/>
  <c r="AF32" i="3"/>
  <c r="AE32" i="3"/>
  <c r="AC32" i="3"/>
  <c r="V32" i="3"/>
  <c r="BB32" i="3" s="1"/>
  <c r="T32" i="3"/>
  <c r="P32" i="3"/>
  <c r="M32" i="3"/>
  <c r="I32" i="3"/>
  <c r="F32" i="3"/>
  <c r="N32" i="3" s="1"/>
  <c r="BL31" i="3"/>
  <c r="BN31" i="3" s="1"/>
  <c r="BD31" i="3"/>
  <c r="AZ31" i="3"/>
  <c r="AX31" i="3"/>
  <c r="AY31" i="3" s="1"/>
  <c r="AU31" i="3"/>
  <c r="AS31" i="3"/>
  <c r="AN31" i="3"/>
  <c r="AO31" i="3" s="1"/>
  <c r="AM31" i="3"/>
  <c r="AK31" i="3"/>
  <c r="AG31" i="3"/>
  <c r="AF31" i="3"/>
  <c r="AE31" i="3"/>
  <c r="AC31" i="3"/>
  <c r="T31" i="3"/>
  <c r="R31" i="3"/>
  <c r="W31" i="3" s="1"/>
  <c r="BC31" i="3" s="1"/>
  <c r="Q31" i="3"/>
  <c r="P31" i="3"/>
  <c r="V31" i="3" s="1"/>
  <c r="BB31" i="3" s="1"/>
  <c r="N31" i="3"/>
  <c r="U31" i="3" s="1"/>
  <c r="BA31" i="3" s="1"/>
  <c r="M31" i="3"/>
  <c r="J31" i="3"/>
  <c r="K31" i="3" s="1"/>
  <c r="I31" i="3"/>
  <c r="G31" i="3"/>
  <c r="BL30" i="3"/>
  <c r="BN30" i="3" s="1"/>
  <c r="BD30" i="3"/>
  <c r="AY30" i="3"/>
  <c r="AX30" i="3"/>
  <c r="AU30" i="3"/>
  <c r="AS30" i="3"/>
  <c r="AO30" i="3"/>
  <c r="AN30" i="3"/>
  <c r="AM30" i="3"/>
  <c r="AK30" i="3"/>
  <c r="AF30" i="3"/>
  <c r="AG30" i="3" s="1"/>
  <c r="AE30" i="3"/>
  <c r="AC30" i="3"/>
  <c r="V30" i="3"/>
  <c r="BB30" i="3" s="1"/>
  <c r="T30" i="3"/>
  <c r="S30" i="3"/>
  <c r="P30" i="3"/>
  <c r="Q30" i="3" s="1"/>
  <c r="O30" i="3"/>
  <c r="N30" i="3"/>
  <c r="R30" i="3" s="1"/>
  <c r="M30" i="3"/>
  <c r="AZ30" i="3" s="1"/>
  <c r="K30" i="3"/>
  <c r="J30" i="3"/>
  <c r="W30" i="3" s="1"/>
  <c r="BC30" i="3" s="1"/>
  <c r="I30" i="3"/>
  <c r="G30" i="3"/>
  <c r="BL29" i="3"/>
  <c r="BN29" i="3" s="1"/>
  <c r="BD29" i="3"/>
  <c r="BB29" i="3"/>
  <c r="AZ29" i="3"/>
  <c r="AY29" i="3"/>
  <c r="AX29" i="3"/>
  <c r="AU29" i="3"/>
  <c r="AS29" i="3"/>
  <c r="AN29" i="3"/>
  <c r="AO29" i="3" s="1"/>
  <c r="AM29" i="3"/>
  <c r="AK29" i="3"/>
  <c r="AG29" i="3"/>
  <c r="AF29" i="3"/>
  <c r="AE29" i="3"/>
  <c r="AC29" i="3"/>
  <c r="T29" i="3"/>
  <c r="Q29" i="3"/>
  <c r="P29" i="3"/>
  <c r="V29" i="3" s="1"/>
  <c r="N29" i="3"/>
  <c r="U29" i="3" s="1"/>
  <c r="BA29" i="3" s="1"/>
  <c r="M29" i="3"/>
  <c r="J29" i="3"/>
  <c r="K29" i="3" s="1"/>
  <c r="I29" i="3"/>
  <c r="G29" i="3"/>
  <c r="BL28" i="3"/>
  <c r="BN28" i="3" s="1"/>
  <c r="BD28" i="3"/>
  <c r="AY28" i="3"/>
  <c r="AX28" i="3"/>
  <c r="AU28" i="3"/>
  <c r="AS28" i="3"/>
  <c r="AN28" i="3"/>
  <c r="AO28" i="3" s="1"/>
  <c r="AM28" i="3"/>
  <c r="AK28" i="3"/>
  <c r="AF28" i="3"/>
  <c r="AG28" i="3" s="1"/>
  <c r="AE28" i="3"/>
  <c r="AC28" i="3"/>
  <c r="V28" i="3"/>
  <c r="BB28" i="3" s="1"/>
  <c r="P28" i="3"/>
  <c r="N28" i="3"/>
  <c r="R28" i="3" s="1"/>
  <c r="M28" i="3"/>
  <c r="AZ28" i="3" s="1"/>
  <c r="K28" i="3"/>
  <c r="J28" i="3"/>
  <c r="W28" i="3" s="1"/>
  <c r="BC28" i="3" s="1"/>
  <c r="I28" i="3"/>
  <c r="G28" i="3"/>
  <c r="BL27" i="3"/>
  <c r="BN27" i="3" s="1"/>
  <c r="BD27" i="3"/>
  <c r="BB27" i="3"/>
  <c r="AZ27" i="3"/>
  <c r="AY27" i="3"/>
  <c r="AX27" i="3"/>
  <c r="AU27" i="3"/>
  <c r="AS27" i="3"/>
  <c r="AO27" i="3"/>
  <c r="AN27" i="3"/>
  <c r="AM27" i="3"/>
  <c r="AK27" i="3"/>
  <c r="AF27" i="3"/>
  <c r="AG27" i="3" s="1"/>
  <c r="AE27" i="3"/>
  <c r="AC27" i="3"/>
  <c r="T27" i="3"/>
  <c r="P27" i="3"/>
  <c r="V27" i="3" s="1"/>
  <c r="O27" i="3"/>
  <c r="N27" i="3"/>
  <c r="U27" i="3" s="1"/>
  <c r="BA27" i="3" s="1"/>
  <c r="M27" i="3"/>
  <c r="J27" i="3"/>
  <c r="K27" i="3" s="1"/>
  <c r="I27" i="3"/>
  <c r="G27" i="3"/>
  <c r="BL26" i="3"/>
  <c r="BN26" i="3" s="1"/>
  <c r="BD26" i="3"/>
  <c r="AX26" i="3"/>
  <c r="AY26" i="3" s="1"/>
  <c r="AU26" i="3"/>
  <c r="AS26" i="3"/>
  <c r="AO26" i="3"/>
  <c r="AN26" i="3"/>
  <c r="AM26" i="3"/>
  <c r="AK26" i="3"/>
  <c r="AF26" i="3"/>
  <c r="AG26" i="3" s="1"/>
  <c r="AE26" i="3"/>
  <c r="AC26" i="3"/>
  <c r="W26" i="3"/>
  <c r="BC26" i="3" s="1"/>
  <c r="V26" i="3"/>
  <c r="BB26" i="3" s="1"/>
  <c r="U26" i="3"/>
  <c r="BA26" i="3" s="1"/>
  <c r="P26" i="3"/>
  <c r="N26" i="3"/>
  <c r="R26" i="3" s="1"/>
  <c r="M26" i="3"/>
  <c r="AZ26" i="3" s="1"/>
  <c r="J26" i="3"/>
  <c r="K26" i="3" s="1"/>
  <c r="I26" i="3"/>
  <c r="G26" i="3"/>
  <c r="BL25" i="3"/>
  <c r="BN25" i="3" s="1"/>
  <c r="BD25" i="3"/>
  <c r="BA25" i="3"/>
  <c r="AZ25" i="3"/>
  <c r="AX25" i="3"/>
  <c r="AY25" i="3" s="1"/>
  <c r="AU25" i="3"/>
  <c r="AS25" i="3"/>
  <c r="AN25" i="3"/>
  <c r="AO25" i="3" s="1"/>
  <c r="AM25" i="3"/>
  <c r="AK25" i="3"/>
  <c r="AF25" i="3"/>
  <c r="AG25" i="3" s="1"/>
  <c r="AE25" i="3"/>
  <c r="AC25" i="3"/>
  <c r="T25" i="3"/>
  <c r="S25" i="3"/>
  <c r="R25" i="3"/>
  <c r="W25" i="3" s="1"/>
  <c r="BC25" i="3" s="1"/>
  <c r="P25" i="3"/>
  <c r="V25" i="3" s="1"/>
  <c r="BB25" i="3" s="1"/>
  <c r="N25" i="3"/>
  <c r="U25" i="3" s="1"/>
  <c r="M25" i="3"/>
  <c r="J25" i="3"/>
  <c r="K25" i="3" s="1"/>
  <c r="I25" i="3"/>
  <c r="G25" i="3"/>
  <c r="BN24" i="3"/>
  <c r="BL24" i="3"/>
  <c r="BD24" i="3"/>
  <c r="AX24" i="3"/>
  <c r="AY24" i="3" s="1"/>
  <c r="AU24" i="3"/>
  <c r="AS24" i="3"/>
  <c r="AO24" i="3"/>
  <c r="AN24" i="3"/>
  <c r="AM24" i="3"/>
  <c r="AK24" i="3"/>
  <c r="AF24" i="3"/>
  <c r="AG24" i="3" s="1"/>
  <c r="AE24" i="3"/>
  <c r="AC24" i="3"/>
  <c r="V24" i="3"/>
  <c r="BB24" i="3" s="1"/>
  <c r="U24" i="3"/>
  <c r="BA24" i="3" s="1"/>
  <c r="T24" i="3"/>
  <c r="S24" i="3"/>
  <c r="P24" i="3"/>
  <c r="Q24" i="3" s="1"/>
  <c r="N24" i="3"/>
  <c r="R24" i="3" s="1"/>
  <c r="M24" i="3"/>
  <c r="AZ24" i="3" s="1"/>
  <c r="J24" i="3"/>
  <c r="K24" i="3" s="1"/>
  <c r="I24" i="3"/>
  <c r="G24" i="3"/>
  <c r="BL23" i="3"/>
  <c r="BN23" i="3" s="1"/>
  <c r="BD23" i="3"/>
  <c r="AZ23" i="3"/>
  <c r="AX23" i="3"/>
  <c r="AY23" i="3" s="1"/>
  <c r="AU23" i="3"/>
  <c r="AS23" i="3"/>
  <c r="AO23" i="3"/>
  <c r="AN23" i="3"/>
  <c r="AM23" i="3"/>
  <c r="AK23" i="3"/>
  <c r="AG23" i="3"/>
  <c r="AF23" i="3"/>
  <c r="AE23" i="3"/>
  <c r="AC23" i="3"/>
  <c r="T23" i="3"/>
  <c r="R23" i="3"/>
  <c r="W23" i="3" s="1"/>
  <c r="BC23" i="3" s="1"/>
  <c r="Q23" i="3"/>
  <c r="P23" i="3"/>
  <c r="V23" i="3" s="1"/>
  <c r="BB23" i="3" s="1"/>
  <c r="N23" i="3"/>
  <c r="U23" i="3" s="1"/>
  <c r="BA23" i="3" s="1"/>
  <c r="M23" i="3"/>
  <c r="J23" i="3"/>
  <c r="K23" i="3" s="1"/>
  <c r="I23" i="3"/>
  <c r="G23" i="3"/>
  <c r="BL22" i="3"/>
  <c r="BN22" i="3" s="1"/>
  <c r="BD22" i="3"/>
  <c r="AY22" i="3"/>
  <c r="AX22" i="3"/>
  <c r="AU22" i="3"/>
  <c r="AS22" i="3"/>
  <c r="AO22" i="3"/>
  <c r="AN22" i="3"/>
  <c r="AM22" i="3"/>
  <c r="AK22" i="3"/>
  <c r="AF22" i="3"/>
  <c r="AG22" i="3" s="1"/>
  <c r="AE22" i="3"/>
  <c r="AC22" i="3"/>
  <c r="V22" i="3"/>
  <c r="BB22" i="3" s="1"/>
  <c r="U22" i="3"/>
  <c r="BA22" i="3" s="1"/>
  <c r="T22" i="3"/>
  <c r="R22" i="3"/>
  <c r="S22" i="3" s="1"/>
  <c r="P22" i="3"/>
  <c r="Q22" i="3" s="1"/>
  <c r="O22" i="3"/>
  <c r="N22" i="3"/>
  <c r="M22" i="3"/>
  <c r="AZ22" i="3" s="1"/>
  <c r="J22" i="3"/>
  <c r="W22" i="3" s="1"/>
  <c r="BC22" i="3" s="1"/>
  <c r="I22" i="3"/>
  <c r="G22" i="3"/>
  <c r="BL21" i="3"/>
  <c r="BN21" i="3" s="1"/>
  <c r="BD21" i="3"/>
  <c r="AX21" i="3"/>
  <c r="AY21" i="3" s="1"/>
  <c r="AU21" i="3"/>
  <c r="AS21" i="3"/>
  <c r="AN21" i="3"/>
  <c r="AO21" i="3" s="1"/>
  <c r="AM21" i="3"/>
  <c r="AK21" i="3"/>
  <c r="AF21" i="3"/>
  <c r="AG21" i="3" s="1"/>
  <c r="AE21" i="3"/>
  <c r="AC21" i="3"/>
  <c r="T21" i="3"/>
  <c r="R21" i="3"/>
  <c r="W21" i="3" s="1"/>
  <c r="BC21" i="3" s="1"/>
  <c r="Q21" i="3"/>
  <c r="P21" i="3"/>
  <c r="V21" i="3" s="1"/>
  <c r="BB21" i="3" s="1"/>
  <c r="N21" i="3"/>
  <c r="U21" i="3" s="1"/>
  <c r="BA21" i="3" s="1"/>
  <c r="M21" i="3"/>
  <c r="AZ21" i="3" s="1"/>
  <c r="J21" i="3"/>
  <c r="K21" i="3" s="1"/>
  <c r="I21" i="3"/>
  <c r="G21" i="3"/>
  <c r="BL20" i="3"/>
  <c r="BL36" i="3" s="1"/>
  <c r="BL37" i="3" s="1"/>
  <c r="BD20" i="3"/>
  <c r="BB20" i="3"/>
  <c r="AX20" i="3"/>
  <c r="AY20" i="3" s="1"/>
  <c r="AU20" i="3"/>
  <c r="AS20" i="3"/>
  <c r="AO20" i="3"/>
  <c r="AN20" i="3"/>
  <c r="AM20" i="3"/>
  <c r="AK20" i="3"/>
  <c r="AF20" i="3"/>
  <c r="AG20" i="3" s="1"/>
  <c r="AE20" i="3"/>
  <c r="AC20" i="3"/>
  <c r="V20" i="3"/>
  <c r="U20" i="3"/>
  <c r="BA20" i="3" s="1"/>
  <c r="T20" i="3"/>
  <c r="R20" i="3"/>
  <c r="S20" i="3" s="1"/>
  <c r="P20" i="3"/>
  <c r="Q20" i="3" s="1"/>
  <c r="N20" i="3"/>
  <c r="O20" i="3" s="1"/>
  <c r="M20" i="3"/>
  <c r="AZ20" i="3" s="1"/>
  <c r="J20" i="3"/>
  <c r="W20" i="3" s="1"/>
  <c r="BC20" i="3" s="1"/>
  <c r="I20" i="3"/>
  <c r="G20" i="3"/>
  <c r="BL19" i="3"/>
  <c r="BN19" i="3" s="1"/>
  <c r="BD19" i="3"/>
  <c r="BB19" i="3"/>
  <c r="AX19" i="3"/>
  <c r="AY19" i="3" s="1"/>
  <c r="AU19" i="3"/>
  <c r="AS19" i="3"/>
  <c r="AO19" i="3"/>
  <c r="AN19" i="3"/>
  <c r="AM19" i="3"/>
  <c r="AK19" i="3"/>
  <c r="AF19" i="3"/>
  <c r="AG19" i="3" s="1"/>
  <c r="AE19" i="3"/>
  <c r="AC19" i="3"/>
  <c r="U19" i="3"/>
  <c r="BA19" i="3" s="1"/>
  <c r="T19" i="3"/>
  <c r="P19" i="3"/>
  <c r="V19" i="3" s="1"/>
  <c r="N19" i="3"/>
  <c r="R19" i="3" s="1"/>
  <c r="M19" i="3"/>
  <c r="Q19" i="3" s="1"/>
  <c r="J19" i="3"/>
  <c r="K19" i="3" s="1"/>
  <c r="I19" i="3"/>
  <c r="G19" i="3"/>
  <c r="BL18" i="3"/>
  <c r="BN18" i="3" s="1"/>
  <c r="BD18" i="3"/>
  <c r="AX18" i="3"/>
  <c r="AY18" i="3" s="1"/>
  <c r="AU18" i="3"/>
  <c r="AS18" i="3"/>
  <c r="AO18" i="3"/>
  <c r="AN18" i="3"/>
  <c r="AM18" i="3"/>
  <c r="AK18" i="3"/>
  <c r="AF18" i="3"/>
  <c r="AG18" i="3" s="1"/>
  <c r="AE18" i="3"/>
  <c r="AC18" i="3"/>
  <c r="V18" i="3"/>
  <c r="BB18" i="3" s="1"/>
  <c r="P18" i="3"/>
  <c r="N18" i="3"/>
  <c r="R18" i="3" s="1"/>
  <c r="M18" i="3"/>
  <c r="T18" i="3" s="1"/>
  <c r="J18" i="3"/>
  <c r="K18" i="3" s="1"/>
  <c r="I18" i="3"/>
  <c r="G18" i="3"/>
  <c r="BL17" i="3"/>
  <c r="BN17" i="3" s="1"/>
  <c r="BD17" i="3"/>
  <c r="AZ17" i="3"/>
  <c r="AY17" i="3"/>
  <c r="AX17" i="3"/>
  <c r="AU17" i="3"/>
  <c r="AS17" i="3"/>
  <c r="AN17" i="3"/>
  <c r="AO17" i="3" s="1"/>
  <c r="AM17" i="3"/>
  <c r="AK17" i="3"/>
  <c r="AF17" i="3"/>
  <c r="AG17" i="3" s="1"/>
  <c r="AE17" i="3"/>
  <c r="AC17" i="3"/>
  <c r="P17" i="3"/>
  <c r="V17" i="3" s="1"/>
  <c r="BB17" i="3" s="1"/>
  <c r="N17" i="3"/>
  <c r="U17" i="3" s="1"/>
  <c r="BA17" i="3" s="1"/>
  <c r="M17" i="3"/>
  <c r="T17" i="3" s="1"/>
  <c r="J17" i="3"/>
  <c r="K17" i="3" s="1"/>
  <c r="I17" i="3"/>
  <c r="G17" i="3"/>
  <c r="BL16" i="3"/>
  <c r="BN16" i="3" s="1"/>
  <c r="BD16" i="3"/>
  <c r="AZ16" i="3"/>
  <c r="AX16" i="3"/>
  <c r="AY16" i="3" s="1"/>
  <c r="AU16" i="3"/>
  <c r="AS16" i="3"/>
  <c r="AO16" i="3"/>
  <c r="AN16" i="3"/>
  <c r="AM16" i="3"/>
  <c r="AK16" i="3"/>
  <c r="AF16" i="3"/>
  <c r="AG16" i="3" s="1"/>
  <c r="AE16" i="3"/>
  <c r="AC16" i="3"/>
  <c r="T16" i="3"/>
  <c r="P16" i="3"/>
  <c r="Q16" i="3" s="1"/>
  <c r="O16" i="3"/>
  <c r="N16" i="3"/>
  <c r="U16" i="3" s="1"/>
  <c r="BA16" i="3" s="1"/>
  <c r="M16" i="3"/>
  <c r="K16" i="3"/>
  <c r="J16" i="3"/>
  <c r="I16" i="3"/>
  <c r="G16" i="3"/>
  <c r="BL15" i="3"/>
  <c r="BN15" i="3" s="1"/>
  <c r="BD15" i="3"/>
  <c r="BB15" i="3"/>
  <c r="AZ15" i="3"/>
  <c r="AX15" i="3"/>
  <c r="AY15" i="3" s="1"/>
  <c r="AU15" i="3"/>
  <c r="AS15" i="3"/>
  <c r="AN15" i="3"/>
  <c r="AO15" i="3" s="1"/>
  <c r="AM15" i="3"/>
  <c r="AK15" i="3"/>
  <c r="AF15" i="3"/>
  <c r="AG15" i="3" s="1"/>
  <c r="AE15" i="3"/>
  <c r="AC15" i="3"/>
  <c r="U15" i="3"/>
  <c r="BA15" i="3" s="1"/>
  <c r="T15" i="3"/>
  <c r="R15" i="3"/>
  <c r="S15" i="3" s="1"/>
  <c r="Q15" i="3"/>
  <c r="P15" i="3"/>
  <c r="V15" i="3" s="1"/>
  <c r="O15" i="3"/>
  <c r="N15" i="3"/>
  <c r="M15" i="3"/>
  <c r="J15" i="3"/>
  <c r="K15" i="3" s="1"/>
  <c r="I15" i="3"/>
  <c r="G15" i="3"/>
  <c r="BN14" i="3"/>
  <c r="BL14" i="3"/>
  <c r="BD14" i="3"/>
  <c r="AX14" i="3"/>
  <c r="AY14" i="3" s="1"/>
  <c r="AU14" i="3"/>
  <c r="AT49" i="3" s="1"/>
  <c r="AT50" i="3" s="1"/>
  <c r="AS14" i="3"/>
  <c r="AS49" i="3" s="1"/>
  <c r="AS50" i="3" s="1"/>
  <c r="AO14" i="3"/>
  <c r="AN14" i="3"/>
  <c r="AM14" i="3"/>
  <c r="AK14" i="3"/>
  <c r="AF14" i="3"/>
  <c r="AG14" i="3" s="1"/>
  <c r="AE14" i="3"/>
  <c r="AC14" i="3"/>
  <c r="V14" i="3"/>
  <c r="BB14" i="3" s="1"/>
  <c r="U14" i="3"/>
  <c r="BA14" i="3" s="1"/>
  <c r="T14" i="3"/>
  <c r="P14" i="3"/>
  <c r="Q14" i="3" s="1"/>
  <c r="N14" i="3"/>
  <c r="R14" i="3" s="1"/>
  <c r="S14" i="3" s="1"/>
  <c r="M14" i="3"/>
  <c r="AZ14" i="3" s="1"/>
  <c r="J14" i="3"/>
  <c r="W14" i="3" s="1"/>
  <c r="BC14" i="3" s="1"/>
  <c r="I14" i="3"/>
  <c r="G14" i="3"/>
  <c r="BL13" i="3"/>
  <c r="BN13" i="3" s="1"/>
  <c r="BD13" i="3"/>
  <c r="AX13" i="3"/>
  <c r="AY13" i="3" s="1"/>
  <c r="AU13" i="3"/>
  <c r="AS13" i="3"/>
  <c r="AO13" i="3"/>
  <c r="AN13" i="3"/>
  <c r="AM13" i="3"/>
  <c r="AK13" i="3"/>
  <c r="AF13" i="3"/>
  <c r="AG13" i="3" s="1"/>
  <c r="AE13" i="3"/>
  <c r="AC13" i="3"/>
  <c r="P13" i="3"/>
  <c r="V13" i="3" s="1"/>
  <c r="BB13" i="3" s="1"/>
  <c r="N13" i="3"/>
  <c r="R13" i="3" s="1"/>
  <c r="M13" i="3"/>
  <c r="T13" i="3" s="1"/>
  <c r="J13" i="3"/>
  <c r="K13" i="3" s="1"/>
  <c r="I13" i="3"/>
  <c r="G13" i="3"/>
  <c r="BL12" i="3"/>
  <c r="BN12" i="3" s="1"/>
  <c r="BD12" i="3"/>
  <c r="AY12" i="3"/>
  <c r="AX12" i="3"/>
  <c r="AU12" i="3"/>
  <c r="AS12" i="3"/>
  <c r="AO12" i="3"/>
  <c r="AN12" i="3"/>
  <c r="AM12" i="3"/>
  <c r="AK12" i="3"/>
  <c r="AF12" i="3"/>
  <c r="AG12" i="3" s="1"/>
  <c r="AE12" i="3"/>
  <c r="AC12" i="3"/>
  <c r="P12" i="3"/>
  <c r="N12" i="3"/>
  <c r="U12" i="3" s="1"/>
  <c r="BA12" i="3" s="1"/>
  <c r="M12" i="3"/>
  <c r="T12" i="3" s="1"/>
  <c r="K12" i="3"/>
  <c r="J12" i="3"/>
  <c r="I12" i="3"/>
  <c r="G12" i="3"/>
  <c r="BL11" i="3"/>
  <c r="BN11" i="3" s="1"/>
  <c r="BD11" i="3"/>
  <c r="BB11" i="3"/>
  <c r="AZ11" i="3"/>
  <c r="AX11" i="3"/>
  <c r="AY11" i="3" s="1"/>
  <c r="AU11" i="3"/>
  <c r="AS11" i="3"/>
  <c r="AN11" i="3"/>
  <c r="AO11" i="3" s="1"/>
  <c r="AM11" i="3"/>
  <c r="AK11" i="3"/>
  <c r="AG11" i="3"/>
  <c r="AF11" i="3"/>
  <c r="AE11" i="3"/>
  <c r="AC11" i="3"/>
  <c r="P11" i="3"/>
  <c r="V11" i="3" s="1"/>
  <c r="M11" i="3"/>
  <c r="T11" i="3" s="1"/>
  <c r="I11" i="3"/>
  <c r="F11" i="3"/>
  <c r="N11" i="3" s="1"/>
  <c r="BN10" i="3"/>
  <c r="BL10" i="3"/>
  <c r="BD10" i="3"/>
  <c r="AX10" i="3"/>
  <c r="AY10" i="3" s="1"/>
  <c r="AU10" i="3"/>
  <c r="AS10" i="3"/>
  <c r="AO10" i="3"/>
  <c r="AN10" i="3"/>
  <c r="AM10" i="3"/>
  <c r="AK10" i="3"/>
  <c r="AF10" i="3"/>
  <c r="AG10" i="3" s="1"/>
  <c r="AE10" i="3"/>
  <c r="AC10" i="3"/>
  <c r="V10" i="3"/>
  <c r="BB10" i="3" s="1"/>
  <c r="P10" i="3"/>
  <c r="Q10" i="3" s="1"/>
  <c r="N10" i="3"/>
  <c r="R10" i="3" s="1"/>
  <c r="W10" i="3" s="1"/>
  <c r="BC10" i="3" s="1"/>
  <c r="M10" i="3"/>
  <c r="T10" i="3" s="1"/>
  <c r="K10" i="3"/>
  <c r="J10" i="3"/>
  <c r="I10" i="3"/>
  <c r="G10" i="3"/>
  <c r="BL9" i="3"/>
  <c r="BN9" i="3" s="1"/>
  <c r="BD9" i="3"/>
  <c r="AZ9" i="3"/>
  <c r="AX9" i="3"/>
  <c r="AY9" i="3" s="1"/>
  <c r="AU9" i="3"/>
  <c r="AS9" i="3"/>
  <c r="AO9" i="3"/>
  <c r="AN9" i="3"/>
  <c r="AM9" i="3"/>
  <c r="AK9" i="3"/>
  <c r="AG9" i="3"/>
  <c r="AF9" i="3"/>
  <c r="AE9" i="3"/>
  <c r="AC9" i="3"/>
  <c r="T9" i="3"/>
  <c r="R9" i="3"/>
  <c r="S9" i="3" s="1"/>
  <c r="Q9" i="3"/>
  <c r="P9" i="3"/>
  <c r="V9" i="3" s="1"/>
  <c r="BB9" i="3" s="1"/>
  <c r="N9" i="3"/>
  <c r="O9" i="3" s="1"/>
  <c r="M9" i="3"/>
  <c r="J9" i="3"/>
  <c r="W9" i="3" s="1"/>
  <c r="BC9" i="3" s="1"/>
  <c r="I9" i="3"/>
  <c r="G9" i="3"/>
  <c r="BN8" i="3"/>
  <c r="BL8" i="3"/>
  <c r="BD8" i="3"/>
  <c r="AX8" i="3"/>
  <c r="AY8" i="3" s="1"/>
  <c r="AU8" i="3"/>
  <c r="AS8" i="3"/>
  <c r="AO8" i="3"/>
  <c r="AN8" i="3"/>
  <c r="AM8" i="3"/>
  <c r="AK8" i="3"/>
  <c r="AF8" i="3"/>
  <c r="AG8" i="3" s="1"/>
  <c r="AE8" i="3"/>
  <c r="AC8" i="3"/>
  <c r="V8" i="3"/>
  <c r="BB8" i="3" s="1"/>
  <c r="P8" i="3"/>
  <c r="Q8" i="3" s="1"/>
  <c r="N8" i="3"/>
  <c r="R8" i="3" s="1"/>
  <c r="W8" i="3" s="1"/>
  <c r="BC8" i="3" s="1"/>
  <c r="M8" i="3"/>
  <c r="T8" i="3" s="1"/>
  <c r="K8" i="3"/>
  <c r="J8" i="3"/>
  <c r="I8" i="3"/>
  <c r="G8" i="3"/>
  <c r="BL7" i="3"/>
  <c r="BN7" i="3" s="1"/>
  <c r="BD7" i="3"/>
  <c r="AZ7" i="3"/>
  <c r="AX7" i="3"/>
  <c r="AY7" i="3" s="1"/>
  <c r="AU7" i="3"/>
  <c r="AS7" i="3"/>
  <c r="AO7" i="3"/>
  <c r="AN7" i="3"/>
  <c r="AM7" i="3"/>
  <c r="AK7" i="3"/>
  <c r="AG7" i="3"/>
  <c r="AF7" i="3"/>
  <c r="AE7" i="3"/>
  <c r="AC7" i="3"/>
  <c r="T7" i="3"/>
  <c r="R7" i="3"/>
  <c r="S7" i="3" s="1"/>
  <c r="Q7" i="3"/>
  <c r="P7" i="3"/>
  <c r="V7" i="3" s="1"/>
  <c r="BB7" i="3" s="1"/>
  <c r="N7" i="3"/>
  <c r="O7" i="3" s="1"/>
  <c r="M7" i="3"/>
  <c r="J7" i="3"/>
  <c r="W7" i="3" s="1"/>
  <c r="BC7" i="3" s="1"/>
  <c r="I7" i="3"/>
  <c r="G7" i="3"/>
  <c r="BN6" i="3"/>
  <c r="BL6" i="3"/>
  <c r="BD6" i="3"/>
  <c r="AX6" i="3"/>
  <c r="AY6" i="3" s="1"/>
  <c r="AU6" i="3"/>
  <c r="AS6" i="3"/>
  <c r="AO6" i="3"/>
  <c r="AN6" i="3"/>
  <c r="AM6" i="3"/>
  <c r="AK6" i="3"/>
  <c r="AF6" i="3"/>
  <c r="AG6" i="3" s="1"/>
  <c r="AE6" i="3"/>
  <c r="AC6" i="3"/>
  <c r="N6" i="3"/>
  <c r="M6" i="3"/>
  <c r="T6" i="3" s="1"/>
  <c r="H6" i="3"/>
  <c r="I6" i="3" s="1"/>
  <c r="J50" i="3" s="1"/>
  <c r="F6" i="3"/>
  <c r="F36" i="3" s="1"/>
  <c r="BL5" i="3"/>
  <c r="BN5" i="3" s="1"/>
  <c r="BD5" i="3"/>
  <c r="BD36" i="3" s="1"/>
  <c r="BD37" i="3" s="1"/>
  <c r="AZ5" i="3"/>
  <c r="AX5" i="3"/>
  <c r="AY5" i="3" s="1"/>
  <c r="AU5" i="3"/>
  <c r="AS5" i="3"/>
  <c r="AO5" i="3"/>
  <c r="AN5" i="3"/>
  <c r="AN36" i="3" s="1"/>
  <c r="AM5" i="3"/>
  <c r="AK5" i="3"/>
  <c r="AF5" i="3"/>
  <c r="AE5" i="3"/>
  <c r="AC5" i="3"/>
  <c r="V5" i="3"/>
  <c r="BB5" i="3" s="1"/>
  <c r="U5" i="3"/>
  <c r="T5" i="3"/>
  <c r="S5" i="3"/>
  <c r="R5" i="3"/>
  <c r="P5" i="3"/>
  <c r="Q5" i="3" s="1"/>
  <c r="N5" i="3"/>
  <c r="O5" i="3" s="1"/>
  <c r="M5" i="3"/>
  <c r="M36" i="3" s="1"/>
  <c r="N38" i="3" s="1"/>
  <c r="J5" i="3"/>
  <c r="K5" i="3" s="1"/>
  <c r="I5" i="3"/>
  <c r="J49" i="3" s="1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O77" i="2"/>
  <c r="N77" i="2"/>
  <c r="I77" i="2"/>
  <c r="G77" i="2"/>
  <c r="F77" i="2"/>
  <c r="Q76" i="2"/>
  <c r="Q77" i="2" s="1"/>
  <c r="P76" i="2"/>
  <c r="P77" i="2" s="1"/>
  <c r="O76" i="2"/>
  <c r="N76" i="2"/>
  <c r="I76" i="2"/>
  <c r="H76" i="2"/>
  <c r="H77" i="2" s="1"/>
  <c r="G76" i="2"/>
  <c r="F76" i="2"/>
  <c r="BL70" i="2"/>
  <c r="BK70" i="2"/>
  <c r="BJ70" i="2"/>
  <c r="BK69" i="2"/>
  <c r="BJ69" i="2"/>
  <c r="BK68" i="2"/>
  <c r="BJ68" i="2"/>
  <c r="BL68" i="2" s="1"/>
  <c r="BK67" i="2"/>
  <c r="BL67" i="2" s="1"/>
  <c r="BJ67" i="2"/>
  <c r="BK66" i="2"/>
  <c r="BJ66" i="2"/>
  <c r="BL66" i="2" s="1"/>
  <c r="BL65" i="2"/>
  <c r="BK65" i="2"/>
  <c r="BJ65" i="2"/>
  <c r="BK64" i="2"/>
  <c r="BJ64" i="2"/>
  <c r="BL64" i="2" s="1"/>
  <c r="BK63" i="2"/>
  <c r="BJ63" i="2"/>
  <c r="BL63" i="2" s="1"/>
  <c r="BK62" i="2"/>
  <c r="BL62" i="2" s="1"/>
  <c r="BJ62" i="2"/>
  <c r="BL61" i="2"/>
  <c r="BK61" i="2"/>
  <c r="BJ61" i="2"/>
  <c r="BL60" i="2"/>
  <c r="BK60" i="2"/>
  <c r="BJ60" i="2"/>
  <c r="BK59" i="2"/>
  <c r="BJ59" i="2"/>
  <c r="BL59" i="2" s="1"/>
  <c r="BK58" i="2"/>
  <c r="BL58" i="2" s="1"/>
  <c r="BJ58" i="2"/>
  <c r="BK57" i="2"/>
  <c r="BJ57" i="2"/>
  <c r="BL57" i="2" s="1"/>
  <c r="BK56" i="2"/>
  <c r="BJ56" i="2"/>
  <c r="BL56" i="2" s="1"/>
  <c r="Y56" i="2"/>
  <c r="X57" i="2" s="1"/>
  <c r="X56" i="2"/>
  <c r="BK55" i="2"/>
  <c r="BJ55" i="2"/>
  <c r="BL55" i="2" s="1"/>
  <c r="BK54" i="2"/>
  <c r="BJ54" i="2"/>
  <c r="BL54" i="2" s="1"/>
  <c r="Y54" i="2"/>
  <c r="X55" i="2" s="1"/>
  <c r="X54" i="2"/>
  <c r="BL53" i="2"/>
  <c r="BK53" i="2"/>
  <c r="BJ53" i="2"/>
  <c r="BK52" i="2"/>
  <c r="BJ52" i="2"/>
  <c r="BL52" i="2" s="1"/>
  <c r="Y52" i="2"/>
  <c r="X53" i="2" s="1"/>
  <c r="BK51" i="2"/>
  <c r="BL51" i="2" s="1"/>
  <c r="BJ51" i="2"/>
  <c r="BK50" i="2"/>
  <c r="BJ50" i="2"/>
  <c r="AX49" i="2"/>
  <c r="AR49" i="2"/>
  <c r="AR50" i="2" s="1"/>
  <c r="AF49" i="2"/>
  <c r="S48" i="2"/>
  <c r="Q48" i="2"/>
  <c r="K48" i="2"/>
  <c r="I48" i="2"/>
  <c r="AW47" i="2"/>
  <c r="BG46" i="2"/>
  <c r="AG46" i="2"/>
  <c r="AO46" i="2" s="1"/>
  <c r="AY46" i="2" s="1"/>
  <c r="S46" i="2"/>
  <c r="X46" i="2" s="1"/>
  <c r="BI45" i="2"/>
  <c r="W45" i="2"/>
  <c r="BI44" i="2"/>
  <c r="BC44" i="2"/>
  <c r="BG43" i="2"/>
  <c r="BI43" i="2" s="1"/>
  <c r="V41" i="2"/>
  <c r="BH38" i="2"/>
  <c r="AR38" i="2"/>
  <c r="AJ38" i="2"/>
  <c r="AB38" i="2"/>
  <c r="U38" i="2"/>
  <c r="O38" i="2"/>
  <c r="AW37" i="2"/>
  <c r="AV37" i="2"/>
  <c r="AU37" i="2"/>
  <c r="AT37" i="2"/>
  <c r="BG42" i="2" s="1"/>
  <c r="AD37" i="2"/>
  <c r="AE37" i="2" s="1"/>
  <c r="BK36" i="2"/>
  <c r="BJ36" i="2"/>
  <c r="BI36" i="2"/>
  <c r="BH36" i="2"/>
  <c r="BG36" i="2"/>
  <c r="BF36" i="2"/>
  <c r="BE36" i="2"/>
  <c r="AW36" i="2"/>
  <c r="AV36" i="2"/>
  <c r="AT36" i="2"/>
  <c r="AR36" i="2"/>
  <c r="AR37" i="2" s="1"/>
  <c r="AS37" i="2" s="1"/>
  <c r="AQ36" i="2"/>
  <c r="AP36" i="2"/>
  <c r="AL36" i="2"/>
  <c r="AL37" i="2" s="1"/>
  <c r="AM37" i="2" s="1"/>
  <c r="AJ36" i="2"/>
  <c r="AJ37" i="2" s="1"/>
  <c r="AK37" i="2" s="1"/>
  <c r="AI36" i="2"/>
  <c r="AH36" i="2"/>
  <c r="AD36" i="2"/>
  <c r="AE36" i="2" s="1"/>
  <c r="AB36" i="2"/>
  <c r="AB37" i="2" s="1"/>
  <c r="AC37" i="2" s="1"/>
  <c r="Z36" i="2"/>
  <c r="Y36" i="2"/>
  <c r="X36" i="2"/>
  <c r="L36" i="2"/>
  <c r="H36" i="2"/>
  <c r="H37" i="2" s="1"/>
  <c r="I37" i="2" s="1"/>
  <c r="E36" i="2"/>
  <c r="F38" i="2" s="1"/>
  <c r="D36" i="2"/>
  <c r="C36" i="2"/>
  <c r="BL35" i="2"/>
  <c r="BN35" i="2" s="1"/>
  <c r="BD35" i="2"/>
  <c r="BA35" i="2"/>
  <c r="AZ35" i="2"/>
  <c r="AY35" i="2"/>
  <c r="AX35" i="2"/>
  <c r="AU35" i="2"/>
  <c r="AS35" i="2"/>
  <c r="AO35" i="2"/>
  <c r="AN35" i="2"/>
  <c r="AM35" i="2"/>
  <c r="AK35" i="2"/>
  <c r="AF35" i="2"/>
  <c r="AG35" i="2" s="1"/>
  <c r="AE35" i="2"/>
  <c r="AC35" i="2"/>
  <c r="U35" i="2"/>
  <c r="T35" i="2"/>
  <c r="P35" i="2"/>
  <c r="V35" i="2" s="1"/>
  <c r="BB35" i="2" s="1"/>
  <c r="O35" i="2"/>
  <c r="N35" i="2"/>
  <c r="M35" i="2"/>
  <c r="J35" i="2"/>
  <c r="I35" i="2"/>
  <c r="G35" i="2"/>
  <c r="BL34" i="2"/>
  <c r="BN34" i="2" s="1"/>
  <c r="BD34" i="2"/>
  <c r="AZ34" i="2"/>
  <c r="AY34" i="2"/>
  <c r="AX34" i="2"/>
  <c r="AU34" i="2"/>
  <c r="AS34" i="2"/>
  <c r="AN34" i="2"/>
  <c r="AO34" i="2" s="1"/>
  <c r="AM34" i="2"/>
  <c r="AK34" i="2"/>
  <c r="AF34" i="2"/>
  <c r="AG34" i="2" s="1"/>
  <c r="AE34" i="2"/>
  <c r="AC34" i="2"/>
  <c r="P34" i="2"/>
  <c r="V34" i="2" s="1"/>
  <c r="BB34" i="2" s="1"/>
  <c r="N34" i="2"/>
  <c r="R34" i="2" s="1"/>
  <c r="M34" i="2"/>
  <c r="S34" i="2" s="1"/>
  <c r="J34" i="2"/>
  <c r="I34" i="2"/>
  <c r="G34" i="2"/>
  <c r="BL33" i="2"/>
  <c r="BN33" i="2" s="1"/>
  <c r="BD33" i="2"/>
  <c r="BA33" i="2"/>
  <c r="AZ33" i="2"/>
  <c r="AY33" i="2"/>
  <c r="AX33" i="2"/>
  <c r="AU33" i="2"/>
  <c r="AS33" i="2"/>
  <c r="AN33" i="2"/>
  <c r="AO33" i="2" s="1"/>
  <c r="AM33" i="2"/>
  <c r="AK33" i="2"/>
  <c r="AF33" i="2"/>
  <c r="AG33" i="2" s="1"/>
  <c r="AE33" i="2"/>
  <c r="AC33" i="2"/>
  <c r="U33" i="2"/>
  <c r="T33" i="2"/>
  <c r="R33" i="2"/>
  <c r="S33" i="2" s="1"/>
  <c r="Q33" i="2"/>
  <c r="P33" i="2"/>
  <c r="V33" i="2" s="1"/>
  <c r="BB33" i="2" s="1"/>
  <c r="O33" i="2"/>
  <c r="N33" i="2"/>
  <c r="M33" i="2"/>
  <c r="J33" i="2"/>
  <c r="I33" i="2"/>
  <c r="G33" i="2"/>
  <c r="BL32" i="2"/>
  <c r="BD32" i="2"/>
  <c r="AY32" i="2"/>
  <c r="AX32" i="2"/>
  <c r="AU32" i="2"/>
  <c r="AS32" i="2"/>
  <c r="AO32" i="2"/>
  <c r="AN32" i="2"/>
  <c r="AM32" i="2"/>
  <c r="AK32" i="2"/>
  <c r="AF32" i="2"/>
  <c r="AG32" i="2" s="1"/>
  <c r="AE32" i="2"/>
  <c r="AC32" i="2"/>
  <c r="V32" i="2"/>
  <c r="BB32" i="2" s="1"/>
  <c r="U32" i="2"/>
  <c r="BA32" i="2" s="1"/>
  <c r="P32" i="2"/>
  <c r="N32" i="2"/>
  <c r="R32" i="2" s="1"/>
  <c r="M32" i="2"/>
  <c r="AZ32" i="2" s="1"/>
  <c r="J32" i="2"/>
  <c r="K32" i="2" s="1"/>
  <c r="I32" i="2"/>
  <c r="G32" i="2"/>
  <c r="BL31" i="2"/>
  <c r="BN31" i="2" s="1"/>
  <c r="BD31" i="2"/>
  <c r="BB31" i="2"/>
  <c r="BA31" i="2"/>
  <c r="AZ31" i="2"/>
  <c r="AY31" i="2"/>
  <c r="AX31" i="2"/>
  <c r="AU31" i="2"/>
  <c r="AS31" i="2"/>
  <c r="AN31" i="2"/>
  <c r="AO31" i="2" s="1"/>
  <c r="AM31" i="2"/>
  <c r="AK31" i="2"/>
  <c r="AF31" i="2"/>
  <c r="AG31" i="2" s="1"/>
  <c r="AE31" i="2"/>
  <c r="AC31" i="2"/>
  <c r="T31" i="2"/>
  <c r="R31" i="2"/>
  <c r="S31" i="2" s="1"/>
  <c r="Q31" i="2"/>
  <c r="P31" i="2"/>
  <c r="V31" i="2" s="1"/>
  <c r="N31" i="2"/>
  <c r="U31" i="2" s="1"/>
  <c r="M31" i="2"/>
  <c r="J31" i="2"/>
  <c r="I31" i="2"/>
  <c r="G31" i="2"/>
  <c r="BN30" i="2"/>
  <c r="BL30" i="2"/>
  <c r="BD30" i="2"/>
  <c r="AY30" i="2"/>
  <c r="AX30" i="2"/>
  <c r="AU30" i="2"/>
  <c r="AS30" i="2"/>
  <c r="AO30" i="2"/>
  <c r="AN30" i="2"/>
  <c r="AM30" i="2"/>
  <c r="AK30" i="2"/>
  <c r="AF30" i="2"/>
  <c r="AG30" i="2" s="1"/>
  <c r="AE30" i="2"/>
  <c r="AC30" i="2"/>
  <c r="U30" i="2"/>
  <c r="BA30" i="2" s="1"/>
  <c r="T30" i="2"/>
  <c r="P30" i="2"/>
  <c r="N30" i="2"/>
  <c r="M30" i="2"/>
  <c r="AZ30" i="2" s="1"/>
  <c r="J30" i="2"/>
  <c r="I30" i="2"/>
  <c r="G30" i="2"/>
  <c r="BL29" i="2"/>
  <c r="BN29" i="2" s="1"/>
  <c r="BD29" i="2"/>
  <c r="AZ29" i="2"/>
  <c r="AY29" i="2"/>
  <c r="AX29" i="2"/>
  <c r="AU29" i="2"/>
  <c r="AS29" i="2"/>
  <c r="AO29" i="2"/>
  <c r="AN29" i="2"/>
  <c r="AM29" i="2"/>
  <c r="AK29" i="2"/>
  <c r="AF29" i="2"/>
  <c r="AG29" i="2" s="1"/>
  <c r="AE29" i="2"/>
  <c r="AC29" i="2"/>
  <c r="U29" i="2"/>
  <c r="BA29" i="2" s="1"/>
  <c r="T29" i="2"/>
  <c r="R29" i="2"/>
  <c r="S29" i="2" s="1"/>
  <c r="Q29" i="2"/>
  <c r="P29" i="2"/>
  <c r="V29" i="2" s="1"/>
  <c r="BB29" i="2" s="1"/>
  <c r="N29" i="2"/>
  <c r="O29" i="2" s="1"/>
  <c r="M29" i="2"/>
  <c r="J29" i="2"/>
  <c r="I29" i="2"/>
  <c r="G29" i="2"/>
  <c r="BL28" i="2"/>
  <c r="BN28" i="2" s="1"/>
  <c r="BD28" i="2"/>
  <c r="AY28" i="2"/>
  <c r="AX28" i="2"/>
  <c r="AU28" i="2"/>
  <c r="AS28" i="2"/>
  <c r="AO28" i="2"/>
  <c r="AN28" i="2"/>
  <c r="AM28" i="2"/>
  <c r="AK28" i="2"/>
  <c r="AF28" i="2"/>
  <c r="AG28" i="2" s="1"/>
  <c r="AE28" i="2"/>
  <c r="AC28" i="2"/>
  <c r="U28" i="2"/>
  <c r="BA28" i="2" s="1"/>
  <c r="T28" i="2"/>
  <c r="P28" i="2"/>
  <c r="N28" i="2"/>
  <c r="M28" i="2"/>
  <c r="AZ28" i="2" s="1"/>
  <c r="J28" i="2"/>
  <c r="I28" i="2"/>
  <c r="G28" i="2"/>
  <c r="BL27" i="2"/>
  <c r="BN27" i="2" s="1"/>
  <c r="BD27" i="2"/>
  <c r="AZ27" i="2"/>
  <c r="AY27" i="2"/>
  <c r="AX27" i="2"/>
  <c r="AU27" i="2"/>
  <c r="AS27" i="2"/>
  <c r="AN27" i="2"/>
  <c r="AO27" i="2" s="1"/>
  <c r="AM27" i="2"/>
  <c r="AK27" i="2"/>
  <c r="AF27" i="2"/>
  <c r="AG27" i="2" s="1"/>
  <c r="AE27" i="2"/>
  <c r="AC27" i="2"/>
  <c r="U27" i="2"/>
  <c r="BA27" i="2" s="1"/>
  <c r="T27" i="2"/>
  <c r="R27" i="2"/>
  <c r="S27" i="2" s="1"/>
  <c r="Q27" i="2"/>
  <c r="P27" i="2"/>
  <c r="V27" i="2" s="1"/>
  <c r="BB27" i="2" s="1"/>
  <c r="N27" i="2"/>
  <c r="O27" i="2" s="1"/>
  <c r="M27" i="2"/>
  <c r="J27" i="2"/>
  <c r="I27" i="2"/>
  <c r="G27" i="2"/>
  <c r="BL26" i="2"/>
  <c r="BN26" i="2" s="1"/>
  <c r="BD26" i="2"/>
  <c r="AY26" i="2"/>
  <c r="AX26" i="2"/>
  <c r="AU26" i="2"/>
  <c r="AS26" i="2"/>
  <c r="AN26" i="2"/>
  <c r="AO26" i="2" s="1"/>
  <c r="AM26" i="2"/>
  <c r="AK26" i="2"/>
  <c r="AF26" i="2"/>
  <c r="AG26" i="2" s="1"/>
  <c r="AE26" i="2"/>
  <c r="AC26" i="2"/>
  <c r="U26" i="2"/>
  <c r="BA26" i="2" s="1"/>
  <c r="T26" i="2"/>
  <c r="P26" i="2"/>
  <c r="N26" i="2"/>
  <c r="M26" i="2"/>
  <c r="AZ26" i="2" s="1"/>
  <c r="J26" i="2"/>
  <c r="I26" i="2"/>
  <c r="G26" i="2"/>
  <c r="BL25" i="2"/>
  <c r="BN25" i="2" s="1"/>
  <c r="BD25" i="2"/>
  <c r="AZ25" i="2"/>
  <c r="AY25" i="2"/>
  <c r="AX25" i="2"/>
  <c r="AU25" i="2"/>
  <c r="AS25" i="2"/>
  <c r="AN25" i="2"/>
  <c r="AO25" i="2" s="1"/>
  <c r="AM25" i="2"/>
  <c r="AK25" i="2"/>
  <c r="AG25" i="2"/>
  <c r="AF25" i="2"/>
  <c r="AE25" i="2"/>
  <c r="AC25" i="2"/>
  <c r="U25" i="2"/>
  <c r="BA25" i="2" s="1"/>
  <c r="T25" i="2"/>
  <c r="R25" i="2"/>
  <c r="S25" i="2" s="1"/>
  <c r="Q25" i="2"/>
  <c r="P25" i="2"/>
  <c r="V25" i="2" s="1"/>
  <c r="BB25" i="2" s="1"/>
  <c r="O25" i="2"/>
  <c r="N25" i="2"/>
  <c r="M25" i="2"/>
  <c r="J25" i="2"/>
  <c r="I25" i="2"/>
  <c r="G25" i="2"/>
  <c r="BL24" i="2"/>
  <c r="BN24" i="2" s="1"/>
  <c r="BD24" i="2"/>
  <c r="AY24" i="2"/>
  <c r="AX24" i="2"/>
  <c r="AU24" i="2"/>
  <c r="AS24" i="2"/>
  <c r="AO24" i="2"/>
  <c r="AN24" i="2"/>
  <c r="AM24" i="2"/>
  <c r="AK24" i="2"/>
  <c r="AF24" i="2"/>
  <c r="AG24" i="2" s="1"/>
  <c r="AE24" i="2"/>
  <c r="AC24" i="2"/>
  <c r="U24" i="2"/>
  <c r="BA24" i="2" s="1"/>
  <c r="T24" i="2"/>
  <c r="P24" i="2"/>
  <c r="N24" i="2"/>
  <c r="M24" i="2"/>
  <c r="AZ24" i="2" s="1"/>
  <c r="J24" i="2"/>
  <c r="I24" i="2"/>
  <c r="G24" i="2"/>
  <c r="BL23" i="2"/>
  <c r="BN23" i="2" s="1"/>
  <c r="BD23" i="2"/>
  <c r="AZ23" i="2"/>
  <c r="AY23" i="2"/>
  <c r="AX23" i="2"/>
  <c r="AU23" i="2"/>
  <c r="AS23" i="2"/>
  <c r="AO23" i="2"/>
  <c r="AN23" i="2"/>
  <c r="AM23" i="2"/>
  <c r="AK23" i="2"/>
  <c r="AF23" i="2"/>
  <c r="AG23" i="2" s="1"/>
  <c r="AE23" i="2"/>
  <c r="AC23" i="2"/>
  <c r="U23" i="2"/>
  <c r="BA23" i="2" s="1"/>
  <c r="T23" i="2"/>
  <c r="R23" i="2"/>
  <c r="S23" i="2" s="1"/>
  <c r="Q23" i="2"/>
  <c r="P23" i="2"/>
  <c r="V23" i="2" s="1"/>
  <c r="BB23" i="2" s="1"/>
  <c r="N23" i="2"/>
  <c r="O23" i="2" s="1"/>
  <c r="M23" i="2"/>
  <c r="J23" i="2"/>
  <c r="I23" i="2"/>
  <c r="G23" i="2"/>
  <c r="BL22" i="2"/>
  <c r="BN22" i="2" s="1"/>
  <c r="BD22" i="2"/>
  <c r="AX22" i="2"/>
  <c r="AY22" i="2" s="1"/>
  <c r="AU22" i="2"/>
  <c r="AS22" i="2"/>
  <c r="AO22" i="2"/>
  <c r="AN22" i="2"/>
  <c r="AM22" i="2"/>
  <c r="AK22" i="2"/>
  <c r="AF22" i="2"/>
  <c r="AG22" i="2" s="1"/>
  <c r="AE22" i="2"/>
  <c r="AC22" i="2"/>
  <c r="U22" i="2"/>
  <c r="BA22" i="2" s="1"/>
  <c r="T22" i="2"/>
  <c r="P22" i="2"/>
  <c r="N22" i="2"/>
  <c r="M22" i="2"/>
  <c r="AZ22" i="2" s="1"/>
  <c r="J22" i="2"/>
  <c r="K22" i="2" s="1"/>
  <c r="I22" i="2"/>
  <c r="G22" i="2"/>
  <c r="BL21" i="2"/>
  <c r="BN21" i="2" s="1"/>
  <c r="BD21" i="2"/>
  <c r="AZ21" i="2"/>
  <c r="AX21" i="2"/>
  <c r="AY21" i="2" s="1"/>
  <c r="AU21" i="2"/>
  <c r="AS21" i="2"/>
  <c r="AO21" i="2"/>
  <c r="AN21" i="2"/>
  <c r="AM21" i="2"/>
  <c r="AK21" i="2"/>
  <c r="AF21" i="2"/>
  <c r="AG21" i="2" s="1"/>
  <c r="AE21" i="2"/>
  <c r="AC21" i="2"/>
  <c r="U21" i="2"/>
  <c r="BA21" i="2" s="1"/>
  <c r="T21" i="2"/>
  <c r="R21" i="2"/>
  <c r="S21" i="2" s="1"/>
  <c r="Q21" i="2"/>
  <c r="P21" i="2"/>
  <c r="V21" i="2" s="1"/>
  <c r="BB21" i="2" s="1"/>
  <c r="N21" i="2"/>
  <c r="O21" i="2" s="1"/>
  <c r="M21" i="2"/>
  <c r="J21" i="2"/>
  <c r="I21" i="2"/>
  <c r="G21" i="2"/>
  <c r="BL20" i="2"/>
  <c r="BN20" i="2" s="1"/>
  <c r="BD20" i="2"/>
  <c r="AX20" i="2"/>
  <c r="AY20" i="2" s="1"/>
  <c r="AU20" i="2"/>
  <c r="AS20" i="2"/>
  <c r="AO20" i="2"/>
  <c r="AN20" i="2"/>
  <c r="AM20" i="2"/>
  <c r="AK20" i="2"/>
  <c r="AF20" i="2"/>
  <c r="AG20" i="2" s="1"/>
  <c r="AE20" i="2"/>
  <c r="AC20" i="2"/>
  <c r="U20" i="2"/>
  <c r="BA20" i="2" s="1"/>
  <c r="T20" i="2"/>
  <c r="P20" i="2"/>
  <c r="N20" i="2"/>
  <c r="M20" i="2"/>
  <c r="AZ20" i="2" s="1"/>
  <c r="J20" i="2"/>
  <c r="K20" i="2" s="1"/>
  <c r="I20" i="2"/>
  <c r="G20" i="2"/>
  <c r="BL19" i="2"/>
  <c r="BN19" i="2" s="1"/>
  <c r="BD19" i="2"/>
  <c r="AZ19" i="2"/>
  <c r="AX19" i="2"/>
  <c r="AY19" i="2" s="1"/>
  <c r="AU19" i="2"/>
  <c r="AS19" i="2"/>
  <c r="AO19" i="2"/>
  <c r="AN19" i="2"/>
  <c r="AM19" i="2"/>
  <c r="AK19" i="2"/>
  <c r="AG19" i="2"/>
  <c r="AF19" i="2"/>
  <c r="AE19" i="2"/>
  <c r="AC19" i="2"/>
  <c r="U19" i="2"/>
  <c r="BA19" i="2" s="1"/>
  <c r="T19" i="2"/>
  <c r="R19" i="2"/>
  <c r="S19" i="2" s="1"/>
  <c r="Q19" i="2"/>
  <c r="P19" i="2"/>
  <c r="V19" i="2" s="1"/>
  <c r="BB19" i="2" s="1"/>
  <c r="N19" i="2"/>
  <c r="O19" i="2" s="1"/>
  <c r="M19" i="2"/>
  <c r="J19" i="2"/>
  <c r="I19" i="2"/>
  <c r="G19" i="2"/>
  <c r="BL18" i="2"/>
  <c r="BN18" i="2" s="1"/>
  <c r="BD18" i="2"/>
  <c r="AX18" i="2"/>
  <c r="AY18" i="2" s="1"/>
  <c r="AU18" i="2"/>
  <c r="AS18" i="2"/>
  <c r="AO18" i="2"/>
  <c r="AN18" i="2"/>
  <c r="AM18" i="2"/>
  <c r="AK18" i="2"/>
  <c r="AF18" i="2"/>
  <c r="AG18" i="2" s="1"/>
  <c r="AE18" i="2"/>
  <c r="AC18" i="2"/>
  <c r="U18" i="2"/>
  <c r="BA18" i="2" s="1"/>
  <c r="T18" i="2"/>
  <c r="P18" i="2"/>
  <c r="N18" i="2"/>
  <c r="M18" i="2"/>
  <c r="O18" i="2" s="1"/>
  <c r="J18" i="2"/>
  <c r="I18" i="2"/>
  <c r="G18" i="2"/>
  <c r="BL17" i="2"/>
  <c r="BN17" i="2" s="1"/>
  <c r="BD17" i="2"/>
  <c r="AZ17" i="2"/>
  <c r="AX17" i="2"/>
  <c r="AY17" i="2" s="1"/>
  <c r="AU17" i="2"/>
  <c r="AS17" i="2"/>
  <c r="AN17" i="2"/>
  <c r="AO17" i="2" s="1"/>
  <c r="AM17" i="2"/>
  <c r="AK17" i="2"/>
  <c r="AF17" i="2"/>
  <c r="AG17" i="2" s="1"/>
  <c r="AE17" i="2"/>
  <c r="AC17" i="2"/>
  <c r="U17" i="2"/>
  <c r="BA17" i="2" s="1"/>
  <c r="T17" i="2"/>
  <c r="R17" i="2"/>
  <c r="S17" i="2" s="1"/>
  <c r="Q17" i="2"/>
  <c r="P17" i="2"/>
  <c r="V17" i="2" s="1"/>
  <c r="BB17" i="2" s="1"/>
  <c r="N17" i="2"/>
  <c r="O17" i="2" s="1"/>
  <c r="M17" i="2"/>
  <c r="J17" i="2"/>
  <c r="I17" i="2"/>
  <c r="G17" i="2"/>
  <c r="BL16" i="2"/>
  <c r="BN16" i="2" s="1"/>
  <c r="BD16" i="2"/>
  <c r="AX16" i="2"/>
  <c r="AY16" i="2" s="1"/>
  <c r="AU16" i="2"/>
  <c r="AS16" i="2"/>
  <c r="AO16" i="2"/>
  <c r="AN16" i="2"/>
  <c r="AM16" i="2"/>
  <c r="AK16" i="2"/>
  <c r="AF16" i="2"/>
  <c r="AG16" i="2" s="1"/>
  <c r="AE16" i="2"/>
  <c r="AC16" i="2"/>
  <c r="U16" i="2"/>
  <c r="BA16" i="2" s="1"/>
  <c r="T16" i="2"/>
  <c r="P16" i="2"/>
  <c r="N16" i="2"/>
  <c r="M16" i="2"/>
  <c r="AZ16" i="2" s="1"/>
  <c r="J16" i="2"/>
  <c r="I16" i="2"/>
  <c r="G16" i="2"/>
  <c r="BL15" i="2"/>
  <c r="BN15" i="2" s="1"/>
  <c r="BD15" i="2"/>
  <c r="AZ15" i="2"/>
  <c r="AX15" i="2"/>
  <c r="AY15" i="2" s="1"/>
  <c r="AU15" i="2"/>
  <c r="AS15" i="2"/>
  <c r="AO15" i="2"/>
  <c r="AN15" i="2"/>
  <c r="AM15" i="2"/>
  <c r="AK15" i="2"/>
  <c r="AG15" i="2"/>
  <c r="AF15" i="2"/>
  <c r="AE15" i="2"/>
  <c r="AC15" i="2"/>
  <c r="U15" i="2"/>
  <c r="BA15" i="2" s="1"/>
  <c r="T15" i="2"/>
  <c r="R15" i="2"/>
  <c r="S15" i="2" s="1"/>
  <c r="Q15" i="2"/>
  <c r="P15" i="2"/>
  <c r="V15" i="2" s="1"/>
  <c r="BB15" i="2" s="1"/>
  <c r="N15" i="2"/>
  <c r="O15" i="2" s="1"/>
  <c r="M15" i="2"/>
  <c r="J15" i="2"/>
  <c r="I15" i="2"/>
  <c r="G15" i="2"/>
  <c r="BL14" i="2"/>
  <c r="BN14" i="2" s="1"/>
  <c r="BD14" i="2"/>
  <c r="AX14" i="2"/>
  <c r="AY14" i="2" s="1"/>
  <c r="AU14" i="2"/>
  <c r="AT49" i="2" s="1"/>
  <c r="AT50" i="2" s="1"/>
  <c r="AS14" i="2"/>
  <c r="AS49" i="2" s="1"/>
  <c r="AS50" i="2" s="1"/>
  <c r="AO14" i="2"/>
  <c r="AN14" i="2"/>
  <c r="AM14" i="2"/>
  <c r="AK14" i="2"/>
  <c r="AF14" i="2"/>
  <c r="AG14" i="2" s="1"/>
  <c r="AE14" i="2"/>
  <c r="AC14" i="2"/>
  <c r="U14" i="2"/>
  <c r="BA14" i="2" s="1"/>
  <c r="T14" i="2"/>
  <c r="P14" i="2"/>
  <c r="N14" i="2"/>
  <c r="M14" i="2"/>
  <c r="AZ14" i="2" s="1"/>
  <c r="J14" i="2"/>
  <c r="I14" i="2"/>
  <c r="G14" i="2"/>
  <c r="BL13" i="2"/>
  <c r="BN13" i="2" s="1"/>
  <c r="BD13" i="2"/>
  <c r="AZ13" i="2"/>
  <c r="AX13" i="2"/>
  <c r="AY13" i="2" s="1"/>
  <c r="AU13" i="2"/>
  <c r="AS13" i="2"/>
  <c r="AO13" i="2"/>
  <c r="AN13" i="2"/>
  <c r="AM13" i="2"/>
  <c r="AK13" i="2"/>
  <c r="AF13" i="2"/>
  <c r="AG13" i="2" s="1"/>
  <c r="AE13" i="2"/>
  <c r="AC13" i="2"/>
  <c r="U13" i="2"/>
  <c r="BA13" i="2" s="1"/>
  <c r="T13" i="2"/>
  <c r="R13" i="2"/>
  <c r="S13" i="2" s="1"/>
  <c r="Q13" i="2"/>
  <c r="P13" i="2"/>
  <c r="V13" i="2" s="1"/>
  <c r="BB13" i="2" s="1"/>
  <c r="N13" i="2"/>
  <c r="O13" i="2" s="1"/>
  <c r="M13" i="2"/>
  <c r="J13" i="2"/>
  <c r="I13" i="2"/>
  <c r="G13" i="2"/>
  <c r="BL12" i="2"/>
  <c r="BN12" i="2" s="1"/>
  <c r="BD12" i="2"/>
  <c r="AX12" i="2"/>
  <c r="AY12" i="2" s="1"/>
  <c r="AU12" i="2"/>
  <c r="AS12" i="2"/>
  <c r="AO12" i="2"/>
  <c r="AN12" i="2"/>
  <c r="AM12" i="2"/>
  <c r="AK12" i="2"/>
  <c r="AF12" i="2"/>
  <c r="AG12" i="2" s="1"/>
  <c r="AE12" i="2"/>
  <c r="AC12" i="2"/>
  <c r="U12" i="2"/>
  <c r="BA12" i="2" s="1"/>
  <c r="T12" i="2"/>
  <c r="P12" i="2"/>
  <c r="Q12" i="2" s="1"/>
  <c r="N12" i="2"/>
  <c r="M12" i="2"/>
  <c r="AZ12" i="2" s="1"/>
  <c r="H12" i="2"/>
  <c r="J12" i="2" s="1"/>
  <c r="G12" i="2"/>
  <c r="F12" i="2"/>
  <c r="BL11" i="2"/>
  <c r="BN11" i="2" s="1"/>
  <c r="BD11" i="2"/>
  <c r="BA11" i="2"/>
  <c r="AY11" i="2"/>
  <c r="AX11" i="2"/>
  <c r="AU11" i="2"/>
  <c r="AS11" i="2"/>
  <c r="AO11" i="2"/>
  <c r="AN11" i="2"/>
  <c r="AM11" i="2"/>
  <c r="AK11" i="2"/>
  <c r="AF11" i="2"/>
  <c r="AG11" i="2" s="1"/>
  <c r="AE11" i="2"/>
  <c r="AC11" i="2"/>
  <c r="U11" i="2"/>
  <c r="P11" i="2"/>
  <c r="V11" i="2" s="1"/>
  <c r="BB11" i="2" s="1"/>
  <c r="N11" i="2"/>
  <c r="M11" i="2"/>
  <c r="J11" i="2"/>
  <c r="K11" i="2" s="1"/>
  <c r="I11" i="2"/>
  <c r="G11" i="2"/>
  <c r="BL10" i="2"/>
  <c r="BN10" i="2" s="1"/>
  <c r="BD10" i="2"/>
  <c r="BB10" i="2"/>
  <c r="BA10" i="2"/>
  <c r="AY10" i="2"/>
  <c r="AX10" i="2"/>
  <c r="AU10" i="2"/>
  <c r="AS10" i="2"/>
  <c r="AO10" i="2"/>
  <c r="AN10" i="2"/>
  <c r="AM10" i="2"/>
  <c r="AK10" i="2"/>
  <c r="AG10" i="2"/>
  <c r="AF10" i="2"/>
  <c r="AE10" i="2"/>
  <c r="AC10" i="2"/>
  <c r="V10" i="2"/>
  <c r="U10" i="2"/>
  <c r="T10" i="2"/>
  <c r="R10" i="2"/>
  <c r="S10" i="2" s="1"/>
  <c r="Q10" i="2"/>
  <c r="P10" i="2"/>
  <c r="N10" i="2"/>
  <c r="M10" i="2"/>
  <c r="AZ10" i="2" s="1"/>
  <c r="K10" i="2"/>
  <c r="J10" i="2"/>
  <c r="W10" i="2" s="1"/>
  <c r="BC10" i="2" s="1"/>
  <c r="I10" i="2"/>
  <c r="G10" i="2"/>
  <c r="BN9" i="2"/>
  <c r="BL9" i="2"/>
  <c r="BD9" i="2"/>
  <c r="AX9" i="2"/>
  <c r="AY9" i="2" s="1"/>
  <c r="AU9" i="2"/>
  <c r="AS9" i="2"/>
  <c r="AO9" i="2"/>
  <c r="AN9" i="2"/>
  <c r="AM9" i="2"/>
  <c r="AK9" i="2"/>
  <c r="AG9" i="2"/>
  <c r="AF9" i="2"/>
  <c r="AE9" i="2"/>
  <c r="AC9" i="2"/>
  <c r="V9" i="2"/>
  <c r="BB9" i="2" s="1"/>
  <c r="P9" i="2"/>
  <c r="N9" i="2"/>
  <c r="U9" i="2" s="1"/>
  <c r="BA9" i="2" s="1"/>
  <c r="M9" i="2"/>
  <c r="K9" i="2"/>
  <c r="J9" i="2"/>
  <c r="I9" i="2"/>
  <c r="G9" i="2"/>
  <c r="BN8" i="2"/>
  <c r="BL8" i="2"/>
  <c r="BD8" i="2"/>
  <c r="BB8" i="2"/>
  <c r="BA8" i="2"/>
  <c r="AY8" i="2"/>
  <c r="AX8" i="2"/>
  <c r="AU8" i="2"/>
  <c r="AS8" i="2"/>
  <c r="AO8" i="2"/>
  <c r="AN8" i="2"/>
  <c r="AM8" i="2"/>
  <c r="AK8" i="2"/>
  <c r="AG8" i="2"/>
  <c r="AF8" i="2"/>
  <c r="AE8" i="2"/>
  <c r="AC8" i="2"/>
  <c r="V8" i="2"/>
  <c r="U8" i="2"/>
  <c r="T8" i="2"/>
  <c r="R8" i="2"/>
  <c r="S8" i="2" s="1"/>
  <c r="Q8" i="2"/>
  <c r="P8" i="2"/>
  <c r="N8" i="2"/>
  <c r="M8" i="2"/>
  <c r="AZ8" i="2" s="1"/>
  <c r="K8" i="2"/>
  <c r="J8" i="2"/>
  <c r="W8" i="2" s="1"/>
  <c r="BC8" i="2" s="1"/>
  <c r="I8" i="2"/>
  <c r="G8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N7" i="2"/>
  <c r="BL7" i="2"/>
  <c r="BD7" i="2"/>
  <c r="AX7" i="2"/>
  <c r="AY7" i="2" s="1"/>
  <c r="AU7" i="2"/>
  <c r="AS7" i="2"/>
  <c r="AO7" i="2"/>
  <c r="AN7" i="2"/>
  <c r="AM7" i="2"/>
  <c r="AK7" i="2"/>
  <c r="AG7" i="2"/>
  <c r="AF7" i="2"/>
  <c r="AE7" i="2"/>
  <c r="AC7" i="2"/>
  <c r="V7" i="2"/>
  <c r="BB7" i="2" s="1"/>
  <c r="P7" i="2"/>
  <c r="N7" i="2"/>
  <c r="U7" i="2" s="1"/>
  <c r="BA7" i="2" s="1"/>
  <c r="M7" i="2"/>
  <c r="K7" i="2"/>
  <c r="J7" i="2"/>
  <c r="I7" i="2"/>
  <c r="G7" i="2"/>
  <c r="BN6" i="2"/>
  <c r="BL6" i="2"/>
  <c r="BD6" i="2"/>
  <c r="BB6" i="2"/>
  <c r="AX6" i="2"/>
  <c r="AY6" i="2" s="1"/>
  <c r="AU6" i="2"/>
  <c r="AS6" i="2"/>
  <c r="AO6" i="2"/>
  <c r="AN6" i="2"/>
  <c r="AN36" i="2" s="1"/>
  <c r="AM6" i="2"/>
  <c r="AK6" i="2"/>
  <c r="AG6" i="2"/>
  <c r="AF6" i="2"/>
  <c r="AE6" i="2"/>
  <c r="AC6" i="2"/>
  <c r="V6" i="2"/>
  <c r="T6" i="2"/>
  <c r="Q6" i="2"/>
  <c r="P6" i="2"/>
  <c r="M6" i="2"/>
  <c r="AZ6" i="2" s="1"/>
  <c r="I6" i="2"/>
  <c r="J50" i="2" s="1"/>
  <c r="F6" i="2"/>
  <c r="B6" i="2"/>
  <c r="B7" i="2" s="1"/>
  <c r="BL5" i="2"/>
  <c r="BN5" i="2" s="1"/>
  <c r="BD5" i="2"/>
  <c r="AX5" i="2"/>
  <c r="AU5" i="2"/>
  <c r="AS5" i="2"/>
  <c r="AO5" i="2"/>
  <c r="AN5" i="2"/>
  <c r="AM5" i="2"/>
  <c r="AK5" i="2"/>
  <c r="AF5" i="2"/>
  <c r="AG5" i="2" s="1"/>
  <c r="AE5" i="2"/>
  <c r="AC5" i="2"/>
  <c r="P5" i="2"/>
  <c r="V5" i="2" s="1"/>
  <c r="N5" i="2"/>
  <c r="M5" i="2"/>
  <c r="J5" i="2"/>
  <c r="K5" i="2" s="1"/>
  <c r="I5" i="2"/>
  <c r="G5" i="2"/>
  <c r="B5" i="2"/>
  <c r="O77" i="1"/>
  <c r="N77" i="1"/>
  <c r="I77" i="1"/>
  <c r="Q76" i="1"/>
  <c r="Q77" i="1" s="1"/>
  <c r="P76" i="1"/>
  <c r="P77" i="1" s="1"/>
  <c r="O76" i="1"/>
  <c r="N76" i="1"/>
  <c r="I76" i="1"/>
  <c r="H76" i="1"/>
  <c r="H77" i="1" s="1"/>
  <c r="G76" i="1"/>
  <c r="G77" i="1" s="1"/>
  <c r="F76" i="1"/>
  <c r="F77" i="1" s="1"/>
  <c r="BL70" i="1"/>
  <c r="BK70" i="1"/>
  <c r="BJ70" i="1"/>
  <c r="BK69" i="1"/>
  <c r="BJ69" i="1"/>
  <c r="BL69" i="1" s="1"/>
  <c r="BL68" i="1"/>
  <c r="BK68" i="1"/>
  <c r="BJ68" i="1"/>
  <c r="BK67" i="1"/>
  <c r="BL67" i="1" s="1"/>
  <c r="BJ67" i="1"/>
  <c r="BK66" i="1"/>
  <c r="BJ66" i="1"/>
  <c r="BL66" i="1" s="1"/>
  <c r="BK65" i="1"/>
  <c r="BL65" i="1" s="1"/>
  <c r="BJ65" i="1"/>
  <c r="BK64" i="1"/>
  <c r="BJ64" i="1"/>
  <c r="BK63" i="1"/>
  <c r="BJ63" i="1"/>
  <c r="BL63" i="1" s="1"/>
  <c r="BK62" i="1"/>
  <c r="BJ62" i="1"/>
  <c r="BL62" i="1" s="1"/>
  <c r="BK61" i="1"/>
  <c r="BJ61" i="1"/>
  <c r="BL61" i="1" s="1"/>
  <c r="BL60" i="1"/>
  <c r="BK60" i="1"/>
  <c r="BJ60" i="1"/>
  <c r="BK59" i="1"/>
  <c r="BJ59" i="1"/>
  <c r="BL59" i="1" s="1"/>
  <c r="BK58" i="1"/>
  <c r="BJ58" i="1"/>
  <c r="BL58" i="1" s="1"/>
  <c r="Y58" i="1"/>
  <c r="X58" i="1" s="1"/>
  <c r="BK57" i="1"/>
  <c r="BJ57" i="1"/>
  <c r="BL57" i="1" s="1"/>
  <c r="X57" i="1"/>
  <c r="BL56" i="1"/>
  <c r="BK56" i="1"/>
  <c r="BJ56" i="1"/>
  <c r="Y56" i="1"/>
  <c r="X56" i="1" s="1"/>
  <c r="BK55" i="1"/>
  <c r="BJ55" i="1"/>
  <c r="BL55" i="1" s="1"/>
  <c r="X55" i="1"/>
  <c r="BK54" i="1"/>
  <c r="BL54" i="1" s="1"/>
  <c r="BJ54" i="1"/>
  <c r="Y54" i="1"/>
  <c r="X54" i="1"/>
  <c r="BL53" i="1"/>
  <c r="BK53" i="1"/>
  <c r="BJ53" i="1"/>
  <c r="X53" i="1"/>
  <c r="BK52" i="1"/>
  <c r="BJ52" i="1"/>
  <c r="BL52" i="1" s="1"/>
  <c r="Y52" i="1"/>
  <c r="X52" i="1"/>
  <c r="BK51" i="1"/>
  <c r="BL51" i="1" s="1"/>
  <c r="BJ51" i="1"/>
  <c r="BK50" i="1"/>
  <c r="BJ50" i="1"/>
  <c r="AR50" i="1"/>
  <c r="J50" i="1"/>
  <c r="AX49" i="1"/>
  <c r="AR49" i="1"/>
  <c r="AF49" i="1"/>
  <c r="S48" i="1"/>
  <c r="Q48" i="1"/>
  <c r="K48" i="1"/>
  <c r="I48" i="1"/>
  <c r="AG46" i="1"/>
  <c r="AO46" i="1" s="1"/>
  <c r="AY46" i="1" s="1"/>
  <c r="AW47" i="1" s="1"/>
  <c r="S46" i="1"/>
  <c r="X46" i="1" s="1"/>
  <c r="K46" i="1"/>
  <c r="BI45" i="1"/>
  <c r="W45" i="1"/>
  <c r="BI44" i="1"/>
  <c r="BC44" i="1"/>
  <c r="BI43" i="1"/>
  <c r="BG43" i="1"/>
  <c r="V41" i="1"/>
  <c r="BH38" i="1"/>
  <c r="AR38" i="1"/>
  <c r="AJ38" i="1"/>
  <c r="AB38" i="1"/>
  <c r="U38" i="1"/>
  <c r="O38" i="1"/>
  <c r="F38" i="1"/>
  <c r="AW37" i="1"/>
  <c r="AV37" i="1"/>
  <c r="AD37" i="1"/>
  <c r="AE37" i="1" s="1"/>
  <c r="BK36" i="1"/>
  <c r="BJ36" i="1"/>
  <c r="BI36" i="1"/>
  <c r="BH36" i="1"/>
  <c r="BG36" i="1"/>
  <c r="BF36" i="1"/>
  <c r="BE36" i="1"/>
  <c r="AW36" i="1"/>
  <c r="AV36" i="1"/>
  <c r="AT36" i="1"/>
  <c r="AT37" i="1" s="1"/>
  <c r="AR36" i="1"/>
  <c r="AR37" i="1" s="1"/>
  <c r="AQ36" i="1"/>
  <c r="AP36" i="1"/>
  <c r="AL36" i="1"/>
  <c r="AL37" i="1" s="1"/>
  <c r="AM37" i="1" s="1"/>
  <c r="AI36" i="1"/>
  <c r="AH36" i="1"/>
  <c r="AE36" i="1"/>
  <c r="AD36" i="1"/>
  <c r="AB36" i="1"/>
  <c r="AB37" i="1" s="1"/>
  <c r="AC37" i="1" s="1"/>
  <c r="AA36" i="1"/>
  <c r="Z36" i="1"/>
  <c r="Y36" i="1"/>
  <c r="X36" i="1"/>
  <c r="L36" i="1"/>
  <c r="H36" i="1"/>
  <c r="H37" i="1" s="1"/>
  <c r="I37" i="1" s="1"/>
  <c r="E36" i="1"/>
  <c r="D36" i="1"/>
  <c r="C36" i="1"/>
  <c r="BL35" i="1"/>
  <c r="BN35" i="1" s="1"/>
  <c r="BD35" i="1"/>
  <c r="AY35" i="1"/>
  <c r="AX35" i="1"/>
  <c r="AU35" i="1"/>
  <c r="AS35" i="1"/>
  <c r="AO35" i="1"/>
  <c r="AN35" i="1"/>
  <c r="AM35" i="1"/>
  <c r="AK35" i="1"/>
  <c r="AG35" i="1"/>
  <c r="AF35" i="1"/>
  <c r="AE35" i="1"/>
  <c r="AC35" i="1"/>
  <c r="V35" i="1"/>
  <c r="BB35" i="1" s="1"/>
  <c r="U35" i="1"/>
  <c r="BA35" i="1" s="1"/>
  <c r="R35" i="1"/>
  <c r="S35" i="1" s="1"/>
  <c r="P35" i="1"/>
  <c r="N35" i="1"/>
  <c r="M35" i="1"/>
  <c r="K35" i="1"/>
  <c r="J35" i="1"/>
  <c r="W35" i="1" s="1"/>
  <c r="BC35" i="1" s="1"/>
  <c r="I35" i="1"/>
  <c r="G35" i="1"/>
  <c r="BN34" i="1"/>
  <c r="BL34" i="1"/>
  <c r="BD34" i="1"/>
  <c r="AZ34" i="1"/>
  <c r="AX34" i="1"/>
  <c r="AY34" i="1" s="1"/>
  <c r="AU34" i="1"/>
  <c r="AS34" i="1"/>
  <c r="AO34" i="1"/>
  <c r="AN34" i="1"/>
  <c r="AM34" i="1"/>
  <c r="AK34" i="1"/>
  <c r="AF34" i="1"/>
  <c r="AG34" i="1" s="1"/>
  <c r="AE34" i="1"/>
  <c r="AC34" i="1"/>
  <c r="V34" i="1"/>
  <c r="BB34" i="1" s="1"/>
  <c r="R34" i="1"/>
  <c r="W34" i="1" s="1"/>
  <c r="BC34" i="1" s="1"/>
  <c r="Q34" i="1"/>
  <c r="P34" i="1"/>
  <c r="N34" i="1"/>
  <c r="M34" i="1"/>
  <c r="K34" i="1"/>
  <c r="J34" i="1"/>
  <c r="I34" i="1"/>
  <c r="G34" i="1"/>
  <c r="BL33" i="1"/>
  <c r="BN33" i="1" s="1"/>
  <c r="BD33" i="1"/>
  <c r="AX33" i="1"/>
  <c r="AY33" i="1" s="1"/>
  <c r="AU33" i="1"/>
  <c r="AS33" i="1"/>
  <c r="AO33" i="1"/>
  <c r="AN33" i="1"/>
  <c r="AM33" i="1"/>
  <c r="AK33" i="1"/>
  <c r="AG33" i="1"/>
  <c r="AF33" i="1"/>
  <c r="AE33" i="1"/>
  <c r="AC33" i="1"/>
  <c r="V33" i="1"/>
  <c r="BB33" i="1" s="1"/>
  <c r="U33" i="1"/>
  <c r="BA33" i="1" s="1"/>
  <c r="R33" i="1"/>
  <c r="S33" i="1" s="1"/>
  <c r="P33" i="1"/>
  <c r="N33" i="1"/>
  <c r="M33" i="1"/>
  <c r="J33" i="1"/>
  <c r="K33" i="1" s="1"/>
  <c r="I33" i="1"/>
  <c r="G33" i="1"/>
  <c r="BL32" i="1"/>
  <c r="BD32" i="1"/>
  <c r="AY32" i="1"/>
  <c r="AX32" i="1"/>
  <c r="AU32" i="1"/>
  <c r="AS32" i="1"/>
  <c r="AO32" i="1"/>
  <c r="AN32" i="1"/>
  <c r="AM32" i="1"/>
  <c r="AK32" i="1"/>
  <c r="AF32" i="1"/>
  <c r="AG32" i="1" s="1"/>
  <c r="AE32" i="1"/>
  <c r="AC32" i="1"/>
  <c r="U32" i="1"/>
  <c r="BA32" i="1" s="1"/>
  <c r="P32" i="1"/>
  <c r="R32" i="1" s="1"/>
  <c r="W32" i="1" s="1"/>
  <c r="BC32" i="1" s="1"/>
  <c r="N32" i="1"/>
  <c r="M32" i="1"/>
  <c r="J32" i="1"/>
  <c r="K32" i="1" s="1"/>
  <c r="I32" i="1"/>
  <c r="G32" i="1"/>
  <c r="BL31" i="1"/>
  <c r="BN31" i="1" s="1"/>
  <c r="BD31" i="1"/>
  <c r="AX31" i="1"/>
  <c r="AY31" i="1" s="1"/>
  <c r="AU31" i="1"/>
  <c r="AS31" i="1"/>
  <c r="AO31" i="1"/>
  <c r="AN31" i="1"/>
  <c r="AM31" i="1"/>
  <c r="AK31" i="1"/>
  <c r="AF31" i="1"/>
  <c r="AG31" i="1" s="1"/>
  <c r="AE31" i="1"/>
  <c r="AC31" i="1"/>
  <c r="V31" i="1"/>
  <c r="BB31" i="1" s="1"/>
  <c r="U31" i="1"/>
  <c r="BA31" i="1" s="1"/>
  <c r="T31" i="1"/>
  <c r="R31" i="1"/>
  <c r="Q31" i="1"/>
  <c r="P31" i="1"/>
  <c r="N31" i="1"/>
  <c r="M31" i="1"/>
  <c r="J31" i="1"/>
  <c r="K31" i="1" s="1"/>
  <c r="I31" i="1"/>
  <c r="G31" i="1"/>
  <c r="BL30" i="1"/>
  <c r="BN30" i="1" s="1"/>
  <c r="BD30" i="1"/>
  <c r="AZ30" i="1"/>
  <c r="AY30" i="1"/>
  <c r="AX30" i="1"/>
  <c r="AU30" i="1"/>
  <c r="AS30" i="1"/>
  <c r="AO30" i="1"/>
  <c r="AN30" i="1"/>
  <c r="AM30" i="1"/>
  <c r="AK30" i="1"/>
  <c r="AF30" i="1"/>
  <c r="AG30" i="1" s="1"/>
  <c r="AE30" i="1"/>
  <c r="AC30" i="1"/>
  <c r="V30" i="1"/>
  <c r="BB30" i="1" s="1"/>
  <c r="U30" i="1"/>
  <c r="BA30" i="1" s="1"/>
  <c r="R30" i="1"/>
  <c r="P30" i="1"/>
  <c r="Q30" i="1" s="1"/>
  <c r="N30" i="1"/>
  <c r="M30" i="1"/>
  <c r="K30" i="1"/>
  <c r="J30" i="1"/>
  <c r="W30" i="1" s="1"/>
  <c r="BC30" i="1" s="1"/>
  <c r="I30" i="1"/>
  <c r="G30" i="1"/>
  <c r="BL29" i="1"/>
  <c r="BN29" i="1" s="1"/>
  <c r="BD29" i="1"/>
  <c r="BA29" i="1"/>
  <c r="AZ29" i="1"/>
  <c r="AY29" i="1"/>
  <c r="AX29" i="1"/>
  <c r="AU29" i="1"/>
  <c r="AS29" i="1"/>
  <c r="AN29" i="1"/>
  <c r="AO29" i="1" s="1"/>
  <c r="AM29" i="1"/>
  <c r="AK29" i="1"/>
  <c r="AF29" i="1"/>
  <c r="AG29" i="1" s="1"/>
  <c r="AE29" i="1"/>
  <c r="AC29" i="1"/>
  <c r="V29" i="1"/>
  <c r="BB29" i="1" s="1"/>
  <c r="U29" i="1"/>
  <c r="P29" i="1"/>
  <c r="Q29" i="1" s="1"/>
  <c r="N29" i="1"/>
  <c r="M29" i="1"/>
  <c r="J29" i="1"/>
  <c r="K29" i="1" s="1"/>
  <c r="I29" i="1"/>
  <c r="G29" i="1"/>
  <c r="BL28" i="1"/>
  <c r="BN28" i="1" s="1"/>
  <c r="BD28" i="1"/>
  <c r="BA28" i="1"/>
  <c r="AY28" i="1"/>
  <c r="AX28" i="1"/>
  <c r="AU28" i="1"/>
  <c r="AS28" i="1"/>
  <c r="AO28" i="1"/>
  <c r="AN28" i="1"/>
  <c r="AM28" i="1"/>
  <c r="AK28" i="1"/>
  <c r="AF28" i="1"/>
  <c r="AG28" i="1" s="1"/>
  <c r="AE28" i="1"/>
  <c r="AC28" i="1"/>
  <c r="U28" i="1"/>
  <c r="P28" i="1"/>
  <c r="R28" i="1" s="1"/>
  <c r="N28" i="1"/>
  <c r="M28" i="1"/>
  <c r="K28" i="1"/>
  <c r="J28" i="1"/>
  <c r="I28" i="1"/>
  <c r="G28" i="1"/>
  <c r="BL27" i="1"/>
  <c r="BN27" i="1" s="1"/>
  <c r="BD27" i="1"/>
  <c r="BA27" i="1"/>
  <c r="AZ27" i="1"/>
  <c r="AY27" i="1"/>
  <c r="AX27" i="1"/>
  <c r="AU27" i="1"/>
  <c r="AS27" i="1"/>
  <c r="AN27" i="1"/>
  <c r="AO27" i="1" s="1"/>
  <c r="AM27" i="1"/>
  <c r="AK27" i="1"/>
  <c r="AF27" i="1"/>
  <c r="AG27" i="1" s="1"/>
  <c r="AE27" i="1"/>
  <c r="AC27" i="1"/>
  <c r="U27" i="1"/>
  <c r="T27" i="1"/>
  <c r="P27" i="1"/>
  <c r="V27" i="1" s="1"/>
  <c r="BB27" i="1" s="1"/>
  <c r="N27" i="1"/>
  <c r="M27" i="1"/>
  <c r="J27" i="1"/>
  <c r="K27" i="1" s="1"/>
  <c r="I27" i="1"/>
  <c r="G27" i="1"/>
  <c r="BL26" i="1"/>
  <c r="BN26" i="1" s="1"/>
  <c r="BD26" i="1"/>
  <c r="AY26" i="1"/>
  <c r="AX26" i="1"/>
  <c r="AU26" i="1"/>
  <c r="AS26" i="1"/>
  <c r="AO26" i="1"/>
  <c r="AN26" i="1"/>
  <c r="AM26" i="1"/>
  <c r="AK26" i="1"/>
  <c r="AF26" i="1"/>
  <c r="AG26" i="1" s="1"/>
  <c r="AE26" i="1"/>
  <c r="AC26" i="1"/>
  <c r="U26" i="1"/>
  <c r="BA26" i="1" s="1"/>
  <c r="P26" i="1"/>
  <c r="V26" i="1" s="1"/>
  <c r="BB26" i="1" s="1"/>
  <c r="N26" i="1"/>
  <c r="M26" i="1"/>
  <c r="J26" i="1"/>
  <c r="K26" i="1" s="1"/>
  <c r="I26" i="1"/>
  <c r="G26" i="1"/>
  <c r="BL25" i="1"/>
  <c r="BN25" i="1" s="1"/>
  <c r="BD25" i="1"/>
  <c r="AY25" i="1"/>
  <c r="AX25" i="1"/>
  <c r="AU25" i="1"/>
  <c r="AS25" i="1"/>
  <c r="AN25" i="1"/>
  <c r="AO25" i="1" s="1"/>
  <c r="AM25" i="1"/>
  <c r="AK25" i="1"/>
  <c r="AF25" i="1"/>
  <c r="AG25" i="1" s="1"/>
  <c r="AE25" i="1"/>
  <c r="AC25" i="1"/>
  <c r="V25" i="1"/>
  <c r="BB25" i="1" s="1"/>
  <c r="U25" i="1"/>
  <c r="BA25" i="1" s="1"/>
  <c r="T25" i="1"/>
  <c r="P25" i="1"/>
  <c r="R25" i="1" s="1"/>
  <c r="N25" i="1"/>
  <c r="M25" i="1"/>
  <c r="K25" i="1"/>
  <c r="J25" i="1"/>
  <c r="W25" i="1" s="1"/>
  <c r="BC25" i="1" s="1"/>
  <c r="I25" i="1"/>
  <c r="G25" i="1"/>
  <c r="BL24" i="1"/>
  <c r="BN24" i="1" s="1"/>
  <c r="BD24" i="1"/>
  <c r="BA24" i="1"/>
  <c r="AZ24" i="1"/>
  <c r="AY24" i="1"/>
  <c r="AX24" i="1"/>
  <c r="AU24" i="1"/>
  <c r="AS24" i="1"/>
  <c r="AO24" i="1"/>
  <c r="AN24" i="1"/>
  <c r="AM24" i="1"/>
  <c r="AK24" i="1"/>
  <c r="AF24" i="1"/>
  <c r="AG24" i="1" s="1"/>
  <c r="AE24" i="1"/>
  <c r="AC24" i="1"/>
  <c r="V24" i="1"/>
  <c r="BB24" i="1" s="1"/>
  <c r="U24" i="1"/>
  <c r="P24" i="1"/>
  <c r="R24" i="1" s="1"/>
  <c r="O24" i="1"/>
  <c r="N24" i="1"/>
  <c r="M24" i="1"/>
  <c r="J24" i="1"/>
  <c r="I24" i="1"/>
  <c r="G24" i="1"/>
  <c r="BL23" i="1"/>
  <c r="BN23" i="1" s="1"/>
  <c r="BD23" i="1"/>
  <c r="BA23" i="1"/>
  <c r="AY23" i="1"/>
  <c r="AX23" i="1"/>
  <c r="AU23" i="1"/>
  <c r="AS23" i="1"/>
  <c r="AO23" i="1"/>
  <c r="AN23" i="1"/>
  <c r="AM23" i="1"/>
  <c r="AK23" i="1"/>
  <c r="AF23" i="1"/>
  <c r="AG23" i="1" s="1"/>
  <c r="AE23" i="1"/>
  <c r="AC23" i="1"/>
  <c r="U23" i="1"/>
  <c r="R23" i="1"/>
  <c r="P23" i="1"/>
  <c r="V23" i="1" s="1"/>
  <c r="BB23" i="1" s="1"/>
  <c r="N23" i="1"/>
  <c r="M23" i="1"/>
  <c r="S23" i="1" s="1"/>
  <c r="K23" i="1"/>
  <c r="J23" i="1"/>
  <c r="W23" i="1" s="1"/>
  <c r="BC23" i="1" s="1"/>
  <c r="I23" i="1"/>
  <c r="G23" i="1"/>
  <c r="BL22" i="1"/>
  <c r="BN22" i="1" s="1"/>
  <c r="BD22" i="1"/>
  <c r="BA22" i="1"/>
  <c r="AZ22" i="1"/>
  <c r="AY22" i="1"/>
  <c r="AX22" i="1"/>
  <c r="AU22" i="1"/>
  <c r="AS22" i="1"/>
  <c r="AO22" i="1"/>
  <c r="AN22" i="1"/>
  <c r="AM22" i="1"/>
  <c r="AK22" i="1"/>
  <c r="AF22" i="1"/>
  <c r="AG22" i="1" s="1"/>
  <c r="AE22" i="1"/>
  <c r="AC22" i="1"/>
  <c r="U22" i="1"/>
  <c r="P22" i="1"/>
  <c r="V22" i="1" s="1"/>
  <c r="BB22" i="1" s="1"/>
  <c r="O22" i="1"/>
  <c r="N22" i="1"/>
  <c r="M22" i="1"/>
  <c r="J22" i="1"/>
  <c r="K22" i="1" s="1"/>
  <c r="I22" i="1"/>
  <c r="G22" i="1"/>
  <c r="BL21" i="1"/>
  <c r="BN21" i="1" s="1"/>
  <c r="BD21" i="1"/>
  <c r="BB21" i="1"/>
  <c r="AY21" i="1"/>
  <c r="AX21" i="1"/>
  <c r="AU21" i="1"/>
  <c r="AS21" i="1"/>
  <c r="AS49" i="1" s="1"/>
  <c r="AS50" i="1" s="1"/>
  <c r="AN21" i="1"/>
  <c r="AO21" i="1" s="1"/>
  <c r="AM21" i="1"/>
  <c r="AK21" i="1"/>
  <c r="AF21" i="1"/>
  <c r="AG21" i="1" s="1"/>
  <c r="AE21" i="1"/>
  <c r="AC21" i="1"/>
  <c r="V21" i="1"/>
  <c r="U21" i="1"/>
  <c r="BA21" i="1" s="1"/>
  <c r="T21" i="1"/>
  <c r="R21" i="1"/>
  <c r="Q21" i="1"/>
  <c r="P21" i="1"/>
  <c r="N21" i="1"/>
  <c r="M21" i="1"/>
  <c r="AZ21" i="1" s="1"/>
  <c r="J21" i="1"/>
  <c r="K21" i="1" s="1"/>
  <c r="I21" i="1"/>
  <c r="G21" i="1"/>
  <c r="BL20" i="1"/>
  <c r="BN20" i="1" s="1"/>
  <c r="BD20" i="1"/>
  <c r="AY20" i="1"/>
  <c r="AX20" i="1"/>
  <c r="AU20" i="1"/>
  <c r="AS20" i="1"/>
  <c r="AO20" i="1"/>
  <c r="AN20" i="1"/>
  <c r="AM20" i="1"/>
  <c r="AK20" i="1"/>
  <c r="AF20" i="1"/>
  <c r="AG20" i="1" s="1"/>
  <c r="AE20" i="1"/>
  <c r="AC20" i="1"/>
  <c r="V20" i="1"/>
  <c r="BB20" i="1" s="1"/>
  <c r="U20" i="1"/>
  <c r="BA20" i="1" s="1"/>
  <c r="R20" i="1"/>
  <c r="P20" i="1"/>
  <c r="Q20" i="1" s="1"/>
  <c r="N20" i="1"/>
  <c r="M20" i="1"/>
  <c r="K20" i="1"/>
  <c r="J20" i="1"/>
  <c r="W20" i="1" s="1"/>
  <c r="BC20" i="1" s="1"/>
  <c r="I20" i="1"/>
  <c r="G20" i="1"/>
  <c r="BL19" i="1"/>
  <c r="BN19" i="1" s="1"/>
  <c r="BD19" i="1"/>
  <c r="BB19" i="1"/>
  <c r="AY19" i="1"/>
  <c r="AX19" i="1"/>
  <c r="AU19" i="1"/>
  <c r="AS19" i="1"/>
  <c r="AL19" i="1"/>
  <c r="AM19" i="1" s="1"/>
  <c r="AJ19" i="1"/>
  <c r="AJ36" i="1" s="1"/>
  <c r="AJ37" i="1" s="1"/>
  <c r="AK37" i="1" s="1"/>
  <c r="AG19" i="1"/>
  <c r="AF19" i="1"/>
  <c r="AE19" i="1"/>
  <c r="AC19" i="1"/>
  <c r="W19" i="1"/>
  <c r="V19" i="1"/>
  <c r="R19" i="1"/>
  <c r="P19" i="1"/>
  <c r="N19" i="1"/>
  <c r="U19" i="1" s="1"/>
  <c r="M19" i="1"/>
  <c r="Q19" i="1" s="1"/>
  <c r="K19" i="1"/>
  <c r="J19" i="1"/>
  <c r="I19" i="1"/>
  <c r="G19" i="1"/>
  <c r="BN18" i="1"/>
  <c r="BL18" i="1"/>
  <c r="BD18" i="1"/>
  <c r="BB18" i="1"/>
  <c r="BA18" i="1"/>
  <c r="AY18" i="1"/>
  <c r="AX18" i="1"/>
  <c r="AU18" i="1"/>
  <c r="AS18" i="1"/>
  <c r="AN18" i="1"/>
  <c r="AO18" i="1" s="1"/>
  <c r="AM18" i="1"/>
  <c r="AK18" i="1"/>
  <c r="AG18" i="1"/>
  <c r="AF18" i="1"/>
  <c r="AE18" i="1"/>
  <c r="AC18" i="1"/>
  <c r="V18" i="1"/>
  <c r="P18" i="1"/>
  <c r="N18" i="1"/>
  <c r="U18" i="1" s="1"/>
  <c r="M18" i="1"/>
  <c r="AZ18" i="1" s="1"/>
  <c r="K18" i="1"/>
  <c r="J18" i="1"/>
  <c r="I18" i="1"/>
  <c r="G18" i="1"/>
  <c r="BN17" i="1"/>
  <c r="BL17" i="1"/>
  <c r="BD17" i="1"/>
  <c r="BB17" i="1"/>
  <c r="AY17" i="1"/>
  <c r="AX17" i="1"/>
  <c r="AU17" i="1"/>
  <c r="AS17" i="1"/>
  <c r="AO17" i="1"/>
  <c r="AN17" i="1"/>
  <c r="AM17" i="1"/>
  <c r="AK17" i="1"/>
  <c r="AF17" i="1"/>
  <c r="AG17" i="1" s="1"/>
  <c r="AE17" i="1"/>
  <c r="AC17" i="1"/>
  <c r="V17" i="1"/>
  <c r="P17" i="1"/>
  <c r="N17" i="1"/>
  <c r="U17" i="1" s="1"/>
  <c r="BA17" i="1" s="1"/>
  <c r="M17" i="1"/>
  <c r="AZ17" i="1" s="1"/>
  <c r="K17" i="1"/>
  <c r="J17" i="1"/>
  <c r="I17" i="1"/>
  <c r="G17" i="1"/>
  <c r="BL16" i="1"/>
  <c r="BN16" i="1" s="1"/>
  <c r="BD16" i="1"/>
  <c r="BB16" i="1"/>
  <c r="AY16" i="1"/>
  <c r="AX16" i="1"/>
  <c r="AU16" i="1"/>
  <c r="AS16" i="1"/>
  <c r="AO16" i="1"/>
  <c r="AN16" i="1"/>
  <c r="AM16" i="1"/>
  <c r="AK16" i="1"/>
  <c r="AG16" i="1"/>
  <c r="AF16" i="1"/>
  <c r="AE16" i="1"/>
  <c r="AC16" i="1"/>
  <c r="V16" i="1"/>
  <c r="T16" i="1"/>
  <c r="Q16" i="1"/>
  <c r="P16" i="1"/>
  <c r="M16" i="1"/>
  <c r="AZ16" i="1" s="1"/>
  <c r="I16" i="1"/>
  <c r="F16" i="1"/>
  <c r="BL15" i="1"/>
  <c r="BN15" i="1" s="1"/>
  <c r="BD15" i="1"/>
  <c r="AZ15" i="1"/>
  <c r="AY15" i="1"/>
  <c r="AX15" i="1"/>
  <c r="AU15" i="1"/>
  <c r="AS15" i="1"/>
  <c r="AO15" i="1"/>
  <c r="AN15" i="1"/>
  <c r="AM15" i="1"/>
  <c r="AK15" i="1"/>
  <c r="AF15" i="1"/>
  <c r="AG15" i="1" s="1"/>
  <c r="AE15" i="1"/>
  <c r="AC15" i="1"/>
  <c r="P15" i="1"/>
  <c r="N15" i="1"/>
  <c r="R15" i="1" s="1"/>
  <c r="M15" i="1"/>
  <c r="T15" i="1" s="1"/>
  <c r="J15" i="1"/>
  <c r="K15" i="1" s="1"/>
  <c r="I15" i="1"/>
  <c r="G15" i="1"/>
  <c r="BL14" i="1"/>
  <c r="BN14" i="1" s="1"/>
  <c r="BD14" i="1"/>
  <c r="AZ14" i="1"/>
  <c r="AY14" i="1"/>
  <c r="AX14" i="1"/>
  <c r="AU14" i="1"/>
  <c r="AT49" i="1" s="1"/>
  <c r="AT50" i="1" s="1"/>
  <c r="AS14" i="1"/>
  <c r="AO14" i="1"/>
  <c r="AN14" i="1"/>
  <c r="AM14" i="1"/>
  <c r="AK14" i="1"/>
  <c r="AF14" i="1"/>
  <c r="AG14" i="1" s="1"/>
  <c r="AE14" i="1"/>
  <c r="AC14" i="1"/>
  <c r="U14" i="1"/>
  <c r="BA14" i="1" s="1"/>
  <c r="T14" i="1"/>
  <c r="P14" i="1"/>
  <c r="N14" i="1"/>
  <c r="R14" i="1" s="1"/>
  <c r="S14" i="1" s="1"/>
  <c r="M14" i="1"/>
  <c r="J14" i="1"/>
  <c r="I14" i="1"/>
  <c r="G14" i="1"/>
  <c r="BL13" i="1"/>
  <c r="BN13" i="1" s="1"/>
  <c r="BD13" i="1"/>
  <c r="AZ13" i="1"/>
  <c r="AY13" i="1"/>
  <c r="AX13" i="1"/>
  <c r="AU13" i="1"/>
  <c r="AS13" i="1"/>
  <c r="AO13" i="1"/>
  <c r="AN13" i="1"/>
  <c r="AM13" i="1"/>
  <c r="AK13" i="1"/>
  <c r="AG13" i="1"/>
  <c r="AF13" i="1"/>
  <c r="AE13" i="1"/>
  <c r="AC13" i="1"/>
  <c r="U13" i="1"/>
  <c r="BA13" i="1" s="1"/>
  <c r="T13" i="1"/>
  <c r="S13" i="1"/>
  <c r="P13" i="1"/>
  <c r="N13" i="1"/>
  <c r="R13" i="1" s="1"/>
  <c r="M13" i="1"/>
  <c r="K13" i="1"/>
  <c r="J13" i="1"/>
  <c r="W13" i="1" s="1"/>
  <c r="BC13" i="1" s="1"/>
  <c r="I13" i="1"/>
  <c r="G13" i="1"/>
  <c r="BL12" i="1"/>
  <c r="BN12" i="1" s="1"/>
  <c r="BD12" i="1"/>
  <c r="AZ12" i="1"/>
  <c r="AY12" i="1"/>
  <c r="AX12" i="1"/>
  <c r="AU12" i="1"/>
  <c r="AS12" i="1"/>
  <c r="AN12" i="1"/>
  <c r="AO12" i="1" s="1"/>
  <c r="AM12" i="1"/>
  <c r="AK12" i="1"/>
  <c r="AF12" i="1"/>
  <c r="AG12" i="1" s="1"/>
  <c r="AE12" i="1"/>
  <c r="AC12" i="1"/>
  <c r="U12" i="1"/>
  <c r="BA12" i="1" s="1"/>
  <c r="T12" i="1"/>
  <c r="P12" i="1"/>
  <c r="R12" i="1" s="1"/>
  <c r="S12" i="1" s="1"/>
  <c r="O12" i="1"/>
  <c r="N12" i="1"/>
  <c r="M12" i="1"/>
  <c r="J12" i="1"/>
  <c r="I12" i="1"/>
  <c r="G12" i="1"/>
  <c r="BL11" i="1"/>
  <c r="BN11" i="1" s="1"/>
  <c r="BD11" i="1"/>
  <c r="AZ11" i="1"/>
  <c r="AY11" i="1"/>
  <c r="AX11" i="1"/>
  <c r="AU11" i="1"/>
  <c r="AS11" i="1"/>
  <c r="AO11" i="1"/>
  <c r="AN11" i="1"/>
  <c r="AM11" i="1"/>
  <c r="AK11" i="1"/>
  <c r="AF11" i="1"/>
  <c r="AG11" i="1" s="1"/>
  <c r="AE11" i="1"/>
  <c r="AC11" i="1"/>
  <c r="P11" i="1"/>
  <c r="N11" i="1"/>
  <c r="R11" i="1" s="1"/>
  <c r="M11" i="1"/>
  <c r="S11" i="1" s="1"/>
  <c r="J11" i="1"/>
  <c r="K11" i="1" s="1"/>
  <c r="I11" i="1"/>
  <c r="G11" i="1"/>
  <c r="BL10" i="1"/>
  <c r="BN10" i="1" s="1"/>
  <c r="BD10" i="1"/>
  <c r="AZ10" i="1"/>
  <c r="AY10" i="1"/>
  <c r="AX10" i="1"/>
  <c r="AU10" i="1"/>
  <c r="AS10" i="1"/>
  <c r="AO10" i="1"/>
  <c r="AN10" i="1"/>
  <c r="AM10" i="1"/>
  <c r="AK10" i="1"/>
  <c r="AF10" i="1"/>
  <c r="AG10" i="1" s="1"/>
  <c r="AE10" i="1"/>
  <c r="AC10" i="1"/>
  <c r="U10" i="1"/>
  <c r="BA10" i="1" s="1"/>
  <c r="T10" i="1"/>
  <c r="P10" i="1"/>
  <c r="N10" i="1"/>
  <c r="R10" i="1" s="1"/>
  <c r="S10" i="1" s="1"/>
  <c r="M10" i="1"/>
  <c r="J10" i="1"/>
  <c r="I10" i="1"/>
  <c r="G10" i="1"/>
  <c r="BL9" i="1"/>
  <c r="BN9" i="1" s="1"/>
  <c r="BD9" i="1"/>
  <c r="AZ9" i="1"/>
  <c r="AY9" i="1"/>
  <c r="AX9" i="1"/>
  <c r="AU9" i="1"/>
  <c r="AS9" i="1"/>
  <c r="AO9" i="1"/>
  <c r="AN9" i="1"/>
  <c r="AM9" i="1"/>
  <c r="AK9" i="1"/>
  <c r="AF9" i="1"/>
  <c r="AG9" i="1" s="1"/>
  <c r="AE9" i="1"/>
  <c r="AC9" i="1"/>
  <c r="U9" i="1"/>
  <c r="BA9" i="1" s="1"/>
  <c r="T9" i="1"/>
  <c r="P9" i="1"/>
  <c r="N9" i="1"/>
  <c r="M9" i="1"/>
  <c r="J9" i="1"/>
  <c r="K9" i="1" s="1"/>
  <c r="I9" i="1"/>
  <c r="G9" i="1"/>
  <c r="BL8" i="1"/>
  <c r="BN8" i="1" s="1"/>
  <c r="BD8" i="1"/>
  <c r="AZ8" i="1"/>
  <c r="AY8" i="1"/>
  <c r="AX8" i="1"/>
  <c r="AU8" i="1"/>
  <c r="AS8" i="1"/>
  <c r="AO8" i="1"/>
  <c r="AN8" i="1"/>
  <c r="AM8" i="1"/>
  <c r="AK8" i="1"/>
  <c r="AF8" i="1"/>
  <c r="AG8" i="1" s="1"/>
  <c r="AE8" i="1"/>
  <c r="AC8" i="1"/>
  <c r="T8" i="1"/>
  <c r="P8" i="1"/>
  <c r="N8" i="1"/>
  <c r="U8" i="1" s="1"/>
  <c r="BA8" i="1" s="1"/>
  <c r="M8" i="1"/>
  <c r="J8" i="1"/>
  <c r="I8" i="1"/>
  <c r="G8" i="1"/>
  <c r="BL7" i="1"/>
  <c r="BN7" i="1" s="1"/>
  <c r="BD7" i="1"/>
  <c r="AZ7" i="1"/>
  <c r="AY7" i="1"/>
  <c r="AX7" i="1"/>
  <c r="AU7" i="1"/>
  <c r="AS7" i="1"/>
  <c r="AO7" i="1"/>
  <c r="AN7" i="1"/>
  <c r="AM7" i="1"/>
  <c r="AK7" i="1"/>
  <c r="AF7" i="1"/>
  <c r="AG7" i="1" s="1"/>
  <c r="AE7" i="1"/>
  <c r="AC7" i="1"/>
  <c r="W7" i="1"/>
  <c r="BC7" i="1" s="1"/>
  <c r="P7" i="1"/>
  <c r="N7" i="1"/>
  <c r="R7" i="1" s="1"/>
  <c r="M7" i="1"/>
  <c r="T7" i="1" s="1"/>
  <c r="J7" i="1"/>
  <c r="K7" i="1" s="1"/>
  <c r="I7" i="1"/>
  <c r="G7" i="1"/>
  <c r="BL6" i="1"/>
  <c r="BN6" i="1" s="1"/>
  <c r="BD6" i="1"/>
  <c r="AZ6" i="1"/>
  <c r="AY6" i="1"/>
  <c r="AX6" i="1"/>
  <c r="AU6" i="1"/>
  <c r="AS6" i="1"/>
  <c r="AO6" i="1"/>
  <c r="AN6" i="1"/>
  <c r="AM6" i="1"/>
  <c r="AK6" i="1"/>
  <c r="AF6" i="1"/>
  <c r="AG6" i="1" s="1"/>
  <c r="AE6" i="1"/>
  <c r="AC6" i="1"/>
  <c r="U6" i="1"/>
  <c r="BA6" i="1" s="1"/>
  <c r="T6" i="1"/>
  <c r="R6" i="1"/>
  <c r="S6" i="1" s="1"/>
  <c r="P6" i="1"/>
  <c r="N6" i="1"/>
  <c r="O6" i="1" s="1"/>
  <c r="M6" i="1"/>
  <c r="J6" i="1"/>
  <c r="I6" i="1"/>
  <c r="G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L5" i="1"/>
  <c r="BD5" i="1"/>
  <c r="BD36" i="1" s="1"/>
  <c r="BD37" i="1" s="1"/>
  <c r="AZ5" i="1"/>
  <c r="AY5" i="1"/>
  <c r="AX5" i="1"/>
  <c r="AU5" i="1"/>
  <c r="AS5" i="1"/>
  <c r="AO5" i="1"/>
  <c r="AN5" i="1"/>
  <c r="AM5" i="1"/>
  <c r="AK5" i="1"/>
  <c r="AF5" i="1"/>
  <c r="AG5" i="1" s="1"/>
  <c r="AE5" i="1"/>
  <c r="AC5" i="1"/>
  <c r="T5" i="1"/>
  <c r="P5" i="1"/>
  <c r="N5" i="1"/>
  <c r="M5" i="1"/>
  <c r="J5" i="1"/>
  <c r="I5" i="1"/>
  <c r="J49" i="1" s="1"/>
  <c r="G5" i="1"/>
  <c r="B5" i="1"/>
  <c r="BD45" i="3" l="1"/>
  <c r="BE45" i="3"/>
  <c r="F37" i="3"/>
  <c r="G37" i="3" s="1"/>
  <c r="K37" i="3" s="1"/>
  <c r="G36" i="3"/>
  <c r="AO36" i="3"/>
  <c r="AN37" i="3"/>
  <c r="R11" i="3"/>
  <c r="S11" i="3" s="1"/>
  <c r="O11" i="3"/>
  <c r="O32" i="3"/>
  <c r="R32" i="3"/>
  <c r="S32" i="3" s="1"/>
  <c r="Q12" i="3"/>
  <c r="K14" i="3"/>
  <c r="J6" i="3"/>
  <c r="U6" i="3"/>
  <c r="BA6" i="3" s="1"/>
  <c r="U8" i="3"/>
  <c r="BA8" i="3" s="1"/>
  <c r="U10" i="3"/>
  <c r="BA10" i="3" s="1"/>
  <c r="U13" i="3"/>
  <c r="BA13" i="3" s="1"/>
  <c r="U18" i="3"/>
  <c r="BA18" i="3" s="1"/>
  <c r="S19" i="3"/>
  <c r="AX36" i="3"/>
  <c r="BL66" i="3"/>
  <c r="BL71" i="3" s="1"/>
  <c r="BH46" i="3" s="1"/>
  <c r="W13" i="3"/>
  <c r="BC13" i="3" s="1"/>
  <c r="Q11" i="3"/>
  <c r="O17" i="3"/>
  <c r="W18" i="3"/>
  <c r="BC18" i="3" s="1"/>
  <c r="BN20" i="3"/>
  <c r="BN36" i="3" s="1"/>
  <c r="O29" i="3"/>
  <c r="I36" i="3"/>
  <c r="O12" i="3"/>
  <c r="R16" i="3"/>
  <c r="W19" i="3"/>
  <c r="BC19" i="3" s="1"/>
  <c r="S21" i="3"/>
  <c r="S23" i="3"/>
  <c r="S31" i="3"/>
  <c r="G32" i="3"/>
  <c r="U32" i="3"/>
  <c r="BA32" i="3" s="1"/>
  <c r="S33" i="3"/>
  <c r="Q35" i="3"/>
  <c r="Q17" i="3"/>
  <c r="R35" i="3"/>
  <c r="AC37" i="3"/>
  <c r="BJ71" i="3"/>
  <c r="O13" i="3"/>
  <c r="W5" i="3"/>
  <c r="P6" i="3"/>
  <c r="AZ6" i="3"/>
  <c r="U7" i="3"/>
  <c r="BA7" i="3" s="1"/>
  <c r="AZ8" i="3"/>
  <c r="U9" i="3"/>
  <c r="BA9" i="3" s="1"/>
  <c r="AZ10" i="3"/>
  <c r="R12" i="3"/>
  <c r="W12" i="3" s="1"/>
  <c r="BC12" i="3" s="1"/>
  <c r="W15" i="3"/>
  <c r="BC15" i="3" s="1"/>
  <c r="R17" i="3"/>
  <c r="W17" i="3" s="1"/>
  <c r="BC17" i="3" s="1"/>
  <c r="O18" i="3"/>
  <c r="W24" i="3"/>
  <c r="BC24" i="3" s="1"/>
  <c r="Q28" i="3"/>
  <c r="R29" i="3"/>
  <c r="U30" i="3"/>
  <c r="BA30" i="3" s="1"/>
  <c r="J32" i="3"/>
  <c r="N36" i="3"/>
  <c r="AZ12" i="3"/>
  <c r="O10" i="3"/>
  <c r="K7" i="3"/>
  <c r="K9" i="3"/>
  <c r="J11" i="3"/>
  <c r="U11" i="3"/>
  <c r="BA11" i="3" s="1"/>
  <c r="S12" i="3"/>
  <c r="Q13" i="3"/>
  <c r="S17" i="3"/>
  <c r="Q18" i="3"/>
  <c r="O19" i="3"/>
  <c r="AZ19" i="3"/>
  <c r="K20" i="3"/>
  <c r="O26" i="3"/>
  <c r="Q27" i="3"/>
  <c r="S28" i="3"/>
  <c r="O6" i="3"/>
  <c r="O8" i="3"/>
  <c r="G11" i="3"/>
  <c r="AZ18" i="3"/>
  <c r="O28" i="3"/>
  <c r="G6" i="3"/>
  <c r="O14" i="3"/>
  <c r="V16" i="3"/>
  <c r="BB16" i="3" s="1"/>
  <c r="K22" i="3"/>
  <c r="O25" i="3"/>
  <c r="Q26" i="3"/>
  <c r="R27" i="3"/>
  <c r="T28" i="3"/>
  <c r="T36" i="3" s="1"/>
  <c r="AZ32" i="3"/>
  <c r="Q32" i="3"/>
  <c r="AZ33" i="3"/>
  <c r="P36" i="3"/>
  <c r="AE36" i="3"/>
  <c r="S46" i="3"/>
  <c r="X46" i="3" s="1"/>
  <c r="X52" i="3"/>
  <c r="AZ13" i="3"/>
  <c r="S10" i="3"/>
  <c r="S13" i="3"/>
  <c r="S26" i="3"/>
  <c r="U28" i="3"/>
  <c r="BA28" i="3" s="1"/>
  <c r="AF36" i="3"/>
  <c r="S8" i="3"/>
  <c r="S18" i="3"/>
  <c r="AG5" i="3"/>
  <c r="BA5" i="3"/>
  <c r="BA36" i="3" s="1"/>
  <c r="BA37" i="3" s="1"/>
  <c r="V12" i="3"/>
  <c r="BB12" i="3" s="1"/>
  <c r="O21" i="3"/>
  <c r="O23" i="3"/>
  <c r="O24" i="3"/>
  <c r="Q25" i="3"/>
  <c r="T26" i="3"/>
  <c r="O31" i="3"/>
  <c r="O33" i="3"/>
  <c r="AZ34" i="3"/>
  <c r="Q34" i="3"/>
  <c r="AZ35" i="3"/>
  <c r="X59" i="3"/>
  <c r="Q26" i="2"/>
  <c r="V26" i="2"/>
  <c r="BB26" i="2" s="1"/>
  <c r="T9" i="2"/>
  <c r="Q9" i="2"/>
  <c r="AZ9" i="2"/>
  <c r="Q18" i="2"/>
  <c r="V18" i="2"/>
  <c r="BB18" i="2" s="1"/>
  <c r="W34" i="2"/>
  <c r="BC34" i="2" s="1"/>
  <c r="K34" i="2"/>
  <c r="T11" i="2"/>
  <c r="O11" i="2"/>
  <c r="AZ11" i="2"/>
  <c r="M36" i="2"/>
  <c r="N38" i="2" s="1"/>
  <c r="AZ5" i="2"/>
  <c r="AZ36" i="2" s="1"/>
  <c r="T5" i="2"/>
  <c r="T36" i="2" s="1"/>
  <c r="Q14" i="2"/>
  <c r="V14" i="2"/>
  <c r="BB14" i="2" s="1"/>
  <c r="AX36" i="2"/>
  <c r="AY5" i="2"/>
  <c r="Q20" i="2"/>
  <c r="V20" i="2"/>
  <c r="BB20" i="2" s="1"/>
  <c r="AF36" i="2"/>
  <c r="N36" i="2"/>
  <c r="U5" i="2"/>
  <c r="R5" i="2"/>
  <c r="O5" i="2"/>
  <c r="AN37" i="2"/>
  <c r="AO36" i="2"/>
  <c r="K12" i="2"/>
  <c r="Q30" i="2"/>
  <c r="V30" i="2"/>
  <c r="BB30" i="2" s="1"/>
  <c r="BD36" i="2"/>
  <c r="BD37" i="2" s="1"/>
  <c r="BK71" i="2"/>
  <c r="BN36" i="2"/>
  <c r="Q7" i="2"/>
  <c r="T7" i="2"/>
  <c r="AZ7" i="2"/>
  <c r="Q16" i="2"/>
  <c r="V16" i="2"/>
  <c r="BB16" i="2" s="1"/>
  <c r="W18" i="2"/>
  <c r="BC18" i="2" s="1"/>
  <c r="Q28" i="2"/>
  <c r="V28" i="2"/>
  <c r="BB28" i="2" s="1"/>
  <c r="W33" i="2"/>
  <c r="BC33" i="2" s="1"/>
  <c r="K33" i="2"/>
  <c r="BB5" i="2"/>
  <c r="W26" i="2"/>
  <c r="BC26" i="2" s="1"/>
  <c r="Q24" i="2"/>
  <c r="V24" i="2"/>
  <c r="BB24" i="2" s="1"/>
  <c r="W28" i="2"/>
  <c r="BC28" i="2" s="1"/>
  <c r="F36" i="2"/>
  <c r="N6" i="2"/>
  <c r="G6" i="2"/>
  <c r="U6" i="2"/>
  <c r="BA6" i="2" s="1"/>
  <c r="J6" i="2"/>
  <c r="Q22" i="2"/>
  <c r="V22" i="2"/>
  <c r="BB22" i="2" s="1"/>
  <c r="W32" i="2"/>
  <c r="BC32" i="2" s="1"/>
  <c r="I36" i="2"/>
  <c r="O7" i="2"/>
  <c r="O9" i="2"/>
  <c r="Q35" i="2"/>
  <c r="Q5" i="2"/>
  <c r="Q11" i="2"/>
  <c r="I12" i="2"/>
  <c r="J49" i="2" s="1"/>
  <c r="V12" i="2"/>
  <c r="BB12" i="2" s="1"/>
  <c r="W31" i="2"/>
  <c r="BC31" i="2" s="1"/>
  <c r="O34" i="2"/>
  <c r="R35" i="2"/>
  <c r="S35" i="2" s="1"/>
  <c r="X52" i="2"/>
  <c r="BJ71" i="2"/>
  <c r="R11" i="2"/>
  <c r="W11" i="2" s="1"/>
  <c r="BC11" i="2" s="1"/>
  <c r="W21" i="2"/>
  <c r="BC21" i="2" s="1"/>
  <c r="K21" i="2"/>
  <c r="R7" i="2"/>
  <c r="W7" i="2" s="1"/>
  <c r="BC7" i="2" s="1"/>
  <c r="R9" i="2"/>
  <c r="W9" i="2" s="1"/>
  <c r="BC9" i="2" s="1"/>
  <c r="K14" i="2"/>
  <c r="K16" i="2"/>
  <c r="K18" i="2"/>
  <c r="K24" i="2"/>
  <c r="K26" i="2"/>
  <c r="K28" i="2"/>
  <c r="K30" i="2"/>
  <c r="O32" i="2"/>
  <c r="T34" i="2"/>
  <c r="W15" i="2"/>
  <c r="BC15" i="2" s="1"/>
  <c r="K15" i="2"/>
  <c r="W19" i="2"/>
  <c r="BC19" i="2" s="1"/>
  <c r="K19" i="2"/>
  <c r="W23" i="2"/>
  <c r="BC23" i="2" s="1"/>
  <c r="K23" i="2"/>
  <c r="W25" i="2"/>
  <c r="BC25" i="2" s="1"/>
  <c r="K25" i="2"/>
  <c r="W29" i="2"/>
  <c r="BC29" i="2" s="1"/>
  <c r="K29" i="2"/>
  <c r="AZ18" i="2"/>
  <c r="O31" i="2"/>
  <c r="Q32" i="2"/>
  <c r="U34" i="2"/>
  <c r="BA34" i="2" s="1"/>
  <c r="P36" i="2"/>
  <c r="AC36" i="2"/>
  <c r="BL36" i="2"/>
  <c r="BL37" i="2" s="1"/>
  <c r="W13" i="2"/>
  <c r="BC13" i="2" s="1"/>
  <c r="K13" i="2"/>
  <c r="O8" i="2"/>
  <c r="O10" i="2"/>
  <c r="R12" i="2"/>
  <c r="S12" i="2" s="1"/>
  <c r="R14" i="2"/>
  <c r="S14" i="2" s="1"/>
  <c r="R16" i="2"/>
  <c r="S16" i="2" s="1"/>
  <c r="R18" i="2"/>
  <c r="S18" i="2" s="1"/>
  <c r="R20" i="2"/>
  <c r="R22" i="2"/>
  <c r="R24" i="2"/>
  <c r="S24" i="2" s="1"/>
  <c r="R26" i="2"/>
  <c r="S26" i="2" s="1"/>
  <c r="R28" i="2"/>
  <c r="S28" i="2" s="1"/>
  <c r="R30" i="2"/>
  <c r="S30" i="2" s="1"/>
  <c r="S32" i="2"/>
  <c r="K35" i="2"/>
  <c r="Y58" i="2"/>
  <c r="W17" i="2"/>
  <c r="BC17" i="2" s="1"/>
  <c r="K17" i="2"/>
  <c r="W27" i="2"/>
  <c r="BC27" i="2" s="1"/>
  <c r="K27" i="2"/>
  <c r="Q34" i="2"/>
  <c r="O12" i="2"/>
  <c r="O14" i="2"/>
  <c r="O16" i="2"/>
  <c r="O20" i="2"/>
  <c r="O22" i="2"/>
  <c r="O24" i="2"/>
  <c r="O26" i="2"/>
  <c r="O28" i="2"/>
  <c r="O30" i="2"/>
  <c r="T32" i="2"/>
  <c r="BL50" i="2"/>
  <c r="BL69" i="2"/>
  <c r="K31" i="2"/>
  <c r="BG42" i="1"/>
  <c r="BG46" i="1" s="1"/>
  <c r="AU37" i="1"/>
  <c r="BE45" i="1"/>
  <c r="BD45" i="1"/>
  <c r="W28" i="1"/>
  <c r="BC28" i="1" s="1"/>
  <c r="AN36" i="1"/>
  <c r="W24" i="1"/>
  <c r="BC24" i="1" s="1"/>
  <c r="BL36" i="1"/>
  <c r="BL37" i="1" s="1"/>
  <c r="BN5" i="1"/>
  <c r="BN36" i="1" s="1"/>
  <c r="Q26" i="1"/>
  <c r="T28" i="1"/>
  <c r="S28" i="1"/>
  <c r="O8" i="1"/>
  <c r="O17" i="1"/>
  <c r="O18" i="1"/>
  <c r="O23" i="1"/>
  <c r="AZ23" i="1"/>
  <c r="K24" i="1"/>
  <c r="R26" i="1"/>
  <c r="Q27" i="1"/>
  <c r="AZ28" i="1"/>
  <c r="V8" i="1"/>
  <c r="BB8" i="1" s="1"/>
  <c r="Q8" i="1"/>
  <c r="W10" i="1"/>
  <c r="BC10" i="1" s="1"/>
  <c r="K10" i="1"/>
  <c r="O11" i="1"/>
  <c r="W14" i="1"/>
  <c r="BC14" i="1" s="1"/>
  <c r="K14" i="1"/>
  <c r="O15" i="1"/>
  <c r="Q17" i="1"/>
  <c r="Q22" i="1"/>
  <c r="T24" i="1"/>
  <c r="S24" i="1"/>
  <c r="R27" i="1"/>
  <c r="S27" i="1" s="1"/>
  <c r="O28" i="1"/>
  <c r="O29" i="1"/>
  <c r="S29" i="1"/>
  <c r="V32" i="1"/>
  <c r="BB32" i="1" s="1"/>
  <c r="AC36" i="1"/>
  <c r="BL50" i="1"/>
  <c r="BC19" i="1"/>
  <c r="Q32" i="1"/>
  <c r="M36" i="1"/>
  <c r="N38" i="1" s="1"/>
  <c r="Q11" i="1"/>
  <c r="V11" i="1"/>
  <c r="BB11" i="1" s="1"/>
  <c r="Q15" i="1"/>
  <c r="V15" i="1"/>
  <c r="BB15" i="1" s="1"/>
  <c r="R17" i="1"/>
  <c r="W17" i="1" s="1"/>
  <c r="BC17" i="1" s="1"/>
  <c r="Q18" i="1"/>
  <c r="O19" i="1"/>
  <c r="AZ19" i="1"/>
  <c r="AZ36" i="1" s="1"/>
  <c r="R22" i="1"/>
  <c r="Q23" i="1"/>
  <c r="W33" i="1"/>
  <c r="BC33" i="1" s="1"/>
  <c r="BK71" i="1"/>
  <c r="R5" i="1"/>
  <c r="N36" i="1"/>
  <c r="O5" i="1"/>
  <c r="V12" i="1"/>
  <c r="BB12" i="1" s="1"/>
  <c r="Q12" i="1"/>
  <c r="W6" i="1"/>
  <c r="BC6" i="1" s="1"/>
  <c r="K6" i="1"/>
  <c r="F36" i="1"/>
  <c r="U16" i="1"/>
  <c r="BA16" i="1" s="1"/>
  <c r="J16" i="1"/>
  <c r="R18" i="1"/>
  <c r="W18" i="1" s="1"/>
  <c r="BC18" i="1" s="1"/>
  <c r="BA19" i="1"/>
  <c r="T20" i="1"/>
  <c r="S20" i="1"/>
  <c r="W21" i="1"/>
  <c r="BC21" i="1" s="1"/>
  <c r="S25" i="1"/>
  <c r="W26" i="1"/>
  <c r="BC26" i="1" s="1"/>
  <c r="Q28" i="1"/>
  <c r="T30" i="1"/>
  <c r="S30" i="1"/>
  <c r="W31" i="1"/>
  <c r="BC31" i="1" s="1"/>
  <c r="AS37" i="1"/>
  <c r="P36" i="1"/>
  <c r="Q5" i="1"/>
  <c r="V5" i="1"/>
  <c r="T11" i="1"/>
  <c r="T36" i="1" s="1"/>
  <c r="O14" i="1"/>
  <c r="G16" i="1"/>
  <c r="AK19" i="1"/>
  <c r="AZ33" i="1"/>
  <c r="T33" i="1"/>
  <c r="AZ35" i="1"/>
  <c r="T35" i="1"/>
  <c r="AF36" i="1"/>
  <c r="X59" i="1"/>
  <c r="Q9" i="1"/>
  <c r="V9" i="1"/>
  <c r="BB9" i="1" s="1"/>
  <c r="R8" i="1"/>
  <c r="S8" i="1" s="1"/>
  <c r="AX36" i="1"/>
  <c r="O10" i="1"/>
  <c r="O20" i="1"/>
  <c r="BJ71" i="1"/>
  <c r="S7" i="1"/>
  <c r="V10" i="1"/>
  <c r="BB10" i="1" s="1"/>
  <c r="Q10" i="1"/>
  <c r="V14" i="1"/>
  <c r="BB14" i="1" s="1"/>
  <c r="Q14" i="1"/>
  <c r="U15" i="1"/>
  <c r="BA15" i="1" s="1"/>
  <c r="S19" i="1"/>
  <c r="W22" i="1"/>
  <c r="BC22" i="1" s="1"/>
  <c r="Q24" i="1"/>
  <c r="T26" i="1"/>
  <c r="S26" i="1"/>
  <c r="R29" i="1"/>
  <c r="W29" i="1" s="1"/>
  <c r="BC29" i="1" s="1"/>
  <c r="O30" i="1"/>
  <c r="S31" i="1"/>
  <c r="AZ31" i="1"/>
  <c r="T32" i="1"/>
  <c r="S32" i="1"/>
  <c r="AZ32" i="1"/>
  <c r="O33" i="1"/>
  <c r="T34" i="1"/>
  <c r="S34" i="1"/>
  <c r="O35" i="1"/>
  <c r="R9" i="1"/>
  <c r="W11" i="1"/>
  <c r="BC11" i="1" s="1"/>
  <c r="O13" i="1"/>
  <c r="W15" i="1"/>
  <c r="BC15" i="1" s="1"/>
  <c r="T19" i="1"/>
  <c r="AN19" i="1"/>
  <c r="AO19" i="1" s="1"/>
  <c r="O21" i="1"/>
  <c r="Q25" i="1"/>
  <c r="AZ26" i="1"/>
  <c r="V28" i="1"/>
  <c r="BB28" i="1" s="1"/>
  <c r="T29" i="1"/>
  <c r="O31" i="1"/>
  <c r="U34" i="1"/>
  <c r="BA34" i="1" s="1"/>
  <c r="O34" i="1"/>
  <c r="I36" i="1"/>
  <c r="U5" i="1"/>
  <c r="O7" i="1"/>
  <c r="S15" i="1"/>
  <c r="Q7" i="1"/>
  <c r="V7" i="1"/>
  <c r="BB7" i="1" s="1"/>
  <c r="T17" i="1"/>
  <c r="AZ20" i="1"/>
  <c r="T23" i="1"/>
  <c r="O25" i="1"/>
  <c r="AZ25" i="1"/>
  <c r="U11" i="1"/>
  <c r="BA11" i="1" s="1"/>
  <c r="W12" i="1"/>
  <c r="BC12" i="1" s="1"/>
  <c r="K12" i="1"/>
  <c r="T18" i="1"/>
  <c r="S21" i="1"/>
  <c r="K5" i="1"/>
  <c r="V6" i="1"/>
  <c r="BB6" i="1" s="1"/>
  <c r="Q6" i="1"/>
  <c r="U7" i="1"/>
  <c r="BA7" i="1" s="1"/>
  <c r="K8" i="1"/>
  <c r="O9" i="1"/>
  <c r="Q13" i="1"/>
  <c r="V13" i="1"/>
  <c r="BB13" i="1" s="1"/>
  <c r="N16" i="1"/>
  <c r="T22" i="1"/>
  <c r="S22" i="1"/>
  <c r="O26" i="1"/>
  <c r="O27" i="1"/>
  <c r="O32" i="1"/>
  <c r="Q33" i="1"/>
  <c r="Q35" i="1"/>
  <c r="BL64" i="1"/>
  <c r="BI46" i="3" l="1"/>
  <c r="BJ46" i="3"/>
  <c r="N37" i="3"/>
  <c r="O37" i="3" s="1"/>
  <c r="O36" i="3"/>
  <c r="W35" i="3"/>
  <c r="BC35" i="3" s="1"/>
  <c r="S35" i="3"/>
  <c r="W16" i="3"/>
  <c r="BC16" i="3" s="1"/>
  <c r="S16" i="3"/>
  <c r="AO47" i="3"/>
  <c r="AN46" i="3"/>
  <c r="AN47" i="3" s="1"/>
  <c r="AO38" i="3"/>
  <c r="AO37" i="3"/>
  <c r="AX37" i="3"/>
  <c r="AY36" i="3"/>
  <c r="AX55" i="3"/>
  <c r="BA55" i="3" s="1"/>
  <c r="W27" i="3"/>
  <c r="BC27" i="3" s="1"/>
  <c r="S27" i="3"/>
  <c r="AZ36" i="3"/>
  <c r="BE38" i="3" s="1"/>
  <c r="Q6" i="3"/>
  <c r="V6" i="3"/>
  <c r="AF37" i="3"/>
  <c r="AG36" i="3"/>
  <c r="BC5" i="3"/>
  <c r="K32" i="3"/>
  <c r="W32" i="3"/>
  <c r="BC32" i="3" s="1"/>
  <c r="U36" i="3"/>
  <c r="U37" i="3" s="1"/>
  <c r="W29" i="3"/>
  <c r="BC29" i="3" s="1"/>
  <c r="S29" i="3"/>
  <c r="J36" i="3"/>
  <c r="P37" i="3"/>
  <c r="Q37" i="3" s="1"/>
  <c r="Q36" i="3"/>
  <c r="W11" i="3"/>
  <c r="BC11" i="3" s="1"/>
  <c r="K11" i="3"/>
  <c r="K6" i="3"/>
  <c r="R6" i="3"/>
  <c r="BL71" i="2"/>
  <c r="BH46" i="2" s="1"/>
  <c r="S9" i="2"/>
  <c r="BE38" i="2"/>
  <c r="W14" i="2"/>
  <c r="BC14" i="2" s="1"/>
  <c r="BB36" i="2"/>
  <c r="BB37" i="2" s="1"/>
  <c r="S7" i="2"/>
  <c r="W12" i="2"/>
  <c r="BC12" i="2" s="1"/>
  <c r="S11" i="2"/>
  <c r="O36" i="2"/>
  <c r="N37" i="2"/>
  <c r="O37" i="2" s="1"/>
  <c r="AG36" i="2"/>
  <c r="AF37" i="2"/>
  <c r="K6" i="2"/>
  <c r="J36" i="2"/>
  <c r="V36" i="2"/>
  <c r="V37" i="2" s="1"/>
  <c r="V39" i="2" s="1"/>
  <c r="AX37" i="2"/>
  <c r="AY36" i="2"/>
  <c r="F37" i="2"/>
  <c r="G37" i="2" s="1"/>
  <c r="K37" i="2" s="1"/>
  <c r="G36" i="2"/>
  <c r="AO38" i="2"/>
  <c r="AO37" i="2"/>
  <c r="AO47" i="2"/>
  <c r="AN46" i="2"/>
  <c r="AN47" i="2" s="1"/>
  <c r="W35" i="2"/>
  <c r="BC35" i="2" s="1"/>
  <c r="BE45" i="2"/>
  <c r="BD45" i="2"/>
  <c r="W22" i="2"/>
  <c r="BC22" i="2" s="1"/>
  <c r="S22" i="2"/>
  <c r="W20" i="2"/>
  <c r="BC20" i="2" s="1"/>
  <c r="S20" i="2"/>
  <c r="BA5" i="2"/>
  <c r="BA36" i="2" s="1"/>
  <c r="BA37" i="2" s="1"/>
  <c r="U36" i="2"/>
  <c r="U37" i="2" s="1"/>
  <c r="X58" i="2"/>
  <c r="X59" i="2"/>
  <c r="Q36" i="2"/>
  <c r="P37" i="2"/>
  <c r="Q37" i="2" s="1"/>
  <c r="O6" i="2"/>
  <c r="R6" i="2"/>
  <c r="S6" i="2" s="1"/>
  <c r="W16" i="2"/>
  <c r="BC16" i="2" s="1"/>
  <c r="W5" i="2"/>
  <c r="S5" i="2"/>
  <c r="W30" i="2"/>
  <c r="BC30" i="2" s="1"/>
  <c r="W24" i="2"/>
  <c r="BC24" i="2" s="1"/>
  <c r="BE38" i="1"/>
  <c r="AN37" i="1"/>
  <c r="AO36" i="1"/>
  <c r="W5" i="1"/>
  <c r="R36" i="1"/>
  <c r="S5" i="1"/>
  <c r="O36" i="1"/>
  <c r="N37" i="1"/>
  <c r="O37" i="1" s="1"/>
  <c r="K16" i="1"/>
  <c r="W16" i="1"/>
  <c r="BC16" i="1" s="1"/>
  <c r="W9" i="1"/>
  <c r="BC9" i="1" s="1"/>
  <c r="S9" i="1"/>
  <c r="O16" i="1"/>
  <c r="R16" i="1"/>
  <c r="S16" i="1" s="1"/>
  <c r="G36" i="1"/>
  <c r="F37" i="1"/>
  <c r="G37" i="1" s="1"/>
  <c r="K37" i="1" s="1"/>
  <c r="W27" i="1"/>
  <c r="BC27" i="1" s="1"/>
  <c r="BB5" i="1"/>
  <c r="BB36" i="1" s="1"/>
  <c r="BB37" i="1" s="1"/>
  <c r="V36" i="1"/>
  <c r="V37" i="1" s="1"/>
  <c r="V39" i="1" s="1"/>
  <c r="BL71" i="1"/>
  <c r="BH46" i="1" s="1"/>
  <c r="BI46" i="1" s="1"/>
  <c r="AX37" i="1"/>
  <c r="AY36" i="1"/>
  <c r="S18" i="1"/>
  <c r="J36" i="1"/>
  <c r="AG36" i="1"/>
  <c r="AF37" i="1"/>
  <c r="S17" i="1"/>
  <c r="W8" i="1"/>
  <c r="BC8" i="1" s="1"/>
  <c r="BA5" i="1"/>
  <c r="BA36" i="1" s="1"/>
  <c r="BA37" i="1" s="1"/>
  <c r="U36" i="1"/>
  <c r="U37" i="1" s="1"/>
  <c r="P37" i="1"/>
  <c r="Q37" i="1" s="1"/>
  <c r="Q36" i="1"/>
  <c r="S6" i="3" l="1"/>
  <c r="R36" i="3"/>
  <c r="W6" i="3"/>
  <c r="BA56" i="3"/>
  <c r="BA58" i="3"/>
  <c r="BB6" i="3"/>
  <c r="BB36" i="3" s="1"/>
  <c r="BB37" i="3" s="1"/>
  <c r="V36" i="3"/>
  <c r="V37" i="3" s="1"/>
  <c r="V39" i="3" s="1"/>
  <c r="AY50" i="3"/>
  <c r="AY51" i="3" s="1"/>
  <c r="AY38" i="3"/>
  <c r="AY37" i="3"/>
  <c r="AY47" i="3"/>
  <c r="AX46" i="3"/>
  <c r="AX47" i="3" s="1"/>
  <c r="AY48" i="3"/>
  <c r="K36" i="3"/>
  <c r="J37" i="3"/>
  <c r="AG37" i="3"/>
  <c r="AF46" i="3"/>
  <c r="AF47" i="3" s="1"/>
  <c r="AG38" i="3"/>
  <c r="AG47" i="3"/>
  <c r="AY47" i="2"/>
  <c r="AX46" i="2"/>
  <c r="AX47" i="2" s="1"/>
  <c r="AY38" i="2"/>
  <c r="AY48" i="2"/>
  <c r="AY50" i="2"/>
  <c r="AY51" i="2" s="1"/>
  <c r="AY37" i="2"/>
  <c r="K36" i="2"/>
  <c r="J37" i="2"/>
  <c r="W6" i="2"/>
  <c r="BC6" i="2" s="1"/>
  <c r="W36" i="2"/>
  <c r="W37" i="2" s="1"/>
  <c r="BC5" i="2"/>
  <c r="AF46" i="2"/>
  <c r="AF47" i="2" s="1"/>
  <c r="AG38" i="2"/>
  <c r="AG37" i="2"/>
  <c r="AG47" i="2"/>
  <c r="R36" i="2"/>
  <c r="BI46" i="2"/>
  <c r="BJ46" i="2"/>
  <c r="AG47" i="1"/>
  <c r="AG38" i="1"/>
  <c r="AF46" i="1"/>
  <c r="AF47" i="1" s="1"/>
  <c r="AG37" i="1"/>
  <c r="J37" i="1"/>
  <c r="K36" i="1"/>
  <c r="R37" i="1"/>
  <c r="S36" i="1"/>
  <c r="BC5" i="1"/>
  <c r="BC36" i="1" s="1"/>
  <c r="W36" i="1"/>
  <c r="W37" i="1" s="1"/>
  <c r="AY37" i="1"/>
  <c r="AY47" i="1"/>
  <c r="AX46" i="1"/>
  <c r="AX47" i="1" s="1"/>
  <c r="AY38" i="1"/>
  <c r="AY48" i="1"/>
  <c r="AY50" i="1"/>
  <c r="AY51" i="1" s="1"/>
  <c r="AO47" i="1"/>
  <c r="AO38" i="1"/>
  <c r="AO37" i="1"/>
  <c r="AN46" i="1"/>
  <c r="AN47" i="1" s="1"/>
  <c r="BJ46" i="1"/>
  <c r="K47" i="3" l="1"/>
  <c r="J46" i="3"/>
  <c r="J47" i="3" s="1"/>
  <c r="K38" i="3"/>
  <c r="BC6" i="3"/>
  <c r="BC36" i="3" s="1"/>
  <c r="W36" i="3"/>
  <c r="W37" i="3" s="1"/>
  <c r="R37" i="3"/>
  <c r="S36" i="3"/>
  <c r="X47" i="2"/>
  <c r="W38" i="2"/>
  <c r="W46" i="2"/>
  <c r="W47" i="2" s="1"/>
  <c r="J46" i="2"/>
  <c r="J47" i="2" s="1"/>
  <c r="K47" i="2"/>
  <c r="K38" i="2"/>
  <c r="R37" i="2"/>
  <c r="S36" i="2"/>
  <c r="BC36" i="2"/>
  <c r="W46" i="1"/>
  <c r="W47" i="1" s="1"/>
  <c r="X47" i="1"/>
  <c r="W38" i="1"/>
  <c r="BC39" i="1"/>
  <c r="BD39" i="1" s="1"/>
  <c r="BC37" i="1"/>
  <c r="S47" i="1"/>
  <c r="S38" i="1"/>
  <c r="S37" i="1"/>
  <c r="R46" i="1"/>
  <c r="R47" i="1" s="1"/>
  <c r="J46" i="1"/>
  <c r="J47" i="1" s="1"/>
  <c r="K47" i="1"/>
  <c r="K38" i="1"/>
  <c r="W38" i="3" l="1"/>
  <c r="X47" i="3"/>
  <c r="W46" i="3"/>
  <c r="W47" i="3" s="1"/>
  <c r="BC37" i="3"/>
  <c r="BC39" i="3"/>
  <c r="BD39" i="3" s="1"/>
  <c r="S37" i="3"/>
  <c r="S47" i="3"/>
  <c r="R46" i="3"/>
  <c r="R47" i="3" s="1"/>
  <c r="S38" i="3"/>
  <c r="BC37" i="2"/>
  <c r="BC39" i="2"/>
  <c r="BD39" i="2" s="1"/>
  <c r="S47" i="2"/>
  <c r="S37" i="2"/>
  <c r="R46" i="2"/>
  <c r="R47" i="2" s="1"/>
  <c r="S38" i="2"/>
  <c r="BC43" i="1"/>
  <c r="BD38" i="1"/>
  <c r="BC40" i="1"/>
  <c r="BD41" i="1" s="1"/>
  <c r="BD46" i="1"/>
  <c r="BC45" i="1"/>
  <c r="BC46" i="1" s="1"/>
  <c r="BC40" i="3" l="1"/>
  <c r="BD41" i="3" s="1"/>
  <c r="BC43" i="3"/>
  <c r="BD46" i="3"/>
  <c r="BD38" i="3"/>
  <c r="BC45" i="3"/>
  <c r="BC46" i="3" s="1"/>
  <c r="BC43" i="2"/>
  <c r="BD38" i="2"/>
  <c r="BC40" i="2"/>
  <c r="BD41" i="2" s="1"/>
  <c r="BD46" i="2"/>
  <c r="BC45" i="2"/>
  <c r="BC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8DC23A0F-5017-4244-B008-7AD74BC63212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18C678E8-E7BB-7C43-A735-72C9AB2C9BEF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8BD42B48-7B7B-C54B-A278-B935276A8407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<sst xmlns="http://schemas.openxmlformats.org/spreadsheetml/2006/main" count="501" uniqueCount="105">
  <si>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</si>
  <si>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</si>
  <si>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</si>
  <si>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</si>
  <si>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</si>
  <si>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</si>
  <si>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アフターランチ・T/O（税込）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</si>
  <si>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</si>
  <si>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9/8まで　ピコレコラボ9/14~10/6まで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</si>
  <si>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</si>
  <si>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</si>
  <si>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</si>
  <si>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</si>
  <si>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</si>
  <si>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</si>
  <si>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</si>
  <si>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</si>
  <si>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</si>
  <si>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</si>
  <si>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</si>
  <si>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</si>
  <si>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</si>
  <si>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</si>
  <si>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</si>
  <si>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</si>
  <si>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</si>
  <si>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r>
      <rPr>
        <b/>
        <sz val="6"/>
        <color rgb="FF000000"/>
        <rFont val="游ゴシック"/>
        <family val="3"/>
        <charset val="128"/>
        <scheme val="minor"/>
      </rPr>
      <t>アフタヌーンティー</t>
    </r>
    <r>
      <rPr>
        <b/>
        <sz val="9"/>
        <color indexed="8"/>
        <rFont val="游ゴシック"/>
        <family val="3"/>
        <charset val="128"/>
        <scheme val="minor"/>
      </rPr>
      <t>実績</t>
    </r>
    <rPh sb="9" eb="11">
      <t>ジッセキ</t>
    </rPh>
    <phoneticPr fontId="11"/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</si>
  <si>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</si>
  <si>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</si>
  <si>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</si>
  <si>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</si>
  <si>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</si>
  <si>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</si>
  <si>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</si>
  <si>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</si>
  <si>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</si>
  <si>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</si>
  <si>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</si>
  <si>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</si>
  <si>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</si>
  <si>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</si>
  <si>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</si>
  <si>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</si>
  <si>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</si>
  <si>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</si>
  <si>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</si>
  <si>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</si>
  <si>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</si>
  <si>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</si>
  <si>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</si>
  <si>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</si>
  <si>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</si>
  <si>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</si>
  <si>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</si>
  <si>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</si>
  <si>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</si>
  <si>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</si>
  <si>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</si>
  <si>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</si>
  <si>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</si>
  <si>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</si>
  <si>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</si>
  <si>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</si>
  <si>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</si>
  <si>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</si>
  <si>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</si>
  <si>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</si>
  <si>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</si>
  <si>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</si>
  <si>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</si>
  <si>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</si>
  <si>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</si>
  <si>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</si>
  <si>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</si>
  <si>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</si>
  <si>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</si>
  <si>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</si>
  <si>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</si>
  <si>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</si>
  <si>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</si>
  <si>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</si>
  <si>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</si>
  <si>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</si>
  <si>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</si>
  <si>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</si>
  <si>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</si>
  <si>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</si>
  <si>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</si>
  <si>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</si>
  <si>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</si>
  <si>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</si>
  <si>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</si>
  <si>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</si>
  <si>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</si>
  <si>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</si>
  <si>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</si>
  <si>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</si>
  <si>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</si>
  <si>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</si>
  <si>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</si>
  <si>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</si>
  <si>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</si>
  <si>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</si>
  <si>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レストラン営業終了後トータル売上（アフターランチ除く・入力用税込）</t>
    <rPh sb="24" eb="25">
      <t>ノゾ</t>
    </rPh>
    <phoneticPr fontId="11"/>
  </si>
  <si>
    <t>TEAタイム予算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</si>
</sst>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6"/>
      <color rgb="FF000000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4"/>
      <color indexed="8"/>
      <name val="Meiryo U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22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3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4" xfId="3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38" fontId="5" fillId="0" borderId="23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2" fillId="0" borderId="24" xfId="3" applyNumberFormat="1" applyFont="1" applyBorder="1" applyAlignment="1">
      <alignment horizontal="left"/>
    </xf>
    <xf numFmtId="38" fontId="3" fillId="0" borderId="24" xfId="3" applyNumberFormat="1" applyFont="1" applyBorder="1"/>
    <xf numFmtId="179" fontId="3" fillId="0" borderId="25" xfId="3" applyNumberFormat="1" applyFont="1" applyBorder="1"/>
    <xf numFmtId="180" fontId="3" fillId="2" borderId="25" xfId="4" applyNumberFormat="1" applyFont="1" applyFill="1" applyBorder="1"/>
    <xf numFmtId="38" fontId="3" fillId="8" borderId="25" xfId="4" applyFont="1" applyFill="1" applyBorder="1"/>
    <xf numFmtId="38" fontId="5" fillId="0" borderId="26" xfId="4" applyFont="1" applyBorder="1"/>
    <xf numFmtId="38" fontId="5" fillId="0" borderId="24" xfId="4" applyFont="1" applyBorder="1"/>
    <xf numFmtId="38" fontId="9" fillId="2" borderId="25" xfId="4" applyFont="1" applyFill="1" applyBorder="1"/>
    <xf numFmtId="40" fontId="3" fillId="0" borderId="27" xfId="3" applyNumberFormat="1" applyFont="1" applyBorder="1"/>
    <xf numFmtId="181" fontId="3" fillId="0" borderId="25" xfId="3" applyNumberFormat="1" applyFont="1" applyBorder="1"/>
    <xf numFmtId="180" fontId="3" fillId="3" borderId="25" xfId="4" applyNumberFormat="1" applyFont="1" applyFill="1" applyBorder="1"/>
    <xf numFmtId="38" fontId="3" fillId="0" borderId="25" xfId="4" applyFont="1" applyBorder="1"/>
    <xf numFmtId="38" fontId="9" fillId="0" borderId="22" xfId="4" applyFont="1" applyBorder="1"/>
    <xf numFmtId="180" fontId="3" fillId="0" borderId="28" xfId="4" applyNumberFormat="1" applyFont="1" applyBorder="1"/>
    <xf numFmtId="38" fontId="3" fillId="9" borderId="24" xfId="4" applyFont="1" applyFill="1" applyBorder="1"/>
    <xf numFmtId="179" fontId="3" fillId="4" borderId="25" xfId="3" applyNumberFormat="1" applyFont="1" applyFill="1" applyBorder="1"/>
    <xf numFmtId="180" fontId="3" fillId="10" borderId="25" xfId="4" applyNumberFormat="1" applyFont="1" applyFill="1" applyBorder="1"/>
    <xf numFmtId="38" fontId="3" fillId="3" borderId="22" xfId="4" applyFont="1" applyFill="1" applyBorder="1"/>
    <xf numFmtId="40" fontId="3" fillId="11" borderId="22" xfId="3" applyNumberFormat="1" applyFont="1" applyFill="1" applyBorder="1"/>
    <xf numFmtId="40" fontId="3" fillId="0" borderId="26" xfId="3" applyNumberFormat="1" applyFont="1" applyBorder="1"/>
    <xf numFmtId="38" fontId="3" fillId="12" borderId="22" xfId="3" applyNumberFormat="1" applyFont="1" applyFill="1" applyBorder="1"/>
    <xf numFmtId="38" fontId="5" fillId="3" borderId="22" xfId="4" applyFont="1" applyFill="1" applyBorder="1"/>
    <xf numFmtId="180" fontId="3" fillId="0" borderId="26" xfId="4" applyNumberFormat="1" applyFont="1" applyBorder="1"/>
    <xf numFmtId="38" fontId="9" fillId="0" borderId="24" xfId="4" applyFont="1" applyBorder="1"/>
    <xf numFmtId="38" fontId="3" fillId="0" borderId="24" xfId="4" applyFont="1" applyBorder="1"/>
    <xf numFmtId="38" fontId="3" fillId="13" borderId="4" xfId="4" applyFont="1" applyFill="1" applyBorder="1"/>
    <xf numFmtId="38" fontId="3" fillId="13" borderId="22" xfId="4" applyFont="1" applyFill="1" applyBorder="1"/>
    <xf numFmtId="38" fontId="5" fillId="13" borderId="22" xfId="4" applyFont="1" applyFill="1" applyBorder="1"/>
    <xf numFmtId="38" fontId="9" fillId="9" borderId="23" xfId="4" applyFont="1" applyFill="1" applyBorder="1"/>
    <xf numFmtId="38" fontId="3" fillId="0" borderId="0" xfId="4" applyFont="1"/>
    <xf numFmtId="178" fontId="12" fillId="0" borderId="7" xfId="3" applyNumberFormat="1" applyFont="1" applyBorder="1" applyAlignment="1">
      <alignment horizontal="left"/>
    </xf>
    <xf numFmtId="38" fontId="3" fillId="0" borderId="7" xfId="3" applyNumberFormat="1" applyFont="1" applyBorder="1"/>
    <xf numFmtId="180" fontId="3" fillId="0" borderId="4" xfId="4" applyNumberFormat="1" applyFont="1" applyBorder="1"/>
    <xf numFmtId="38" fontId="3" fillId="0" borderId="22" xfId="4" applyFont="1" applyBorder="1"/>
    <xf numFmtId="180" fontId="3" fillId="0" borderId="9" xfId="4" applyNumberFormat="1" applyFont="1" applyBorder="1"/>
    <xf numFmtId="38" fontId="3" fillId="0" borderId="0" xfId="3" applyNumberFormat="1" applyFont="1"/>
    <xf numFmtId="38" fontId="6" fillId="0" borderId="7" xfId="3" applyNumberFormat="1" applyFont="1" applyBorder="1"/>
    <xf numFmtId="38" fontId="5" fillId="14" borderId="24" xfId="4" applyFont="1" applyFill="1" applyBorder="1"/>
    <xf numFmtId="179" fontId="3" fillId="4" borderId="22" xfId="3" applyNumberFormat="1" applyFont="1" applyFill="1" applyBorder="1"/>
    <xf numFmtId="180" fontId="3" fillId="10" borderId="22" xfId="4" applyNumberFormat="1" applyFont="1" applyFill="1" applyBorder="1"/>
    <xf numFmtId="38" fontId="3" fillId="8" borderId="22" xfId="4" applyFont="1" applyFill="1" applyBorder="1"/>
    <xf numFmtId="180" fontId="3" fillId="3" borderId="2" xfId="4" applyNumberFormat="1" applyFont="1" applyFill="1" applyBorder="1"/>
    <xf numFmtId="180" fontId="3" fillId="0" borderId="29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30" xfId="4" applyFont="1" applyBorder="1"/>
    <xf numFmtId="38" fontId="5" fillId="0" borderId="31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30" xfId="4" applyNumberFormat="1" applyFont="1" applyBorder="1"/>
    <xf numFmtId="38" fontId="3" fillId="13" borderId="32" xfId="4" applyFont="1" applyFill="1" applyBorder="1"/>
    <xf numFmtId="38" fontId="3" fillId="13" borderId="15" xfId="4" applyFont="1" applyFill="1" applyBorder="1"/>
    <xf numFmtId="38" fontId="5" fillId="13" borderId="15" xfId="4" applyFont="1" applyFill="1" applyBorder="1"/>
    <xf numFmtId="0" fontId="5" fillId="0" borderId="33" xfId="3" applyFont="1" applyBorder="1" applyAlignment="1">
      <alignment horizontal="left"/>
    </xf>
    <xf numFmtId="38" fontId="5" fillId="0" borderId="12" xfId="3" applyNumberFormat="1" applyFont="1" applyBorder="1"/>
    <xf numFmtId="179" fontId="5" fillId="0" borderId="34" xfId="3" applyNumberFormat="1" applyFont="1" applyBorder="1"/>
    <xf numFmtId="180" fontId="5" fillId="0" borderId="12" xfId="3" applyNumberFormat="1" applyFont="1" applyBorder="1"/>
    <xf numFmtId="38" fontId="13" fillId="0" borderId="34" xfId="3" applyNumberFormat="1" applyFont="1" applyBorder="1"/>
    <xf numFmtId="38" fontId="5" fillId="0" borderId="34" xfId="3" applyNumberFormat="1" applyFont="1" applyBorder="1"/>
    <xf numFmtId="38" fontId="5" fillId="0" borderId="33" xfId="3" applyNumberFormat="1" applyFont="1" applyBorder="1"/>
    <xf numFmtId="38" fontId="5" fillId="7" borderId="12" xfId="3" applyNumberFormat="1" applyFont="1" applyFill="1" applyBorder="1"/>
    <xf numFmtId="182" fontId="5" fillId="0" borderId="12" xfId="3" applyNumberFormat="1" applyFont="1" applyBorder="1" applyAlignment="1">
      <alignment shrinkToFit="1"/>
    </xf>
    <xf numFmtId="181" fontId="5" fillId="0" borderId="34" xfId="3" applyNumberFormat="1" applyFont="1" applyBorder="1"/>
    <xf numFmtId="38" fontId="13" fillId="0" borderId="12" xfId="3" applyNumberFormat="1" applyFont="1" applyBorder="1"/>
    <xf numFmtId="38" fontId="9" fillId="7" borderId="12" xfId="3" applyNumberFormat="1" applyFont="1" applyFill="1" applyBorder="1"/>
    <xf numFmtId="182" fontId="14" fillId="0" borderId="34" xfId="3" applyNumberFormat="1" applyFont="1" applyBorder="1" applyAlignment="1">
      <alignment shrinkToFit="1"/>
    </xf>
    <xf numFmtId="0" fontId="5" fillId="0" borderId="12" xfId="3" applyFont="1" applyBorder="1"/>
    <xf numFmtId="180" fontId="5" fillId="0" borderId="34" xfId="3" applyNumberFormat="1" applyFont="1" applyBorder="1"/>
    <xf numFmtId="182" fontId="5" fillId="0" borderId="35" xfId="3" applyNumberFormat="1" applyFont="1" applyBorder="1"/>
    <xf numFmtId="179" fontId="5" fillId="11" borderId="34" xfId="3" applyNumberFormat="1" applyFont="1" applyFill="1" applyBorder="1"/>
    <xf numFmtId="182" fontId="5" fillId="0" borderId="34" xfId="3" applyNumberFormat="1" applyFont="1" applyBorder="1"/>
    <xf numFmtId="179" fontId="15" fillId="12" borderId="34" xfId="3" applyNumberFormat="1" applyFont="1" applyFill="1" applyBorder="1"/>
    <xf numFmtId="38" fontId="5" fillId="0" borderId="12" xfId="4" applyFont="1" applyBorder="1"/>
    <xf numFmtId="38" fontId="5" fillId="7" borderId="25" xfId="4" applyFont="1" applyFill="1" applyBorder="1"/>
    <xf numFmtId="38" fontId="9" fillId="7" borderId="25" xfId="4" applyFont="1" applyFill="1" applyBorder="1"/>
    <xf numFmtId="0" fontId="5" fillId="0" borderId="0" xfId="3" applyFont="1"/>
    <xf numFmtId="38" fontId="5" fillId="14" borderId="22" xfId="4" applyFont="1" applyFill="1" applyBorder="1"/>
    <xf numFmtId="0" fontId="5" fillId="0" borderId="0" xfId="3" applyFont="1" applyAlignment="1">
      <alignment horizontal="left"/>
    </xf>
    <xf numFmtId="0" fontId="5" fillId="0" borderId="7" xfId="3" applyFont="1" applyBorder="1"/>
    <xf numFmtId="38" fontId="13" fillId="0" borderId="22" xfId="4" applyFont="1" applyBorder="1"/>
    <xf numFmtId="38" fontId="9" fillId="7" borderId="22" xfId="4" applyFont="1" applyFill="1" applyBorder="1"/>
    <xf numFmtId="38" fontId="5" fillId="0" borderId="22" xfId="4" applyFont="1" applyBorder="1"/>
    <xf numFmtId="38" fontId="5" fillId="7" borderId="22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3" fillId="0" borderId="0" xfId="3" applyNumberFormat="1" applyFont="1"/>
    <xf numFmtId="0" fontId="5" fillId="0" borderId="9" xfId="3" applyFont="1" applyBorder="1"/>
    <xf numFmtId="182" fontId="5" fillId="0" borderId="0" xfId="3" applyNumberFormat="1" applyFont="1"/>
    <xf numFmtId="182" fontId="5" fillId="0" borderId="36" xfId="3" applyNumberFormat="1" applyFont="1" applyBorder="1"/>
    <xf numFmtId="0" fontId="5" fillId="0" borderId="8" xfId="3" applyFont="1" applyBorder="1"/>
    <xf numFmtId="38" fontId="5" fillId="0" borderId="9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6" xfId="3" applyFont="1" applyBorder="1"/>
    <xf numFmtId="0" fontId="3" fillId="0" borderId="31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6" xfId="3" applyFont="1" applyBorder="1"/>
    <xf numFmtId="185" fontId="3" fillId="0" borderId="0" xfId="4" applyNumberFormat="1" applyFont="1"/>
    <xf numFmtId="0" fontId="16" fillId="0" borderId="22" xfId="3" applyFont="1" applyBorder="1" applyAlignment="1">
      <alignment horizontal="left" vertical="top" wrapText="1"/>
    </xf>
    <xf numFmtId="38" fontId="17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8" fillId="0" borderId="0" xfId="3" applyFont="1" applyAlignment="1">
      <alignment vertical="center"/>
    </xf>
    <xf numFmtId="38" fontId="19" fillId="0" borderId="0" xfId="3" applyNumberFormat="1" applyFont="1"/>
    <xf numFmtId="38" fontId="19" fillId="0" borderId="0" xfId="1" applyFont="1" applyAlignment="1"/>
    <xf numFmtId="10" fontId="19" fillId="0" borderId="0" xfId="2" applyNumberFormat="1" applyFont="1" applyAlignment="1"/>
    <xf numFmtId="38" fontId="19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20" fillId="0" borderId="0" xfId="5" applyFont="1" applyAlignment="1">
      <alignment vertical="center"/>
    </xf>
    <xf numFmtId="10" fontId="20" fillId="0" borderId="0" xfId="2" applyNumberFormat="1" applyFont="1" applyAlignment="1">
      <alignment vertical="center"/>
    </xf>
    <xf numFmtId="38" fontId="18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6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1" fillId="0" borderId="0" xfId="4" applyFont="1" applyAlignment="1">
      <alignment vertical="center"/>
    </xf>
    <xf numFmtId="0" fontId="21" fillId="0" borderId="0" xfId="3" applyFont="1" applyAlignment="1">
      <alignment vertical="center"/>
    </xf>
    <xf numFmtId="38" fontId="5" fillId="15" borderId="37" xfId="4" applyFont="1" applyFill="1" applyBorder="1" applyAlignment="1">
      <alignment horizontal="center" vertical="center"/>
    </xf>
    <xf numFmtId="38" fontId="5" fillId="0" borderId="37" xfId="4" applyFont="1" applyBorder="1" applyAlignment="1">
      <alignment horizontal="center" vertical="center"/>
    </xf>
    <xf numFmtId="38" fontId="21" fillId="0" borderId="37" xfId="1" applyFont="1" applyBorder="1" applyAlignment="1">
      <alignment horizontal="right" vertical="center"/>
    </xf>
    <xf numFmtId="186" fontId="1" fillId="0" borderId="37" xfId="2" applyNumberFormat="1" applyBorder="1" applyAlignment="1">
      <alignment horizontal="right" vertical="center"/>
    </xf>
    <xf numFmtId="38" fontId="7" fillId="0" borderId="37" xfId="3" applyNumberFormat="1" applyFont="1" applyBorder="1" applyAlignment="1">
      <alignment horizontal="right" vertical="center"/>
    </xf>
    <xf numFmtId="0" fontId="7" fillId="0" borderId="37" xfId="3" applyFont="1" applyBorder="1" applyAlignment="1">
      <alignment horizontal="right" vertical="center"/>
    </xf>
    <xf numFmtId="38" fontId="5" fillId="16" borderId="37" xfId="4" applyFont="1" applyFill="1" applyBorder="1" applyAlignment="1">
      <alignment horizontal="center" vertical="center"/>
    </xf>
    <xf numFmtId="38" fontId="21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7" borderId="37" xfId="3" applyFont="1" applyFill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38" fontId="22" fillId="0" borderId="37" xfId="3" applyNumberFormat="1" applyFont="1" applyBorder="1" applyAlignment="1">
      <alignment horizontal="right" vertical="center"/>
    </xf>
    <xf numFmtId="0" fontId="22" fillId="0" borderId="37" xfId="3" applyFont="1" applyBorder="1" applyAlignment="1">
      <alignment horizontal="right" vertical="center"/>
    </xf>
    <xf numFmtId="38" fontId="9" fillId="0" borderId="0" xfId="3" applyNumberFormat="1" applyFont="1"/>
  </cellXfs>
  <cellStyles count="6">
    <cellStyle name="Excel Built-in Comma [0]" xfId="4" xr:uid="{16763EBF-6B82-B74A-B44B-406D207FE96F}"/>
    <cellStyle name="Excel Built-in Currency [0]" xfId="5" xr:uid="{CDF7C23D-3DD2-4949-9303-F2C7C2CD1B5E}"/>
    <cellStyle name="Excel Built-in Normal 1" xfId="3" xr:uid="{0FC61FC9-1748-CD4A-B2A0-D0B27A81813E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pporoshinkoukousha77/Downloads/GA&#22770;&#19978;&#26085;&#22577;.xlsx" TargetMode="External"/><Relationship Id="rId1" Type="http://schemas.openxmlformats.org/officeDocument/2006/relationships/externalLinkPath" Target="/Users/sapporoshinkoukousha77/Downloads/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>
        <row r="34">
          <cell r="AX34">
            <v>971270</v>
          </cell>
        </row>
        <row r="35">
          <cell r="AX35">
            <v>1876020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993-60E1-0243-93D2-76D4B1C31B2E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7" width="7.5703125" style="49" customWidth="1"/>
    <col min="48" max="49" width="9.140625" style="49" customWidth="1"/>
    <col min="50" max="50" width="11.28515625" style="49" customWidth="1"/>
    <col min="51" max="51" width="7.570312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/>
      <c r="AH3" s="17" t="s">
        <v>7</v>
      </c>
      <c r="AI3" s="18"/>
      <c r="AJ3" s="18"/>
      <c r="AK3" s="18"/>
      <c r="AL3" s="18"/>
      <c r="AM3" s="18"/>
      <c r="AN3" s="18"/>
      <c r="AO3" s="19"/>
      <c r="AP3" s="20" t="s">
        <v>8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9</v>
      </c>
      <c r="BA3" s="14"/>
      <c r="BB3" s="14"/>
      <c r="BC3" s="14"/>
      <c r="BD3" s="24"/>
      <c r="BE3" s="25" t="s">
        <v>10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26</v>
      </c>
      <c r="AB4" s="37" t="s">
        <v>22</v>
      </c>
      <c r="AC4" s="40" t="s">
        <v>27</v>
      </c>
      <c r="AD4" s="37" t="s">
        <v>23</v>
      </c>
      <c r="AE4" s="38" t="s">
        <v>28</v>
      </c>
      <c r="AF4" s="41" t="s">
        <v>29</v>
      </c>
      <c r="AG4" s="42" t="s">
        <v>19</v>
      </c>
      <c r="AH4" s="43" t="s">
        <v>30</v>
      </c>
      <c r="AI4" s="30" t="s">
        <v>13</v>
      </c>
      <c r="AJ4" s="30" t="s">
        <v>22</v>
      </c>
      <c r="AK4" s="32" t="s">
        <v>27</v>
      </c>
      <c r="AL4" s="30" t="s">
        <v>23</v>
      </c>
      <c r="AM4" s="33" t="s">
        <v>28</v>
      </c>
      <c r="AN4" s="34" t="s">
        <v>29</v>
      </c>
      <c r="AO4" s="40" t="s">
        <v>19</v>
      </c>
      <c r="AP4" s="44" t="s">
        <v>30</v>
      </c>
      <c r="AQ4" s="30" t="s">
        <v>13</v>
      </c>
      <c r="AR4" s="30" t="s">
        <v>22</v>
      </c>
      <c r="AS4" s="32" t="s">
        <v>27</v>
      </c>
      <c r="AT4" s="30" t="s">
        <v>23</v>
      </c>
      <c r="AU4" s="33" t="s">
        <v>28</v>
      </c>
      <c r="AV4" s="33" t="s">
        <v>31</v>
      </c>
      <c r="AW4" s="33" t="s">
        <v>32</v>
      </c>
      <c r="AX4" s="34" t="s">
        <v>29</v>
      </c>
      <c r="AY4" s="40" t="s">
        <v>19</v>
      </c>
      <c r="AZ4" s="40" t="s">
        <v>21</v>
      </c>
      <c r="BA4" s="37" t="s">
        <v>22</v>
      </c>
      <c r="BB4" s="37" t="s">
        <v>23</v>
      </c>
      <c r="BC4" s="38" t="s">
        <v>24</v>
      </c>
      <c r="BD4" s="38" t="s">
        <v>33</v>
      </c>
      <c r="BE4" s="45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6" t="s">
        <v>40</v>
      </c>
      <c r="BL4" s="47" t="s">
        <v>41</v>
      </c>
      <c r="BN4" s="48"/>
    </row>
    <row r="5" spans="1:68" ht="20" customHeight="1" thickTop="1">
      <c r="B5" s="50">
        <f>DATE($A$2,$B$2,1)</f>
        <v>45748</v>
      </c>
      <c r="C5" s="51"/>
      <c r="D5" s="52"/>
      <c r="E5" s="53">
        <v>25</v>
      </c>
      <c r="F5" s="54">
        <v>92510</v>
      </c>
      <c r="G5" s="55">
        <f t="shared" ref="G5:G35" si="0">ROUNDDOWN(F5/1.1,0)/E5</f>
        <v>3364</v>
      </c>
      <c r="H5" s="54">
        <v>20220</v>
      </c>
      <c r="I5" s="56">
        <f>ROUNDDOWN(H5/1.1,0)/E5</f>
        <v>735.24</v>
      </c>
      <c r="J5" s="57">
        <f t="shared" ref="J5:J35" si="1">F5+H5</f>
        <v>112730</v>
      </c>
      <c r="K5" s="58">
        <f t="shared" ref="K5:K35" si="2">IF(E5="","",J5/E5)</f>
        <v>4509.2</v>
      </c>
      <c r="L5" s="59"/>
      <c r="M5" s="60">
        <f t="shared" ref="M5:N35" si="3">BE5-E5</f>
        <v>10</v>
      </c>
      <c r="N5" s="61">
        <f t="shared" si="3"/>
        <v>108900</v>
      </c>
      <c r="O5" s="55">
        <f t="shared" ref="O5:O35" si="4">ROUNDDOWN(N5/1.1,0)/M5</f>
        <v>9900</v>
      </c>
      <c r="P5" s="61">
        <f t="shared" ref="P5:P35" si="5">BG5-H5</f>
        <v>13850</v>
      </c>
      <c r="Q5" s="56">
        <f t="shared" ref="Q5:Q35" si="6">ROUNDDOWN(P5/1.1,0)/M5</f>
        <v>1259</v>
      </c>
      <c r="R5" s="62">
        <f t="shared" ref="R5:R35" si="7">N5+P5</f>
        <v>122750</v>
      </c>
      <c r="S5" s="58">
        <f t="shared" ref="S5:S35" si="8">IF(M5="","",R5/M5)</f>
        <v>12275</v>
      </c>
      <c r="T5" s="63">
        <f t="shared" ref="T5:U35" si="9">E5+M5</f>
        <v>35</v>
      </c>
      <c r="U5" s="61">
        <f t="shared" si="9"/>
        <v>201410</v>
      </c>
      <c r="V5" s="61">
        <f t="shared" ref="V5:V35" si="10">H5+P5</f>
        <v>34070</v>
      </c>
      <c r="W5" s="64">
        <f t="shared" ref="W5:W35" si="11">J5+R5</f>
        <v>235480</v>
      </c>
      <c r="X5" s="61"/>
      <c r="Y5" s="65"/>
      <c r="Z5" s="66">
        <v>2</v>
      </c>
      <c r="AA5" s="66">
        <v>2</v>
      </c>
      <c r="AB5" s="54">
        <v>5000</v>
      </c>
      <c r="AC5" s="55">
        <f t="shared" ref="AC5:AC35" si="12">AB5/Z5</f>
        <v>2500</v>
      </c>
      <c r="AD5" s="54">
        <v>500</v>
      </c>
      <c r="AE5" s="56">
        <f t="shared" ref="AE5:AE35" si="13">AD5/Z5</f>
        <v>250</v>
      </c>
      <c r="AF5" s="67">
        <f t="shared" ref="AF5:AF35" si="14">AB5+AD5</f>
        <v>5500</v>
      </c>
      <c r="AG5" s="58">
        <f t="shared" ref="AG5:AG35" si="15">IF(Z5="","",AF5/Z5)</f>
        <v>2750</v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/>
      <c r="AR5" s="54"/>
      <c r="AS5" s="55" t="e">
        <f t="shared" ref="AS5:AS35" si="19">AR5/AQ5</f>
        <v>#DIV/0!</v>
      </c>
      <c r="AT5" s="54"/>
      <c r="AU5" s="56" t="e">
        <f t="shared" ref="AU5:AU35" si="20">AT5/AQ5</f>
        <v>#DIV/0!</v>
      </c>
      <c r="AV5" s="56"/>
      <c r="AW5" s="56"/>
      <c r="AX5" s="71">
        <f>AR5+AT5+AV5+AW5</f>
        <v>0</v>
      </c>
      <c r="AY5" s="69" t="str">
        <f t="shared" ref="AY5:AY35" si="21">IF(AQ5="","",AX5/AQ5)</f>
        <v/>
      </c>
      <c r="AZ5" s="72">
        <f t="shared" ref="AZ5:AZ35" si="22">SUM(E5,M5)</f>
        <v>35</v>
      </c>
      <c r="BA5" s="61">
        <f t="shared" ref="BA5:BA35" si="23">U5+AB5+AJ5+AR5</f>
        <v>206410</v>
      </c>
      <c r="BB5" s="61">
        <f t="shared" ref="BB5:BB35" si="24">V5+AD5+AL5+AT5</f>
        <v>34570</v>
      </c>
      <c r="BC5" s="73">
        <f>W5+AF5+AN5+AX5</f>
        <v>240980</v>
      </c>
      <c r="BD5" s="74">
        <f>BH5+BI5</f>
        <v>2200</v>
      </c>
      <c r="BE5" s="75">
        <v>35</v>
      </c>
      <c r="BF5" s="76">
        <v>201410</v>
      </c>
      <c r="BG5" s="76">
        <v>34070</v>
      </c>
      <c r="BH5" s="77">
        <v>2200</v>
      </c>
      <c r="BI5" s="77"/>
      <c r="BJ5" s="77"/>
      <c r="BK5" s="77"/>
      <c r="BL5" s="78">
        <f>SUM(BF5:BI5)</f>
        <v>237680</v>
      </c>
      <c r="BM5" s="49">
        <v>1</v>
      </c>
      <c r="BN5" s="79">
        <f t="shared" ref="BN5:BN35" si="25">BK5+BL5</f>
        <v>237680</v>
      </c>
    </row>
    <row r="6" spans="1:68" ht="20" customHeight="1">
      <c r="B6" s="80">
        <f t="shared" ref="B6:B35" si="26">B5+1</f>
        <v>45749</v>
      </c>
      <c r="C6" s="81"/>
      <c r="D6" s="52"/>
      <c r="E6" s="53">
        <v>22</v>
      </c>
      <c r="F6" s="54">
        <v>89870</v>
      </c>
      <c r="G6" s="55">
        <f t="shared" si="0"/>
        <v>3713.6363636363635</v>
      </c>
      <c r="H6" s="54">
        <v>14540</v>
      </c>
      <c r="I6" s="56">
        <f t="shared" ref="I6:I35" si="27">ROUNDDOWN(H6/1.1,0)/E6</f>
        <v>600.81818181818187</v>
      </c>
      <c r="J6" s="57">
        <f t="shared" si="1"/>
        <v>104410</v>
      </c>
      <c r="K6" s="58">
        <f t="shared" si="2"/>
        <v>4745.909090909091</v>
      </c>
      <c r="L6" s="59"/>
      <c r="M6" s="60">
        <f t="shared" si="3"/>
        <v>21</v>
      </c>
      <c r="N6" s="61">
        <f t="shared" si="3"/>
        <v>154110</v>
      </c>
      <c r="O6" s="55">
        <f t="shared" si="4"/>
        <v>6671.4285714285716</v>
      </c>
      <c r="P6" s="61">
        <f t="shared" si="5"/>
        <v>38380</v>
      </c>
      <c r="Q6" s="56">
        <f t="shared" si="6"/>
        <v>1661.4285714285713</v>
      </c>
      <c r="R6" s="62">
        <f t="shared" si="7"/>
        <v>192490</v>
      </c>
      <c r="S6" s="58">
        <f t="shared" si="8"/>
        <v>9166.1904761904771</v>
      </c>
      <c r="T6" s="82">
        <f t="shared" si="9"/>
        <v>43</v>
      </c>
      <c r="U6" s="61">
        <f t="shared" si="9"/>
        <v>243980</v>
      </c>
      <c r="V6" s="61">
        <f t="shared" si="10"/>
        <v>52920</v>
      </c>
      <c r="W6" s="64">
        <f t="shared" si="11"/>
        <v>296900</v>
      </c>
      <c r="X6" s="83"/>
      <c r="Y6" s="65"/>
      <c r="Z6" s="66">
        <v>10</v>
      </c>
      <c r="AA6" s="66">
        <v>6</v>
      </c>
      <c r="AB6" s="54">
        <v>16500</v>
      </c>
      <c r="AC6" s="55">
        <f t="shared" si="12"/>
        <v>1650</v>
      </c>
      <c r="AD6" s="54">
        <v>1500</v>
      </c>
      <c r="AE6" s="56">
        <f t="shared" si="13"/>
        <v>150</v>
      </c>
      <c r="AF6" s="67">
        <f>AB6+AD6</f>
        <v>18000</v>
      </c>
      <c r="AG6" s="58">
        <f t="shared" si="15"/>
        <v>1800</v>
      </c>
      <c r="AH6" s="68"/>
      <c r="AI6" s="66"/>
      <c r="AJ6" s="54"/>
      <c r="AK6" s="55" t="e">
        <f t="shared" si="16"/>
        <v>#DIV/0!</v>
      </c>
      <c r="AL6" s="54"/>
      <c r="AM6" s="56" t="e">
        <f t="shared" si="17"/>
        <v>#DIV/0!</v>
      </c>
      <c r="AN6" s="67">
        <f t="shared" ref="AN6:AN35" si="28">AJ6+AL6</f>
        <v>0</v>
      </c>
      <c r="AO6" s="69" t="str">
        <f t="shared" si="18"/>
        <v/>
      </c>
      <c r="AP6" s="70"/>
      <c r="AQ6" s="66"/>
      <c r="AR6" s="54"/>
      <c r="AS6" s="55" t="e">
        <f t="shared" si="19"/>
        <v>#DIV/0!</v>
      </c>
      <c r="AT6" s="54"/>
      <c r="AU6" s="56" t="e">
        <f t="shared" si="20"/>
        <v>#DIV/0!</v>
      </c>
      <c r="AV6" s="56"/>
      <c r="AW6" s="56"/>
      <c r="AX6" s="71">
        <f>AR6+AT6+AV6+AW6</f>
        <v>0</v>
      </c>
      <c r="AY6" s="69" t="str">
        <f t="shared" si="21"/>
        <v/>
      </c>
      <c r="AZ6" s="84">
        <f t="shared" si="22"/>
        <v>43</v>
      </c>
      <c r="BA6" s="61">
        <f t="shared" si="23"/>
        <v>260480</v>
      </c>
      <c r="BB6" s="61">
        <f t="shared" si="24"/>
        <v>54420</v>
      </c>
      <c r="BC6" s="73">
        <f>W6+AF6+AN6+AX6</f>
        <v>314900</v>
      </c>
      <c r="BD6" s="74">
        <f>BH6+BI6</f>
        <v>3300</v>
      </c>
      <c r="BE6" s="75">
        <v>43</v>
      </c>
      <c r="BF6" s="76">
        <v>243980</v>
      </c>
      <c r="BG6" s="76">
        <v>52920</v>
      </c>
      <c r="BH6" s="77">
        <v>3300</v>
      </c>
      <c r="BI6" s="77"/>
      <c r="BJ6" s="77"/>
      <c r="BK6" s="77"/>
      <c r="BL6" s="78">
        <f t="shared" ref="BL6:BL35" si="29">SUM(BF6:BI6)</f>
        <v>300200</v>
      </c>
      <c r="BM6" s="49">
        <v>2</v>
      </c>
      <c r="BN6" s="79">
        <f t="shared" si="25"/>
        <v>300200</v>
      </c>
    </row>
    <row r="7" spans="1:68" ht="20" customHeight="1">
      <c r="B7" s="80">
        <f>B6+1</f>
        <v>45750</v>
      </c>
      <c r="C7" s="81"/>
      <c r="D7" s="52"/>
      <c r="E7" s="53">
        <v>31</v>
      </c>
      <c r="F7" s="54">
        <v>122980</v>
      </c>
      <c r="G7" s="55">
        <f t="shared" si="0"/>
        <v>3606.4516129032259</v>
      </c>
      <c r="H7" s="54">
        <v>17880</v>
      </c>
      <c r="I7" s="56">
        <f t="shared" si="27"/>
        <v>524.32258064516134</v>
      </c>
      <c r="J7" s="57">
        <f t="shared" si="1"/>
        <v>140860</v>
      </c>
      <c r="K7" s="58">
        <f t="shared" si="2"/>
        <v>4543.8709677419356</v>
      </c>
      <c r="L7" s="59"/>
      <c r="M7" s="60">
        <f t="shared" si="3"/>
        <v>13</v>
      </c>
      <c r="N7" s="61">
        <f t="shared" si="3"/>
        <v>92620</v>
      </c>
      <c r="O7" s="55">
        <f t="shared" si="4"/>
        <v>6476.9230769230771</v>
      </c>
      <c r="P7" s="61">
        <f t="shared" si="5"/>
        <v>11400</v>
      </c>
      <c r="Q7" s="56">
        <f t="shared" si="6"/>
        <v>797.15384615384619</v>
      </c>
      <c r="R7" s="62">
        <f t="shared" si="7"/>
        <v>104020</v>
      </c>
      <c r="S7" s="58">
        <f t="shared" si="8"/>
        <v>8001.5384615384619</v>
      </c>
      <c r="T7" s="82">
        <f t="shared" si="9"/>
        <v>44</v>
      </c>
      <c r="U7" s="61">
        <f t="shared" si="9"/>
        <v>215600</v>
      </c>
      <c r="V7" s="61">
        <f t="shared" si="10"/>
        <v>29280</v>
      </c>
      <c r="W7" s="64">
        <f t="shared" si="11"/>
        <v>244880</v>
      </c>
      <c r="X7" s="83"/>
      <c r="Y7" s="65"/>
      <c r="Z7" s="66">
        <v>4</v>
      </c>
      <c r="AA7" s="66">
        <v>3</v>
      </c>
      <c r="AB7" s="54">
        <v>7850</v>
      </c>
      <c r="AC7" s="55">
        <f t="shared" si="12"/>
        <v>1962.5</v>
      </c>
      <c r="AD7" s="54">
        <v>750</v>
      </c>
      <c r="AE7" s="56">
        <f t="shared" si="13"/>
        <v>187.5</v>
      </c>
      <c r="AF7" s="67">
        <f t="shared" si="14"/>
        <v>8600</v>
      </c>
      <c r="AG7" s="58">
        <f t="shared" si="15"/>
        <v>2150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8"/>
        <v>0</v>
      </c>
      <c r="AO7" s="69" t="str">
        <f t="shared" si="18"/>
        <v/>
      </c>
      <c r="AP7" s="70"/>
      <c r="AQ7" s="66"/>
      <c r="AR7" s="54"/>
      <c r="AS7" s="55" t="e">
        <f t="shared" si="19"/>
        <v>#DIV/0!</v>
      </c>
      <c r="AT7" s="54"/>
      <c r="AU7" s="56" t="e">
        <f t="shared" si="20"/>
        <v>#DIV/0!</v>
      </c>
      <c r="AV7" s="56"/>
      <c r="AW7" s="56"/>
      <c r="AX7" s="71">
        <f>AR7+AT7+AV7+AW7</f>
        <v>0</v>
      </c>
      <c r="AY7" s="69" t="str">
        <f t="shared" si="21"/>
        <v/>
      </c>
      <c r="AZ7" s="84">
        <f t="shared" si="22"/>
        <v>44</v>
      </c>
      <c r="BA7" s="61">
        <f t="shared" si="23"/>
        <v>223450</v>
      </c>
      <c r="BB7" s="61">
        <f t="shared" si="24"/>
        <v>30030</v>
      </c>
      <c r="BC7" s="73">
        <f>W7+AF7+AN7+AX7-BO7</f>
        <v>253480</v>
      </c>
      <c r="BD7" s="74">
        <f t="shared" ref="BD7:BD35" si="30">BH7+BI7</f>
        <v>1100</v>
      </c>
      <c r="BE7" s="75">
        <v>44</v>
      </c>
      <c r="BF7" s="76">
        <v>215600</v>
      </c>
      <c r="BG7" s="76">
        <v>29280</v>
      </c>
      <c r="BH7" s="77">
        <v>1100</v>
      </c>
      <c r="BI7" s="77"/>
      <c r="BJ7" s="77">
        <v>6600</v>
      </c>
      <c r="BK7" s="77"/>
      <c r="BL7" s="78">
        <f t="shared" si="29"/>
        <v>245980</v>
      </c>
      <c r="BM7" s="49">
        <v>3</v>
      </c>
      <c r="BN7" s="79">
        <f t="shared" si="25"/>
        <v>245980</v>
      </c>
    </row>
    <row r="8" spans="1:68" ht="20" customHeight="1">
      <c r="B8" s="80">
        <f t="shared" si="26"/>
        <v>45751</v>
      </c>
      <c r="C8" s="81"/>
      <c r="D8" s="52"/>
      <c r="E8" s="53">
        <v>18</v>
      </c>
      <c r="F8" s="54">
        <v>55660</v>
      </c>
      <c r="G8" s="55">
        <f t="shared" si="0"/>
        <v>2811.1111111111113</v>
      </c>
      <c r="H8" s="54">
        <v>660</v>
      </c>
      <c r="I8" s="56">
        <f t="shared" si="27"/>
        <v>33.333333333333336</v>
      </c>
      <c r="J8" s="57">
        <f t="shared" si="1"/>
        <v>56320</v>
      </c>
      <c r="K8" s="58">
        <f t="shared" si="2"/>
        <v>3128.8888888888887</v>
      </c>
      <c r="L8" s="59"/>
      <c r="M8" s="60">
        <f t="shared" si="3"/>
        <v>0</v>
      </c>
      <c r="N8" s="61">
        <f t="shared" si="3"/>
        <v>0</v>
      </c>
      <c r="O8" s="55" t="e">
        <f t="shared" si="4"/>
        <v>#DIV/0!</v>
      </c>
      <c r="P8" s="61">
        <f t="shared" si="5"/>
        <v>0</v>
      </c>
      <c r="Q8" s="56" t="e">
        <f t="shared" si="6"/>
        <v>#DIV/0!</v>
      </c>
      <c r="R8" s="62">
        <f t="shared" si="7"/>
        <v>0</v>
      </c>
      <c r="S8" s="58" t="e">
        <f t="shared" si="8"/>
        <v>#DIV/0!</v>
      </c>
      <c r="T8" s="82">
        <f t="shared" si="9"/>
        <v>18</v>
      </c>
      <c r="U8" s="61">
        <f t="shared" si="9"/>
        <v>55660</v>
      </c>
      <c r="V8" s="61">
        <f t="shared" si="10"/>
        <v>660</v>
      </c>
      <c r="W8" s="64">
        <f t="shared" si="11"/>
        <v>56320</v>
      </c>
      <c r="X8" s="83"/>
      <c r="Y8" s="65"/>
      <c r="Z8" s="66">
        <v>8</v>
      </c>
      <c r="AA8" s="66">
        <v>2</v>
      </c>
      <c r="AB8" s="54">
        <v>7100</v>
      </c>
      <c r="AC8" s="55">
        <f t="shared" si="12"/>
        <v>887.5</v>
      </c>
      <c r="AD8" s="54">
        <v>500</v>
      </c>
      <c r="AE8" s="56">
        <f t="shared" si="13"/>
        <v>62.5</v>
      </c>
      <c r="AF8" s="67">
        <f t="shared" si="14"/>
        <v>7600</v>
      </c>
      <c r="AG8" s="58">
        <f t="shared" si="15"/>
        <v>950</v>
      </c>
      <c r="AH8" s="68"/>
      <c r="AI8" s="66">
        <v>35</v>
      </c>
      <c r="AJ8" s="54">
        <v>137025</v>
      </c>
      <c r="AK8" s="55">
        <f t="shared" si="16"/>
        <v>3915</v>
      </c>
      <c r="AL8" s="54">
        <v>45675</v>
      </c>
      <c r="AM8" s="56">
        <f t="shared" si="17"/>
        <v>1305</v>
      </c>
      <c r="AN8" s="67">
        <f t="shared" si="28"/>
        <v>182700</v>
      </c>
      <c r="AO8" s="69">
        <f t="shared" si="18"/>
        <v>5220</v>
      </c>
      <c r="AP8" s="70"/>
      <c r="AQ8" s="66"/>
      <c r="AR8" s="54"/>
      <c r="AS8" s="55" t="e">
        <f t="shared" si="19"/>
        <v>#DIV/0!</v>
      </c>
      <c r="AT8" s="54"/>
      <c r="AU8" s="56" t="e">
        <f t="shared" si="20"/>
        <v>#DIV/0!</v>
      </c>
      <c r="AV8" s="56"/>
      <c r="AW8" s="56"/>
      <c r="AX8" s="71">
        <f t="shared" ref="AX8:AX16" si="31">AR8+AT8+AV8+AW8</f>
        <v>0</v>
      </c>
      <c r="AY8" s="69" t="str">
        <f t="shared" si="21"/>
        <v/>
      </c>
      <c r="AZ8" s="84">
        <f t="shared" si="22"/>
        <v>18</v>
      </c>
      <c r="BA8" s="61">
        <f t="shared" si="23"/>
        <v>199785</v>
      </c>
      <c r="BB8" s="61">
        <f t="shared" si="24"/>
        <v>46835</v>
      </c>
      <c r="BC8" s="73">
        <f>W8+AF8+AN8+AX8-BO8</f>
        <v>246620</v>
      </c>
      <c r="BD8" s="74">
        <f t="shared" si="30"/>
        <v>0</v>
      </c>
      <c r="BE8" s="75">
        <v>18</v>
      </c>
      <c r="BF8" s="76">
        <v>55660</v>
      </c>
      <c r="BG8" s="76">
        <v>660</v>
      </c>
      <c r="BH8" s="77"/>
      <c r="BI8" s="77"/>
      <c r="BJ8" s="77"/>
      <c r="BK8" s="77"/>
      <c r="BL8" s="78">
        <f t="shared" si="29"/>
        <v>56320</v>
      </c>
      <c r="BM8" s="49">
        <v>4</v>
      </c>
      <c r="BN8" s="79">
        <f t="shared" si="25"/>
        <v>56320</v>
      </c>
      <c r="BO8" s="85"/>
      <c r="BP8" s="85"/>
    </row>
    <row r="9" spans="1:68" ht="20" customHeight="1">
      <c r="B9" s="80">
        <f t="shared" si="26"/>
        <v>45752</v>
      </c>
      <c r="C9" s="81"/>
      <c r="D9" s="52"/>
      <c r="E9" s="53">
        <v>27</v>
      </c>
      <c r="F9" s="54">
        <v>112310</v>
      </c>
      <c r="G9" s="55">
        <f t="shared" si="0"/>
        <v>3781.4814814814813</v>
      </c>
      <c r="H9" s="54">
        <v>20920</v>
      </c>
      <c r="I9" s="56">
        <f t="shared" si="27"/>
        <v>704.37037037037032</v>
      </c>
      <c r="J9" s="57">
        <f t="shared" si="1"/>
        <v>133230</v>
      </c>
      <c r="K9" s="58">
        <f t="shared" si="2"/>
        <v>4934.4444444444443</v>
      </c>
      <c r="L9" s="59"/>
      <c r="M9" s="60">
        <f t="shared" si="3"/>
        <v>26</v>
      </c>
      <c r="N9" s="61">
        <f t="shared" si="3"/>
        <v>208010</v>
      </c>
      <c r="O9" s="55">
        <f t="shared" si="4"/>
        <v>7273.0769230769229</v>
      </c>
      <c r="P9" s="61">
        <f t="shared" si="5"/>
        <v>51770</v>
      </c>
      <c r="Q9" s="56">
        <f>ROUNDDOWN(P9/1.1,0)/M9</f>
        <v>1810.1153846153845</v>
      </c>
      <c r="R9" s="62">
        <f t="shared" si="7"/>
        <v>259780</v>
      </c>
      <c r="S9" s="58">
        <f t="shared" si="8"/>
        <v>9991.538461538461</v>
      </c>
      <c r="T9" s="82">
        <f t="shared" si="9"/>
        <v>53</v>
      </c>
      <c r="U9" s="61">
        <f t="shared" si="9"/>
        <v>320320</v>
      </c>
      <c r="V9" s="61">
        <f t="shared" si="10"/>
        <v>72690</v>
      </c>
      <c r="W9" s="64">
        <f t="shared" si="11"/>
        <v>393010</v>
      </c>
      <c r="X9" s="83"/>
      <c r="Y9" s="65"/>
      <c r="Z9" s="66">
        <v>14</v>
      </c>
      <c r="AA9" s="66">
        <v>6</v>
      </c>
      <c r="AB9" s="54">
        <v>18300</v>
      </c>
      <c r="AC9" s="55">
        <f t="shared" si="12"/>
        <v>1307.1428571428571</v>
      </c>
      <c r="AD9" s="54">
        <v>1500</v>
      </c>
      <c r="AE9" s="56">
        <f t="shared" si="13"/>
        <v>107.14285714285714</v>
      </c>
      <c r="AF9" s="67">
        <f t="shared" si="14"/>
        <v>19800</v>
      </c>
      <c r="AG9" s="58">
        <f t="shared" si="15"/>
        <v>1414.2857142857142</v>
      </c>
      <c r="AH9" s="68"/>
      <c r="AI9" s="66"/>
      <c r="AJ9" s="54"/>
      <c r="AK9" s="55" t="e">
        <f t="shared" si="16"/>
        <v>#DIV/0!</v>
      </c>
      <c r="AL9" s="54"/>
      <c r="AM9" s="56" t="e">
        <f t="shared" si="17"/>
        <v>#DIV/0!</v>
      </c>
      <c r="AN9" s="67">
        <f t="shared" si="28"/>
        <v>0</v>
      </c>
      <c r="AO9" s="69" t="str">
        <f t="shared" si="18"/>
        <v/>
      </c>
      <c r="AP9" s="70"/>
      <c r="AQ9" s="66"/>
      <c r="AR9" s="54"/>
      <c r="AS9" s="55" t="e">
        <f t="shared" si="19"/>
        <v>#DIV/0!</v>
      </c>
      <c r="AT9" s="54"/>
      <c r="AU9" s="56" t="e">
        <f t="shared" si="20"/>
        <v>#DIV/0!</v>
      </c>
      <c r="AV9" s="56"/>
      <c r="AW9" s="56"/>
      <c r="AX9" s="71">
        <f t="shared" si="31"/>
        <v>0</v>
      </c>
      <c r="AY9" s="69" t="str">
        <f>IF(AQ9="","",AX9/AQ9)</f>
        <v/>
      </c>
      <c r="AZ9" s="84">
        <f t="shared" si="22"/>
        <v>53</v>
      </c>
      <c r="BA9" s="61">
        <f t="shared" si="23"/>
        <v>338620</v>
      </c>
      <c r="BB9" s="61">
        <f t="shared" si="24"/>
        <v>74190</v>
      </c>
      <c r="BC9" s="73">
        <f>W9+AF9+AN9+AX9-BO9</f>
        <v>412810</v>
      </c>
      <c r="BD9" s="74">
        <f t="shared" si="30"/>
        <v>3300</v>
      </c>
      <c r="BE9" s="75">
        <v>53</v>
      </c>
      <c r="BF9" s="76">
        <v>320320</v>
      </c>
      <c r="BG9" s="76">
        <v>72690</v>
      </c>
      <c r="BH9" s="77">
        <v>3300</v>
      </c>
      <c r="BI9" s="77"/>
      <c r="BJ9" s="77">
        <v>8300</v>
      </c>
      <c r="BK9" s="77"/>
      <c r="BL9" s="78">
        <f t="shared" si="29"/>
        <v>396310</v>
      </c>
      <c r="BM9" s="49">
        <v>5</v>
      </c>
      <c r="BN9" s="79">
        <f t="shared" si="25"/>
        <v>396310</v>
      </c>
    </row>
    <row r="10" spans="1:68" ht="19.5" customHeight="1">
      <c r="B10" s="80">
        <f t="shared" si="26"/>
        <v>45753</v>
      </c>
      <c r="C10" s="81"/>
      <c r="D10" s="52"/>
      <c r="E10" s="53">
        <v>11</v>
      </c>
      <c r="F10" s="54">
        <v>55902</v>
      </c>
      <c r="G10" s="55">
        <f t="shared" si="0"/>
        <v>4620</v>
      </c>
      <c r="H10" s="54">
        <v>11042</v>
      </c>
      <c r="I10" s="56">
        <f t="shared" si="27"/>
        <v>912.5454545454545</v>
      </c>
      <c r="J10" s="57">
        <f t="shared" si="1"/>
        <v>66944</v>
      </c>
      <c r="K10" s="58">
        <f t="shared" si="2"/>
        <v>6085.818181818182</v>
      </c>
      <c r="L10" s="59"/>
      <c r="M10" s="60">
        <f t="shared" si="3"/>
        <v>27</v>
      </c>
      <c r="N10" s="61">
        <f t="shared" si="3"/>
        <v>231880</v>
      </c>
      <c r="O10" s="55">
        <f t="shared" si="4"/>
        <v>7807.4074074074078</v>
      </c>
      <c r="P10" s="61">
        <f t="shared" si="5"/>
        <v>41140</v>
      </c>
      <c r="Q10" s="56">
        <f t="shared" si="6"/>
        <v>1385.1851851851852</v>
      </c>
      <c r="R10" s="62">
        <f t="shared" si="7"/>
        <v>273020</v>
      </c>
      <c r="S10" s="58">
        <f t="shared" si="8"/>
        <v>10111.851851851852</v>
      </c>
      <c r="T10" s="82">
        <f t="shared" si="9"/>
        <v>38</v>
      </c>
      <c r="U10" s="61">
        <f t="shared" si="9"/>
        <v>287782</v>
      </c>
      <c r="V10" s="61">
        <f t="shared" si="10"/>
        <v>52182</v>
      </c>
      <c r="W10" s="64">
        <f t="shared" si="11"/>
        <v>339964</v>
      </c>
      <c r="X10" s="83"/>
      <c r="Y10" s="65"/>
      <c r="Z10" s="66">
        <v>7</v>
      </c>
      <c r="AA10" s="66">
        <v>4</v>
      </c>
      <c r="AB10" s="54">
        <v>11050</v>
      </c>
      <c r="AC10" s="55">
        <f t="shared" si="12"/>
        <v>1578.5714285714287</v>
      </c>
      <c r="AD10" s="54">
        <v>1500</v>
      </c>
      <c r="AE10" s="56">
        <f t="shared" si="13"/>
        <v>214.28571428571428</v>
      </c>
      <c r="AF10" s="67">
        <f t="shared" si="14"/>
        <v>12550</v>
      </c>
      <c r="AG10" s="58">
        <f t="shared" si="15"/>
        <v>1792.8571428571429</v>
      </c>
      <c r="AH10" s="68"/>
      <c r="AI10" s="66"/>
      <c r="AJ10" s="54"/>
      <c r="AK10" s="55" t="e">
        <f t="shared" si="16"/>
        <v>#DIV/0!</v>
      </c>
      <c r="AL10" s="54"/>
      <c r="AM10" s="56" t="e">
        <f t="shared" si="17"/>
        <v>#DIV/0!</v>
      </c>
      <c r="AN10" s="67">
        <f t="shared" si="28"/>
        <v>0</v>
      </c>
      <c r="AO10" s="69" t="str">
        <f t="shared" si="18"/>
        <v/>
      </c>
      <c r="AP10" s="70"/>
      <c r="AQ10" s="66"/>
      <c r="AR10" s="54"/>
      <c r="AS10" s="55" t="e">
        <f t="shared" si="19"/>
        <v>#DIV/0!</v>
      </c>
      <c r="AT10" s="54"/>
      <c r="AU10" s="56" t="e">
        <f t="shared" si="20"/>
        <v>#DIV/0!</v>
      </c>
      <c r="AV10" s="56"/>
      <c r="AW10" s="56"/>
      <c r="AX10" s="71">
        <f t="shared" si="31"/>
        <v>0</v>
      </c>
      <c r="AY10" s="69" t="str">
        <f t="shared" si="21"/>
        <v/>
      </c>
      <c r="AZ10" s="84">
        <f t="shared" si="22"/>
        <v>38</v>
      </c>
      <c r="BA10" s="61">
        <f t="shared" si="23"/>
        <v>298832</v>
      </c>
      <c r="BB10" s="61">
        <f t="shared" si="24"/>
        <v>53682</v>
      </c>
      <c r="BC10" s="73">
        <f>W10+AF10+AN10+AX10-BO10</f>
        <v>352514</v>
      </c>
      <c r="BD10" s="74">
        <f t="shared" si="30"/>
        <v>1100</v>
      </c>
      <c r="BE10" s="75">
        <v>38</v>
      </c>
      <c r="BF10" s="76">
        <v>287782</v>
      </c>
      <c r="BG10" s="76">
        <v>52182</v>
      </c>
      <c r="BH10" s="77">
        <v>1100</v>
      </c>
      <c r="BI10" s="77"/>
      <c r="BJ10" s="77"/>
      <c r="BK10" s="77"/>
      <c r="BL10" s="78">
        <f t="shared" si="29"/>
        <v>341064</v>
      </c>
      <c r="BM10" s="49">
        <v>6</v>
      </c>
      <c r="BN10" s="79">
        <f t="shared" si="25"/>
        <v>341064</v>
      </c>
    </row>
    <row r="11" spans="1:68" ht="20" customHeight="1">
      <c r="B11" s="80">
        <f t="shared" si="26"/>
        <v>45754</v>
      </c>
      <c r="C11" s="81"/>
      <c r="D11" s="52"/>
      <c r="E11" s="53">
        <v>19</v>
      </c>
      <c r="F11" s="54">
        <v>60720</v>
      </c>
      <c r="G11" s="55">
        <f t="shared" si="0"/>
        <v>2905.2631578947367</v>
      </c>
      <c r="H11" s="54">
        <v>1660</v>
      </c>
      <c r="I11" s="56">
        <f t="shared" si="27"/>
        <v>79.421052631578945</v>
      </c>
      <c r="J11" s="57">
        <f t="shared" si="1"/>
        <v>62380</v>
      </c>
      <c r="K11" s="58">
        <f t="shared" si="2"/>
        <v>3283.1578947368421</v>
      </c>
      <c r="L11" s="59"/>
      <c r="M11" s="60">
        <f t="shared" si="3"/>
        <v>6</v>
      </c>
      <c r="N11" s="61">
        <f t="shared" si="3"/>
        <v>61930</v>
      </c>
      <c r="O11" s="55">
        <f t="shared" si="4"/>
        <v>9383.3333333333339</v>
      </c>
      <c r="P11" s="61">
        <f t="shared" si="5"/>
        <v>5790</v>
      </c>
      <c r="Q11" s="56">
        <f t="shared" si="6"/>
        <v>877.16666666666663</v>
      </c>
      <c r="R11" s="62">
        <f t="shared" si="7"/>
        <v>67720</v>
      </c>
      <c r="S11" s="58">
        <f t="shared" si="8"/>
        <v>11286.666666666666</v>
      </c>
      <c r="T11" s="82">
        <f t="shared" si="9"/>
        <v>25</v>
      </c>
      <c r="U11" s="61">
        <f t="shared" si="9"/>
        <v>122650</v>
      </c>
      <c r="V11" s="61">
        <f t="shared" si="10"/>
        <v>7450</v>
      </c>
      <c r="W11" s="64">
        <f t="shared" si="11"/>
        <v>130100</v>
      </c>
      <c r="X11" s="83"/>
      <c r="Y11" s="65"/>
      <c r="Z11" s="66">
        <v>3</v>
      </c>
      <c r="AA11" s="66">
        <v>0</v>
      </c>
      <c r="AB11" s="54">
        <v>0</v>
      </c>
      <c r="AC11" s="55">
        <f t="shared" si="12"/>
        <v>0</v>
      </c>
      <c r="AD11" s="54">
        <v>1500</v>
      </c>
      <c r="AE11" s="56">
        <f t="shared" si="13"/>
        <v>500</v>
      </c>
      <c r="AF11" s="67">
        <f t="shared" si="14"/>
        <v>1500</v>
      </c>
      <c r="AG11" s="58">
        <f t="shared" si="15"/>
        <v>500</v>
      </c>
      <c r="AH11" s="68"/>
      <c r="AI11" s="66"/>
      <c r="AJ11" s="54"/>
      <c r="AK11" s="55" t="e">
        <f t="shared" si="16"/>
        <v>#DIV/0!</v>
      </c>
      <c r="AL11" s="54"/>
      <c r="AM11" s="56" t="e">
        <f t="shared" si="17"/>
        <v>#DIV/0!</v>
      </c>
      <c r="AN11" s="67">
        <f t="shared" si="28"/>
        <v>0</v>
      </c>
      <c r="AO11" s="69" t="str">
        <f t="shared" si="18"/>
        <v/>
      </c>
      <c r="AP11" s="70"/>
      <c r="AQ11" s="66"/>
      <c r="AR11" s="54"/>
      <c r="AS11" s="55" t="e">
        <f t="shared" si="19"/>
        <v>#DIV/0!</v>
      </c>
      <c r="AT11" s="54"/>
      <c r="AU11" s="56" t="e">
        <f t="shared" si="20"/>
        <v>#DIV/0!</v>
      </c>
      <c r="AV11" s="56"/>
      <c r="AW11" s="56"/>
      <c r="AX11" s="71">
        <f t="shared" si="31"/>
        <v>0</v>
      </c>
      <c r="AY11" s="69" t="str">
        <f t="shared" si="21"/>
        <v/>
      </c>
      <c r="AZ11" s="84">
        <f t="shared" si="22"/>
        <v>25</v>
      </c>
      <c r="BA11" s="61">
        <f t="shared" si="23"/>
        <v>122650</v>
      </c>
      <c r="BB11" s="61">
        <f t="shared" si="24"/>
        <v>8950</v>
      </c>
      <c r="BC11" s="73">
        <f t="shared" ref="BC11:BC30" si="32">W11+AF11+AN11+AX11</f>
        <v>131600</v>
      </c>
      <c r="BD11" s="74">
        <f t="shared" si="30"/>
        <v>2200</v>
      </c>
      <c r="BE11" s="75">
        <v>25</v>
      </c>
      <c r="BF11" s="76">
        <v>122650</v>
      </c>
      <c r="BG11" s="76">
        <v>7450</v>
      </c>
      <c r="BH11" s="77">
        <v>2200</v>
      </c>
      <c r="BI11" s="77"/>
      <c r="BJ11" s="77"/>
      <c r="BK11" s="77"/>
      <c r="BL11" s="78">
        <f t="shared" si="29"/>
        <v>132300</v>
      </c>
      <c r="BM11" s="49">
        <v>7</v>
      </c>
      <c r="BN11" s="79">
        <f t="shared" si="25"/>
        <v>132300</v>
      </c>
    </row>
    <row r="12" spans="1:68" ht="20" customHeight="1">
      <c r="B12" s="80">
        <f t="shared" si="26"/>
        <v>45755</v>
      </c>
      <c r="C12" s="86"/>
      <c r="D12" s="52"/>
      <c r="E12" s="53">
        <v>13</v>
      </c>
      <c r="F12" s="54">
        <v>54010</v>
      </c>
      <c r="G12" s="55">
        <f t="shared" si="0"/>
        <v>3776.9230769230771</v>
      </c>
      <c r="H12" s="54">
        <v>11910</v>
      </c>
      <c r="I12" s="56">
        <f t="shared" si="27"/>
        <v>832.84615384615381</v>
      </c>
      <c r="J12" s="57">
        <f t="shared" si="1"/>
        <v>65920</v>
      </c>
      <c r="K12" s="58">
        <f t="shared" si="2"/>
        <v>5070.7692307692305</v>
      </c>
      <c r="L12" s="59"/>
      <c r="M12" s="60">
        <f t="shared" si="3"/>
        <v>16</v>
      </c>
      <c r="N12" s="61">
        <f t="shared" si="3"/>
        <v>116270</v>
      </c>
      <c r="O12" s="55">
        <f t="shared" si="4"/>
        <v>6606.25</v>
      </c>
      <c r="P12" s="61">
        <f t="shared" si="5"/>
        <v>19120</v>
      </c>
      <c r="Q12" s="87">
        <f t="shared" si="6"/>
        <v>1086.3125</v>
      </c>
      <c r="R12" s="62">
        <f t="shared" si="7"/>
        <v>135390</v>
      </c>
      <c r="S12" s="58">
        <f t="shared" si="8"/>
        <v>8461.875</v>
      </c>
      <c r="T12" s="82">
        <f t="shared" si="9"/>
        <v>29</v>
      </c>
      <c r="U12" s="61">
        <f t="shared" si="9"/>
        <v>170280</v>
      </c>
      <c r="V12" s="61">
        <f t="shared" si="10"/>
        <v>31030</v>
      </c>
      <c r="W12" s="64">
        <f t="shared" si="11"/>
        <v>201310</v>
      </c>
      <c r="X12" s="83"/>
      <c r="Y12" s="65"/>
      <c r="Z12" s="66">
        <v>3</v>
      </c>
      <c r="AA12" s="66">
        <v>3</v>
      </c>
      <c r="AB12" s="54">
        <v>7500</v>
      </c>
      <c r="AC12" s="55">
        <f t="shared" si="12"/>
        <v>2500</v>
      </c>
      <c r="AD12" s="54">
        <v>750</v>
      </c>
      <c r="AE12" s="56">
        <f t="shared" si="13"/>
        <v>250</v>
      </c>
      <c r="AF12" s="67">
        <f t="shared" si="14"/>
        <v>8250</v>
      </c>
      <c r="AG12" s="58">
        <f t="shared" si="15"/>
        <v>2750</v>
      </c>
      <c r="AH12" s="68"/>
      <c r="AI12" s="66">
        <v>12</v>
      </c>
      <c r="AJ12" s="54">
        <v>46980</v>
      </c>
      <c r="AK12" s="55">
        <f t="shared" si="16"/>
        <v>3915</v>
      </c>
      <c r="AL12" s="54">
        <v>15660</v>
      </c>
      <c r="AM12" s="56">
        <f t="shared" si="17"/>
        <v>1305</v>
      </c>
      <c r="AN12" s="67">
        <f t="shared" si="28"/>
        <v>62640</v>
      </c>
      <c r="AO12" s="69">
        <f t="shared" si="18"/>
        <v>5220</v>
      </c>
      <c r="AP12" s="70"/>
      <c r="AQ12" s="66"/>
      <c r="AR12" s="54"/>
      <c r="AS12" s="55" t="e">
        <f t="shared" si="19"/>
        <v>#DIV/0!</v>
      </c>
      <c r="AT12" s="54"/>
      <c r="AU12" s="56" t="e">
        <f t="shared" si="20"/>
        <v>#DIV/0!</v>
      </c>
      <c r="AV12" s="56"/>
      <c r="AW12" s="56"/>
      <c r="AX12" s="71">
        <f>AR12+AT12+AV12+AW12</f>
        <v>0</v>
      </c>
      <c r="AY12" s="69" t="str">
        <f t="shared" si="21"/>
        <v/>
      </c>
      <c r="AZ12" s="84">
        <f t="shared" si="22"/>
        <v>29</v>
      </c>
      <c r="BA12" s="61">
        <f t="shared" si="23"/>
        <v>224760</v>
      </c>
      <c r="BB12" s="61">
        <f t="shared" si="24"/>
        <v>47440</v>
      </c>
      <c r="BC12" s="73">
        <f>W12+AF12+AN12+AX12-BO12</f>
        <v>272200</v>
      </c>
      <c r="BD12" s="74">
        <f t="shared" si="30"/>
        <v>4400</v>
      </c>
      <c r="BE12" s="75">
        <v>29</v>
      </c>
      <c r="BF12" s="76">
        <v>170280</v>
      </c>
      <c r="BG12" s="76">
        <v>31030</v>
      </c>
      <c r="BH12" s="77">
        <v>4400</v>
      </c>
      <c r="BI12" s="77"/>
      <c r="BJ12" s="77"/>
      <c r="BK12" s="77"/>
      <c r="BL12" s="78">
        <f t="shared" si="29"/>
        <v>205710</v>
      </c>
      <c r="BM12" s="49">
        <v>8</v>
      </c>
      <c r="BN12" s="79">
        <f t="shared" si="25"/>
        <v>205710</v>
      </c>
    </row>
    <row r="13" spans="1:68" ht="20" customHeight="1">
      <c r="B13" s="80">
        <f t="shared" si="26"/>
        <v>45756</v>
      </c>
      <c r="C13" s="81"/>
      <c r="D13" s="52"/>
      <c r="E13" s="53"/>
      <c r="F13" s="54"/>
      <c r="G13" s="55" t="e">
        <f t="shared" si="0"/>
        <v>#DIV/0!</v>
      </c>
      <c r="H13" s="54"/>
      <c r="I13" s="56" t="e">
        <f t="shared" si="27"/>
        <v>#DIV/0!</v>
      </c>
      <c r="J13" s="57">
        <f t="shared" si="1"/>
        <v>0</v>
      </c>
      <c r="K13" s="58" t="str">
        <f t="shared" si="2"/>
        <v/>
      </c>
      <c r="L13" s="59"/>
      <c r="M13" s="60">
        <f t="shared" si="3"/>
        <v>0</v>
      </c>
      <c r="N13" s="61">
        <f t="shared" si="3"/>
        <v>0</v>
      </c>
      <c r="O13" s="55" t="e">
        <f t="shared" si="4"/>
        <v>#DIV/0!</v>
      </c>
      <c r="P13" s="61">
        <f t="shared" si="5"/>
        <v>0</v>
      </c>
      <c r="Q13" s="56" t="e">
        <f t="shared" si="6"/>
        <v>#DIV/0!</v>
      </c>
      <c r="R13" s="62">
        <f t="shared" si="7"/>
        <v>0</v>
      </c>
      <c r="S13" s="58" t="e">
        <f t="shared" si="8"/>
        <v>#DIV/0!</v>
      </c>
      <c r="T13" s="82">
        <f t="shared" si="9"/>
        <v>0</v>
      </c>
      <c r="U13" s="61">
        <f t="shared" si="9"/>
        <v>0</v>
      </c>
      <c r="V13" s="61">
        <f t="shared" si="10"/>
        <v>0</v>
      </c>
      <c r="W13" s="64">
        <f t="shared" si="11"/>
        <v>0</v>
      </c>
      <c r="X13" s="83"/>
      <c r="Y13" s="65"/>
      <c r="Z13" s="66"/>
      <c r="AA13" s="66"/>
      <c r="AB13" s="54"/>
      <c r="AC13" s="55" t="e">
        <f t="shared" si="12"/>
        <v>#DIV/0!</v>
      </c>
      <c r="AD13" s="54"/>
      <c r="AE13" s="56" t="e">
        <f t="shared" si="13"/>
        <v>#DIV/0!</v>
      </c>
      <c r="AF13" s="67">
        <f t="shared" si="14"/>
        <v>0</v>
      </c>
      <c r="AG13" s="58" t="str">
        <f t="shared" si="15"/>
        <v/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8"/>
        <v>0</v>
      </c>
      <c r="AO13" s="69" t="str">
        <f t="shared" si="18"/>
        <v/>
      </c>
      <c r="AP13" s="70"/>
      <c r="AQ13" s="66"/>
      <c r="AR13" s="54"/>
      <c r="AS13" s="55" t="e">
        <f t="shared" si="19"/>
        <v>#DIV/0!</v>
      </c>
      <c r="AT13" s="54"/>
      <c r="AU13" s="56" t="e">
        <f t="shared" si="20"/>
        <v>#DIV/0!</v>
      </c>
      <c r="AV13" s="56"/>
      <c r="AW13" s="56"/>
      <c r="AX13" s="71">
        <f>AR13+AT13+AV13+AW13-BO13</f>
        <v>0</v>
      </c>
      <c r="AY13" s="69" t="str">
        <f t="shared" si="21"/>
        <v/>
      </c>
      <c r="AZ13" s="84">
        <f t="shared" si="22"/>
        <v>0</v>
      </c>
      <c r="BA13" s="61">
        <f t="shared" si="23"/>
        <v>0</v>
      </c>
      <c r="BB13" s="61">
        <f t="shared" si="24"/>
        <v>0</v>
      </c>
      <c r="BC13" s="73">
        <f t="shared" si="32"/>
        <v>0</v>
      </c>
      <c r="BD13" s="74">
        <f t="shared" si="30"/>
        <v>0</v>
      </c>
      <c r="BE13" s="75"/>
      <c r="BF13" s="76"/>
      <c r="BG13" s="76"/>
      <c r="BH13" s="77"/>
      <c r="BI13" s="77"/>
      <c r="BJ13" s="77"/>
      <c r="BK13" s="77"/>
      <c r="BL13" s="78">
        <f t="shared" si="29"/>
        <v>0</v>
      </c>
      <c r="BM13" s="49">
        <v>9</v>
      </c>
      <c r="BN13" s="79">
        <f t="shared" si="25"/>
        <v>0</v>
      </c>
    </row>
    <row r="14" spans="1:68" ht="20" customHeight="1">
      <c r="B14" s="80">
        <f t="shared" si="26"/>
        <v>45757</v>
      </c>
      <c r="C14" s="81"/>
      <c r="D14" s="52"/>
      <c r="E14" s="53">
        <v>21</v>
      </c>
      <c r="F14" s="54">
        <v>76670</v>
      </c>
      <c r="G14" s="55">
        <f t="shared" si="0"/>
        <v>3319.0476190476193</v>
      </c>
      <c r="H14" s="54">
        <v>7440</v>
      </c>
      <c r="I14" s="56">
        <f>ROUNDDOWN(H14/1.1,0)/E14</f>
        <v>322.04761904761904</v>
      </c>
      <c r="J14" s="57">
        <f t="shared" si="1"/>
        <v>84110</v>
      </c>
      <c r="K14" s="58">
        <f t="shared" si="2"/>
        <v>4005.2380952380954</v>
      </c>
      <c r="L14" s="59"/>
      <c r="M14" s="60">
        <f t="shared" si="3"/>
        <v>2</v>
      </c>
      <c r="N14" s="61">
        <f t="shared" si="3"/>
        <v>28000</v>
      </c>
      <c r="O14" s="55">
        <f t="shared" si="4"/>
        <v>12727</v>
      </c>
      <c r="P14" s="61">
        <f t="shared" si="5"/>
        <v>0</v>
      </c>
      <c r="Q14" s="56">
        <f t="shared" si="6"/>
        <v>0</v>
      </c>
      <c r="R14" s="62">
        <f t="shared" si="7"/>
        <v>28000</v>
      </c>
      <c r="S14" s="58">
        <f t="shared" si="8"/>
        <v>14000</v>
      </c>
      <c r="T14" s="82">
        <f t="shared" si="9"/>
        <v>23</v>
      </c>
      <c r="U14" s="61">
        <f t="shared" si="9"/>
        <v>104670</v>
      </c>
      <c r="V14" s="61">
        <f t="shared" si="10"/>
        <v>7440</v>
      </c>
      <c r="W14" s="64">
        <f t="shared" si="11"/>
        <v>112110</v>
      </c>
      <c r="X14" s="83"/>
      <c r="Y14" s="65"/>
      <c r="Z14" s="66">
        <v>6</v>
      </c>
      <c r="AA14" s="66">
        <v>1</v>
      </c>
      <c r="AB14" s="54">
        <v>3450</v>
      </c>
      <c r="AC14" s="55">
        <f t="shared" si="12"/>
        <v>575</v>
      </c>
      <c r="AD14" s="54">
        <v>250</v>
      </c>
      <c r="AE14" s="56">
        <f t="shared" si="13"/>
        <v>41.666666666666664</v>
      </c>
      <c r="AF14" s="67">
        <f t="shared" si="14"/>
        <v>3700</v>
      </c>
      <c r="AG14" s="58">
        <f t="shared" si="15"/>
        <v>616.66666666666663</v>
      </c>
      <c r="AH14" s="68"/>
      <c r="AI14" s="66"/>
      <c r="AJ14" s="54"/>
      <c r="AK14" s="55" t="e">
        <f t="shared" si="16"/>
        <v>#DIV/0!</v>
      </c>
      <c r="AL14" s="54"/>
      <c r="AM14" s="56" t="e">
        <f t="shared" si="17"/>
        <v>#DIV/0!</v>
      </c>
      <c r="AN14" s="67">
        <f t="shared" si="28"/>
        <v>0</v>
      </c>
      <c r="AO14" s="69" t="str">
        <f t="shared" si="18"/>
        <v/>
      </c>
      <c r="AP14" s="70"/>
      <c r="AQ14" s="66"/>
      <c r="AR14" s="54"/>
      <c r="AS14" s="55" t="e">
        <f t="shared" si="19"/>
        <v>#DIV/0!</v>
      </c>
      <c r="AT14" s="54"/>
      <c r="AU14" s="56" t="e">
        <f t="shared" si="20"/>
        <v>#DIV/0!</v>
      </c>
      <c r="AV14" s="56"/>
      <c r="AW14" s="56"/>
      <c r="AX14" s="71">
        <f t="shared" si="31"/>
        <v>0</v>
      </c>
      <c r="AY14" s="69" t="str">
        <f t="shared" si="21"/>
        <v/>
      </c>
      <c r="AZ14" s="84">
        <f t="shared" si="22"/>
        <v>23</v>
      </c>
      <c r="BA14" s="61">
        <f t="shared" si="23"/>
        <v>108120</v>
      </c>
      <c r="BB14" s="61">
        <f t="shared" si="24"/>
        <v>7690</v>
      </c>
      <c r="BC14" s="73">
        <f>W14+AF14+AN14+AX14-BO14</f>
        <v>115810</v>
      </c>
      <c r="BD14" s="74">
        <f t="shared" si="30"/>
        <v>200000</v>
      </c>
      <c r="BE14" s="75">
        <v>23</v>
      </c>
      <c r="BF14" s="76">
        <v>104670</v>
      </c>
      <c r="BG14" s="76">
        <v>7440</v>
      </c>
      <c r="BH14" s="77">
        <v>200000</v>
      </c>
      <c r="BI14" s="77"/>
      <c r="BJ14" s="77"/>
      <c r="BK14" s="77"/>
      <c r="BL14" s="78">
        <f t="shared" si="29"/>
        <v>312110</v>
      </c>
      <c r="BM14" s="49">
        <v>10</v>
      </c>
      <c r="BN14" s="79">
        <f t="shared" si="25"/>
        <v>312110</v>
      </c>
    </row>
    <row r="15" spans="1:68" ht="20" customHeight="1">
      <c r="B15" s="80">
        <f t="shared" si="26"/>
        <v>45758</v>
      </c>
      <c r="C15" s="86"/>
      <c r="D15" s="52"/>
      <c r="E15" s="53">
        <v>17</v>
      </c>
      <c r="F15" s="54">
        <v>66990</v>
      </c>
      <c r="G15" s="55">
        <f t="shared" si="0"/>
        <v>3582.3529411764707</v>
      </c>
      <c r="H15" s="54">
        <v>12670</v>
      </c>
      <c r="I15" s="56">
        <f t="shared" si="27"/>
        <v>677.52941176470586</v>
      </c>
      <c r="J15" s="57">
        <f t="shared" si="1"/>
        <v>79660</v>
      </c>
      <c r="K15" s="58">
        <f t="shared" si="2"/>
        <v>4685.8823529411766</v>
      </c>
      <c r="L15" s="59"/>
      <c r="M15" s="60">
        <f t="shared" si="3"/>
        <v>12</v>
      </c>
      <c r="N15" s="61">
        <f t="shared" si="3"/>
        <v>131960</v>
      </c>
      <c r="O15" s="55">
        <f t="shared" si="4"/>
        <v>9996.9166666666661</v>
      </c>
      <c r="P15" s="61">
        <f t="shared" si="5"/>
        <v>38220</v>
      </c>
      <c r="Q15" s="56">
        <f t="shared" si="6"/>
        <v>2895.4166666666665</v>
      </c>
      <c r="R15" s="62">
        <f t="shared" si="7"/>
        <v>170180</v>
      </c>
      <c r="S15" s="58">
        <f t="shared" si="8"/>
        <v>14181.666666666666</v>
      </c>
      <c r="T15" s="82">
        <f t="shared" si="9"/>
        <v>29</v>
      </c>
      <c r="U15" s="61">
        <f t="shared" si="9"/>
        <v>198950</v>
      </c>
      <c r="V15" s="61">
        <f t="shared" si="10"/>
        <v>50890</v>
      </c>
      <c r="W15" s="64">
        <f t="shared" si="11"/>
        <v>249840</v>
      </c>
      <c r="X15" s="83"/>
      <c r="Y15" s="65"/>
      <c r="Z15" s="66">
        <v>10</v>
      </c>
      <c r="AA15" s="66">
        <v>0</v>
      </c>
      <c r="AB15" s="54">
        <v>3400</v>
      </c>
      <c r="AC15" s="55">
        <f t="shared" si="12"/>
        <v>340</v>
      </c>
      <c r="AD15" s="54">
        <v>1500</v>
      </c>
      <c r="AE15" s="56">
        <f t="shared" si="13"/>
        <v>150</v>
      </c>
      <c r="AF15" s="67">
        <f t="shared" si="14"/>
        <v>4900</v>
      </c>
      <c r="AG15" s="58">
        <f t="shared" si="15"/>
        <v>490</v>
      </c>
      <c r="AH15" s="68"/>
      <c r="AI15" s="66"/>
      <c r="AJ15" s="54"/>
      <c r="AK15" s="55" t="e">
        <f t="shared" si="16"/>
        <v>#DIV/0!</v>
      </c>
      <c r="AL15" s="54"/>
      <c r="AM15" s="56" t="e">
        <f t="shared" si="17"/>
        <v>#DIV/0!</v>
      </c>
      <c r="AN15" s="67">
        <f t="shared" si="28"/>
        <v>0</v>
      </c>
      <c r="AO15" s="69" t="str">
        <f t="shared" si="18"/>
        <v/>
      </c>
      <c r="AP15" s="70"/>
      <c r="AQ15" s="66"/>
      <c r="AR15" s="54"/>
      <c r="AS15" s="55" t="e">
        <f t="shared" si="19"/>
        <v>#DIV/0!</v>
      </c>
      <c r="AT15" s="54"/>
      <c r="AU15" s="56" t="e">
        <f t="shared" si="20"/>
        <v>#DIV/0!</v>
      </c>
      <c r="AV15" s="56"/>
      <c r="AW15" s="56"/>
      <c r="AX15" s="71">
        <f t="shared" si="31"/>
        <v>0</v>
      </c>
      <c r="AY15" s="69" t="str">
        <f t="shared" si="21"/>
        <v/>
      </c>
      <c r="AZ15" s="84">
        <f t="shared" si="22"/>
        <v>29</v>
      </c>
      <c r="BA15" s="61">
        <f t="shared" si="23"/>
        <v>202350</v>
      </c>
      <c r="BB15" s="61">
        <f t="shared" si="24"/>
        <v>52390</v>
      </c>
      <c r="BC15" s="73">
        <f>W15+AF15+AN15+AX15-BO15</f>
        <v>252760</v>
      </c>
      <c r="BD15" s="74">
        <f t="shared" si="30"/>
        <v>4400</v>
      </c>
      <c r="BE15" s="75">
        <v>29</v>
      </c>
      <c r="BF15" s="76">
        <v>198950</v>
      </c>
      <c r="BG15" s="76">
        <v>50890</v>
      </c>
      <c r="BH15" s="77">
        <v>4400</v>
      </c>
      <c r="BI15" s="77"/>
      <c r="BJ15" s="77"/>
      <c r="BK15" s="77"/>
      <c r="BL15" s="78">
        <f t="shared" si="29"/>
        <v>254240</v>
      </c>
      <c r="BM15" s="49">
        <v>11</v>
      </c>
      <c r="BN15" s="79">
        <f t="shared" si="25"/>
        <v>254240</v>
      </c>
      <c r="BO15" s="49">
        <v>1980</v>
      </c>
    </row>
    <row r="16" spans="1:68" ht="20" customHeight="1">
      <c r="B16" s="80">
        <f t="shared" si="26"/>
        <v>45759</v>
      </c>
      <c r="C16" s="81"/>
      <c r="D16" s="52"/>
      <c r="E16" s="53">
        <v>32</v>
      </c>
      <c r="F16" s="54">
        <f>132000+12760</f>
        <v>144760</v>
      </c>
      <c r="G16" s="55">
        <f t="shared" si="0"/>
        <v>4112.5</v>
      </c>
      <c r="H16" s="54">
        <v>40090</v>
      </c>
      <c r="I16" s="56">
        <f t="shared" si="27"/>
        <v>1138.90625</v>
      </c>
      <c r="J16" s="57">
        <f t="shared" si="1"/>
        <v>184850</v>
      </c>
      <c r="K16" s="58">
        <f t="shared" si="2"/>
        <v>5776.5625</v>
      </c>
      <c r="L16" s="59"/>
      <c r="M16" s="60">
        <f t="shared" si="3"/>
        <v>23</v>
      </c>
      <c r="N16" s="61">
        <f t="shared" si="3"/>
        <v>198550</v>
      </c>
      <c r="O16" s="55">
        <f t="shared" si="4"/>
        <v>7847.826086956522</v>
      </c>
      <c r="P16" s="61">
        <f t="shared" si="5"/>
        <v>47830</v>
      </c>
      <c r="Q16" s="56">
        <f t="shared" si="6"/>
        <v>1890.4782608695652</v>
      </c>
      <c r="R16" s="62">
        <f t="shared" si="7"/>
        <v>246380</v>
      </c>
      <c r="S16" s="58">
        <f t="shared" si="8"/>
        <v>10712.173913043478</v>
      </c>
      <c r="T16" s="82">
        <f t="shared" si="9"/>
        <v>55</v>
      </c>
      <c r="U16" s="61">
        <f t="shared" si="9"/>
        <v>343310</v>
      </c>
      <c r="V16" s="61">
        <f t="shared" si="10"/>
        <v>87920</v>
      </c>
      <c r="W16" s="64">
        <f t="shared" si="11"/>
        <v>431230</v>
      </c>
      <c r="X16" s="83"/>
      <c r="Y16" s="65"/>
      <c r="Z16" s="66">
        <v>7</v>
      </c>
      <c r="AA16" s="66">
        <v>0</v>
      </c>
      <c r="AB16" s="54">
        <v>2650</v>
      </c>
      <c r="AC16" s="55">
        <f t="shared" si="12"/>
        <v>378.57142857142856</v>
      </c>
      <c r="AD16" s="54">
        <v>3300</v>
      </c>
      <c r="AE16" s="56">
        <f t="shared" si="13"/>
        <v>471.42857142857144</v>
      </c>
      <c r="AF16" s="67">
        <f t="shared" si="14"/>
        <v>5950</v>
      </c>
      <c r="AG16" s="58">
        <f t="shared" si="15"/>
        <v>850</v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8"/>
        <v>0</v>
      </c>
      <c r="AO16" s="69" t="str">
        <f t="shared" si="18"/>
        <v/>
      </c>
      <c r="AP16" s="70"/>
      <c r="AQ16" s="66"/>
      <c r="AR16" s="54"/>
      <c r="AS16" s="55" t="e">
        <f t="shared" si="19"/>
        <v>#DIV/0!</v>
      </c>
      <c r="AT16" s="54"/>
      <c r="AU16" s="56" t="e">
        <f t="shared" si="20"/>
        <v>#DIV/0!</v>
      </c>
      <c r="AV16" s="56"/>
      <c r="AW16" s="56"/>
      <c r="AX16" s="71">
        <f t="shared" si="31"/>
        <v>0</v>
      </c>
      <c r="AY16" s="69" t="str">
        <f t="shared" si="21"/>
        <v/>
      </c>
      <c r="AZ16" s="84">
        <f t="shared" si="22"/>
        <v>55</v>
      </c>
      <c r="BA16" s="61">
        <f t="shared" si="23"/>
        <v>345960</v>
      </c>
      <c r="BB16" s="61">
        <f t="shared" si="24"/>
        <v>91220</v>
      </c>
      <c r="BC16" s="73">
        <f t="shared" si="32"/>
        <v>437180</v>
      </c>
      <c r="BD16" s="74">
        <f t="shared" si="30"/>
        <v>4950</v>
      </c>
      <c r="BE16" s="75">
        <v>55</v>
      </c>
      <c r="BF16" s="76">
        <v>343310</v>
      </c>
      <c r="BG16" s="76">
        <v>87920</v>
      </c>
      <c r="BH16" s="77">
        <v>4950</v>
      </c>
      <c r="BI16" s="77"/>
      <c r="BJ16" s="77"/>
      <c r="BK16" s="77"/>
      <c r="BL16" s="78">
        <f t="shared" si="29"/>
        <v>436180</v>
      </c>
      <c r="BM16" s="49">
        <v>12</v>
      </c>
      <c r="BN16" s="79">
        <f t="shared" si="25"/>
        <v>436180</v>
      </c>
    </row>
    <row r="17" spans="2:68" ht="20" customHeight="1">
      <c r="B17" s="80">
        <f t="shared" si="26"/>
        <v>45760</v>
      </c>
      <c r="C17" s="86"/>
      <c r="D17" s="52"/>
      <c r="E17" s="53">
        <v>38</v>
      </c>
      <c r="F17" s="54">
        <v>155430</v>
      </c>
      <c r="G17" s="55">
        <f t="shared" si="0"/>
        <v>3718.4210526315787</v>
      </c>
      <c r="H17" s="54">
        <v>35520</v>
      </c>
      <c r="I17" s="56">
        <f t="shared" si="27"/>
        <v>849.73684210526312</v>
      </c>
      <c r="J17" s="57">
        <f t="shared" si="1"/>
        <v>190950</v>
      </c>
      <c r="K17" s="58">
        <f t="shared" si="2"/>
        <v>5025</v>
      </c>
      <c r="L17" s="59"/>
      <c r="M17" s="60">
        <f t="shared" si="3"/>
        <v>20</v>
      </c>
      <c r="N17" s="61">
        <f t="shared" si="3"/>
        <v>173380</v>
      </c>
      <c r="O17" s="55">
        <f t="shared" si="4"/>
        <v>7880.9</v>
      </c>
      <c r="P17" s="61">
        <f t="shared" si="5"/>
        <v>49590</v>
      </c>
      <c r="Q17" s="56">
        <f t="shared" si="6"/>
        <v>2254.0500000000002</v>
      </c>
      <c r="R17" s="62">
        <f t="shared" si="7"/>
        <v>222970</v>
      </c>
      <c r="S17" s="58">
        <f t="shared" si="8"/>
        <v>11148.5</v>
      </c>
      <c r="T17" s="82">
        <f>E17+M17</f>
        <v>58</v>
      </c>
      <c r="U17" s="61">
        <f t="shared" si="9"/>
        <v>328810</v>
      </c>
      <c r="V17" s="61">
        <f t="shared" si="10"/>
        <v>85110</v>
      </c>
      <c r="W17" s="64">
        <f t="shared" si="11"/>
        <v>413920</v>
      </c>
      <c r="X17" s="83"/>
      <c r="Y17" s="65"/>
      <c r="Z17" s="66">
        <v>3</v>
      </c>
      <c r="AA17" s="66">
        <v>0</v>
      </c>
      <c r="AB17" s="54">
        <v>1350</v>
      </c>
      <c r="AC17" s="55">
        <f t="shared" si="12"/>
        <v>450</v>
      </c>
      <c r="AD17" s="54">
        <v>0</v>
      </c>
      <c r="AE17" s="56">
        <f t="shared" si="13"/>
        <v>0</v>
      </c>
      <c r="AF17" s="67">
        <f t="shared" si="14"/>
        <v>1350</v>
      </c>
      <c r="AG17" s="58">
        <f t="shared" si="15"/>
        <v>450</v>
      </c>
      <c r="AH17" s="68"/>
      <c r="AI17" s="66"/>
      <c r="AJ17" s="54"/>
      <c r="AK17" s="55" t="e">
        <f t="shared" si="16"/>
        <v>#DIV/0!</v>
      </c>
      <c r="AL17" s="54"/>
      <c r="AM17" s="56" t="e">
        <f t="shared" si="17"/>
        <v>#DIV/0!</v>
      </c>
      <c r="AN17" s="67">
        <f t="shared" si="28"/>
        <v>0</v>
      </c>
      <c r="AO17" s="69" t="str">
        <f t="shared" si="18"/>
        <v/>
      </c>
      <c r="AP17" s="70"/>
      <c r="AQ17" s="66"/>
      <c r="AR17" s="54"/>
      <c r="AS17" s="55" t="e">
        <f t="shared" si="19"/>
        <v>#DIV/0!</v>
      </c>
      <c r="AT17" s="54"/>
      <c r="AU17" s="56" t="e">
        <f t="shared" si="20"/>
        <v>#DIV/0!</v>
      </c>
      <c r="AV17" s="56"/>
      <c r="AW17" s="56"/>
      <c r="AX17" s="71">
        <f>AR17+AT17+AV17+AW17</f>
        <v>0</v>
      </c>
      <c r="AY17" s="69" t="str">
        <f t="shared" si="21"/>
        <v/>
      </c>
      <c r="AZ17" s="84">
        <f t="shared" si="22"/>
        <v>58</v>
      </c>
      <c r="BA17" s="61">
        <f t="shared" si="23"/>
        <v>330160</v>
      </c>
      <c r="BB17" s="61">
        <f t="shared" si="24"/>
        <v>85110</v>
      </c>
      <c r="BC17" s="73">
        <f>W17+AF17+AN17+AX17-BO17</f>
        <v>415270</v>
      </c>
      <c r="BD17" s="74">
        <f t="shared" si="30"/>
        <v>6600</v>
      </c>
      <c r="BE17" s="75">
        <v>58</v>
      </c>
      <c r="BF17" s="76">
        <v>328810</v>
      </c>
      <c r="BG17" s="76">
        <v>85110</v>
      </c>
      <c r="BH17" s="77">
        <v>6600</v>
      </c>
      <c r="BI17" s="77"/>
      <c r="BJ17" s="77"/>
      <c r="BK17" s="77"/>
      <c r="BL17" s="78">
        <f t="shared" si="29"/>
        <v>420520</v>
      </c>
      <c r="BM17" s="49">
        <v>13</v>
      </c>
      <c r="BN17" s="79">
        <f t="shared" si="25"/>
        <v>420520</v>
      </c>
    </row>
    <row r="18" spans="2:68" ht="20" customHeight="1">
      <c r="B18" s="80">
        <f t="shared" si="26"/>
        <v>45761</v>
      </c>
      <c r="C18" s="81"/>
      <c r="D18" s="52"/>
      <c r="E18" s="53">
        <v>25</v>
      </c>
      <c r="F18" s="54">
        <v>106810</v>
      </c>
      <c r="G18" s="55">
        <f t="shared" si="0"/>
        <v>3884</v>
      </c>
      <c r="H18" s="54">
        <v>28740</v>
      </c>
      <c r="I18" s="56">
        <f t="shared" si="27"/>
        <v>1045.08</v>
      </c>
      <c r="J18" s="57">
        <f t="shared" si="1"/>
        <v>135550</v>
      </c>
      <c r="K18" s="58">
        <f t="shared" si="2"/>
        <v>5422</v>
      </c>
      <c r="L18" s="59"/>
      <c r="M18" s="60">
        <f t="shared" si="3"/>
        <v>8</v>
      </c>
      <c r="N18" s="61">
        <f t="shared" si="3"/>
        <v>64570</v>
      </c>
      <c r="O18" s="55">
        <f t="shared" si="4"/>
        <v>7337.5</v>
      </c>
      <c r="P18" s="61">
        <f t="shared" si="5"/>
        <v>7770</v>
      </c>
      <c r="Q18" s="56">
        <f t="shared" si="6"/>
        <v>882.875</v>
      </c>
      <c r="R18" s="62">
        <f t="shared" si="7"/>
        <v>72340</v>
      </c>
      <c r="S18" s="58">
        <f t="shared" si="8"/>
        <v>9042.5</v>
      </c>
      <c r="T18" s="82">
        <f t="shared" si="9"/>
        <v>33</v>
      </c>
      <c r="U18" s="61">
        <f t="shared" si="9"/>
        <v>171380</v>
      </c>
      <c r="V18" s="61">
        <f t="shared" si="10"/>
        <v>36510</v>
      </c>
      <c r="W18" s="64">
        <f t="shared" si="11"/>
        <v>207890</v>
      </c>
      <c r="X18" s="83"/>
      <c r="Y18" s="65"/>
      <c r="Z18" s="66">
        <v>2</v>
      </c>
      <c r="AA18" s="66">
        <v>1</v>
      </c>
      <c r="AB18" s="54">
        <v>2950</v>
      </c>
      <c r="AC18" s="55">
        <f t="shared" si="12"/>
        <v>1475</v>
      </c>
      <c r="AD18" s="54">
        <v>1750</v>
      </c>
      <c r="AE18" s="56">
        <f t="shared" si="13"/>
        <v>875</v>
      </c>
      <c r="AF18" s="67">
        <f t="shared" si="14"/>
        <v>4700</v>
      </c>
      <c r="AG18" s="58">
        <f t="shared" si="15"/>
        <v>2350</v>
      </c>
      <c r="AH18" s="68"/>
      <c r="AI18" s="66">
        <v>10</v>
      </c>
      <c r="AJ18" s="54">
        <v>39150</v>
      </c>
      <c r="AK18" s="55">
        <f t="shared" si="16"/>
        <v>3915</v>
      </c>
      <c r="AL18" s="54">
        <v>13050</v>
      </c>
      <c r="AM18" s="56">
        <f t="shared" si="17"/>
        <v>1305</v>
      </c>
      <c r="AN18" s="67">
        <f t="shared" si="28"/>
        <v>52200</v>
      </c>
      <c r="AO18" s="69">
        <f t="shared" si="18"/>
        <v>5220</v>
      </c>
      <c r="AP18" s="70"/>
      <c r="AQ18" s="66"/>
      <c r="AR18" s="54"/>
      <c r="AS18" s="55" t="e">
        <f t="shared" si="19"/>
        <v>#DIV/0!</v>
      </c>
      <c r="AT18" s="54"/>
      <c r="AU18" s="56" t="e">
        <f t="shared" si="20"/>
        <v>#DIV/0!</v>
      </c>
      <c r="AV18" s="56"/>
      <c r="AW18" s="56"/>
      <c r="AX18" s="71">
        <f t="shared" ref="AX18:AX35" si="33">AR18+AT18+AV18+AW18</f>
        <v>0</v>
      </c>
      <c r="AY18" s="69" t="str">
        <f t="shared" si="21"/>
        <v/>
      </c>
      <c r="AZ18" s="84">
        <f t="shared" si="22"/>
        <v>33</v>
      </c>
      <c r="BA18" s="61">
        <f t="shared" si="23"/>
        <v>213480</v>
      </c>
      <c r="BB18" s="61">
        <f t="shared" si="24"/>
        <v>51310</v>
      </c>
      <c r="BC18" s="73">
        <f>W18+AF18+AN18+AX18-BO18</f>
        <v>264790</v>
      </c>
      <c r="BD18" s="74">
        <f t="shared" si="30"/>
        <v>0</v>
      </c>
      <c r="BE18" s="75">
        <v>33</v>
      </c>
      <c r="BF18" s="76">
        <v>171380</v>
      </c>
      <c r="BG18" s="76">
        <v>36510</v>
      </c>
      <c r="BH18" s="77"/>
      <c r="BI18" s="77"/>
      <c r="BJ18" s="77"/>
      <c r="BK18" s="77"/>
      <c r="BL18" s="78">
        <f t="shared" si="29"/>
        <v>207890</v>
      </c>
      <c r="BM18" s="49">
        <v>14</v>
      </c>
      <c r="BN18" s="79">
        <f t="shared" si="25"/>
        <v>207890</v>
      </c>
    </row>
    <row r="19" spans="2:68" ht="20" customHeight="1">
      <c r="B19" s="80">
        <f t="shared" si="26"/>
        <v>45762</v>
      </c>
      <c r="C19" s="81"/>
      <c r="D19" s="52"/>
      <c r="E19" s="53">
        <v>15</v>
      </c>
      <c r="F19" s="54">
        <v>57530</v>
      </c>
      <c r="G19" s="55">
        <f t="shared" si="0"/>
        <v>3486.6666666666665</v>
      </c>
      <c r="H19" s="54">
        <v>1380</v>
      </c>
      <c r="I19" s="56">
        <f t="shared" si="27"/>
        <v>83.6</v>
      </c>
      <c r="J19" s="57">
        <f t="shared" si="1"/>
        <v>58910</v>
      </c>
      <c r="K19" s="58">
        <f t="shared" si="2"/>
        <v>3927.3333333333335</v>
      </c>
      <c r="L19" s="59"/>
      <c r="M19" s="60">
        <f t="shared" si="3"/>
        <v>14</v>
      </c>
      <c r="N19" s="61">
        <f t="shared" si="3"/>
        <v>122570</v>
      </c>
      <c r="O19" s="55">
        <f t="shared" si="4"/>
        <v>7959.0714285714284</v>
      </c>
      <c r="P19" s="61">
        <f t="shared" si="5"/>
        <v>19830</v>
      </c>
      <c r="Q19" s="87">
        <f t="shared" si="6"/>
        <v>1287.6428571428571</v>
      </c>
      <c r="R19" s="62">
        <f t="shared" si="7"/>
        <v>142400</v>
      </c>
      <c r="S19" s="58">
        <f t="shared" si="8"/>
        <v>10171.428571428571</v>
      </c>
      <c r="T19" s="82">
        <f t="shared" si="9"/>
        <v>29</v>
      </c>
      <c r="U19" s="61">
        <f t="shared" si="9"/>
        <v>180100</v>
      </c>
      <c r="V19" s="61">
        <f t="shared" si="10"/>
        <v>21210</v>
      </c>
      <c r="W19" s="64">
        <f t="shared" si="11"/>
        <v>201310</v>
      </c>
      <c r="X19" s="83"/>
      <c r="Y19" s="65"/>
      <c r="Z19" s="66">
        <v>1</v>
      </c>
      <c r="AA19" s="66">
        <v>0</v>
      </c>
      <c r="AB19" s="54">
        <v>0</v>
      </c>
      <c r="AC19" s="55">
        <f t="shared" si="12"/>
        <v>0</v>
      </c>
      <c r="AD19" s="54">
        <v>550</v>
      </c>
      <c r="AE19" s="56">
        <f t="shared" si="13"/>
        <v>550</v>
      </c>
      <c r="AF19" s="67">
        <f t="shared" si="14"/>
        <v>550</v>
      </c>
      <c r="AG19" s="58">
        <f t="shared" si="15"/>
        <v>550</v>
      </c>
      <c r="AH19" s="68"/>
      <c r="AI19" s="66">
        <v>17</v>
      </c>
      <c r="AJ19" s="54">
        <f>62640+3915</f>
        <v>66555</v>
      </c>
      <c r="AK19" s="55">
        <f t="shared" si="16"/>
        <v>3915</v>
      </c>
      <c r="AL19" s="54">
        <f>20880+1305</f>
        <v>22185</v>
      </c>
      <c r="AM19" s="56">
        <f t="shared" si="17"/>
        <v>1305</v>
      </c>
      <c r="AN19" s="67">
        <f t="shared" si="28"/>
        <v>88740</v>
      </c>
      <c r="AO19" s="69">
        <f t="shared" si="18"/>
        <v>5220</v>
      </c>
      <c r="AP19" s="70"/>
      <c r="AQ19" s="66"/>
      <c r="AR19" s="54"/>
      <c r="AS19" s="55" t="e">
        <f t="shared" si="19"/>
        <v>#DIV/0!</v>
      </c>
      <c r="AT19" s="54"/>
      <c r="AU19" s="56" t="e">
        <f t="shared" si="20"/>
        <v>#DIV/0!</v>
      </c>
      <c r="AV19" s="56"/>
      <c r="AW19" s="56"/>
      <c r="AX19" s="71">
        <f>AR19+AT19+AV19+AW19-BO19</f>
        <v>0</v>
      </c>
      <c r="AY19" s="69" t="str">
        <f t="shared" si="21"/>
        <v/>
      </c>
      <c r="AZ19" s="84">
        <f t="shared" si="22"/>
        <v>29</v>
      </c>
      <c r="BA19" s="61">
        <f t="shared" si="23"/>
        <v>246655</v>
      </c>
      <c r="BB19" s="61">
        <f t="shared" si="24"/>
        <v>43945</v>
      </c>
      <c r="BC19" s="73">
        <f>W19+AF19+AN19+AX19-BO19</f>
        <v>290600</v>
      </c>
      <c r="BD19" s="74">
        <f t="shared" si="30"/>
        <v>0</v>
      </c>
      <c r="BE19" s="75">
        <v>29</v>
      </c>
      <c r="BF19" s="76">
        <v>180100</v>
      </c>
      <c r="BG19" s="76">
        <v>21210</v>
      </c>
      <c r="BH19" s="77"/>
      <c r="BI19" s="77"/>
      <c r="BJ19" s="77"/>
      <c r="BK19" s="77"/>
      <c r="BL19" s="78">
        <f t="shared" si="29"/>
        <v>201310</v>
      </c>
      <c r="BM19" s="49">
        <v>15</v>
      </c>
      <c r="BN19" s="79">
        <f t="shared" si="25"/>
        <v>201310</v>
      </c>
    </row>
    <row r="20" spans="2:68" ht="20" customHeight="1">
      <c r="B20" s="80">
        <f t="shared" si="26"/>
        <v>45763</v>
      </c>
      <c r="C20" s="81"/>
      <c r="D20" s="52"/>
      <c r="E20" s="53">
        <v>21</v>
      </c>
      <c r="F20" s="54">
        <v>69850</v>
      </c>
      <c r="G20" s="55">
        <f t="shared" si="0"/>
        <v>3023.8095238095239</v>
      </c>
      <c r="H20" s="54">
        <v>2310</v>
      </c>
      <c r="I20" s="56">
        <f t="shared" si="27"/>
        <v>100</v>
      </c>
      <c r="J20" s="57">
        <f t="shared" si="1"/>
        <v>72160</v>
      </c>
      <c r="K20" s="58">
        <f t="shared" si="2"/>
        <v>3436.1904761904761</v>
      </c>
      <c r="L20" s="59"/>
      <c r="M20" s="60">
        <f t="shared" si="3"/>
        <v>4</v>
      </c>
      <c r="N20" s="61">
        <f t="shared" si="3"/>
        <v>35200</v>
      </c>
      <c r="O20" s="55">
        <f t="shared" si="4"/>
        <v>8000</v>
      </c>
      <c r="P20" s="61">
        <f t="shared" si="5"/>
        <v>4430</v>
      </c>
      <c r="Q20" s="87">
        <f t="shared" si="6"/>
        <v>1006.75</v>
      </c>
      <c r="R20" s="62">
        <f t="shared" si="7"/>
        <v>39630</v>
      </c>
      <c r="S20" s="58">
        <f t="shared" si="8"/>
        <v>9907.5</v>
      </c>
      <c r="T20" s="82">
        <f t="shared" si="9"/>
        <v>25</v>
      </c>
      <c r="U20" s="61">
        <f t="shared" si="9"/>
        <v>105050</v>
      </c>
      <c r="V20" s="61">
        <f t="shared" si="10"/>
        <v>6740</v>
      </c>
      <c r="W20" s="64">
        <f t="shared" si="11"/>
        <v>111790</v>
      </c>
      <c r="X20" s="83"/>
      <c r="Y20" s="65"/>
      <c r="Z20" s="66">
        <v>1</v>
      </c>
      <c r="AA20" s="66">
        <v>0</v>
      </c>
      <c r="AB20" s="54">
        <v>350</v>
      </c>
      <c r="AC20" s="55">
        <f t="shared" si="12"/>
        <v>350</v>
      </c>
      <c r="AD20" s="54"/>
      <c r="AE20" s="56">
        <f t="shared" si="13"/>
        <v>0</v>
      </c>
      <c r="AF20" s="67">
        <f t="shared" si="14"/>
        <v>350</v>
      </c>
      <c r="AG20" s="58">
        <f t="shared" si="15"/>
        <v>350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/>
      <c r="AR20" s="54"/>
      <c r="AS20" s="55" t="e">
        <f t="shared" si="19"/>
        <v>#DIV/0!</v>
      </c>
      <c r="AT20" s="54"/>
      <c r="AU20" s="56" t="e">
        <f t="shared" si="20"/>
        <v>#DIV/0!</v>
      </c>
      <c r="AV20" s="56"/>
      <c r="AW20" s="56"/>
      <c r="AX20" s="71">
        <f t="shared" si="33"/>
        <v>0</v>
      </c>
      <c r="AY20" s="69" t="str">
        <f t="shared" si="21"/>
        <v/>
      </c>
      <c r="AZ20" s="84">
        <f t="shared" si="22"/>
        <v>25</v>
      </c>
      <c r="BA20" s="61">
        <f t="shared" si="23"/>
        <v>105400</v>
      </c>
      <c r="BB20" s="61">
        <f t="shared" si="24"/>
        <v>6740</v>
      </c>
      <c r="BC20" s="73">
        <f>W20+AF20+AN20+AX20</f>
        <v>112140</v>
      </c>
      <c r="BD20" s="74">
        <f t="shared" si="30"/>
        <v>1100</v>
      </c>
      <c r="BE20" s="75">
        <v>25</v>
      </c>
      <c r="BF20" s="76">
        <v>105050</v>
      </c>
      <c r="BG20" s="76">
        <v>6740</v>
      </c>
      <c r="BH20" s="77">
        <v>1100</v>
      </c>
      <c r="BI20" s="77"/>
      <c r="BJ20" s="77">
        <v>3300</v>
      </c>
      <c r="BK20" s="77"/>
      <c r="BL20" s="78">
        <f t="shared" si="29"/>
        <v>112890</v>
      </c>
      <c r="BM20" s="49">
        <v>16</v>
      </c>
      <c r="BN20" s="79">
        <f t="shared" si="25"/>
        <v>112890</v>
      </c>
    </row>
    <row r="21" spans="2:68" ht="20" customHeight="1">
      <c r="B21" s="80">
        <f t="shared" si="26"/>
        <v>45764</v>
      </c>
      <c r="C21" s="81"/>
      <c r="D21" s="52"/>
      <c r="E21" s="53">
        <v>24</v>
      </c>
      <c r="F21" s="54">
        <v>87670</v>
      </c>
      <c r="G21" s="55">
        <f>ROUNDDOWN(F21/1.1,0)/E21</f>
        <v>3320.8333333333335</v>
      </c>
      <c r="H21" s="54">
        <v>1660</v>
      </c>
      <c r="I21" s="56">
        <f t="shared" si="27"/>
        <v>62.875</v>
      </c>
      <c r="J21" s="57">
        <f t="shared" si="1"/>
        <v>89330</v>
      </c>
      <c r="K21" s="58">
        <f t="shared" si="2"/>
        <v>3722.0833333333335</v>
      </c>
      <c r="L21" s="59"/>
      <c r="M21" s="60">
        <f t="shared" si="3"/>
        <v>17</v>
      </c>
      <c r="N21" s="61">
        <f t="shared" si="3"/>
        <v>158400</v>
      </c>
      <c r="O21" s="55">
        <f t="shared" si="4"/>
        <v>8470.5882352941171</v>
      </c>
      <c r="P21" s="61">
        <f t="shared" si="5"/>
        <v>62210</v>
      </c>
      <c r="Q21" s="87">
        <f t="shared" si="6"/>
        <v>3326.705882352941</v>
      </c>
      <c r="R21" s="62">
        <f>N21+P21</f>
        <v>220610</v>
      </c>
      <c r="S21" s="58">
        <f t="shared" si="8"/>
        <v>12977.058823529413</v>
      </c>
      <c r="T21" s="82">
        <f t="shared" si="9"/>
        <v>41</v>
      </c>
      <c r="U21" s="61">
        <f t="shared" si="9"/>
        <v>246070</v>
      </c>
      <c r="V21" s="61">
        <f t="shared" si="10"/>
        <v>63870</v>
      </c>
      <c r="W21" s="64">
        <f t="shared" si="11"/>
        <v>309940</v>
      </c>
      <c r="X21" s="83"/>
      <c r="Y21" s="65"/>
      <c r="Z21" s="66">
        <v>12</v>
      </c>
      <c r="AA21" s="66">
        <v>6</v>
      </c>
      <c r="AB21" s="54">
        <v>17700</v>
      </c>
      <c r="AC21" s="55">
        <f t="shared" si="12"/>
        <v>1475</v>
      </c>
      <c r="AD21" s="54">
        <v>3000</v>
      </c>
      <c r="AE21" s="56">
        <f t="shared" si="13"/>
        <v>250</v>
      </c>
      <c r="AF21" s="67">
        <f t="shared" si="14"/>
        <v>20700</v>
      </c>
      <c r="AG21" s="58">
        <f t="shared" si="15"/>
        <v>1725</v>
      </c>
      <c r="AH21" s="68"/>
      <c r="AI21" s="66">
        <v>37</v>
      </c>
      <c r="AJ21" s="54">
        <v>209235</v>
      </c>
      <c r="AK21" s="55">
        <f t="shared" si="16"/>
        <v>5655</v>
      </c>
      <c r="AL21" s="54">
        <v>48285</v>
      </c>
      <c r="AM21" s="56">
        <f t="shared" si="17"/>
        <v>1305</v>
      </c>
      <c r="AN21" s="67">
        <f t="shared" si="28"/>
        <v>257520</v>
      </c>
      <c r="AO21" s="69">
        <f t="shared" si="18"/>
        <v>6960</v>
      </c>
      <c r="AP21" s="70"/>
      <c r="AQ21" s="66"/>
      <c r="AR21" s="54"/>
      <c r="AS21" s="55" t="e">
        <f t="shared" si="19"/>
        <v>#DIV/0!</v>
      </c>
      <c r="AT21" s="54"/>
      <c r="AU21" s="56" t="e">
        <f t="shared" si="20"/>
        <v>#DIV/0!</v>
      </c>
      <c r="AV21" s="56"/>
      <c r="AW21" s="56"/>
      <c r="AX21" s="71">
        <f t="shared" si="33"/>
        <v>0</v>
      </c>
      <c r="AY21" s="69" t="str">
        <f t="shared" si="21"/>
        <v/>
      </c>
      <c r="AZ21" s="84">
        <f t="shared" si="22"/>
        <v>41</v>
      </c>
      <c r="BA21" s="61">
        <f t="shared" si="23"/>
        <v>473005</v>
      </c>
      <c r="BB21" s="61">
        <f t="shared" si="24"/>
        <v>115155</v>
      </c>
      <c r="BC21" s="73">
        <f>W21+AF21+AN21+AX21-BO21</f>
        <v>585190</v>
      </c>
      <c r="BD21" s="74">
        <f t="shared" si="30"/>
        <v>0</v>
      </c>
      <c r="BE21" s="75">
        <v>41</v>
      </c>
      <c r="BF21" s="76">
        <v>246070</v>
      </c>
      <c r="BG21" s="76">
        <v>63870</v>
      </c>
      <c r="BH21" s="77"/>
      <c r="BI21" s="77"/>
      <c r="BJ21" s="77"/>
      <c r="BK21" s="77"/>
      <c r="BL21" s="78">
        <f t="shared" si="29"/>
        <v>309940</v>
      </c>
      <c r="BM21" s="49">
        <v>17</v>
      </c>
      <c r="BN21" s="79">
        <f t="shared" si="25"/>
        <v>309940</v>
      </c>
      <c r="BO21" s="49">
        <v>2970</v>
      </c>
    </row>
    <row r="22" spans="2:68" ht="20" customHeight="1">
      <c r="B22" s="80">
        <f t="shared" si="26"/>
        <v>45765</v>
      </c>
      <c r="C22" s="81"/>
      <c r="D22" s="52"/>
      <c r="E22" s="53">
        <v>15</v>
      </c>
      <c r="F22" s="54">
        <v>59620</v>
      </c>
      <c r="G22" s="55">
        <f t="shared" si="0"/>
        <v>3613.3333333333335</v>
      </c>
      <c r="H22" s="54">
        <v>9040</v>
      </c>
      <c r="I22" s="56">
        <f t="shared" si="27"/>
        <v>547.86666666666667</v>
      </c>
      <c r="J22" s="57">
        <f t="shared" si="1"/>
        <v>68660</v>
      </c>
      <c r="K22" s="58">
        <f t="shared" si="2"/>
        <v>4577.333333333333</v>
      </c>
      <c r="L22" s="59"/>
      <c r="M22" s="60">
        <f t="shared" si="3"/>
        <v>19</v>
      </c>
      <c r="N22" s="61">
        <f t="shared" si="3"/>
        <v>157520</v>
      </c>
      <c r="O22" s="55">
        <f t="shared" si="4"/>
        <v>7536.8421052631575</v>
      </c>
      <c r="P22" s="61">
        <f t="shared" si="5"/>
        <v>37880</v>
      </c>
      <c r="Q22" s="87">
        <f t="shared" si="6"/>
        <v>1812.421052631579</v>
      </c>
      <c r="R22" s="62">
        <f t="shared" si="7"/>
        <v>195400</v>
      </c>
      <c r="S22" s="58">
        <f t="shared" si="8"/>
        <v>10284.21052631579</v>
      </c>
      <c r="T22" s="82">
        <f t="shared" si="9"/>
        <v>34</v>
      </c>
      <c r="U22" s="61">
        <f t="shared" si="9"/>
        <v>217140</v>
      </c>
      <c r="V22" s="61">
        <f t="shared" si="10"/>
        <v>46920</v>
      </c>
      <c r="W22" s="64">
        <f t="shared" si="11"/>
        <v>264060</v>
      </c>
      <c r="X22" s="83"/>
      <c r="Y22" s="65"/>
      <c r="Z22" s="66">
        <v>4</v>
      </c>
      <c r="AA22" s="66">
        <v>0</v>
      </c>
      <c r="AB22" s="54">
        <v>1600</v>
      </c>
      <c r="AC22" s="55">
        <f t="shared" si="12"/>
        <v>400</v>
      </c>
      <c r="AD22" s="54">
        <v>2000</v>
      </c>
      <c r="AE22" s="56">
        <f t="shared" si="13"/>
        <v>500</v>
      </c>
      <c r="AF22" s="67">
        <f t="shared" si="14"/>
        <v>3600</v>
      </c>
      <c r="AG22" s="58">
        <f t="shared" si="15"/>
        <v>900</v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8"/>
        <v>0</v>
      </c>
      <c r="AO22" s="69" t="str">
        <f t="shared" si="18"/>
        <v/>
      </c>
      <c r="AP22" s="70"/>
      <c r="AQ22" s="66"/>
      <c r="AR22" s="54"/>
      <c r="AS22" s="55" t="e">
        <f t="shared" si="19"/>
        <v>#DIV/0!</v>
      </c>
      <c r="AT22" s="54"/>
      <c r="AU22" s="56" t="e">
        <f t="shared" si="20"/>
        <v>#DIV/0!</v>
      </c>
      <c r="AV22" s="56"/>
      <c r="AW22" s="56"/>
      <c r="AX22" s="71">
        <f t="shared" si="33"/>
        <v>0</v>
      </c>
      <c r="AY22" s="69" t="str">
        <f t="shared" si="21"/>
        <v/>
      </c>
      <c r="AZ22" s="84">
        <f t="shared" si="22"/>
        <v>34</v>
      </c>
      <c r="BA22" s="61">
        <f t="shared" si="23"/>
        <v>218740</v>
      </c>
      <c r="BB22" s="61">
        <f t="shared" si="24"/>
        <v>48920</v>
      </c>
      <c r="BC22" s="73">
        <f t="shared" si="32"/>
        <v>267660</v>
      </c>
      <c r="BD22" s="74">
        <f t="shared" si="30"/>
        <v>3300</v>
      </c>
      <c r="BE22" s="75">
        <v>34</v>
      </c>
      <c r="BF22" s="76">
        <v>217140</v>
      </c>
      <c r="BG22" s="76">
        <v>46920</v>
      </c>
      <c r="BH22" s="77">
        <v>3300</v>
      </c>
      <c r="BI22" s="77"/>
      <c r="BJ22" s="77"/>
      <c r="BK22" s="77"/>
      <c r="BL22" s="78">
        <f t="shared" si="29"/>
        <v>267360</v>
      </c>
      <c r="BM22" s="49">
        <v>18</v>
      </c>
      <c r="BN22" s="79">
        <f t="shared" si="25"/>
        <v>267360</v>
      </c>
      <c r="BP22" s="85"/>
    </row>
    <row r="23" spans="2:68" ht="20" customHeight="1">
      <c r="B23" s="80">
        <f t="shared" si="26"/>
        <v>45766</v>
      </c>
      <c r="C23" s="81"/>
      <c r="D23" s="52"/>
      <c r="E23" s="53">
        <v>31</v>
      </c>
      <c r="F23" s="54">
        <v>149600</v>
      </c>
      <c r="G23" s="55">
        <f t="shared" si="0"/>
        <v>4387.0967741935483</v>
      </c>
      <c r="H23" s="54">
        <v>32160</v>
      </c>
      <c r="I23" s="56">
        <f t="shared" si="27"/>
        <v>943.09677419354841</v>
      </c>
      <c r="J23" s="57">
        <f t="shared" si="1"/>
        <v>181760</v>
      </c>
      <c r="K23" s="58">
        <f t="shared" si="2"/>
        <v>5863.2258064516127</v>
      </c>
      <c r="L23" s="59"/>
      <c r="M23" s="60">
        <f t="shared" si="3"/>
        <v>31</v>
      </c>
      <c r="N23" s="61">
        <f t="shared" si="3"/>
        <v>279950</v>
      </c>
      <c r="O23" s="55">
        <f t="shared" si="4"/>
        <v>8209.677419354839</v>
      </c>
      <c r="P23" s="61">
        <f t="shared" si="5"/>
        <v>62850</v>
      </c>
      <c r="Q23" s="87">
        <f t="shared" si="6"/>
        <v>1843.0967741935483</v>
      </c>
      <c r="R23" s="62">
        <f t="shared" si="7"/>
        <v>342800</v>
      </c>
      <c r="S23" s="58">
        <f t="shared" si="8"/>
        <v>11058.064516129032</v>
      </c>
      <c r="T23" s="82">
        <f t="shared" si="9"/>
        <v>62</v>
      </c>
      <c r="U23" s="61">
        <f t="shared" si="9"/>
        <v>429550</v>
      </c>
      <c r="V23" s="61">
        <f t="shared" si="10"/>
        <v>95010</v>
      </c>
      <c r="W23" s="64">
        <f t="shared" si="11"/>
        <v>524560</v>
      </c>
      <c r="X23" s="83"/>
      <c r="Y23" s="65"/>
      <c r="Z23" s="66">
        <v>25</v>
      </c>
      <c r="AA23" s="66">
        <v>4</v>
      </c>
      <c r="AB23" s="54">
        <v>18450</v>
      </c>
      <c r="AC23" s="55">
        <f t="shared" si="12"/>
        <v>738</v>
      </c>
      <c r="AD23" s="54">
        <v>1000</v>
      </c>
      <c r="AE23" s="56">
        <f t="shared" si="13"/>
        <v>40</v>
      </c>
      <c r="AF23" s="67">
        <f t="shared" si="14"/>
        <v>19450</v>
      </c>
      <c r="AG23" s="58">
        <f t="shared" si="15"/>
        <v>778</v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8"/>
        <v>0</v>
      </c>
      <c r="AO23" s="69" t="str">
        <f t="shared" si="18"/>
        <v/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3"/>
        <v>0</v>
      </c>
      <c r="AY23" s="69" t="str">
        <f>IF(AQ23="","",AX23/AQ23)</f>
        <v/>
      </c>
      <c r="AZ23" s="84">
        <f t="shared" si="22"/>
        <v>62</v>
      </c>
      <c r="BA23" s="61">
        <f t="shared" si="23"/>
        <v>448000</v>
      </c>
      <c r="BB23" s="61">
        <f t="shared" si="24"/>
        <v>96010</v>
      </c>
      <c r="BC23" s="73">
        <f>W23+AF23+AN23+AX23-BO22</f>
        <v>544010</v>
      </c>
      <c r="BD23" s="74">
        <f t="shared" si="30"/>
        <v>6600</v>
      </c>
      <c r="BE23" s="75">
        <v>62</v>
      </c>
      <c r="BF23" s="76">
        <v>429550</v>
      </c>
      <c r="BG23" s="76">
        <v>95010</v>
      </c>
      <c r="BH23" s="77">
        <v>6600</v>
      </c>
      <c r="BI23" s="77"/>
      <c r="BJ23" s="77"/>
      <c r="BK23" s="77"/>
      <c r="BL23" s="78">
        <f>SUM(BF23:BI23)</f>
        <v>531160</v>
      </c>
      <c r="BM23" s="49">
        <v>19</v>
      </c>
      <c r="BN23" s="79">
        <f t="shared" si="25"/>
        <v>531160</v>
      </c>
    </row>
    <row r="24" spans="2:68" ht="20" customHeight="1">
      <c r="B24" s="80">
        <f t="shared" si="26"/>
        <v>45767</v>
      </c>
      <c r="C24" s="81"/>
      <c r="D24" s="52"/>
      <c r="E24" s="53">
        <v>29</v>
      </c>
      <c r="F24" s="54">
        <v>133650</v>
      </c>
      <c r="G24" s="55">
        <f t="shared" si="0"/>
        <v>4189.6551724137935</v>
      </c>
      <c r="H24" s="54">
        <v>17580</v>
      </c>
      <c r="I24" s="56">
        <f t="shared" si="27"/>
        <v>551.06896551724139</v>
      </c>
      <c r="J24" s="57">
        <f t="shared" si="1"/>
        <v>151230</v>
      </c>
      <c r="K24" s="58">
        <f t="shared" si="2"/>
        <v>5214.8275862068967</v>
      </c>
      <c r="L24" s="59"/>
      <c r="M24" s="60">
        <f t="shared" si="3"/>
        <v>15</v>
      </c>
      <c r="N24" s="61">
        <f t="shared" si="3"/>
        <v>131230</v>
      </c>
      <c r="O24" s="55">
        <f t="shared" si="4"/>
        <v>7953.333333333333</v>
      </c>
      <c r="P24" s="61">
        <f t="shared" si="5"/>
        <v>34150</v>
      </c>
      <c r="Q24" s="87">
        <f t="shared" si="6"/>
        <v>2069.6666666666665</v>
      </c>
      <c r="R24" s="62">
        <f t="shared" si="7"/>
        <v>165380</v>
      </c>
      <c r="S24" s="58">
        <f t="shared" si="8"/>
        <v>11025.333333333334</v>
      </c>
      <c r="T24" s="82">
        <f t="shared" si="9"/>
        <v>44</v>
      </c>
      <c r="U24" s="61">
        <f t="shared" si="9"/>
        <v>264880</v>
      </c>
      <c r="V24" s="61">
        <f t="shared" si="10"/>
        <v>51730</v>
      </c>
      <c r="W24" s="64">
        <f t="shared" si="11"/>
        <v>316610</v>
      </c>
      <c r="X24" s="83"/>
      <c r="Y24" s="65"/>
      <c r="Z24" s="66">
        <v>8</v>
      </c>
      <c r="AA24" s="66">
        <v>4</v>
      </c>
      <c r="AB24" s="54">
        <v>11400</v>
      </c>
      <c r="AC24" s="55">
        <f t="shared" si="12"/>
        <v>1425</v>
      </c>
      <c r="AD24" s="54">
        <v>1000</v>
      </c>
      <c r="AE24" s="56">
        <f t="shared" si="13"/>
        <v>125</v>
      </c>
      <c r="AF24" s="67">
        <f t="shared" si="14"/>
        <v>12400</v>
      </c>
      <c r="AG24" s="58">
        <f t="shared" si="15"/>
        <v>1550</v>
      </c>
      <c r="AH24" s="68"/>
      <c r="AI24" s="66"/>
      <c r="AJ24" s="54"/>
      <c r="AK24" s="55" t="e">
        <f t="shared" si="16"/>
        <v>#DIV/0!</v>
      </c>
      <c r="AL24" s="54"/>
      <c r="AM24" s="56" t="e">
        <f t="shared" si="17"/>
        <v>#DIV/0!</v>
      </c>
      <c r="AN24" s="67">
        <f t="shared" si="28"/>
        <v>0</v>
      </c>
      <c r="AO24" s="69" t="str">
        <f t="shared" si="18"/>
        <v/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3"/>
        <v>0</v>
      </c>
      <c r="AY24" s="69" t="str">
        <f t="shared" si="21"/>
        <v/>
      </c>
      <c r="AZ24" s="84">
        <f t="shared" si="22"/>
        <v>44</v>
      </c>
      <c r="BA24" s="61">
        <f t="shared" si="23"/>
        <v>276280</v>
      </c>
      <c r="BB24" s="61">
        <f t="shared" si="24"/>
        <v>52730</v>
      </c>
      <c r="BC24" s="73">
        <f>W24+AF24+AN24+AX24-BO24</f>
        <v>329010</v>
      </c>
      <c r="BD24" s="74">
        <f t="shared" si="30"/>
        <v>4950</v>
      </c>
      <c r="BE24" s="75">
        <v>44</v>
      </c>
      <c r="BF24" s="76">
        <v>264880</v>
      </c>
      <c r="BG24" s="76">
        <v>51730</v>
      </c>
      <c r="BH24" s="77">
        <v>4950</v>
      </c>
      <c r="BI24" s="77"/>
      <c r="BJ24" s="77"/>
      <c r="BK24" s="77"/>
      <c r="BL24" s="78">
        <f t="shared" si="29"/>
        <v>321560</v>
      </c>
      <c r="BM24" s="49">
        <v>20</v>
      </c>
      <c r="BN24" s="79">
        <f t="shared" si="25"/>
        <v>321560</v>
      </c>
    </row>
    <row r="25" spans="2:68" ht="20" customHeight="1">
      <c r="B25" s="80">
        <f t="shared" si="26"/>
        <v>45768</v>
      </c>
      <c r="C25" s="81"/>
      <c r="D25" s="52"/>
      <c r="E25" s="53">
        <v>21</v>
      </c>
      <c r="F25" s="54">
        <v>78430</v>
      </c>
      <c r="G25" s="55">
        <f t="shared" si="0"/>
        <v>3395.2380952380954</v>
      </c>
      <c r="H25" s="54">
        <v>8440</v>
      </c>
      <c r="I25" s="56">
        <f t="shared" si="27"/>
        <v>365.33333333333331</v>
      </c>
      <c r="J25" s="57">
        <f t="shared" si="1"/>
        <v>86870</v>
      </c>
      <c r="K25" s="58">
        <f t="shared" si="2"/>
        <v>4136.666666666667</v>
      </c>
      <c r="L25" s="59"/>
      <c r="M25" s="60">
        <f t="shared" si="3"/>
        <v>3</v>
      </c>
      <c r="N25" s="61">
        <f t="shared" si="3"/>
        <v>60500</v>
      </c>
      <c r="O25" s="55">
        <f t="shared" si="4"/>
        <v>18333.333333333332</v>
      </c>
      <c r="P25" s="61">
        <f t="shared" si="5"/>
        <v>8580</v>
      </c>
      <c r="Q25" s="87">
        <f t="shared" si="6"/>
        <v>2600</v>
      </c>
      <c r="R25" s="62">
        <f t="shared" si="7"/>
        <v>69080</v>
      </c>
      <c r="S25" s="58">
        <f t="shared" si="8"/>
        <v>23026.666666666668</v>
      </c>
      <c r="T25" s="82">
        <f t="shared" si="9"/>
        <v>24</v>
      </c>
      <c r="U25" s="61">
        <f t="shared" si="9"/>
        <v>138930</v>
      </c>
      <c r="V25" s="61">
        <f t="shared" si="10"/>
        <v>17020</v>
      </c>
      <c r="W25" s="64">
        <f t="shared" si="11"/>
        <v>155950</v>
      </c>
      <c r="X25" s="83"/>
      <c r="Y25" s="65"/>
      <c r="Z25" s="66">
        <v>6</v>
      </c>
      <c r="AA25" s="66">
        <v>2</v>
      </c>
      <c r="AB25" s="54">
        <v>6300</v>
      </c>
      <c r="AC25" s="55">
        <f t="shared" si="12"/>
        <v>1050</v>
      </c>
      <c r="AD25" s="54">
        <v>1500</v>
      </c>
      <c r="AE25" s="56">
        <f t="shared" si="13"/>
        <v>250</v>
      </c>
      <c r="AF25" s="67">
        <f t="shared" si="14"/>
        <v>7800</v>
      </c>
      <c r="AG25" s="58">
        <f t="shared" si="15"/>
        <v>1300</v>
      </c>
      <c r="AH25" s="68">
        <v>3</v>
      </c>
      <c r="AI25" s="66">
        <v>85</v>
      </c>
      <c r="AJ25" s="54">
        <v>332775</v>
      </c>
      <c r="AK25" s="55">
        <f t="shared" si="16"/>
        <v>3915</v>
      </c>
      <c r="AL25" s="54">
        <v>110925</v>
      </c>
      <c r="AM25" s="56">
        <f t="shared" si="17"/>
        <v>1305</v>
      </c>
      <c r="AN25" s="67">
        <f t="shared" si="28"/>
        <v>443700</v>
      </c>
      <c r="AO25" s="69">
        <f t="shared" si="18"/>
        <v>5220</v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3"/>
        <v>0</v>
      </c>
      <c r="AY25" s="69" t="str">
        <f t="shared" si="21"/>
        <v/>
      </c>
      <c r="AZ25" s="84">
        <f t="shared" si="22"/>
        <v>24</v>
      </c>
      <c r="BA25" s="61">
        <f t="shared" si="23"/>
        <v>478005</v>
      </c>
      <c r="BB25" s="61">
        <f t="shared" si="24"/>
        <v>129445</v>
      </c>
      <c r="BC25" s="73">
        <f>W25+AF25+AN25+AX25-BO25</f>
        <v>607450</v>
      </c>
      <c r="BD25" s="74">
        <f t="shared" si="30"/>
        <v>8250</v>
      </c>
      <c r="BE25" s="75">
        <v>24</v>
      </c>
      <c r="BF25" s="76">
        <v>138930</v>
      </c>
      <c r="BG25" s="76">
        <v>17020</v>
      </c>
      <c r="BH25" s="77">
        <v>8250</v>
      </c>
      <c r="BI25" s="77"/>
      <c r="BJ25" s="77"/>
      <c r="BK25" s="77"/>
      <c r="BL25" s="78">
        <f t="shared" si="29"/>
        <v>164200</v>
      </c>
      <c r="BM25" s="49">
        <v>21</v>
      </c>
      <c r="BN25" s="79">
        <f t="shared" si="25"/>
        <v>164200</v>
      </c>
    </row>
    <row r="26" spans="2:68" ht="20" customHeight="1">
      <c r="B26" s="80">
        <f t="shared" si="26"/>
        <v>45769</v>
      </c>
      <c r="C26" s="81"/>
      <c r="D26" s="52"/>
      <c r="E26" s="53">
        <v>23</v>
      </c>
      <c r="F26" s="54">
        <v>78430</v>
      </c>
      <c r="G26" s="55">
        <f t="shared" si="0"/>
        <v>3100</v>
      </c>
      <c r="H26" s="54">
        <v>8420</v>
      </c>
      <c r="I26" s="56">
        <f t="shared" si="27"/>
        <v>332.78260869565219</v>
      </c>
      <c r="J26" s="57">
        <f t="shared" si="1"/>
        <v>86850</v>
      </c>
      <c r="K26" s="58">
        <f t="shared" si="2"/>
        <v>3776.086956521739</v>
      </c>
      <c r="L26" s="59"/>
      <c r="M26" s="60">
        <f t="shared" si="3"/>
        <v>16</v>
      </c>
      <c r="N26" s="61">
        <f t="shared" si="3"/>
        <v>175560</v>
      </c>
      <c r="O26" s="55">
        <f t="shared" si="4"/>
        <v>9975</v>
      </c>
      <c r="P26" s="61">
        <f t="shared" si="5"/>
        <v>52360</v>
      </c>
      <c r="Q26" s="87">
        <f t="shared" si="6"/>
        <v>2975</v>
      </c>
      <c r="R26" s="62">
        <f t="shared" si="7"/>
        <v>227920</v>
      </c>
      <c r="S26" s="58">
        <f t="shared" si="8"/>
        <v>14245</v>
      </c>
      <c r="T26" s="82">
        <f t="shared" si="9"/>
        <v>39</v>
      </c>
      <c r="U26" s="61">
        <f t="shared" si="9"/>
        <v>253990</v>
      </c>
      <c r="V26" s="61">
        <f t="shared" si="10"/>
        <v>60780</v>
      </c>
      <c r="W26" s="64">
        <f t="shared" si="11"/>
        <v>314770</v>
      </c>
      <c r="X26" s="83"/>
      <c r="Y26" s="65"/>
      <c r="Z26" s="66">
        <v>2</v>
      </c>
      <c r="AA26" s="66">
        <v>1</v>
      </c>
      <c r="AB26" s="54">
        <v>2850</v>
      </c>
      <c r="AC26" s="55">
        <f t="shared" si="12"/>
        <v>1425</v>
      </c>
      <c r="AD26" s="54">
        <v>750</v>
      </c>
      <c r="AE26" s="56">
        <f t="shared" si="13"/>
        <v>375</v>
      </c>
      <c r="AF26" s="67">
        <f t="shared" si="14"/>
        <v>3600</v>
      </c>
      <c r="AG26" s="58">
        <f t="shared" si="15"/>
        <v>1800</v>
      </c>
      <c r="AH26" s="68">
        <v>2</v>
      </c>
      <c r="AI26" s="66">
        <v>31</v>
      </c>
      <c r="AJ26" s="54">
        <v>121365</v>
      </c>
      <c r="AK26" s="55">
        <f t="shared" si="16"/>
        <v>3915</v>
      </c>
      <c r="AL26" s="54">
        <v>40455</v>
      </c>
      <c r="AM26" s="56">
        <f t="shared" si="17"/>
        <v>1305</v>
      </c>
      <c r="AN26" s="67">
        <f t="shared" si="28"/>
        <v>161820</v>
      </c>
      <c r="AO26" s="69">
        <f t="shared" si="18"/>
        <v>5220</v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 t="shared" si="33"/>
        <v>0</v>
      </c>
      <c r="AY26" s="69" t="str">
        <f t="shared" si="21"/>
        <v/>
      </c>
      <c r="AZ26" s="84">
        <f t="shared" si="22"/>
        <v>39</v>
      </c>
      <c r="BA26" s="61">
        <f t="shared" si="23"/>
        <v>378205</v>
      </c>
      <c r="BB26" s="61">
        <f t="shared" si="24"/>
        <v>101985</v>
      </c>
      <c r="BC26" s="73">
        <f>W26+AF26+AN26+AX26-BO26</f>
        <v>480190</v>
      </c>
      <c r="BD26" s="74">
        <f>BH26+BI26</f>
        <v>0</v>
      </c>
      <c r="BE26" s="75">
        <v>39</v>
      </c>
      <c r="BF26" s="76">
        <v>253990</v>
      </c>
      <c r="BG26" s="76">
        <v>60780</v>
      </c>
      <c r="BH26" s="77"/>
      <c r="BI26" s="77"/>
      <c r="BJ26" s="77"/>
      <c r="BK26" s="77"/>
      <c r="BL26" s="78">
        <f t="shared" si="29"/>
        <v>314770</v>
      </c>
      <c r="BM26" s="49">
        <v>22</v>
      </c>
      <c r="BN26" s="79">
        <f t="shared" si="25"/>
        <v>314770</v>
      </c>
    </row>
    <row r="27" spans="2:68" ht="20" customHeight="1">
      <c r="B27" s="80">
        <f t="shared" si="26"/>
        <v>45770</v>
      </c>
      <c r="C27" s="81"/>
      <c r="D27" s="52"/>
      <c r="E27" s="53">
        <v>17</v>
      </c>
      <c r="F27" s="54">
        <v>61160</v>
      </c>
      <c r="G27" s="55">
        <f t="shared" si="0"/>
        <v>3270.5882352941176</v>
      </c>
      <c r="H27" s="54">
        <v>2640</v>
      </c>
      <c r="I27" s="56">
        <f t="shared" si="27"/>
        <v>141.1764705882353</v>
      </c>
      <c r="J27" s="57">
        <f t="shared" si="1"/>
        <v>63800</v>
      </c>
      <c r="K27" s="58">
        <f t="shared" si="2"/>
        <v>3752.9411764705883</v>
      </c>
      <c r="L27" s="59"/>
      <c r="M27" s="60">
        <f t="shared" si="3"/>
        <v>17</v>
      </c>
      <c r="N27" s="61">
        <f t="shared" si="3"/>
        <v>169620</v>
      </c>
      <c r="O27" s="55">
        <f t="shared" si="4"/>
        <v>9070.5882352941171</v>
      </c>
      <c r="P27" s="61">
        <f t="shared" si="5"/>
        <v>26410</v>
      </c>
      <c r="Q27" s="56">
        <f t="shared" si="6"/>
        <v>1412.2941176470588</v>
      </c>
      <c r="R27" s="62">
        <f t="shared" si="7"/>
        <v>196030</v>
      </c>
      <c r="S27" s="58">
        <f t="shared" si="8"/>
        <v>11531.176470588236</v>
      </c>
      <c r="T27" s="82">
        <f t="shared" si="9"/>
        <v>34</v>
      </c>
      <c r="U27" s="61">
        <f t="shared" si="9"/>
        <v>230780</v>
      </c>
      <c r="V27" s="61">
        <f t="shared" si="10"/>
        <v>29050</v>
      </c>
      <c r="W27" s="64">
        <f t="shared" si="11"/>
        <v>259830</v>
      </c>
      <c r="X27" s="83"/>
      <c r="Y27" s="65"/>
      <c r="Z27" s="66">
        <v>2</v>
      </c>
      <c r="AA27" s="66">
        <v>0</v>
      </c>
      <c r="AB27" s="54">
        <v>900</v>
      </c>
      <c r="AC27" s="55">
        <f t="shared" si="12"/>
        <v>450</v>
      </c>
      <c r="AD27" s="54">
        <v>0</v>
      </c>
      <c r="AE27" s="56">
        <f t="shared" si="13"/>
        <v>0</v>
      </c>
      <c r="AF27" s="67">
        <f t="shared" si="14"/>
        <v>900</v>
      </c>
      <c r="AG27" s="58">
        <f t="shared" si="15"/>
        <v>450</v>
      </c>
      <c r="AH27" s="68">
        <v>2</v>
      </c>
      <c r="AI27" s="66">
        <v>42</v>
      </c>
      <c r="AJ27" s="54">
        <v>164430</v>
      </c>
      <c r="AK27" s="55">
        <f t="shared" si="16"/>
        <v>3915</v>
      </c>
      <c r="AL27" s="54">
        <v>57490</v>
      </c>
      <c r="AM27" s="56">
        <f t="shared" si="17"/>
        <v>1368.8095238095239</v>
      </c>
      <c r="AN27" s="67">
        <f t="shared" si="28"/>
        <v>221920</v>
      </c>
      <c r="AO27" s="69">
        <f t="shared" si="18"/>
        <v>5283.8095238095239</v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>AR27+AT27+AV27+AW27-BP26</f>
        <v>0</v>
      </c>
      <c r="AY27" s="69" t="str">
        <f t="shared" si="21"/>
        <v/>
      </c>
      <c r="AZ27" s="84">
        <f t="shared" si="22"/>
        <v>34</v>
      </c>
      <c r="BA27" s="61">
        <f t="shared" si="23"/>
        <v>396110</v>
      </c>
      <c r="BB27" s="61">
        <f t="shared" si="24"/>
        <v>86540</v>
      </c>
      <c r="BC27" s="73">
        <f>W27+AF27+AN27+AX27-BO27</f>
        <v>482650</v>
      </c>
      <c r="BD27" s="74">
        <f t="shared" si="30"/>
        <v>0</v>
      </c>
      <c r="BE27" s="75">
        <v>34</v>
      </c>
      <c r="BF27" s="76">
        <v>230780</v>
      </c>
      <c r="BG27" s="76">
        <v>29050</v>
      </c>
      <c r="BH27" s="77"/>
      <c r="BI27" s="77"/>
      <c r="BJ27" s="77"/>
      <c r="BK27" s="77"/>
      <c r="BL27" s="78">
        <f t="shared" si="29"/>
        <v>259830</v>
      </c>
      <c r="BM27" s="49">
        <v>23</v>
      </c>
      <c r="BN27" s="79">
        <f t="shared" si="25"/>
        <v>259830</v>
      </c>
    </row>
    <row r="28" spans="2:68" ht="20" customHeight="1">
      <c r="B28" s="80">
        <f>B27+1</f>
        <v>45771</v>
      </c>
      <c r="C28" s="81"/>
      <c r="D28" s="52"/>
      <c r="E28" s="53">
        <v>30</v>
      </c>
      <c r="F28" s="54">
        <v>111650</v>
      </c>
      <c r="G28" s="55">
        <f t="shared" si="0"/>
        <v>3383.3333333333335</v>
      </c>
      <c r="H28" s="54">
        <v>14580</v>
      </c>
      <c r="I28" s="56">
        <f t="shared" si="27"/>
        <v>441.8</v>
      </c>
      <c r="J28" s="57">
        <f t="shared" si="1"/>
        <v>126230</v>
      </c>
      <c r="K28" s="58">
        <f t="shared" si="2"/>
        <v>4207.666666666667</v>
      </c>
      <c r="L28" s="59"/>
      <c r="M28" s="60">
        <f t="shared" si="3"/>
        <v>1</v>
      </c>
      <c r="N28" s="61">
        <f t="shared" si="3"/>
        <v>12100</v>
      </c>
      <c r="O28" s="55">
        <f t="shared" si="4"/>
        <v>11000</v>
      </c>
      <c r="P28" s="61">
        <f t="shared" si="5"/>
        <v>660</v>
      </c>
      <c r="Q28" s="56">
        <f>ROUNDDOWN(P28/1.1,0)/M28</f>
        <v>600</v>
      </c>
      <c r="R28" s="62">
        <f t="shared" si="7"/>
        <v>12760</v>
      </c>
      <c r="S28" s="58">
        <f t="shared" si="8"/>
        <v>12760</v>
      </c>
      <c r="T28" s="82">
        <f t="shared" si="9"/>
        <v>31</v>
      </c>
      <c r="U28" s="61">
        <f t="shared" si="9"/>
        <v>123750</v>
      </c>
      <c r="V28" s="61">
        <f t="shared" si="10"/>
        <v>15240</v>
      </c>
      <c r="W28" s="64">
        <f t="shared" si="11"/>
        <v>138990</v>
      </c>
      <c r="X28" s="83"/>
      <c r="Y28" s="65"/>
      <c r="Z28" s="66">
        <v>1</v>
      </c>
      <c r="AA28" s="66">
        <v>0</v>
      </c>
      <c r="AB28" s="54">
        <v>350</v>
      </c>
      <c r="AC28" s="55">
        <f t="shared" si="12"/>
        <v>350</v>
      </c>
      <c r="AD28" s="54">
        <v>0</v>
      </c>
      <c r="AE28" s="56">
        <f t="shared" si="13"/>
        <v>0</v>
      </c>
      <c r="AF28" s="67">
        <f t="shared" si="14"/>
        <v>350</v>
      </c>
      <c r="AG28" s="58">
        <f t="shared" si="15"/>
        <v>350</v>
      </c>
      <c r="AH28" s="68">
        <v>2</v>
      </c>
      <c r="AI28" s="66">
        <v>43</v>
      </c>
      <c r="AJ28" s="54">
        <v>168345</v>
      </c>
      <c r="AK28" s="55">
        <f t="shared" si="16"/>
        <v>3915</v>
      </c>
      <c r="AL28" s="54">
        <v>56115</v>
      </c>
      <c r="AM28" s="56">
        <f t="shared" si="17"/>
        <v>1305</v>
      </c>
      <c r="AN28" s="67">
        <f t="shared" si="28"/>
        <v>224460</v>
      </c>
      <c r="AO28" s="69">
        <f t="shared" si="18"/>
        <v>5220</v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>AR28+AT28+AV28+AW28</f>
        <v>0</v>
      </c>
      <c r="AY28" s="69" t="str">
        <f t="shared" si="21"/>
        <v/>
      </c>
      <c r="AZ28" s="84">
        <f t="shared" si="22"/>
        <v>31</v>
      </c>
      <c r="BA28" s="61">
        <f t="shared" si="23"/>
        <v>292445</v>
      </c>
      <c r="BB28" s="61">
        <f t="shared" si="24"/>
        <v>71355</v>
      </c>
      <c r="BC28" s="73">
        <f>W28+AF28+AN28+AX28</f>
        <v>363800</v>
      </c>
      <c r="BD28" s="74">
        <f t="shared" si="30"/>
        <v>1100</v>
      </c>
      <c r="BE28" s="75">
        <v>31</v>
      </c>
      <c r="BF28" s="76">
        <v>123750</v>
      </c>
      <c r="BG28" s="76">
        <v>15240</v>
      </c>
      <c r="BH28" s="77">
        <v>1100</v>
      </c>
      <c r="BI28" s="77"/>
      <c r="BJ28" s="77"/>
      <c r="BK28" s="77"/>
      <c r="BL28" s="78">
        <f t="shared" si="29"/>
        <v>140090</v>
      </c>
      <c r="BM28" s="49">
        <v>24</v>
      </c>
      <c r="BN28" s="79">
        <f t="shared" si="25"/>
        <v>140090</v>
      </c>
    </row>
    <row r="29" spans="2:68" ht="20" customHeight="1">
      <c r="B29" s="80">
        <f t="shared" si="26"/>
        <v>45772</v>
      </c>
      <c r="C29" s="81"/>
      <c r="D29" s="52"/>
      <c r="E29" s="53">
        <v>18</v>
      </c>
      <c r="F29" s="54">
        <v>69520</v>
      </c>
      <c r="G29" s="55">
        <f t="shared" si="0"/>
        <v>3511.1111111111113</v>
      </c>
      <c r="H29" s="54">
        <v>7340</v>
      </c>
      <c r="I29" s="55">
        <f t="shared" si="27"/>
        <v>370.66666666666669</v>
      </c>
      <c r="J29" s="57">
        <f t="shared" si="1"/>
        <v>76860</v>
      </c>
      <c r="K29" s="58">
        <f t="shared" si="2"/>
        <v>4270</v>
      </c>
      <c r="L29" s="59"/>
      <c r="M29" s="60">
        <f t="shared" si="3"/>
        <v>2</v>
      </c>
      <c r="N29" s="61">
        <f t="shared" si="3"/>
        <v>17600</v>
      </c>
      <c r="O29" s="55">
        <f t="shared" si="4"/>
        <v>8000</v>
      </c>
      <c r="P29" s="61">
        <f t="shared" si="5"/>
        <v>3960</v>
      </c>
      <c r="Q29" s="56">
        <f t="shared" si="6"/>
        <v>1800</v>
      </c>
      <c r="R29" s="62">
        <f t="shared" si="7"/>
        <v>21560</v>
      </c>
      <c r="S29" s="58">
        <f t="shared" si="8"/>
        <v>10780</v>
      </c>
      <c r="T29" s="82">
        <f t="shared" si="9"/>
        <v>20</v>
      </c>
      <c r="U29" s="61">
        <f t="shared" si="9"/>
        <v>87120</v>
      </c>
      <c r="V29" s="61">
        <f t="shared" si="10"/>
        <v>11300</v>
      </c>
      <c r="W29" s="64">
        <f t="shared" si="11"/>
        <v>98420</v>
      </c>
      <c r="X29" s="83"/>
      <c r="Y29" s="65"/>
      <c r="Z29" s="66">
        <v>1</v>
      </c>
      <c r="AA29" s="66">
        <v>0</v>
      </c>
      <c r="AB29" s="54">
        <v>200</v>
      </c>
      <c r="AC29" s="55">
        <f t="shared" si="12"/>
        <v>200</v>
      </c>
      <c r="AD29" s="54">
        <v>1600</v>
      </c>
      <c r="AE29" s="56">
        <f t="shared" si="13"/>
        <v>1600</v>
      </c>
      <c r="AF29" s="67">
        <f t="shared" si="14"/>
        <v>1800</v>
      </c>
      <c r="AG29" s="58">
        <f t="shared" si="15"/>
        <v>1800</v>
      </c>
      <c r="AH29" s="68"/>
      <c r="AI29" s="66">
        <v>54</v>
      </c>
      <c r="AJ29" s="54">
        <v>211410</v>
      </c>
      <c r="AK29" s="55">
        <f t="shared" si="16"/>
        <v>3915</v>
      </c>
      <c r="AL29" s="54">
        <v>70470</v>
      </c>
      <c r="AM29" s="56">
        <f t="shared" si="17"/>
        <v>1305</v>
      </c>
      <c r="AN29" s="67">
        <f t="shared" si="28"/>
        <v>281880</v>
      </c>
      <c r="AO29" s="69">
        <f t="shared" si="18"/>
        <v>5220</v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>AR29+AT29+AV29+AW29-BP29</f>
        <v>0</v>
      </c>
      <c r="AY29" s="69" t="str">
        <f t="shared" si="21"/>
        <v/>
      </c>
      <c r="AZ29" s="84">
        <f t="shared" si="22"/>
        <v>20</v>
      </c>
      <c r="BA29" s="61">
        <f t="shared" si="23"/>
        <v>298730</v>
      </c>
      <c r="BB29" s="61">
        <f t="shared" si="24"/>
        <v>83370</v>
      </c>
      <c r="BC29" s="73">
        <f t="shared" si="32"/>
        <v>382100</v>
      </c>
      <c r="BD29" s="74">
        <f t="shared" si="30"/>
        <v>0</v>
      </c>
      <c r="BE29" s="75">
        <v>20</v>
      </c>
      <c r="BF29" s="76">
        <v>87120</v>
      </c>
      <c r="BG29" s="76">
        <v>11300</v>
      </c>
      <c r="BH29" s="77"/>
      <c r="BI29" s="77"/>
      <c r="BJ29" s="77"/>
      <c r="BK29" s="77"/>
      <c r="BL29" s="78">
        <f t="shared" si="29"/>
        <v>98420</v>
      </c>
      <c r="BM29" s="49">
        <v>25</v>
      </c>
      <c r="BN29" s="79">
        <f t="shared" si="25"/>
        <v>98420</v>
      </c>
    </row>
    <row r="30" spans="2:68" ht="20" customHeight="1">
      <c r="B30" s="80">
        <f t="shared" si="26"/>
        <v>45773</v>
      </c>
      <c r="C30" s="81"/>
      <c r="D30" s="52"/>
      <c r="E30" s="53">
        <v>18</v>
      </c>
      <c r="F30" s="54">
        <v>78870</v>
      </c>
      <c r="G30" s="55">
        <f t="shared" si="0"/>
        <v>3983.3333333333335</v>
      </c>
      <c r="H30" s="54">
        <v>15590</v>
      </c>
      <c r="I30" s="55">
        <f t="shared" si="27"/>
        <v>787.33333333333337</v>
      </c>
      <c r="J30" s="57">
        <f t="shared" si="1"/>
        <v>94460</v>
      </c>
      <c r="K30" s="58">
        <f t="shared" si="2"/>
        <v>5247.7777777777774</v>
      </c>
      <c r="L30" s="59"/>
      <c r="M30" s="60">
        <f t="shared" si="3"/>
        <v>20</v>
      </c>
      <c r="N30" s="61">
        <f t="shared" si="3"/>
        <v>205370</v>
      </c>
      <c r="O30" s="55">
        <f t="shared" si="4"/>
        <v>9335</v>
      </c>
      <c r="P30" s="61">
        <f t="shared" si="5"/>
        <v>50070</v>
      </c>
      <c r="Q30" s="55">
        <f t="shared" si="6"/>
        <v>2275.9</v>
      </c>
      <c r="R30" s="62">
        <f t="shared" si="7"/>
        <v>255440</v>
      </c>
      <c r="S30" s="58">
        <f t="shared" si="8"/>
        <v>12772</v>
      </c>
      <c r="T30" s="82">
        <f t="shared" si="9"/>
        <v>38</v>
      </c>
      <c r="U30" s="61">
        <f t="shared" si="9"/>
        <v>284240</v>
      </c>
      <c r="V30" s="61">
        <f t="shared" si="10"/>
        <v>65660</v>
      </c>
      <c r="W30" s="64">
        <f t="shared" si="11"/>
        <v>349900</v>
      </c>
      <c r="X30" s="83"/>
      <c r="Y30" s="65"/>
      <c r="Z30" s="66">
        <v>19</v>
      </c>
      <c r="AA30" s="66">
        <v>6</v>
      </c>
      <c r="AB30" s="54">
        <v>18050</v>
      </c>
      <c r="AC30" s="55">
        <f t="shared" si="12"/>
        <v>950</v>
      </c>
      <c r="AD30" s="54">
        <v>6450</v>
      </c>
      <c r="AE30" s="56">
        <f t="shared" si="13"/>
        <v>339.4736842105263</v>
      </c>
      <c r="AF30" s="67">
        <f t="shared" si="14"/>
        <v>24500</v>
      </c>
      <c r="AG30" s="58">
        <f t="shared" si="15"/>
        <v>1289.4736842105262</v>
      </c>
      <c r="AH30" s="68"/>
      <c r="AI30" s="66"/>
      <c r="AJ30" s="54"/>
      <c r="AK30" s="55" t="e">
        <f t="shared" si="16"/>
        <v>#DIV/0!</v>
      </c>
      <c r="AL30" s="54"/>
      <c r="AM30" s="56" t="e">
        <f t="shared" si="17"/>
        <v>#DIV/0!</v>
      </c>
      <c r="AN30" s="67">
        <f t="shared" si="28"/>
        <v>0</v>
      </c>
      <c r="AO30" s="69" t="str">
        <f t="shared" si="18"/>
        <v/>
      </c>
      <c r="AP30" s="70"/>
      <c r="AQ30" s="66">
        <v>118</v>
      </c>
      <c r="AR30" s="54">
        <v>115300</v>
      </c>
      <c r="AS30" s="55">
        <f t="shared" si="19"/>
        <v>977.11864406779659</v>
      </c>
      <c r="AT30" s="54">
        <v>67550</v>
      </c>
      <c r="AU30" s="56">
        <f t="shared" si="20"/>
        <v>572.45762711864404</v>
      </c>
      <c r="AV30" s="56"/>
      <c r="AW30" s="56"/>
      <c r="AX30" s="71">
        <f>AR30+AT30+AV30+AW30-BP30</f>
        <v>182650</v>
      </c>
      <c r="AY30" s="69">
        <f t="shared" si="21"/>
        <v>1547.8813559322034</v>
      </c>
      <c r="AZ30" s="84">
        <f t="shared" si="22"/>
        <v>38</v>
      </c>
      <c r="BA30" s="61">
        <f t="shared" si="23"/>
        <v>417590</v>
      </c>
      <c r="BB30" s="61">
        <f t="shared" si="24"/>
        <v>139660</v>
      </c>
      <c r="BC30" s="73">
        <f t="shared" si="32"/>
        <v>557050</v>
      </c>
      <c r="BD30" s="74">
        <f>BH30+BI30</f>
        <v>2200</v>
      </c>
      <c r="BE30" s="75">
        <v>38</v>
      </c>
      <c r="BF30" s="76">
        <v>284240</v>
      </c>
      <c r="BG30" s="76">
        <v>65660</v>
      </c>
      <c r="BH30" s="77">
        <v>2200</v>
      </c>
      <c r="BI30" s="77"/>
      <c r="BJ30" s="77"/>
      <c r="BK30" s="77"/>
      <c r="BL30" s="78">
        <f t="shared" si="29"/>
        <v>352100</v>
      </c>
      <c r="BM30" s="49">
        <v>26</v>
      </c>
      <c r="BN30" s="79">
        <f t="shared" si="25"/>
        <v>352100</v>
      </c>
      <c r="BP30" s="49">
        <v>200</v>
      </c>
    </row>
    <row r="31" spans="2:68" ht="20" customHeight="1">
      <c r="B31" s="80">
        <f t="shared" si="26"/>
        <v>45774</v>
      </c>
      <c r="C31" s="81"/>
      <c r="D31" s="52"/>
      <c r="E31" s="53">
        <v>26</v>
      </c>
      <c r="F31" s="54">
        <v>106700</v>
      </c>
      <c r="G31" s="55">
        <f t="shared" si="0"/>
        <v>3730.7692307692309</v>
      </c>
      <c r="H31" s="54">
        <v>29990</v>
      </c>
      <c r="I31" s="55">
        <f t="shared" si="27"/>
        <v>1048.5769230769231</v>
      </c>
      <c r="J31" s="57">
        <f t="shared" si="1"/>
        <v>136690</v>
      </c>
      <c r="K31" s="58">
        <f t="shared" si="2"/>
        <v>5257.3076923076924</v>
      </c>
      <c r="L31" s="59"/>
      <c r="M31" s="60">
        <f t="shared" si="3"/>
        <v>11</v>
      </c>
      <c r="N31" s="61">
        <f t="shared" si="3"/>
        <v>107910</v>
      </c>
      <c r="O31" s="55">
        <f t="shared" si="4"/>
        <v>8918.181818181818</v>
      </c>
      <c r="P31" s="61">
        <f t="shared" si="5"/>
        <v>20040</v>
      </c>
      <c r="Q31" s="55">
        <f t="shared" si="6"/>
        <v>1656.1818181818182</v>
      </c>
      <c r="R31" s="62">
        <f t="shared" si="7"/>
        <v>127950</v>
      </c>
      <c r="S31" s="58">
        <f t="shared" si="8"/>
        <v>11631.818181818182</v>
      </c>
      <c r="T31" s="82">
        <f t="shared" si="9"/>
        <v>37</v>
      </c>
      <c r="U31" s="61">
        <f t="shared" si="9"/>
        <v>214610</v>
      </c>
      <c r="V31" s="61">
        <f t="shared" si="10"/>
        <v>50030</v>
      </c>
      <c r="W31" s="64">
        <f t="shared" si="11"/>
        <v>264640</v>
      </c>
      <c r="X31" s="83"/>
      <c r="Y31" s="65"/>
      <c r="Z31" s="66">
        <v>9</v>
      </c>
      <c r="AA31" s="66">
        <v>2</v>
      </c>
      <c r="AB31" s="54">
        <v>7450</v>
      </c>
      <c r="AC31" s="55">
        <f t="shared" si="12"/>
        <v>827.77777777777783</v>
      </c>
      <c r="AD31" s="54">
        <v>500</v>
      </c>
      <c r="AE31" s="56">
        <f t="shared" si="13"/>
        <v>55.555555555555557</v>
      </c>
      <c r="AF31" s="67">
        <f t="shared" si="14"/>
        <v>7950</v>
      </c>
      <c r="AG31" s="58">
        <f t="shared" si="15"/>
        <v>883.33333333333337</v>
      </c>
      <c r="AH31" s="68"/>
      <c r="AI31" s="66"/>
      <c r="AJ31" s="54"/>
      <c r="AK31" s="55" t="e">
        <f t="shared" si="16"/>
        <v>#DIV/0!</v>
      </c>
      <c r="AL31" s="54"/>
      <c r="AM31" s="56" t="e">
        <f t="shared" si="17"/>
        <v>#DIV/0!</v>
      </c>
      <c r="AN31" s="67">
        <f t="shared" si="28"/>
        <v>0</v>
      </c>
      <c r="AO31" s="69" t="str">
        <f t="shared" si="18"/>
        <v/>
      </c>
      <c r="AP31" s="70"/>
      <c r="AQ31" s="66">
        <v>58</v>
      </c>
      <c r="AR31" s="54">
        <v>49500</v>
      </c>
      <c r="AS31" s="55">
        <f t="shared" si="19"/>
        <v>853.44827586206895</v>
      </c>
      <c r="AT31" s="54">
        <v>31000</v>
      </c>
      <c r="AU31" s="56">
        <f t="shared" si="20"/>
        <v>534.48275862068965</v>
      </c>
      <c r="AV31" s="56"/>
      <c r="AW31" s="56"/>
      <c r="AX31" s="71">
        <f>AR31+AT31+AV31+AW31-BP31</f>
        <v>79900</v>
      </c>
      <c r="AY31" s="69">
        <f t="shared" si="21"/>
        <v>1377.5862068965516</v>
      </c>
      <c r="AZ31" s="84">
        <f t="shared" si="22"/>
        <v>37</v>
      </c>
      <c r="BA31" s="61">
        <f t="shared" si="23"/>
        <v>271560</v>
      </c>
      <c r="BB31" s="61">
        <f t="shared" si="24"/>
        <v>81530</v>
      </c>
      <c r="BC31" s="73">
        <f>W31+AF31+AN31+AX31-BO31</f>
        <v>352490</v>
      </c>
      <c r="BD31" s="74">
        <f t="shared" ref="BD31:BD34" si="34">BH31+BI31</f>
        <v>2200</v>
      </c>
      <c r="BE31" s="75">
        <v>37</v>
      </c>
      <c r="BF31" s="76">
        <v>214610</v>
      </c>
      <c r="BG31" s="76">
        <v>50030</v>
      </c>
      <c r="BH31" s="77">
        <v>2200</v>
      </c>
      <c r="BI31" s="77"/>
      <c r="BJ31" s="77"/>
      <c r="BK31" s="77"/>
      <c r="BL31" s="78">
        <f t="shared" si="29"/>
        <v>266840</v>
      </c>
      <c r="BM31" s="49">
        <v>27</v>
      </c>
      <c r="BN31" s="79">
        <f t="shared" si="25"/>
        <v>266840</v>
      </c>
      <c r="BP31" s="49">
        <v>600</v>
      </c>
    </row>
    <row r="32" spans="2:68" ht="20" customHeight="1">
      <c r="B32" s="80">
        <f t="shared" si="26"/>
        <v>45775</v>
      </c>
      <c r="C32" s="81"/>
      <c r="D32" s="52"/>
      <c r="E32" s="53">
        <v>18</v>
      </c>
      <c r="F32" s="54">
        <v>75130</v>
      </c>
      <c r="G32" s="55">
        <f t="shared" si="0"/>
        <v>3794.4444444444443</v>
      </c>
      <c r="H32" s="54">
        <v>18980</v>
      </c>
      <c r="I32" s="55">
        <f t="shared" si="27"/>
        <v>958.55555555555554</v>
      </c>
      <c r="J32" s="57">
        <f t="shared" si="1"/>
        <v>94110</v>
      </c>
      <c r="K32" s="58">
        <f t="shared" si="2"/>
        <v>5228.333333333333</v>
      </c>
      <c r="L32" s="59"/>
      <c r="M32" s="60">
        <f t="shared" si="3"/>
        <v>9</v>
      </c>
      <c r="N32" s="61">
        <f t="shared" si="3"/>
        <v>98340</v>
      </c>
      <c r="O32" s="55">
        <f t="shared" si="4"/>
        <v>9933.3333333333339</v>
      </c>
      <c r="P32" s="61">
        <f t="shared" si="5"/>
        <v>33120</v>
      </c>
      <c r="Q32" s="55">
        <f t="shared" si="6"/>
        <v>3345.4444444444443</v>
      </c>
      <c r="R32" s="62">
        <f t="shared" si="7"/>
        <v>131460</v>
      </c>
      <c r="S32" s="58">
        <f t="shared" si="8"/>
        <v>14606.666666666666</v>
      </c>
      <c r="T32" s="82">
        <f t="shared" si="9"/>
        <v>27</v>
      </c>
      <c r="U32" s="61">
        <f t="shared" si="9"/>
        <v>173470</v>
      </c>
      <c r="V32" s="61">
        <f t="shared" si="10"/>
        <v>52100</v>
      </c>
      <c r="W32" s="64">
        <f t="shared" si="11"/>
        <v>225570</v>
      </c>
      <c r="X32" s="83"/>
      <c r="Y32" s="65"/>
      <c r="Z32" s="66">
        <v>9</v>
      </c>
      <c r="AA32" s="66">
        <v>3</v>
      </c>
      <c r="AB32" s="54">
        <v>10100</v>
      </c>
      <c r="AC32" s="55">
        <f t="shared" si="12"/>
        <v>1122.2222222222222</v>
      </c>
      <c r="AD32" s="54">
        <v>3250</v>
      </c>
      <c r="AE32" s="56">
        <f t="shared" si="13"/>
        <v>361.11111111111109</v>
      </c>
      <c r="AF32" s="67">
        <f t="shared" si="14"/>
        <v>13350</v>
      </c>
      <c r="AG32" s="58">
        <f t="shared" si="15"/>
        <v>1483.3333333333333</v>
      </c>
      <c r="AH32" s="68"/>
      <c r="AI32" s="66"/>
      <c r="AJ32" s="54"/>
      <c r="AK32" s="55" t="e">
        <f t="shared" si="16"/>
        <v>#DIV/0!</v>
      </c>
      <c r="AL32" s="54"/>
      <c r="AM32" s="56" t="e">
        <f t="shared" si="17"/>
        <v>#DIV/0!</v>
      </c>
      <c r="AN32" s="67">
        <f t="shared" si="28"/>
        <v>0</v>
      </c>
      <c r="AO32" s="69" t="str">
        <f t="shared" si="18"/>
        <v/>
      </c>
      <c r="AP32" s="70"/>
      <c r="AQ32" s="66">
        <v>92</v>
      </c>
      <c r="AR32" s="54">
        <v>77350</v>
      </c>
      <c r="AS32" s="55">
        <f t="shared" si="19"/>
        <v>840.76086956521738</v>
      </c>
      <c r="AT32" s="54">
        <v>57200</v>
      </c>
      <c r="AU32" s="56">
        <f t="shared" si="20"/>
        <v>621.73913043478262</v>
      </c>
      <c r="AV32" s="56"/>
      <c r="AW32" s="56"/>
      <c r="AX32" s="71">
        <f t="shared" ref="AX32:AX33" si="35">AR32+AT32+AV32+AW32</f>
        <v>134550</v>
      </c>
      <c r="AY32" s="69">
        <f t="shared" si="21"/>
        <v>1462.5</v>
      </c>
      <c r="AZ32" s="84">
        <f t="shared" si="22"/>
        <v>27</v>
      </c>
      <c r="BA32" s="61">
        <f>U32+AB32+AJ32+AR32</f>
        <v>260920</v>
      </c>
      <c r="BB32" s="61">
        <f t="shared" si="24"/>
        <v>112550</v>
      </c>
      <c r="BC32" s="73">
        <f>W32+AF32+AN32+AX32-BO32</f>
        <v>373470</v>
      </c>
      <c r="BD32" s="74">
        <f>BH32+BI32</f>
        <v>550</v>
      </c>
      <c r="BE32" s="75">
        <v>27</v>
      </c>
      <c r="BF32" s="76">
        <v>173470</v>
      </c>
      <c r="BG32" s="76">
        <v>52100</v>
      </c>
      <c r="BH32" s="77">
        <v>550</v>
      </c>
      <c r="BI32" s="77"/>
      <c r="BJ32" s="77"/>
      <c r="BK32" s="77"/>
      <c r="BL32" s="78">
        <f>SUM(BF32:BI32)</f>
        <v>226120</v>
      </c>
      <c r="BM32" s="49">
        <v>28</v>
      </c>
    </row>
    <row r="33" spans="2:66" ht="20" customHeight="1">
      <c r="B33" s="80">
        <f t="shared" si="26"/>
        <v>45776</v>
      </c>
      <c r="C33" s="81"/>
      <c r="D33" s="52"/>
      <c r="E33" s="53">
        <v>28</v>
      </c>
      <c r="F33" s="54">
        <v>135410</v>
      </c>
      <c r="G33" s="55">
        <f t="shared" si="0"/>
        <v>4396.4285714285716</v>
      </c>
      <c r="H33" s="54">
        <v>21380</v>
      </c>
      <c r="I33" s="55">
        <f t="shared" si="27"/>
        <v>694.14285714285711</v>
      </c>
      <c r="J33" s="57">
        <f t="shared" si="1"/>
        <v>156790</v>
      </c>
      <c r="K33" s="58">
        <f t="shared" si="2"/>
        <v>5599.6428571428569</v>
      </c>
      <c r="L33" s="59"/>
      <c r="M33" s="60">
        <f t="shared" si="3"/>
        <v>26</v>
      </c>
      <c r="N33" s="61">
        <f t="shared" si="3"/>
        <v>255530</v>
      </c>
      <c r="O33" s="55">
        <f t="shared" si="4"/>
        <v>8934.6153846153848</v>
      </c>
      <c r="P33" s="61">
        <f t="shared" si="5"/>
        <v>68560</v>
      </c>
      <c r="Q33" s="55">
        <f t="shared" si="6"/>
        <v>2397.1923076923076</v>
      </c>
      <c r="R33" s="62">
        <f t="shared" si="7"/>
        <v>324090</v>
      </c>
      <c r="S33" s="58">
        <f t="shared" si="8"/>
        <v>12465</v>
      </c>
      <c r="T33" s="82">
        <f t="shared" si="9"/>
        <v>54</v>
      </c>
      <c r="U33" s="61">
        <f t="shared" si="9"/>
        <v>390940</v>
      </c>
      <c r="V33" s="61">
        <f t="shared" si="10"/>
        <v>89940</v>
      </c>
      <c r="W33" s="64">
        <f>J33+R33</f>
        <v>480880</v>
      </c>
      <c r="X33" s="83"/>
      <c r="Y33" s="65"/>
      <c r="Z33" s="66">
        <v>3</v>
      </c>
      <c r="AA33" s="66">
        <v>2</v>
      </c>
      <c r="AB33" s="54">
        <v>5450</v>
      </c>
      <c r="AC33" s="55">
        <f t="shared" si="12"/>
        <v>1816.6666666666667</v>
      </c>
      <c r="AD33" s="54">
        <v>500</v>
      </c>
      <c r="AE33" s="56">
        <f t="shared" si="13"/>
        <v>166.66666666666666</v>
      </c>
      <c r="AF33" s="67">
        <f t="shared" si="14"/>
        <v>5950</v>
      </c>
      <c r="AG33" s="58">
        <f t="shared" si="15"/>
        <v>1983.3333333333333</v>
      </c>
      <c r="AH33" s="68"/>
      <c r="AI33" s="66"/>
      <c r="AJ33" s="54"/>
      <c r="AK33" s="55" t="e">
        <f t="shared" si="16"/>
        <v>#DIV/0!</v>
      </c>
      <c r="AL33" s="54"/>
      <c r="AM33" s="56" t="e">
        <f t="shared" si="17"/>
        <v>#DIV/0!</v>
      </c>
      <c r="AN33" s="67">
        <f t="shared" si="28"/>
        <v>0</v>
      </c>
      <c r="AO33" s="69" t="str">
        <f t="shared" si="18"/>
        <v/>
      </c>
      <c r="AP33" s="70"/>
      <c r="AQ33" s="66">
        <v>37</v>
      </c>
      <c r="AR33" s="54">
        <v>38850</v>
      </c>
      <c r="AS33" s="55">
        <f t="shared" si="19"/>
        <v>1050</v>
      </c>
      <c r="AT33" s="54">
        <v>19100</v>
      </c>
      <c r="AU33" s="56">
        <f t="shared" si="20"/>
        <v>516.21621621621625</v>
      </c>
      <c r="AV33" s="56"/>
      <c r="AW33" s="56"/>
      <c r="AX33" s="71">
        <f t="shared" si="35"/>
        <v>57950</v>
      </c>
      <c r="AY33" s="69">
        <f t="shared" si="21"/>
        <v>1566.2162162162163</v>
      </c>
      <c r="AZ33" s="84">
        <f t="shared" si="22"/>
        <v>54</v>
      </c>
      <c r="BA33" s="61">
        <f t="shared" si="23"/>
        <v>435240</v>
      </c>
      <c r="BB33" s="61">
        <f t="shared" si="24"/>
        <v>109540</v>
      </c>
      <c r="BC33" s="73">
        <f>W33+AF33+AN33+AX33-BO33</f>
        <v>544780</v>
      </c>
      <c r="BD33" s="74">
        <f t="shared" si="34"/>
        <v>3300</v>
      </c>
      <c r="BE33" s="75">
        <v>54</v>
      </c>
      <c r="BF33" s="76">
        <v>390940</v>
      </c>
      <c r="BG33" s="76">
        <v>89940</v>
      </c>
      <c r="BH33" s="77">
        <v>3300</v>
      </c>
      <c r="BI33" s="77"/>
      <c r="BJ33" s="77">
        <v>3300</v>
      </c>
      <c r="BK33" s="77"/>
      <c r="BL33" s="78">
        <f t="shared" si="29"/>
        <v>484180</v>
      </c>
      <c r="BM33" s="49">
        <v>29</v>
      </c>
      <c r="BN33" s="79">
        <f t="shared" si="25"/>
        <v>484180</v>
      </c>
    </row>
    <row r="34" spans="2:66" ht="20" customHeight="1">
      <c r="B34" s="80">
        <f t="shared" si="26"/>
        <v>45777</v>
      </c>
      <c r="C34" s="81"/>
      <c r="D34" s="52"/>
      <c r="E34" s="53">
        <v>24</v>
      </c>
      <c r="F34" s="54">
        <v>101200</v>
      </c>
      <c r="G34" s="55">
        <f t="shared" si="0"/>
        <v>3833.3333333333335</v>
      </c>
      <c r="H34" s="54">
        <v>8700</v>
      </c>
      <c r="I34" s="55">
        <f t="shared" si="27"/>
        <v>329.54166666666669</v>
      </c>
      <c r="J34" s="57">
        <f t="shared" si="1"/>
        <v>109900</v>
      </c>
      <c r="K34" s="58">
        <f t="shared" si="2"/>
        <v>4579.166666666667</v>
      </c>
      <c r="L34" s="59"/>
      <c r="M34" s="60">
        <f t="shared" si="3"/>
        <v>13</v>
      </c>
      <c r="N34" s="61">
        <f t="shared" si="3"/>
        <v>154330</v>
      </c>
      <c r="O34" s="55">
        <f t="shared" si="4"/>
        <v>10792.307692307691</v>
      </c>
      <c r="P34" s="61">
        <f t="shared" si="5"/>
        <v>49910</v>
      </c>
      <c r="Q34" s="55">
        <f t="shared" si="6"/>
        <v>3490.1538461538462</v>
      </c>
      <c r="R34" s="62">
        <f t="shared" si="7"/>
        <v>204240</v>
      </c>
      <c r="S34" s="58">
        <f t="shared" si="8"/>
        <v>15710.76923076923</v>
      </c>
      <c r="T34" s="82">
        <f t="shared" si="9"/>
        <v>37</v>
      </c>
      <c r="U34" s="61">
        <f t="shared" si="9"/>
        <v>255530</v>
      </c>
      <c r="V34" s="61">
        <f t="shared" si="10"/>
        <v>58610</v>
      </c>
      <c r="W34" s="64">
        <f t="shared" si="11"/>
        <v>314140</v>
      </c>
      <c r="X34" s="83"/>
      <c r="Y34" s="88"/>
      <c r="Z34" s="89">
        <v>18</v>
      </c>
      <c r="AA34" s="89">
        <v>4</v>
      </c>
      <c r="AB34" s="90">
        <v>15000</v>
      </c>
      <c r="AC34" s="55">
        <f t="shared" si="12"/>
        <v>833.33333333333337</v>
      </c>
      <c r="AD34" s="90">
        <v>1000</v>
      </c>
      <c r="AE34" s="56">
        <f t="shared" si="13"/>
        <v>55.555555555555557</v>
      </c>
      <c r="AF34" s="67">
        <f t="shared" si="14"/>
        <v>16000</v>
      </c>
      <c r="AG34" s="58">
        <f t="shared" si="15"/>
        <v>888.88888888888891</v>
      </c>
      <c r="AH34" s="68"/>
      <c r="AI34" s="89"/>
      <c r="AJ34" s="90"/>
      <c r="AK34" s="55" t="e">
        <f t="shared" si="16"/>
        <v>#DIV/0!</v>
      </c>
      <c r="AL34" s="90"/>
      <c r="AM34" s="56" t="e">
        <f t="shared" si="17"/>
        <v>#DIV/0!</v>
      </c>
      <c r="AN34" s="67">
        <f t="shared" si="28"/>
        <v>0</v>
      </c>
      <c r="AO34" s="69" t="str">
        <f t="shared" si="18"/>
        <v/>
      </c>
      <c r="AP34" s="70"/>
      <c r="AQ34" s="89">
        <v>47</v>
      </c>
      <c r="AR34" s="90">
        <v>66800</v>
      </c>
      <c r="AS34" s="55">
        <f t="shared" si="19"/>
        <v>1421.2765957446809</v>
      </c>
      <c r="AT34" s="90">
        <v>17300</v>
      </c>
      <c r="AU34" s="56">
        <f t="shared" si="20"/>
        <v>368.08510638297872</v>
      </c>
      <c r="AV34" s="56"/>
      <c r="AW34" s="56"/>
      <c r="AX34" s="71">
        <f>AR34+AT34+AV34+AW34-BO34</f>
        <v>84100</v>
      </c>
      <c r="AY34" s="69">
        <f t="shared" si="21"/>
        <v>1789.3617021276596</v>
      </c>
      <c r="AZ34" s="84">
        <f t="shared" si="22"/>
        <v>37</v>
      </c>
      <c r="BA34" s="61">
        <f t="shared" si="23"/>
        <v>337330</v>
      </c>
      <c r="BB34" s="61">
        <f t="shared" si="24"/>
        <v>76910</v>
      </c>
      <c r="BC34" s="73">
        <f>W34+AF34+AN34+AX34-BO34</f>
        <v>414240</v>
      </c>
      <c r="BD34" s="74">
        <f t="shared" si="34"/>
        <v>2200</v>
      </c>
      <c r="BE34" s="75">
        <v>37</v>
      </c>
      <c r="BF34" s="76">
        <v>255530</v>
      </c>
      <c r="BG34" s="76">
        <v>58610</v>
      </c>
      <c r="BH34" s="77">
        <v>2200</v>
      </c>
      <c r="BI34" s="77"/>
      <c r="BJ34" s="77"/>
      <c r="BK34" s="77">
        <v>12760</v>
      </c>
      <c r="BL34" s="78">
        <f t="shared" si="29"/>
        <v>316340</v>
      </c>
      <c r="BM34" s="49">
        <v>30</v>
      </c>
      <c r="BN34" s="79">
        <f t="shared" si="25"/>
        <v>329100</v>
      </c>
    </row>
    <row r="35" spans="2:66" ht="20" customHeight="1" thickBot="1">
      <c r="B35" s="80">
        <f t="shared" si="26"/>
        <v>45778</v>
      </c>
      <c r="C35" s="81"/>
      <c r="D35" s="52"/>
      <c r="E35" s="53"/>
      <c r="F35" s="54"/>
      <c r="G35" s="55" t="e">
        <f t="shared" si="0"/>
        <v>#DIV/0!</v>
      </c>
      <c r="H35" s="54"/>
      <c r="I35" s="55" t="e">
        <f t="shared" si="27"/>
        <v>#DIV/0!</v>
      </c>
      <c r="J35" s="57">
        <f t="shared" si="1"/>
        <v>0</v>
      </c>
      <c r="K35" s="58" t="str">
        <f t="shared" si="2"/>
        <v/>
      </c>
      <c r="L35" s="59"/>
      <c r="M35" s="91">
        <f t="shared" si="3"/>
        <v>0</v>
      </c>
      <c r="N35" s="61">
        <f t="shared" si="3"/>
        <v>0</v>
      </c>
      <c r="O35" s="55" t="e">
        <f t="shared" si="4"/>
        <v>#DIV/0!</v>
      </c>
      <c r="P35" s="61">
        <f t="shared" si="5"/>
        <v>0</v>
      </c>
      <c r="Q35" s="55" t="e">
        <f t="shared" si="6"/>
        <v>#DIV/0!</v>
      </c>
      <c r="R35" s="62">
        <f t="shared" si="7"/>
        <v>0</v>
      </c>
      <c r="S35" s="58" t="e">
        <f t="shared" si="8"/>
        <v>#DIV/0!</v>
      </c>
      <c r="T35" s="92">
        <f t="shared" si="9"/>
        <v>0</v>
      </c>
      <c r="U35" s="93">
        <f t="shared" si="9"/>
        <v>0</v>
      </c>
      <c r="V35" s="93">
        <f t="shared" si="10"/>
        <v>0</v>
      </c>
      <c r="W35" s="94">
        <f t="shared" si="11"/>
        <v>0</v>
      </c>
      <c r="X35" s="93"/>
      <c r="Y35" s="95"/>
      <c r="Z35" s="96"/>
      <c r="AA35" s="96"/>
      <c r="AB35" s="97"/>
      <c r="AC35" s="98" t="e">
        <f t="shared" si="12"/>
        <v>#DIV/0!</v>
      </c>
      <c r="AD35" s="97"/>
      <c r="AE35" s="99" t="e">
        <f t="shared" si="13"/>
        <v>#DIV/0!</v>
      </c>
      <c r="AF35" s="100">
        <f t="shared" si="14"/>
        <v>0</v>
      </c>
      <c r="AG35" s="58" t="str">
        <f t="shared" si="15"/>
        <v/>
      </c>
      <c r="AH35" s="101"/>
      <c r="AI35" s="96"/>
      <c r="AJ35" s="97"/>
      <c r="AK35" s="98" t="e">
        <f t="shared" si="16"/>
        <v>#DIV/0!</v>
      </c>
      <c r="AL35" s="97"/>
      <c r="AM35" s="99" t="e">
        <f t="shared" si="17"/>
        <v>#DIV/0!</v>
      </c>
      <c r="AN35" s="67">
        <f t="shared" si="28"/>
        <v>0</v>
      </c>
      <c r="AO35" s="69" t="str">
        <f t="shared" si="18"/>
        <v/>
      </c>
      <c r="AP35" s="102"/>
      <c r="AQ35" s="96"/>
      <c r="AR35" s="97"/>
      <c r="AS35" s="98" t="e">
        <f t="shared" si="19"/>
        <v>#DIV/0!</v>
      </c>
      <c r="AT35" s="97"/>
      <c r="AU35" s="99" t="e">
        <f t="shared" si="20"/>
        <v>#DIV/0!</v>
      </c>
      <c r="AV35" s="99"/>
      <c r="AW35" s="56"/>
      <c r="AX35" s="71">
        <f t="shared" si="33"/>
        <v>0</v>
      </c>
      <c r="AY35" s="69" t="str">
        <f t="shared" si="21"/>
        <v/>
      </c>
      <c r="AZ35" s="103">
        <f t="shared" si="22"/>
        <v>0</v>
      </c>
      <c r="BA35" s="61">
        <f t="shared" si="23"/>
        <v>0</v>
      </c>
      <c r="BB35" s="61">
        <f t="shared" si="24"/>
        <v>0</v>
      </c>
      <c r="BC35" s="73">
        <f>W35+AF35+AN35+AX35-BO35</f>
        <v>0</v>
      </c>
      <c r="BD35" s="74">
        <f t="shared" si="30"/>
        <v>0</v>
      </c>
      <c r="BE35" s="104"/>
      <c r="BF35" s="105"/>
      <c r="BG35" s="105"/>
      <c r="BH35" s="106"/>
      <c r="BI35" s="106"/>
      <c r="BJ35" s="106"/>
      <c r="BK35" s="106"/>
      <c r="BL35" s="78">
        <f t="shared" si="29"/>
        <v>0</v>
      </c>
      <c r="BM35" s="49">
        <v>31</v>
      </c>
      <c r="BN35" s="79">
        <f t="shared" si="25"/>
        <v>0</v>
      </c>
    </row>
    <row r="36" spans="2:66" s="129" customFormat="1" ht="20" customHeight="1" thickTop="1">
      <c r="B36" s="107" t="s">
        <v>29</v>
      </c>
      <c r="C36" s="108">
        <f>SUM(C5:C35)</f>
        <v>0</v>
      </c>
      <c r="D36" s="109">
        <f>SUM(D5:D35)</f>
        <v>0</v>
      </c>
      <c r="E36" s="110">
        <f>SUM(E5:E35)</f>
        <v>657</v>
      </c>
      <c r="F36" s="111">
        <f>SUM(F5:F35)</f>
        <v>2649042</v>
      </c>
      <c r="G36" s="112">
        <f>F36/E36</f>
        <v>4032.027397260274</v>
      </c>
      <c r="H36" s="108">
        <f>SUM(H5:H35)</f>
        <v>423482</v>
      </c>
      <c r="I36" s="113">
        <f>H36/E36</f>
        <v>644.56925418569256</v>
      </c>
      <c r="J36" s="114">
        <f>SUM(J5:J35)</f>
        <v>3072524</v>
      </c>
      <c r="K36" s="115">
        <f>J36/E36</f>
        <v>4676.5966514459669</v>
      </c>
      <c r="L36" s="116">
        <f>SUM(L5:L35)</f>
        <v>0</v>
      </c>
      <c r="M36" s="110">
        <f>SUM(M5:M35)</f>
        <v>402</v>
      </c>
      <c r="N36" s="111">
        <f>SUM(N5:N35)</f>
        <v>3711910</v>
      </c>
      <c r="O36" s="112">
        <f>N36/M36</f>
        <v>9233.6069651741291</v>
      </c>
      <c r="P36" s="117">
        <f>SUM(P5:P35)</f>
        <v>859880</v>
      </c>
      <c r="Q36" s="113">
        <f>P36/M36</f>
        <v>2139.0049751243782</v>
      </c>
      <c r="R36" s="118">
        <f>SUM(R5:R35)</f>
        <v>4571790</v>
      </c>
      <c r="S36" s="119">
        <f>R36/M36</f>
        <v>11372.611940298508</v>
      </c>
      <c r="T36" s="110">
        <f t="shared" ref="T36:AB36" si="36">SUM(T5:T35)</f>
        <v>1059</v>
      </c>
      <c r="U36" s="117">
        <f t="shared" si="36"/>
        <v>6360952</v>
      </c>
      <c r="V36" s="117">
        <f t="shared" si="36"/>
        <v>1283362</v>
      </c>
      <c r="W36" s="114">
        <f>SUM(W5:W35)</f>
        <v>7644314</v>
      </c>
      <c r="X36" s="120">
        <f t="shared" si="36"/>
        <v>0</v>
      </c>
      <c r="Y36" s="109">
        <f t="shared" si="36"/>
        <v>0</v>
      </c>
      <c r="Z36" s="110">
        <f t="shared" si="36"/>
        <v>200</v>
      </c>
      <c r="AA36" s="121">
        <f>SUM(AA5:AA35)</f>
        <v>62</v>
      </c>
      <c r="AB36" s="112">
        <f t="shared" si="36"/>
        <v>203250</v>
      </c>
      <c r="AC36" s="112">
        <f>AB36/Z36</f>
        <v>1016.25</v>
      </c>
      <c r="AD36" s="108">
        <f>SUM(AD5:AD35)</f>
        <v>38400</v>
      </c>
      <c r="AE36" s="113">
        <f>AD36/Z36</f>
        <v>192</v>
      </c>
      <c r="AF36" s="118">
        <f>SUM(AF5:AF35)</f>
        <v>241650</v>
      </c>
      <c r="AG36" s="122">
        <f>AF36/Z36</f>
        <v>1208.25</v>
      </c>
      <c r="AH36" s="123">
        <f t="shared" ref="AH36:AJ36" si="37">SUM(AH5:AH35)</f>
        <v>9</v>
      </c>
      <c r="AI36" s="110">
        <f t="shared" si="37"/>
        <v>366</v>
      </c>
      <c r="AJ36" s="112">
        <f t="shared" si="37"/>
        <v>1497270</v>
      </c>
      <c r="AK36" s="112"/>
      <c r="AL36" s="108">
        <f>SUM(AL5:AL35)</f>
        <v>480310</v>
      </c>
      <c r="AM36" s="113"/>
      <c r="AN36" s="118">
        <f>SUM(AN5:AN35)</f>
        <v>1977580</v>
      </c>
      <c r="AO36" s="124">
        <f>AN36/AI36</f>
        <v>5403.2240437158471</v>
      </c>
      <c r="AP36" s="125">
        <f t="shared" ref="AP36:AR36" si="38">SUM(AP5:AP35)</f>
        <v>0</v>
      </c>
      <c r="AQ36" s="110">
        <f t="shared" si="38"/>
        <v>352</v>
      </c>
      <c r="AR36" s="112">
        <f t="shared" si="38"/>
        <v>347800</v>
      </c>
      <c r="AS36" s="112"/>
      <c r="AT36" s="108">
        <f>SUM(AT5:AT35)</f>
        <v>192150</v>
      </c>
      <c r="AU36" s="113"/>
      <c r="AV36" s="108">
        <f>SUM(AV5:AV35)</f>
        <v>0</v>
      </c>
      <c r="AW36" s="108">
        <f>SUM(AW5:AW35)</f>
        <v>0</v>
      </c>
      <c r="AX36" s="118">
        <f>SUM(AX5:AX35)</f>
        <v>539150</v>
      </c>
      <c r="AY36" s="124">
        <f>AX36/AQ36</f>
        <v>1531.6761363636363</v>
      </c>
      <c r="AZ36" s="121">
        <f t="shared" ref="AZ36:BL36" si="39">SUM(AZ5:AZ35)</f>
        <v>1059</v>
      </c>
      <c r="BA36" s="117">
        <f t="shared" si="39"/>
        <v>8409272</v>
      </c>
      <c r="BB36" s="117">
        <f t="shared" si="39"/>
        <v>1994222</v>
      </c>
      <c r="BC36" s="118">
        <f>SUM(BC5:BC35)</f>
        <v>10397744</v>
      </c>
      <c r="BD36" s="126">
        <f t="shared" si="39"/>
        <v>269300</v>
      </c>
      <c r="BE36" s="127">
        <f t="shared" si="39"/>
        <v>1059</v>
      </c>
      <c r="BF36" s="127">
        <f t="shared" si="39"/>
        <v>6360952</v>
      </c>
      <c r="BG36" s="127">
        <f t="shared" si="39"/>
        <v>1283362</v>
      </c>
      <c r="BH36" s="127">
        <f t="shared" si="39"/>
        <v>269300</v>
      </c>
      <c r="BI36" s="127">
        <f t="shared" si="39"/>
        <v>0</v>
      </c>
      <c r="BJ36" s="127">
        <f t="shared" si="39"/>
        <v>21500</v>
      </c>
      <c r="BK36" s="127">
        <f t="shared" si="39"/>
        <v>12760</v>
      </c>
      <c r="BL36" s="128">
        <f t="shared" si="39"/>
        <v>7913614</v>
      </c>
      <c r="BN36" s="130">
        <f>SUM(BN5:BN35)</f>
        <v>7700254</v>
      </c>
    </row>
    <row r="37" spans="2:66" s="129" customFormat="1" ht="18">
      <c r="B37" s="131"/>
      <c r="E37" s="132" t="s">
        <v>42</v>
      </c>
      <c r="F37" s="133">
        <f>F36/1.1</f>
        <v>2408220</v>
      </c>
      <c r="G37" s="134">
        <f>F37/E36</f>
        <v>3665.4794520547944</v>
      </c>
      <c r="H37" s="135">
        <f>H36/1.1</f>
        <v>384983.63636363635</v>
      </c>
      <c r="I37" s="134">
        <f>H37/E36</f>
        <v>585.97204925972051</v>
      </c>
      <c r="J37" s="136">
        <f>J36/1.1</f>
        <v>2793203.6363636362</v>
      </c>
      <c r="K37" s="137">
        <f>G37+I37</f>
        <v>4251.4515013145146</v>
      </c>
      <c r="L37" s="138"/>
      <c r="M37" s="132" t="s">
        <v>42</v>
      </c>
      <c r="N37" s="133">
        <f>N36/1.1</f>
        <v>3374463.6363636362</v>
      </c>
      <c r="O37" s="134">
        <f>N37/M36</f>
        <v>8394.1881501582993</v>
      </c>
      <c r="P37" s="135">
        <f>P36/1.1</f>
        <v>781709.09090909082</v>
      </c>
      <c r="Q37" s="134">
        <f>P37/M36</f>
        <v>1944.549977385798</v>
      </c>
      <c r="R37" s="134">
        <f>R36/1.1</f>
        <v>4156172.7272727271</v>
      </c>
      <c r="S37" s="139">
        <f>R37/M36</f>
        <v>10338.738127544097</v>
      </c>
      <c r="T37" s="132" t="s">
        <v>42</v>
      </c>
      <c r="U37" s="133">
        <f>U36/1.1</f>
        <v>5782683.6363636358</v>
      </c>
      <c r="V37" s="133">
        <f>V36/1.1</f>
        <v>1166692.7272727273</v>
      </c>
      <c r="W37" s="136">
        <f>W36/1.1</f>
        <v>6949376.3636363633</v>
      </c>
      <c r="X37" s="140"/>
      <c r="Y37" s="138"/>
      <c r="Z37" s="132" t="s">
        <v>42</v>
      </c>
      <c r="AA37" s="132"/>
      <c r="AB37" s="133">
        <f>AB36/1.1</f>
        <v>184772.72727272726</v>
      </c>
      <c r="AC37" s="135">
        <f>AB37/Z36</f>
        <v>923.86363636363637</v>
      </c>
      <c r="AD37" s="135">
        <f>AD36/1.1</f>
        <v>34909.090909090904</v>
      </c>
      <c r="AE37" s="135">
        <f>AD37/Z36</f>
        <v>174.54545454545453</v>
      </c>
      <c r="AF37" s="134">
        <f>AF36/1.1</f>
        <v>219681.81818181818</v>
      </c>
      <c r="AG37" s="141">
        <f>AF37/Z36</f>
        <v>1098.409090909091</v>
      </c>
      <c r="AH37" s="138"/>
      <c r="AI37" s="132" t="s">
        <v>42</v>
      </c>
      <c r="AJ37" s="133">
        <f>AJ36/1.1</f>
        <v>1361154.5454545454</v>
      </c>
      <c r="AK37" s="135">
        <f>AJ37/AI36</f>
        <v>3719.0014903129654</v>
      </c>
      <c r="AL37" s="135">
        <f>AL36/1.1</f>
        <v>436645.45454545453</v>
      </c>
      <c r="AM37" s="135">
        <f>AL37/AI36</f>
        <v>1193.0203676105316</v>
      </c>
      <c r="AN37" s="134">
        <f>AN36/1.1</f>
        <v>1797799.9999999998</v>
      </c>
      <c r="AO37" s="142">
        <f>AN37/AH36</f>
        <v>199755.55555555553</v>
      </c>
      <c r="AP37" s="138"/>
      <c r="AQ37" s="132" t="s">
        <v>42</v>
      </c>
      <c r="AR37" s="133">
        <f>AR36/1.1</f>
        <v>316181.81818181818</v>
      </c>
      <c r="AS37" s="135">
        <f>AR37/AQ36</f>
        <v>898.24380165289256</v>
      </c>
      <c r="AT37" s="135">
        <f>AT36/1.1</f>
        <v>174681.81818181818</v>
      </c>
      <c r="AU37" s="135">
        <f>AT37/AQ36</f>
        <v>496.25516528925618</v>
      </c>
      <c r="AV37" s="135">
        <f>AV36/1.1</f>
        <v>0</v>
      </c>
      <c r="AW37" s="135">
        <f>AW36/1.1</f>
        <v>0</v>
      </c>
      <c r="AX37" s="134">
        <f>AX36/1.1</f>
        <v>490136.36363636359</v>
      </c>
      <c r="AY37" s="142">
        <f>AX37/AQ36</f>
        <v>1392.4328512396694</v>
      </c>
      <c r="AZ37" s="143" t="s">
        <v>42</v>
      </c>
      <c r="BA37" s="133">
        <f>BA36/1.1</f>
        <v>7644792.7272727266</v>
      </c>
      <c r="BB37" s="133">
        <f>BB36/1.1</f>
        <v>1812929.0909090908</v>
      </c>
      <c r="BC37" s="134">
        <f>BC36/1.1</f>
        <v>9452494.5454545449</v>
      </c>
      <c r="BD37" s="144">
        <f>BD36/1.1</f>
        <v>244818.18181818179</v>
      </c>
      <c r="BI37" s="145"/>
      <c r="BL37" s="146">
        <f>BL36/1.1</f>
        <v>7194194.5454545449</v>
      </c>
      <c r="BN37" s="146"/>
    </row>
    <row r="38" spans="2:66">
      <c r="C38" s="49">
        <v>29</v>
      </c>
      <c r="E38" s="147" t="s">
        <v>43</v>
      </c>
      <c r="F38" s="148">
        <f>E36/G38</f>
        <v>22.655172413793103</v>
      </c>
      <c r="G38" s="149">
        <v>29</v>
      </c>
      <c r="H38" s="148"/>
      <c r="I38" s="148"/>
      <c r="J38" s="150" t="s">
        <v>44</v>
      </c>
      <c r="K38" s="151">
        <f>J37/G38</f>
        <v>96317.366771159868</v>
      </c>
      <c r="M38" s="147" t="s">
        <v>43</v>
      </c>
      <c r="N38" s="148">
        <f>M36/O38</f>
        <v>13.862068965517242</v>
      </c>
      <c r="O38" s="149">
        <f>G38</f>
        <v>29</v>
      </c>
      <c r="P38" s="148"/>
      <c r="Q38" s="148"/>
      <c r="R38" s="150" t="s">
        <v>44</v>
      </c>
      <c r="S38" s="152">
        <f>R37/O38</f>
        <v>143316.30094043887</v>
      </c>
      <c r="U38" s="153">
        <f>O38</f>
        <v>29</v>
      </c>
      <c r="W38" s="85">
        <f>W37/U38</f>
        <v>239633.66771159874</v>
      </c>
      <c r="X38" s="79"/>
      <c r="AB38" s="154">
        <f>G38</f>
        <v>29</v>
      </c>
      <c r="AC38" s="148"/>
      <c r="AD38" s="148"/>
      <c r="AE38" s="148"/>
      <c r="AF38" s="148"/>
      <c r="AG38" s="151">
        <f>AF37/AB38</f>
        <v>7575.235109717868</v>
      </c>
      <c r="AJ38" s="154">
        <f>AB38</f>
        <v>29</v>
      </c>
      <c r="AK38" s="148"/>
      <c r="AL38" s="148"/>
      <c r="AM38" s="148"/>
      <c r="AN38" s="148"/>
      <c r="AO38" s="151">
        <f>AN37/AJ38</f>
        <v>61993.103448275855</v>
      </c>
      <c r="AR38" s="154">
        <f>G38</f>
        <v>29</v>
      </c>
      <c r="AS38" s="148"/>
      <c r="AT38" s="148"/>
      <c r="AU38" s="148"/>
      <c r="AV38" s="148"/>
      <c r="AW38" s="148"/>
      <c r="AX38" s="148"/>
      <c r="AY38" s="151">
        <f>AX37/AR38</f>
        <v>16901.253918495295</v>
      </c>
      <c r="BC38" s="85"/>
      <c r="BD38" s="79" t="e">
        <f>BC37/BE37</f>
        <v>#DIV/0!</v>
      </c>
      <c r="BE38" s="155">
        <f>AZ36+T36</f>
        <v>2118</v>
      </c>
      <c r="BH38" s="49">
        <f>BH36/1.1</f>
        <v>244818.18181818179</v>
      </c>
      <c r="BI38" s="85"/>
    </row>
    <row r="39" spans="2:66">
      <c r="D39" s="156" t="s">
        <v>45</v>
      </c>
      <c r="E39" s="157"/>
      <c r="F39" s="148"/>
      <c r="G39" s="158"/>
      <c r="H39" s="148"/>
      <c r="I39" s="148"/>
      <c r="J39" s="150"/>
      <c r="K39" s="151"/>
      <c r="L39" s="159" t="s">
        <v>46</v>
      </c>
      <c r="M39" s="147"/>
      <c r="N39" s="148"/>
      <c r="O39" s="148"/>
      <c r="P39" s="148"/>
      <c r="Q39" s="148"/>
      <c r="R39" s="150"/>
      <c r="S39" s="151"/>
      <c r="V39" s="85">
        <f>V37/T36</f>
        <v>1101.6928491716028</v>
      </c>
      <c r="W39" s="85"/>
      <c r="X39" s="79"/>
      <c r="Y39" s="159" t="s">
        <v>47</v>
      </c>
      <c r="AB39" s="148"/>
      <c r="AC39" s="148"/>
      <c r="AD39" s="148"/>
      <c r="AE39" s="148"/>
      <c r="AF39" s="148"/>
      <c r="AG39" s="151"/>
      <c r="AH39" s="159" t="s">
        <v>48</v>
      </c>
      <c r="AJ39" s="148"/>
      <c r="AK39" s="148"/>
      <c r="AL39" s="148"/>
      <c r="AM39" s="148"/>
      <c r="AN39" s="148"/>
      <c r="AO39" s="151"/>
      <c r="AP39" s="159" t="s">
        <v>49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10667044</v>
      </c>
      <c r="BD39" s="160">
        <f>BC39/G38</f>
        <v>367829.10344827588</v>
      </c>
      <c r="BE39" s="49" t="s">
        <v>50</v>
      </c>
      <c r="BI39" s="85"/>
    </row>
    <row r="40" spans="2:66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9697312.7272727266</v>
      </c>
    </row>
    <row r="41" spans="2:66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334390.0940438871</v>
      </c>
      <c r="BE41" s="49" t="s">
        <v>51</v>
      </c>
      <c r="BF41" s="49">
        <v>9</v>
      </c>
    </row>
    <row r="42" spans="2:66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174681.81818181818</v>
      </c>
    </row>
    <row r="43" spans="2:66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9697312.7272727266</v>
      </c>
      <c r="BD43" s="163" t="s">
        <v>52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6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53</v>
      </c>
      <c r="BC44" s="146">
        <f>J45+R45+AF45+BD44+AN45+AX45</f>
        <v>9046822</v>
      </c>
      <c r="BD44" s="167">
        <v>80000</v>
      </c>
      <c r="BE44" s="129"/>
      <c r="BF44" s="49">
        <v>6</v>
      </c>
      <c r="BG44" s="164">
        <v>7119727</v>
      </c>
      <c r="BH44" s="164">
        <v>2680643</v>
      </c>
      <c r="BI44" s="165">
        <f t="shared" ref="BI44:BI45" si="40">BH44/BG44</f>
        <v>0.37650923975034434</v>
      </c>
      <c r="BJ44" s="49" t="s">
        <v>54</v>
      </c>
    </row>
    <row r="45" spans="2:66" ht="21" customHeight="1">
      <c r="H45" s="168"/>
      <c r="I45" s="169" t="s">
        <v>55</v>
      </c>
      <c r="J45" s="146">
        <v>3276000</v>
      </c>
      <c r="K45" s="170" t="s">
        <v>56</v>
      </c>
      <c r="L45" s="129"/>
      <c r="M45" s="129"/>
      <c r="N45" s="129"/>
      <c r="O45" s="129"/>
      <c r="P45" s="129"/>
      <c r="Q45" s="169" t="s">
        <v>57</v>
      </c>
      <c r="R45" s="146">
        <v>4025000</v>
      </c>
      <c r="S45" s="170" t="s">
        <v>56</v>
      </c>
      <c r="T45" s="129">
        <v>10</v>
      </c>
      <c r="U45" s="129"/>
      <c r="V45" s="169" t="s">
        <v>58</v>
      </c>
      <c r="W45" s="146">
        <f>J45+R45</f>
        <v>7301000</v>
      </c>
      <c r="X45" s="170" t="s">
        <v>56</v>
      </c>
      <c r="Y45" s="129"/>
      <c r="Z45" s="129"/>
      <c r="AA45" s="129"/>
      <c r="AB45" s="129"/>
      <c r="AC45" s="129"/>
      <c r="AD45" s="129"/>
      <c r="AE45" s="168" t="s">
        <v>59</v>
      </c>
      <c r="AF45" s="146">
        <v>345400</v>
      </c>
      <c r="AG45" s="170" t="s">
        <v>56</v>
      </c>
      <c r="AH45" s="170"/>
      <c r="AI45" s="170"/>
      <c r="AJ45" s="170"/>
      <c r="AK45" s="170"/>
      <c r="AL45" s="129"/>
      <c r="AM45" s="169" t="s">
        <v>60</v>
      </c>
      <c r="AN45" s="146">
        <v>776672</v>
      </c>
      <c r="AO45" s="170" t="s">
        <v>56</v>
      </c>
      <c r="AP45" s="170"/>
      <c r="AQ45" s="170"/>
      <c r="AR45" s="170"/>
      <c r="AS45" s="170"/>
      <c r="AT45" s="129"/>
      <c r="AU45" s="169" t="s">
        <v>61</v>
      </c>
      <c r="AV45" s="169"/>
      <c r="AW45" s="169"/>
      <c r="AX45" s="146">
        <v>543750</v>
      </c>
      <c r="AY45" s="170" t="s">
        <v>56</v>
      </c>
      <c r="AZ45" s="129"/>
      <c r="BA45" s="129"/>
      <c r="BB45" s="166" t="s">
        <v>62</v>
      </c>
      <c r="BC45" s="145">
        <f>BC44-BC37-BD37</f>
        <v>-650490.72727272671</v>
      </c>
      <c r="BD45" s="145">
        <f>BD44-BD37</f>
        <v>-164818.18181818179</v>
      </c>
      <c r="BE45" s="171">
        <f>BD37/BD44</f>
        <v>3.0602272727272726</v>
      </c>
      <c r="BF45" s="49">
        <v>5</v>
      </c>
      <c r="BG45" s="164">
        <v>637682</v>
      </c>
      <c r="BH45" s="164"/>
      <c r="BI45" s="165">
        <f t="shared" si="40"/>
        <v>0</v>
      </c>
      <c r="BJ45" s="79" t="s">
        <v>63</v>
      </c>
      <c r="BN45" s="49"/>
    </row>
    <row r="46" spans="2:66" ht="21" customHeight="1">
      <c r="H46" s="168"/>
      <c r="I46" s="168" t="s">
        <v>62</v>
      </c>
      <c r="J46" s="145">
        <f>J45-J37</f>
        <v>482796.36363636376</v>
      </c>
      <c r="K46" s="172">
        <f>C38-G38</f>
        <v>0</v>
      </c>
      <c r="L46" s="129"/>
      <c r="M46" s="129"/>
      <c r="N46" s="129"/>
      <c r="O46" s="129"/>
      <c r="P46" s="129"/>
      <c r="Q46" s="168" t="s">
        <v>62</v>
      </c>
      <c r="R46" s="145">
        <f>R45-R37</f>
        <v>-131172.72727272706</v>
      </c>
      <c r="S46" s="129">
        <f>K46</f>
        <v>0</v>
      </c>
      <c r="T46" s="129"/>
      <c r="U46" s="129"/>
      <c r="V46" s="168" t="s">
        <v>62</v>
      </c>
      <c r="W46" s="145">
        <f>W45-W37</f>
        <v>351623.6363636367</v>
      </c>
      <c r="X46" s="129">
        <f>S46</f>
        <v>0</v>
      </c>
      <c r="Y46" s="129"/>
      <c r="Z46" s="129"/>
      <c r="AA46" s="129"/>
      <c r="AB46" s="129"/>
      <c r="AC46" s="129"/>
      <c r="AD46" s="129"/>
      <c r="AE46" s="168" t="s">
        <v>62</v>
      </c>
      <c r="AF46" s="145">
        <f>AF45-AF37</f>
        <v>125718.18181818182</v>
      </c>
      <c r="AG46" s="129">
        <f>K46</f>
        <v>0</v>
      </c>
      <c r="AH46" s="129"/>
      <c r="AI46" s="129"/>
      <c r="AJ46" s="129"/>
      <c r="AK46" s="129"/>
      <c r="AL46" s="129"/>
      <c r="AM46" s="168" t="s">
        <v>62</v>
      </c>
      <c r="AN46" s="145">
        <f>AN45-AN37</f>
        <v>-1021127.9999999998</v>
      </c>
      <c r="AO46" s="129">
        <f>AG46</f>
        <v>0</v>
      </c>
      <c r="AP46" s="129"/>
      <c r="AQ46" s="129"/>
      <c r="AR46" s="129"/>
      <c r="AS46" s="129"/>
      <c r="AT46" s="129"/>
      <c r="AU46" s="168" t="s">
        <v>62</v>
      </c>
      <c r="AV46" s="168"/>
      <c r="AW46" s="173"/>
      <c r="AX46" s="145">
        <f>AX45-AX37</f>
        <v>53613.636363636411</v>
      </c>
      <c r="AY46" s="129">
        <f>AO46</f>
        <v>0</v>
      </c>
      <c r="AZ46" s="129"/>
      <c r="BA46" s="174"/>
      <c r="BB46" s="175" t="s">
        <v>64</v>
      </c>
      <c r="BC46" s="176" t="e">
        <f>BC45/K46</f>
        <v>#DIV/0!</v>
      </c>
      <c r="BD46" s="177">
        <f>(BC37+BD37)/BC44</f>
        <v>1.0719026777881477</v>
      </c>
      <c r="BE46" s="174"/>
      <c r="BF46" s="178"/>
      <c r="BG46" s="179">
        <f>SUM(BG41:BG45)</f>
        <v>23775727.18181818</v>
      </c>
      <c r="BH46" s="180">
        <f>BL71</f>
        <v>9138052</v>
      </c>
      <c r="BI46" s="181">
        <f>BH46/BG46</f>
        <v>0.38434374394184961</v>
      </c>
      <c r="BJ46" s="182">
        <f>BG46-BH46</f>
        <v>14637675.18181818</v>
      </c>
      <c r="BN46" s="49"/>
    </row>
    <row r="47" spans="2:66" s="178" customFormat="1" ht="26" customHeight="1">
      <c r="B47" s="183"/>
      <c r="H47" s="184"/>
      <c r="I47" s="175" t="s">
        <v>64</v>
      </c>
      <c r="J47" s="185" t="e">
        <f>J46/K46</f>
        <v>#DIV/0!</v>
      </c>
      <c r="K47" s="186">
        <f>J37/J45</f>
        <v>0.85262626262626262</v>
      </c>
      <c r="L47" s="174"/>
      <c r="M47" s="174"/>
      <c r="N47" s="174"/>
      <c r="O47" s="174"/>
      <c r="P47" s="174"/>
      <c r="Q47" s="175" t="s">
        <v>64</v>
      </c>
      <c r="R47" s="176" t="e">
        <f>R46/S46</f>
        <v>#DIV/0!</v>
      </c>
      <c r="S47" s="186">
        <f>R37/R45</f>
        <v>1.0325894974590626</v>
      </c>
      <c r="T47" s="174"/>
      <c r="U47" s="174"/>
      <c r="V47" s="175" t="s">
        <v>64</v>
      </c>
      <c r="W47" s="176" t="e">
        <f>W46/X46</f>
        <v>#DIV/0!</v>
      </c>
      <c r="X47" s="186">
        <f>W37/W45</f>
        <v>0.9518389759808743</v>
      </c>
      <c r="Y47" s="174"/>
      <c r="Z47" s="174"/>
      <c r="AA47" s="174"/>
      <c r="AB47" s="174"/>
      <c r="AC47" s="174"/>
      <c r="AD47" s="174"/>
      <c r="AE47" s="175" t="s">
        <v>64</v>
      </c>
      <c r="AF47" s="185" t="e">
        <f>AF46/AG46</f>
        <v>#DIV/0!</v>
      </c>
      <c r="AG47" s="186">
        <f>AF37/AF45</f>
        <v>0.63602147707532763</v>
      </c>
      <c r="AH47" s="186"/>
      <c r="AI47" s="186"/>
      <c r="AJ47" s="186"/>
      <c r="AK47" s="186"/>
      <c r="AL47" s="174"/>
      <c r="AM47" s="175" t="s">
        <v>64</v>
      </c>
      <c r="AN47" s="176" t="e">
        <f>AN46/AO46</f>
        <v>#DIV/0!</v>
      </c>
      <c r="AO47" s="186">
        <f>AN37/AN45</f>
        <v>2.3147480532322522</v>
      </c>
      <c r="AP47" s="186"/>
      <c r="AQ47" s="186"/>
      <c r="AR47" s="186"/>
      <c r="AS47" s="186"/>
      <c r="AT47" s="174"/>
      <c r="AU47" s="175" t="s">
        <v>64</v>
      </c>
      <c r="AV47" s="175"/>
      <c r="AW47" s="175" t="e">
        <f>AW46/AY46</f>
        <v>#DIV/0!</v>
      </c>
      <c r="AX47" s="176" t="e">
        <f>AX46/AY46</f>
        <v>#DIV/0!</v>
      </c>
      <c r="AY47" s="186">
        <f>AX37/AX45</f>
        <v>0.90140020898641582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6">
      <c r="H48" s="49">
        <v>931</v>
      </c>
      <c r="I48" s="49">
        <f>H48/31</f>
        <v>30.032258064516128</v>
      </c>
      <c r="K48" s="49">
        <f>J45/31</f>
        <v>105677.41935483871</v>
      </c>
      <c r="P48" s="49">
        <v>557</v>
      </c>
      <c r="Q48" s="49">
        <f>P48/31</f>
        <v>17.967741935483872</v>
      </c>
      <c r="S48" s="49">
        <f>R45/31</f>
        <v>129838.70967741935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I49" s="188" t="s">
        <v>65</v>
      </c>
      <c r="J49" s="190">
        <f>(I5+I8+I9+I10+I11+I12+I15+I16+I17+I18+I19+I22+I23+I24+I25+I26)/16</f>
        <v>614.54732606270647</v>
      </c>
      <c r="K49" s="188">
        <v>800000</v>
      </c>
      <c r="L49" s="191"/>
      <c r="M49" s="49"/>
      <c r="N49" s="49"/>
      <c r="O49" s="49"/>
      <c r="P49" s="49"/>
      <c r="Q49" s="49"/>
      <c r="R49" s="191">
        <v>400000</v>
      </c>
      <c r="AF49" s="188">
        <f>AF45/30</f>
        <v>11513.333333333334</v>
      </c>
      <c r="AR49" s="192">
        <f>AQ14+AQ21</f>
        <v>0</v>
      </c>
      <c r="AS49" s="193" t="e">
        <f>AS14+AS21</f>
        <v>#DIV/0!</v>
      </c>
      <c r="AT49" s="193" t="e">
        <f>AU14+AU21</f>
        <v>#DIV/0!</v>
      </c>
      <c r="AX49" s="188">
        <f>AX45/30</f>
        <v>18125</v>
      </c>
      <c r="BA49" s="1"/>
      <c r="BB49" s="1"/>
      <c r="BC49" s="1"/>
      <c r="BD49" s="1"/>
      <c r="BE49" s="194" t="s">
        <v>66</v>
      </c>
      <c r="BF49" s="1" t="s">
        <v>67</v>
      </c>
      <c r="BG49" s="1" t="s">
        <v>68</v>
      </c>
      <c r="BH49" s="1" t="s">
        <v>69</v>
      </c>
      <c r="BI49" s="1" t="s">
        <v>70</v>
      </c>
      <c r="BJ49" s="195" t="s">
        <v>71</v>
      </c>
      <c r="BK49" s="195" t="s">
        <v>72</v>
      </c>
      <c r="BL49" s="195" t="s">
        <v>73</v>
      </c>
    </row>
    <row r="50" spans="2:64" s="1" customFormat="1" ht="24" customHeight="1">
      <c r="B50" s="189"/>
      <c r="I50" s="1" t="s">
        <v>74</v>
      </c>
      <c r="J50" s="190" t="e">
        <f>(I6+I7+I13+I14+I20+I21+I27)/7</f>
        <v>#DIV/0!</v>
      </c>
      <c r="L50" s="196"/>
      <c r="M50" s="49"/>
      <c r="N50" s="49"/>
      <c r="O50" s="49"/>
      <c r="P50" s="49"/>
      <c r="Q50" s="49"/>
      <c r="R50" s="196"/>
      <c r="S50" s="196"/>
      <c r="Z50" s="197"/>
      <c r="AA50" s="197"/>
      <c r="AR50" s="1">
        <f>AR49/2</f>
        <v>0</v>
      </c>
      <c r="AS50" s="198" t="e">
        <f t="shared" ref="AS50:AT50" si="41">AS49/2</f>
        <v>#DIV/0!</v>
      </c>
      <c r="AT50" s="198" t="e">
        <f t="shared" si="41"/>
        <v>#DIV/0!</v>
      </c>
      <c r="AX50" s="1">
        <v>54000000</v>
      </c>
      <c r="AY50" s="199">
        <f>AX50-AX37</f>
        <v>53509863.636363633</v>
      </c>
      <c r="BA50" s="188"/>
      <c r="BB50" s="188"/>
      <c r="BC50" s="188"/>
      <c r="BD50" s="188"/>
      <c r="BE50" s="194" t="s">
        <v>75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K51" s="1"/>
      <c r="L51" s="196"/>
      <c r="M51" s="49"/>
      <c r="N51" s="49"/>
      <c r="O51" s="49"/>
      <c r="P51" s="49"/>
      <c r="Q51" s="49"/>
      <c r="R51" s="203"/>
      <c r="S51" s="204"/>
      <c r="T51" s="204"/>
      <c r="U51" s="204" t="s">
        <v>76</v>
      </c>
      <c r="V51" s="204"/>
      <c r="W51" s="205"/>
      <c r="X51" s="206"/>
      <c r="Y51" s="194"/>
      <c r="Z51" s="202"/>
      <c r="AA51" s="202"/>
      <c r="AY51" s="188" t="e">
        <f>AY50/AY46</f>
        <v>#DIV/0!</v>
      </c>
      <c r="BE51" s="194" t="s">
        <v>77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2">BF51*BG51</f>
        <v>6912000</v>
      </c>
      <c r="BK51" s="202">
        <f t="shared" ref="BK51:BK70" si="43">BF51*BH51</f>
        <v>216000</v>
      </c>
      <c r="BL51" s="202">
        <f t="shared" ref="BL51:BL70" si="44">BJ51-BK51</f>
        <v>6696000</v>
      </c>
    </row>
    <row r="52" spans="2:64" s="188" customFormat="1" ht="24" customHeight="1">
      <c r="B52" s="189"/>
      <c r="K52" s="1"/>
      <c r="L52" s="196"/>
      <c r="M52" s="49"/>
      <c r="N52" s="49"/>
      <c r="O52" s="49"/>
      <c r="P52" s="49"/>
      <c r="Q52" s="49"/>
      <c r="R52" s="205"/>
      <c r="S52" s="204"/>
      <c r="T52" s="204"/>
      <c r="U52" s="207" t="s">
        <v>78</v>
      </c>
      <c r="V52" s="208" t="s">
        <v>79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80</v>
      </c>
      <c r="BF52" s="200">
        <v>6120</v>
      </c>
      <c r="BG52" s="200">
        <v>40</v>
      </c>
      <c r="BH52" s="200">
        <v>4</v>
      </c>
      <c r="BI52" s="200"/>
      <c r="BJ52" s="202">
        <f t="shared" si="42"/>
        <v>244800</v>
      </c>
      <c r="BK52" s="202">
        <f t="shared" si="43"/>
        <v>24480</v>
      </c>
      <c r="BL52" s="202">
        <f t="shared" si="44"/>
        <v>220320</v>
      </c>
    </row>
    <row r="53" spans="2:64" s="188" customFormat="1" ht="24" customHeight="1">
      <c r="B53" s="189"/>
      <c r="K53" s="1"/>
      <c r="L53" s="196"/>
      <c r="M53" s="49"/>
      <c r="N53" s="49"/>
      <c r="O53" s="49"/>
      <c r="P53" s="49"/>
      <c r="Q53" s="49"/>
      <c r="R53" s="205"/>
      <c r="S53" s="204"/>
      <c r="T53" s="204"/>
      <c r="U53" s="207"/>
      <c r="V53" s="208" t="s">
        <v>81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82</v>
      </c>
      <c r="BE53" s="194" t="s">
        <v>83</v>
      </c>
      <c r="BF53" s="200">
        <v>1780</v>
      </c>
      <c r="BG53" s="200">
        <v>24</v>
      </c>
      <c r="BH53" s="200">
        <v>4</v>
      </c>
      <c r="BI53" s="200"/>
      <c r="BJ53" s="202">
        <f t="shared" si="42"/>
        <v>42720</v>
      </c>
      <c r="BK53" s="202">
        <f t="shared" si="43"/>
        <v>7120</v>
      </c>
      <c r="BL53" s="202">
        <f t="shared" si="44"/>
        <v>35600</v>
      </c>
    </row>
    <row r="54" spans="2:64" s="188" customFormat="1" ht="24" customHeight="1">
      <c r="B54" s="189"/>
      <c r="K54" s="1"/>
      <c r="L54" s="196"/>
      <c r="M54" s="49"/>
      <c r="N54" s="49"/>
      <c r="O54" s="49"/>
      <c r="P54" s="49"/>
      <c r="Q54" s="49"/>
      <c r="R54" s="205"/>
      <c r="S54" s="204"/>
      <c r="T54" s="204"/>
      <c r="U54" s="213" t="s">
        <v>84</v>
      </c>
      <c r="V54" s="208" t="s">
        <v>79</v>
      </c>
      <c r="W54" s="209"/>
      <c r="X54" s="210" t="e">
        <f t="shared" ref="X54" si="45">W54/Y54</f>
        <v>#DIV/0!</v>
      </c>
      <c r="Y54" s="211">
        <f t="shared" ref="Y54" si="46">W54+W55</f>
        <v>0</v>
      </c>
      <c r="Z54" s="212"/>
      <c r="AA54" s="212"/>
      <c r="AB54" s="212"/>
      <c r="BE54" s="194" t="s">
        <v>85</v>
      </c>
      <c r="BF54" s="200">
        <v>1780</v>
      </c>
      <c r="BG54" s="200">
        <v>24</v>
      </c>
      <c r="BH54" s="200">
        <v>20</v>
      </c>
      <c r="BI54" s="200"/>
      <c r="BJ54" s="202">
        <f t="shared" si="42"/>
        <v>42720</v>
      </c>
      <c r="BK54" s="202">
        <f t="shared" si="43"/>
        <v>35600</v>
      </c>
      <c r="BL54" s="202">
        <f t="shared" si="44"/>
        <v>7120</v>
      </c>
    </row>
    <row r="55" spans="2:64" s="188" customFormat="1" ht="24" customHeight="1">
      <c r="B55" s="189"/>
      <c r="L55" s="191"/>
      <c r="M55" s="49"/>
      <c r="N55" s="49"/>
      <c r="O55" s="49"/>
      <c r="P55" s="49"/>
      <c r="Q55" s="49"/>
      <c r="R55" s="214"/>
      <c r="S55" s="204"/>
      <c r="T55" s="204"/>
      <c r="U55" s="213"/>
      <c r="V55" s="208" t="s">
        <v>81</v>
      </c>
      <c r="W55" s="209"/>
      <c r="X55" s="210" t="e">
        <f t="shared" ref="X55" si="47">W55/Y54</f>
        <v>#DIV/0!</v>
      </c>
      <c r="Y55" s="212"/>
      <c r="Z55" s="212"/>
      <c r="AA55" s="212"/>
      <c r="AB55" s="212"/>
      <c r="BA55" s="49"/>
      <c r="BB55" s="49"/>
      <c r="BC55" s="49"/>
      <c r="BD55" s="49"/>
      <c r="BE55" s="194" t="s">
        <v>86</v>
      </c>
      <c r="BF55" s="215">
        <v>8190</v>
      </c>
      <c r="BG55" s="200">
        <v>13</v>
      </c>
      <c r="BH55" s="200">
        <v>4</v>
      </c>
      <c r="BI55" s="200"/>
      <c r="BJ55" s="202">
        <f t="shared" si="42"/>
        <v>106470</v>
      </c>
      <c r="BK55" s="202">
        <f t="shared" si="43"/>
        <v>32760</v>
      </c>
      <c r="BL55" s="202">
        <f t="shared" si="44"/>
        <v>73710</v>
      </c>
    </row>
    <row r="56" spans="2:64" ht="24" customHeight="1">
      <c r="U56" s="216" t="s">
        <v>2</v>
      </c>
      <c r="V56" s="217" t="s">
        <v>79</v>
      </c>
      <c r="W56" s="209"/>
      <c r="X56" s="210" t="e">
        <f t="shared" ref="X56:X58" si="48">W56/Y56</f>
        <v>#DIV/0!</v>
      </c>
      <c r="Y56" s="211">
        <f t="shared" ref="Y56" si="49">W56+W57</f>
        <v>0</v>
      </c>
      <c r="Z56" s="212"/>
      <c r="AA56" s="212"/>
      <c r="AB56" s="212"/>
      <c r="BE56" s="194" t="s">
        <v>87</v>
      </c>
      <c r="BF56" s="215">
        <v>5784</v>
      </c>
      <c r="BG56" s="215">
        <v>36</v>
      </c>
      <c r="BH56" s="215">
        <v>28</v>
      </c>
      <c r="BI56" s="215"/>
      <c r="BJ56" s="202">
        <f t="shared" si="42"/>
        <v>208224</v>
      </c>
      <c r="BK56" s="202">
        <f t="shared" si="43"/>
        <v>161952</v>
      </c>
      <c r="BL56" s="202">
        <f t="shared" si="44"/>
        <v>46272</v>
      </c>
    </row>
    <row r="57" spans="2:64" ht="24" customHeight="1">
      <c r="U57" s="216"/>
      <c r="V57" s="217" t="s">
        <v>81</v>
      </c>
      <c r="W57" s="209"/>
      <c r="X57" s="210" t="e">
        <f t="shared" ref="X57:X59" si="50">W57/Y56</f>
        <v>#DIV/0!</v>
      </c>
      <c r="Y57" s="212"/>
      <c r="Z57" s="212"/>
      <c r="AA57" s="212"/>
      <c r="AB57" s="212"/>
      <c r="BE57" s="194" t="s">
        <v>88</v>
      </c>
      <c r="BF57" s="215">
        <v>6775</v>
      </c>
      <c r="BG57" s="215">
        <v>12</v>
      </c>
      <c r="BH57" s="215">
        <v>11</v>
      </c>
      <c r="BI57" s="215"/>
      <c r="BJ57" s="202">
        <f t="shared" si="42"/>
        <v>81300</v>
      </c>
      <c r="BK57" s="202">
        <f t="shared" si="43"/>
        <v>74525</v>
      </c>
      <c r="BL57" s="202">
        <f t="shared" si="44"/>
        <v>6775</v>
      </c>
    </row>
    <row r="58" spans="2:64" ht="24" customHeight="1">
      <c r="U58" s="218" t="s">
        <v>89</v>
      </c>
      <c r="V58" s="217" t="s">
        <v>79</v>
      </c>
      <c r="W58" s="209"/>
      <c r="X58" s="210" t="e">
        <f t="shared" si="48"/>
        <v>#DIV/0!</v>
      </c>
      <c r="Y58" s="219">
        <f>SUM(Y52:AB56)</f>
        <v>0</v>
      </c>
      <c r="Z58" s="220"/>
      <c r="AA58" s="220"/>
      <c r="AB58" s="220"/>
      <c r="BE58" s="194" t="s">
        <v>90</v>
      </c>
      <c r="BF58" s="215">
        <v>1755</v>
      </c>
      <c r="BG58" s="215">
        <v>14</v>
      </c>
      <c r="BH58" s="215">
        <v>2</v>
      </c>
      <c r="BI58" s="215"/>
      <c r="BJ58" s="202">
        <f t="shared" si="42"/>
        <v>24570</v>
      </c>
      <c r="BK58" s="202">
        <f t="shared" si="43"/>
        <v>3510</v>
      </c>
      <c r="BL58" s="202">
        <f t="shared" si="44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81</v>
      </c>
      <c r="W59" s="209"/>
      <c r="X59" s="210" t="e">
        <f t="shared" si="50"/>
        <v>#DIV/0!</v>
      </c>
      <c r="Y59" s="220"/>
      <c r="Z59" s="220"/>
      <c r="AA59" s="220"/>
      <c r="AB59" s="220"/>
      <c r="BE59" s="194" t="s">
        <v>91</v>
      </c>
      <c r="BF59" s="215">
        <v>1755</v>
      </c>
      <c r="BG59" s="215">
        <v>10</v>
      </c>
      <c r="BH59" s="215">
        <v>0</v>
      </c>
      <c r="BI59" s="215"/>
      <c r="BJ59" s="202">
        <f t="shared" si="42"/>
        <v>17550</v>
      </c>
      <c r="BK59" s="202">
        <f t="shared" si="43"/>
        <v>0</v>
      </c>
      <c r="BL59" s="202">
        <f t="shared" si="44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92</v>
      </c>
      <c r="BF60" s="215">
        <v>1075</v>
      </c>
      <c r="BG60" s="215">
        <v>96</v>
      </c>
      <c r="BH60" s="215">
        <v>38</v>
      </c>
      <c r="BI60" s="215"/>
      <c r="BJ60" s="202">
        <f t="shared" si="42"/>
        <v>103200</v>
      </c>
      <c r="BK60" s="202">
        <f t="shared" si="43"/>
        <v>40850</v>
      </c>
      <c r="BL60" s="202">
        <f t="shared" si="44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93</v>
      </c>
      <c r="BF61" s="215">
        <v>3860</v>
      </c>
      <c r="BG61" s="215">
        <v>166</v>
      </c>
      <c r="BH61" s="215">
        <v>13</v>
      </c>
      <c r="BI61" s="215"/>
      <c r="BJ61" s="202">
        <f t="shared" si="42"/>
        <v>640760</v>
      </c>
      <c r="BK61" s="202">
        <f t="shared" si="43"/>
        <v>50180</v>
      </c>
      <c r="BL61" s="202">
        <f t="shared" si="44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94</v>
      </c>
      <c r="BF62" s="215">
        <v>6450</v>
      </c>
      <c r="BG62" s="215">
        <v>137</v>
      </c>
      <c r="BH62" s="215">
        <v>12</v>
      </c>
      <c r="BI62" s="215"/>
      <c r="BJ62" s="202">
        <f t="shared" si="42"/>
        <v>883650</v>
      </c>
      <c r="BK62" s="202">
        <f t="shared" si="43"/>
        <v>77400</v>
      </c>
      <c r="BL62" s="202">
        <f t="shared" si="44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95</v>
      </c>
      <c r="BF63" s="215">
        <v>1380</v>
      </c>
      <c r="BG63" s="215">
        <v>35</v>
      </c>
      <c r="BH63" s="215">
        <v>5</v>
      </c>
      <c r="BI63" s="215"/>
      <c r="BJ63" s="202">
        <f t="shared" si="42"/>
        <v>48300</v>
      </c>
      <c r="BK63" s="202">
        <f t="shared" si="43"/>
        <v>6900</v>
      </c>
      <c r="BL63" s="202">
        <f t="shared" si="44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96</v>
      </c>
      <c r="BF64" s="215">
        <v>1380</v>
      </c>
      <c r="BG64" s="215">
        <v>39</v>
      </c>
      <c r="BH64" s="215">
        <v>6</v>
      </c>
      <c r="BI64" s="215"/>
      <c r="BJ64" s="202">
        <f t="shared" si="42"/>
        <v>53820</v>
      </c>
      <c r="BK64" s="202">
        <f t="shared" si="43"/>
        <v>8280</v>
      </c>
      <c r="BL64" s="202">
        <f t="shared" si="44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97</v>
      </c>
      <c r="BF65" s="215">
        <v>160</v>
      </c>
      <c r="BG65" s="215">
        <v>594</v>
      </c>
      <c r="BH65" s="215">
        <v>53</v>
      </c>
      <c r="BI65" s="215"/>
      <c r="BJ65" s="202">
        <f t="shared" si="42"/>
        <v>95040</v>
      </c>
      <c r="BK65" s="202">
        <f t="shared" si="43"/>
        <v>8480</v>
      </c>
      <c r="BL65" s="202">
        <f t="shared" si="44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98</v>
      </c>
      <c r="BF66" s="215">
        <v>160</v>
      </c>
      <c r="BG66" s="215">
        <v>300</v>
      </c>
      <c r="BH66" s="215">
        <v>47</v>
      </c>
      <c r="BI66" s="215"/>
      <c r="BJ66" s="202">
        <f t="shared" si="42"/>
        <v>48000</v>
      </c>
      <c r="BK66" s="202">
        <f t="shared" si="43"/>
        <v>7520</v>
      </c>
      <c r="BL66" s="202">
        <f t="shared" si="44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99</v>
      </c>
      <c r="BF67" s="215">
        <v>205</v>
      </c>
      <c r="BG67" s="215">
        <v>366</v>
      </c>
      <c r="BH67" s="215">
        <v>49</v>
      </c>
      <c r="BI67" s="215"/>
      <c r="BJ67" s="202">
        <f t="shared" si="42"/>
        <v>75030</v>
      </c>
      <c r="BK67" s="202">
        <f t="shared" si="43"/>
        <v>10045</v>
      </c>
      <c r="BL67" s="202">
        <f t="shared" si="44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100</v>
      </c>
      <c r="BF68" s="215">
        <v>295</v>
      </c>
      <c r="BG68" s="215">
        <v>612</v>
      </c>
      <c r="BH68" s="215">
        <v>86</v>
      </c>
      <c r="BI68" s="215"/>
      <c r="BJ68" s="202">
        <f t="shared" si="42"/>
        <v>180540</v>
      </c>
      <c r="BK68" s="202">
        <f t="shared" si="43"/>
        <v>25370</v>
      </c>
      <c r="BL68" s="202">
        <f t="shared" si="44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101</v>
      </c>
      <c r="BF69" s="215">
        <v>70</v>
      </c>
      <c r="BG69" s="215">
        <v>480</v>
      </c>
      <c r="BH69" s="215">
        <v>71</v>
      </c>
      <c r="BI69" s="215"/>
      <c r="BJ69" s="202">
        <f t="shared" si="42"/>
        <v>33600</v>
      </c>
      <c r="BK69" s="202">
        <f t="shared" si="43"/>
        <v>4970</v>
      </c>
      <c r="BL69" s="202">
        <f t="shared" si="44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102</v>
      </c>
      <c r="BF70" s="215">
        <v>2450</v>
      </c>
      <c r="BG70" s="215">
        <v>31</v>
      </c>
      <c r="BH70" s="215">
        <v>9</v>
      </c>
      <c r="BI70" s="215"/>
      <c r="BJ70" s="202">
        <f t="shared" si="42"/>
        <v>75950</v>
      </c>
      <c r="BK70" s="202">
        <f t="shared" si="43"/>
        <v>22050</v>
      </c>
      <c r="BL70" s="202">
        <f t="shared" si="44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1">SUM(BK50:BK70)</f>
        <v>817992</v>
      </c>
      <c r="BL71" s="221">
        <f t="shared" si="51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19D-CDAF-0C4B-92A6-8F82029F6B7F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7" width="7.5703125" style="49" customWidth="1"/>
    <col min="48" max="49" width="9.140625" style="49" customWidth="1"/>
    <col min="50" max="50" width="11.28515625" style="49" customWidth="1"/>
    <col min="51" max="51" width="7.570312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5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/>
      <c r="AH3" s="17" t="s">
        <v>7</v>
      </c>
      <c r="AI3" s="18"/>
      <c r="AJ3" s="18"/>
      <c r="AK3" s="18"/>
      <c r="AL3" s="18"/>
      <c r="AM3" s="18"/>
      <c r="AN3" s="18"/>
      <c r="AO3" s="19"/>
      <c r="AP3" s="20" t="s">
        <v>8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9</v>
      </c>
      <c r="BA3" s="14"/>
      <c r="BB3" s="14"/>
      <c r="BC3" s="14"/>
      <c r="BD3" s="24"/>
      <c r="BE3" s="25" t="s">
        <v>10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26</v>
      </c>
      <c r="AB4" s="37" t="s">
        <v>22</v>
      </c>
      <c r="AC4" s="40" t="s">
        <v>27</v>
      </c>
      <c r="AD4" s="37" t="s">
        <v>23</v>
      </c>
      <c r="AE4" s="38" t="s">
        <v>28</v>
      </c>
      <c r="AF4" s="41" t="s">
        <v>29</v>
      </c>
      <c r="AG4" s="42" t="s">
        <v>19</v>
      </c>
      <c r="AH4" s="43" t="s">
        <v>30</v>
      </c>
      <c r="AI4" s="30" t="s">
        <v>13</v>
      </c>
      <c r="AJ4" s="30" t="s">
        <v>22</v>
      </c>
      <c r="AK4" s="32" t="s">
        <v>27</v>
      </c>
      <c r="AL4" s="30" t="s">
        <v>23</v>
      </c>
      <c r="AM4" s="33" t="s">
        <v>28</v>
      </c>
      <c r="AN4" s="34" t="s">
        <v>29</v>
      </c>
      <c r="AO4" s="40" t="s">
        <v>19</v>
      </c>
      <c r="AP4" s="44" t="s">
        <v>30</v>
      </c>
      <c r="AQ4" s="30" t="s">
        <v>13</v>
      </c>
      <c r="AR4" s="30" t="s">
        <v>22</v>
      </c>
      <c r="AS4" s="32" t="s">
        <v>27</v>
      </c>
      <c r="AT4" s="30" t="s">
        <v>23</v>
      </c>
      <c r="AU4" s="33" t="s">
        <v>28</v>
      </c>
      <c r="AV4" s="33" t="s">
        <v>31</v>
      </c>
      <c r="AW4" s="33" t="s">
        <v>32</v>
      </c>
      <c r="AX4" s="34" t="s">
        <v>29</v>
      </c>
      <c r="AY4" s="40" t="s">
        <v>19</v>
      </c>
      <c r="AZ4" s="40" t="s">
        <v>21</v>
      </c>
      <c r="BA4" s="37" t="s">
        <v>22</v>
      </c>
      <c r="BB4" s="37" t="s">
        <v>23</v>
      </c>
      <c r="BC4" s="38" t="s">
        <v>24</v>
      </c>
      <c r="BD4" s="38" t="s">
        <v>33</v>
      </c>
      <c r="BE4" s="45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6" t="s">
        <v>40</v>
      </c>
      <c r="BL4" s="47" t="s">
        <v>41</v>
      </c>
      <c r="BN4" s="48"/>
    </row>
    <row r="5" spans="1:68" ht="20" customHeight="1" thickTop="1">
      <c r="B5" s="50">
        <f>DATE($A$2,$B$2,1)</f>
        <v>45778</v>
      </c>
      <c r="C5" s="51"/>
      <c r="D5" s="52"/>
      <c r="E5" s="53">
        <v>28</v>
      </c>
      <c r="F5" s="54">
        <v>106700</v>
      </c>
      <c r="G5" s="55">
        <f t="shared" ref="G5:G35" si="0">ROUNDDOWN(F5/1.1,0)/E5</f>
        <v>3464.2857142857142</v>
      </c>
      <c r="H5" s="54">
        <v>18010</v>
      </c>
      <c r="I5" s="56">
        <f>ROUNDDOWN(H5/1.1,0)/E5</f>
        <v>584.71428571428567</v>
      </c>
      <c r="J5" s="57">
        <f t="shared" ref="J5:J35" si="1">F5+H5</f>
        <v>124710</v>
      </c>
      <c r="K5" s="58">
        <f t="shared" ref="K5:K35" si="2">IF(E5="","",J5/E5)</f>
        <v>4453.9285714285716</v>
      </c>
      <c r="L5" s="59"/>
      <c r="M5" s="60">
        <f t="shared" ref="M5:N35" si="3">BE5-E5</f>
        <v>11</v>
      </c>
      <c r="N5" s="61">
        <f t="shared" si="3"/>
        <v>93720</v>
      </c>
      <c r="O5" s="55">
        <f t="shared" ref="O5:O35" si="4">ROUNDDOWN(N5/1.1,0)/M5</f>
        <v>7745.454545454545</v>
      </c>
      <c r="P5" s="61">
        <f t="shared" ref="P5:P35" si="5">BG5-H5</f>
        <v>20630</v>
      </c>
      <c r="Q5" s="56">
        <f t="shared" ref="Q5:Q35" si="6">ROUNDDOWN(P5/1.1,0)/M5</f>
        <v>1704.909090909091</v>
      </c>
      <c r="R5" s="62">
        <f t="shared" ref="R5:R35" si="7">N5+P5</f>
        <v>114350</v>
      </c>
      <c r="S5" s="58">
        <f t="shared" ref="S5:S35" si="8">IF(M5="","",R5/M5)</f>
        <v>10395.454545454546</v>
      </c>
      <c r="T5" s="63">
        <f t="shared" ref="T5:U35" si="9">E5+M5</f>
        <v>39</v>
      </c>
      <c r="U5" s="61">
        <f t="shared" si="9"/>
        <v>200420</v>
      </c>
      <c r="V5" s="61">
        <f t="shared" ref="V5:V35" si="10">H5+P5</f>
        <v>38640</v>
      </c>
      <c r="W5" s="64">
        <f t="shared" ref="W5:W35" si="11">J5+R5</f>
        <v>239060</v>
      </c>
      <c r="X5" s="61"/>
      <c r="Y5" s="65"/>
      <c r="Z5" s="66">
        <v>5</v>
      </c>
      <c r="AA5" s="66">
        <v>4</v>
      </c>
      <c r="AB5" s="54">
        <v>10350</v>
      </c>
      <c r="AC5" s="55">
        <f t="shared" ref="AC5:AC35" si="12">AB5/Z5</f>
        <v>2070</v>
      </c>
      <c r="AD5" s="54">
        <v>1000</v>
      </c>
      <c r="AE5" s="56">
        <f t="shared" ref="AE5:AE35" si="13">AD5/Z5</f>
        <v>200</v>
      </c>
      <c r="AF5" s="67">
        <f t="shared" ref="AF5:AF35" si="14">AB5+AD5</f>
        <v>11350</v>
      </c>
      <c r="AG5" s="58">
        <f t="shared" ref="AG5:AG35" si="15">IF(Z5="","",AF5/Z5)</f>
        <v>2270</v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>
        <v>118</v>
      </c>
      <c r="AR5" s="54">
        <v>107800</v>
      </c>
      <c r="AS5" s="55">
        <f t="shared" ref="AS5:AS35" si="19">AR5/AQ5</f>
        <v>913.5593220338983</v>
      </c>
      <c r="AT5" s="54">
        <v>63800</v>
      </c>
      <c r="AU5" s="56">
        <f t="shared" ref="AU5:AU35" si="20">AT5/AQ5</f>
        <v>540.67796610169489</v>
      </c>
      <c r="AV5" s="56"/>
      <c r="AW5" s="56"/>
      <c r="AX5" s="71">
        <f>AR5+AT5+AV5+AW5</f>
        <v>171600</v>
      </c>
      <c r="AY5" s="69">
        <f t="shared" ref="AY5:AY35" si="21">IF(AQ5="","",AX5/AQ5)</f>
        <v>1454.2372881355932</v>
      </c>
      <c r="AZ5" s="72">
        <f t="shared" ref="AZ5:AZ35" si="22">SUM(E5,M5)</f>
        <v>39</v>
      </c>
      <c r="BA5" s="61">
        <f t="shared" ref="BA5:BA35" si="23">U5+AB5+AJ5+AR5</f>
        <v>318570</v>
      </c>
      <c r="BB5" s="61">
        <f t="shared" ref="BB5:BB35" si="24">V5+AD5+AL5+AT5</f>
        <v>103440</v>
      </c>
      <c r="BC5" s="73">
        <f>W5+AF5+AN5+AX5</f>
        <v>422010</v>
      </c>
      <c r="BD5" s="74">
        <f>BH5+BI5</f>
        <v>0</v>
      </c>
      <c r="BE5" s="75">
        <v>39</v>
      </c>
      <c r="BF5" s="76">
        <v>200420</v>
      </c>
      <c r="BG5" s="76">
        <v>38640</v>
      </c>
      <c r="BH5" s="77"/>
      <c r="BI5" s="77"/>
      <c r="BJ5" s="77"/>
      <c r="BK5" s="77"/>
      <c r="BL5" s="78">
        <f>SUM(BF5:BI5)</f>
        <v>239060</v>
      </c>
      <c r="BM5" s="49">
        <v>1</v>
      </c>
      <c r="BN5" s="79">
        <f t="shared" ref="BN5:BN35" si="25">BK5+BL5</f>
        <v>239060</v>
      </c>
    </row>
    <row r="6" spans="1:68" ht="20" customHeight="1">
      <c r="B6" s="80">
        <f t="shared" ref="B6:B35" si="26">B5+1</f>
        <v>45779</v>
      </c>
      <c r="C6" s="81"/>
      <c r="D6" s="52"/>
      <c r="E6" s="53">
        <v>13</v>
      </c>
      <c r="F6" s="54">
        <f>41470+5500</f>
        <v>46970</v>
      </c>
      <c r="G6" s="55">
        <f t="shared" si="0"/>
        <v>3284.6153846153848</v>
      </c>
      <c r="H6" s="54">
        <v>8160</v>
      </c>
      <c r="I6" s="56">
        <f t="shared" ref="I6:I35" si="27">ROUNDDOWN(H6/1.1,0)/E6</f>
        <v>570.61538461538464</v>
      </c>
      <c r="J6" s="57">
        <f t="shared" si="1"/>
        <v>55130</v>
      </c>
      <c r="K6" s="58">
        <f t="shared" si="2"/>
        <v>4240.7692307692305</v>
      </c>
      <c r="L6" s="59"/>
      <c r="M6" s="60">
        <f t="shared" si="3"/>
        <v>12</v>
      </c>
      <c r="N6" s="61">
        <f t="shared" si="3"/>
        <v>115170</v>
      </c>
      <c r="O6" s="55">
        <f t="shared" si="4"/>
        <v>8725</v>
      </c>
      <c r="P6" s="61">
        <f t="shared" si="5"/>
        <v>21020</v>
      </c>
      <c r="Q6" s="56">
        <f t="shared" si="6"/>
        <v>1592.4166666666667</v>
      </c>
      <c r="R6" s="62">
        <f t="shared" si="7"/>
        <v>136190</v>
      </c>
      <c r="S6" s="58">
        <f t="shared" si="8"/>
        <v>11349.166666666666</v>
      </c>
      <c r="T6" s="82">
        <f t="shared" si="9"/>
        <v>25</v>
      </c>
      <c r="U6" s="61">
        <f t="shared" si="9"/>
        <v>162140</v>
      </c>
      <c r="V6" s="61">
        <f t="shared" si="10"/>
        <v>29180</v>
      </c>
      <c r="W6" s="64">
        <f t="shared" si="11"/>
        <v>191320</v>
      </c>
      <c r="X6" s="83"/>
      <c r="Y6" s="65"/>
      <c r="Z6" s="66">
        <v>10</v>
      </c>
      <c r="AA6" s="66">
        <v>3</v>
      </c>
      <c r="AB6" s="54">
        <v>9300</v>
      </c>
      <c r="AC6" s="55">
        <f t="shared" si="12"/>
        <v>930</v>
      </c>
      <c r="AD6" s="54">
        <v>1750</v>
      </c>
      <c r="AE6" s="56">
        <f t="shared" si="13"/>
        <v>175</v>
      </c>
      <c r="AF6" s="67">
        <f>AB6+AD6</f>
        <v>11050</v>
      </c>
      <c r="AG6" s="58">
        <f t="shared" si="15"/>
        <v>1105</v>
      </c>
      <c r="AH6" s="68"/>
      <c r="AI6" s="66"/>
      <c r="AJ6" s="54"/>
      <c r="AK6" s="55" t="e">
        <f t="shared" si="16"/>
        <v>#DIV/0!</v>
      </c>
      <c r="AL6" s="54"/>
      <c r="AM6" s="56" t="e">
        <f t="shared" si="17"/>
        <v>#DIV/0!</v>
      </c>
      <c r="AN6" s="67">
        <f t="shared" ref="AN6:AN35" si="28">AJ6+AL6</f>
        <v>0</v>
      </c>
      <c r="AO6" s="69" t="str">
        <f t="shared" si="18"/>
        <v/>
      </c>
      <c r="AP6" s="70"/>
      <c r="AQ6" s="66">
        <v>71</v>
      </c>
      <c r="AR6" s="54">
        <v>44650</v>
      </c>
      <c r="AS6" s="55">
        <f t="shared" si="19"/>
        <v>628.87323943661977</v>
      </c>
      <c r="AT6" s="54">
        <v>20550</v>
      </c>
      <c r="AU6" s="56">
        <f t="shared" si="20"/>
        <v>289.43661971830988</v>
      </c>
      <c r="AV6" s="56"/>
      <c r="AW6" s="56"/>
      <c r="AX6" s="71">
        <f>AR6+AT6+AV6+AW6</f>
        <v>65200</v>
      </c>
      <c r="AY6" s="69">
        <f t="shared" si="21"/>
        <v>918.30985915492954</v>
      </c>
      <c r="AZ6" s="84">
        <f t="shared" si="22"/>
        <v>25</v>
      </c>
      <c r="BA6" s="61">
        <f t="shared" si="23"/>
        <v>216090</v>
      </c>
      <c r="BB6" s="61">
        <f t="shared" si="24"/>
        <v>51480</v>
      </c>
      <c r="BC6" s="73">
        <f>W6+AF6+AN6+AX6</f>
        <v>267570</v>
      </c>
      <c r="BD6" s="74">
        <f>BH6+BI6</f>
        <v>6600</v>
      </c>
      <c r="BE6" s="75">
        <v>25</v>
      </c>
      <c r="BF6" s="76">
        <v>162140</v>
      </c>
      <c r="BG6" s="76">
        <v>29180</v>
      </c>
      <c r="BH6" s="77">
        <v>6600</v>
      </c>
      <c r="BI6" s="77"/>
      <c r="BJ6" s="77"/>
      <c r="BK6" s="77"/>
      <c r="BL6" s="78">
        <f t="shared" ref="BL6:BL35" si="29">SUM(BF6:BI6)</f>
        <v>197920</v>
      </c>
      <c r="BM6" s="49">
        <v>2</v>
      </c>
      <c r="BN6" s="79">
        <f t="shared" si="25"/>
        <v>197920</v>
      </c>
    </row>
    <row r="7" spans="1:68" ht="20" customHeight="1">
      <c r="B7" s="80">
        <f>B6+1</f>
        <v>45780</v>
      </c>
      <c r="C7" s="81"/>
      <c r="D7" s="52"/>
      <c r="E7" s="53">
        <v>36</v>
      </c>
      <c r="F7" s="54">
        <v>161040</v>
      </c>
      <c r="G7" s="55">
        <f t="shared" si="0"/>
        <v>4066.6666666666665</v>
      </c>
      <c r="H7" s="54">
        <v>33670</v>
      </c>
      <c r="I7" s="56">
        <f t="shared" si="27"/>
        <v>850.25</v>
      </c>
      <c r="J7" s="57">
        <f t="shared" si="1"/>
        <v>194710</v>
      </c>
      <c r="K7" s="58">
        <f t="shared" si="2"/>
        <v>5408.6111111111113</v>
      </c>
      <c r="L7" s="59"/>
      <c r="M7" s="60">
        <f t="shared" si="3"/>
        <v>20</v>
      </c>
      <c r="N7" s="61">
        <f t="shared" si="3"/>
        <v>185790</v>
      </c>
      <c r="O7" s="55">
        <f t="shared" si="4"/>
        <v>8445</v>
      </c>
      <c r="P7" s="61">
        <f t="shared" si="5"/>
        <v>37180</v>
      </c>
      <c r="Q7" s="56">
        <f t="shared" si="6"/>
        <v>1690</v>
      </c>
      <c r="R7" s="62">
        <f t="shared" si="7"/>
        <v>222970</v>
      </c>
      <c r="S7" s="58">
        <f t="shared" si="8"/>
        <v>11148.5</v>
      </c>
      <c r="T7" s="82">
        <f t="shared" si="9"/>
        <v>56</v>
      </c>
      <c r="U7" s="61">
        <f t="shared" si="9"/>
        <v>346830</v>
      </c>
      <c r="V7" s="61">
        <f t="shared" si="10"/>
        <v>70850</v>
      </c>
      <c r="W7" s="64">
        <f t="shared" si="11"/>
        <v>417680</v>
      </c>
      <c r="X7" s="83"/>
      <c r="Y7" s="65"/>
      <c r="Z7" s="66">
        <v>11</v>
      </c>
      <c r="AA7" s="66">
        <v>1</v>
      </c>
      <c r="AB7" s="54">
        <v>5850</v>
      </c>
      <c r="AC7" s="55">
        <f t="shared" si="12"/>
        <v>531.81818181818187</v>
      </c>
      <c r="AD7" s="54">
        <v>250</v>
      </c>
      <c r="AE7" s="56">
        <f t="shared" si="13"/>
        <v>22.727272727272727</v>
      </c>
      <c r="AF7" s="67">
        <f t="shared" si="14"/>
        <v>6100</v>
      </c>
      <c r="AG7" s="58">
        <f t="shared" si="15"/>
        <v>554.5454545454545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8"/>
        <v>0</v>
      </c>
      <c r="AO7" s="69" t="str">
        <f t="shared" si="18"/>
        <v/>
      </c>
      <c r="AP7" s="70"/>
      <c r="AQ7" s="66">
        <v>163</v>
      </c>
      <c r="AR7" s="54">
        <v>159900</v>
      </c>
      <c r="AS7" s="55">
        <f t="shared" si="19"/>
        <v>980.98159509202458</v>
      </c>
      <c r="AT7" s="54">
        <v>75200</v>
      </c>
      <c r="AU7" s="56">
        <f t="shared" si="20"/>
        <v>461.34969325153372</v>
      </c>
      <c r="AV7" s="56"/>
      <c r="AW7" s="56"/>
      <c r="AX7" s="71">
        <f>AR7+AT7+AV7+AW7</f>
        <v>235100</v>
      </c>
      <c r="AY7" s="69">
        <f t="shared" si="21"/>
        <v>1442.3312883435583</v>
      </c>
      <c r="AZ7" s="84">
        <f t="shared" si="22"/>
        <v>56</v>
      </c>
      <c r="BA7" s="61">
        <f t="shared" si="23"/>
        <v>512580</v>
      </c>
      <c r="BB7" s="61">
        <f t="shared" si="24"/>
        <v>146300</v>
      </c>
      <c r="BC7" s="73">
        <f>W7+AF7+AN7+AX7-BO7</f>
        <v>658880</v>
      </c>
      <c r="BD7" s="74">
        <f t="shared" ref="BD7:BD35" si="30">BH7+BI7</f>
        <v>3850</v>
      </c>
      <c r="BE7" s="75">
        <v>56</v>
      </c>
      <c r="BF7" s="76">
        <v>346830</v>
      </c>
      <c r="BG7" s="76">
        <v>70850</v>
      </c>
      <c r="BH7" s="77">
        <v>3850</v>
      </c>
      <c r="BI7" s="77"/>
      <c r="BJ7" s="77"/>
      <c r="BK7" s="77"/>
      <c r="BL7" s="78">
        <f t="shared" si="29"/>
        <v>421530</v>
      </c>
      <c r="BM7" s="49">
        <v>3</v>
      </c>
      <c r="BN7" s="79">
        <f t="shared" si="25"/>
        <v>421530</v>
      </c>
    </row>
    <row r="8" spans="1:68" ht="20" customHeight="1">
      <c r="B8" s="80">
        <f t="shared" si="26"/>
        <v>45781</v>
      </c>
      <c r="C8" s="81"/>
      <c r="D8" s="52"/>
      <c r="E8" s="53">
        <v>38</v>
      </c>
      <c r="F8" s="54">
        <v>179520</v>
      </c>
      <c r="G8" s="55">
        <f t="shared" si="0"/>
        <v>4294.7368421052633</v>
      </c>
      <c r="H8" s="54">
        <v>33740</v>
      </c>
      <c r="I8" s="56">
        <f t="shared" si="27"/>
        <v>807.15789473684208</v>
      </c>
      <c r="J8" s="57">
        <f t="shared" si="1"/>
        <v>213260</v>
      </c>
      <c r="K8" s="58">
        <f t="shared" si="2"/>
        <v>5612.105263157895</v>
      </c>
      <c r="L8" s="59"/>
      <c r="M8" s="60">
        <f t="shared" si="3"/>
        <v>36</v>
      </c>
      <c r="N8" s="61">
        <f t="shared" si="3"/>
        <v>356800</v>
      </c>
      <c r="O8" s="55">
        <f t="shared" si="4"/>
        <v>9010.0833333333339</v>
      </c>
      <c r="P8" s="61">
        <f t="shared" si="5"/>
        <v>69700</v>
      </c>
      <c r="Q8" s="56">
        <f t="shared" si="6"/>
        <v>1760.0833333333333</v>
      </c>
      <c r="R8" s="62">
        <f t="shared" si="7"/>
        <v>426500</v>
      </c>
      <c r="S8" s="58">
        <f t="shared" si="8"/>
        <v>11847.222222222223</v>
      </c>
      <c r="T8" s="82">
        <f t="shared" si="9"/>
        <v>74</v>
      </c>
      <c r="U8" s="61">
        <f t="shared" si="9"/>
        <v>536320</v>
      </c>
      <c r="V8" s="61">
        <f t="shared" si="10"/>
        <v>103440</v>
      </c>
      <c r="W8" s="64">
        <f t="shared" si="11"/>
        <v>639760</v>
      </c>
      <c r="X8" s="83"/>
      <c r="Y8" s="65"/>
      <c r="Z8" s="66">
        <v>4</v>
      </c>
      <c r="AA8" s="66">
        <v>0</v>
      </c>
      <c r="AB8" s="54">
        <v>1700</v>
      </c>
      <c r="AC8" s="55">
        <f t="shared" si="12"/>
        <v>425</v>
      </c>
      <c r="AD8" s="54">
        <v>1000</v>
      </c>
      <c r="AE8" s="56">
        <f t="shared" si="13"/>
        <v>250</v>
      </c>
      <c r="AF8" s="67">
        <f t="shared" si="14"/>
        <v>2700</v>
      </c>
      <c r="AG8" s="58">
        <f t="shared" si="15"/>
        <v>675</v>
      </c>
      <c r="AH8" s="68"/>
      <c r="AI8" s="66"/>
      <c r="AJ8" s="54"/>
      <c r="AK8" s="55" t="e">
        <f t="shared" si="16"/>
        <v>#DIV/0!</v>
      </c>
      <c r="AL8" s="54"/>
      <c r="AM8" s="56" t="e">
        <f t="shared" si="17"/>
        <v>#DIV/0!</v>
      </c>
      <c r="AN8" s="67">
        <f t="shared" si="28"/>
        <v>0</v>
      </c>
      <c r="AO8" s="69" t="str">
        <f t="shared" si="18"/>
        <v/>
      </c>
      <c r="AP8" s="70"/>
      <c r="AQ8" s="66">
        <v>153</v>
      </c>
      <c r="AR8" s="54">
        <v>121000</v>
      </c>
      <c r="AS8" s="55">
        <f t="shared" si="19"/>
        <v>790.84967320261433</v>
      </c>
      <c r="AT8" s="54">
        <v>71700</v>
      </c>
      <c r="AU8" s="56">
        <f t="shared" si="20"/>
        <v>468.62745098039215</v>
      </c>
      <c r="AV8" s="56"/>
      <c r="AW8" s="56"/>
      <c r="AX8" s="71">
        <f t="shared" ref="AX8:AX16" si="31">AR8+AT8+AV8+AW8</f>
        <v>192700</v>
      </c>
      <c r="AY8" s="69">
        <f t="shared" si="21"/>
        <v>1259.4771241830065</v>
      </c>
      <c r="AZ8" s="84">
        <f t="shared" si="22"/>
        <v>74</v>
      </c>
      <c r="BA8" s="61">
        <f t="shared" si="23"/>
        <v>659020</v>
      </c>
      <c r="BB8" s="61">
        <f t="shared" si="24"/>
        <v>176140</v>
      </c>
      <c r="BC8" s="73">
        <f>W8+AF8+AN8+AX8-BO8</f>
        <v>835160</v>
      </c>
      <c r="BD8" s="74">
        <f t="shared" si="30"/>
        <v>15400</v>
      </c>
      <c r="BE8" s="75">
        <v>74</v>
      </c>
      <c r="BF8" s="76">
        <v>536320</v>
      </c>
      <c r="BG8" s="76">
        <v>103440</v>
      </c>
      <c r="BH8" s="77">
        <v>15400</v>
      </c>
      <c r="BI8" s="77"/>
      <c r="BJ8" s="77">
        <v>3300</v>
      </c>
      <c r="BK8" s="77"/>
      <c r="BL8" s="78">
        <f t="shared" si="29"/>
        <v>655160</v>
      </c>
      <c r="BM8" s="49">
        <v>4</v>
      </c>
      <c r="BN8" s="79">
        <f t="shared" si="25"/>
        <v>655160</v>
      </c>
      <c r="BO8" s="85"/>
      <c r="BP8" s="85"/>
    </row>
    <row r="9" spans="1:68" ht="20" customHeight="1">
      <c r="B9" s="80">
        <f t="shared" si="26"/>
        <v>45782</v>
      </c>
      <c r="C9" s="81"/>
      <c r="D9" s="52"/>
      <c r="E9" s="53">
        <v>24</v>
      </c>
      <c r="F9" s="54">
        <v>122650</v>
      </c>
      <c r="G9" s="55">
        <f t="shared" si="0"/>
        <v>4645.833333333333</v>
      </c>
      <c r="H9" s="54">
        <v>29940</v>
      </c>
      <c r="I9" s="56">
        <f t="shared" si="27"/>
        <v>1134.0833333333333</v>
      </c>
      <c r="J9" s="57">
        <f t="shared" si="1"/>
        <v>152590</v>
      </c>
      <c r="K9" s="58">
        <f t="shared" si="2"/>
        <v>6357.916666666667</v>
      </c>
      <c r="L9" s="59"/>
      <c r="M9" s="60">
        <f t="shared" si="3"/>
        <v>31</v>
      </c>
      <c r="N9" s="61">
        <f t="shared" si="3"/>
        <v>326920</v>
      </c>
      <c r="O9" s="55">
        <f t="shared" si="4"/>
        <v>9587.0967741935492</v>
      </c>
      <c r="P9" s="61">
        <f t="shared" si="5"/>
        <v>66250</v>
      </c>
      <c r="Q9" s="56">
        <f>ROUNDDOWN(P9/1.1,0)/M9</f>
        <v>1942.8064516129032</v>
      </c>
      <c r="R9" s="62">
        <f t="shared" si="7"/>
        <v>393170</v>
      </c>
      <c r="S9" s="58">
        <f t="shared" si="8"/>
        <v>12682.903225806451</v>
      </c>
      <c r="T9" s="82">
        <f t="shared" si="9"/>
        <v>55</v>
      </c>
      <c r="U9" s="61">
        <f t="shared" si="9"/>
        <v>449570</v>
      </c>
      <c r="V9" s="61">
        <f t="shared" si="10"/>
        <v>96190</v>
      </c>
      <c r="W9" s="64">
        <f t="shared" si="11"/>
        <v>545760</v>
      </c>
      <c r="X9" s="83"/>
      <c r="Y9" s="65"/>
      <c r="Z9" s="66">
        <v>17</v>
      </c>
      <c r="AA9" s="66">
        <v>4</v>
      </c>
      <c r="AB9" s="54">
        <v>14150</v>
      </c>
      <c r="AC9" s="55">
        <f t="shared" si="12"/>
        <v>832.35294117647061</v>
      </c>
      <c r="AD9" s="54">
        <v>2000</v>
      </c>
      <c r="AE9" s="56">
        <f t="shared" si="13"/>
        <v>117.64705882352941</v>
      </c>
      <c r="AF9" s="67">
        <f t="shared" si="14"/>
        <v>16150</v>
      </c>
      <c r="AG9" s="58">
        <f t="shared" si="15"/>
        <v>950</v>
      </c>
      <c r="AH9" s="68"/>
      <c r="AI9" s="66"/>
      <c r="AJ9" s="54"/>
      <c r="AK9" s="55" t="e">
        <f t="shared" si="16"/>
        <v>#DIV/0!</v>
      </c>
      <c r="AL9" s="54"/>
      <c r="AM9" s="56" t="e">
        <f t="shared" si="17"/>
        <v>#DIV/0!</v>
      </c>
      <c r="AN9" s="67">
        <f t="shared" si="28"/>
        <v>0</v>
      </c>
      <c r="AO9" s="69" t="str">
        <f t="shared" si="18"/>
        <v/>
      </c>
      <c r="AP9" s="70"/>
      <c r="AQ9" s="66">
        <v>155</v>
      </c>
      <c r="AR9" s="54">
        <v>158000</v>
      </c>
      <c r="AS9" s="55">
        <f t="shared" si="19"/>
        <v>1019.3548387096774</v>
      </c>
      <c r="AT9" s="54">
        <v>73700</v>
      </c>
      <c r="AU9" s="56">
        <f t="shared" si="20"/>
        <v>475.48387096774195</v>
      </c>
      <c r="AV9" s="56"/>
      <c r="AW9" s="56"/>
      <c r="AX9" s="71">
        <f t="shared" si="31"/>
        <v>231700</v>
      </c>
      <c r="AY9" s="69">
        <f>IF(AQ9="","",AX9/AQ9)</f>
        <v>1494.8387096774193</v>
      </c>
      <c r="AZ9" s="84">
        <f t="shared" si="22"/>
        <v>55</v>
      </c>
      <c r="BA9" s="61">
        <f t="shared" si="23"/>
        <v>621720</v>
      </c>
      <c r="BB9" s="61">
        <f t="shared" si="24"/>
        <v>171890</v>
      </c>
      <c r="BC9" s="73">
        <f>W9+AF9+AN9+AX9-BO9</f>
        <v>793610</v>
      </c>
      <c r="BD9" s="74">
        <f t="shared" si="30"/>
        <v>12100</v>
      </c>
      <c r="BE9" s="75">
        <v>55</v>
      </c>
      <c r="BF9" s="76">
        <v>449570</v>
      </c>
      <c r="BG9" s="76">
        <v>96190</v>
      </c>
      <c r="BH9" s="77">
        <v>12100</v>
      </c>
      <c r="BI9" s="77"/>
      <c r="BJ9" s="77">
        <v>3300</v>
      </c>
      <c r="BK9" s="77"/>
      <c r="BL9" s="78">
        <f t="shared" si="29"/>
        <v>557860</v>
      </c>
      <c r="BM9" s="49">
        <v>5</v>
      </c>
      <c r="BN9" s="79">
        <f t="shared" si="25"/>
        <v>557860</v>
      </c>
    </row>
    <row r="10" spans="1:68" ht="19.5" customHeight="1">
      <c r="B10" s="80">
        <f t="shared" si="26"/>
        <v>45783</v>
      </c>
      <c r="C10" s="81"/>
      <c r="D10" s="52"/>
      <c r="E10" s="53">
        <v>31</v>
      </c>
      <c r="F10" s="54">
        <v>139700</v>
      </c>
      <c r="G10" s="55">
        <f t="shared" si="0"/>
        <v>4096.7741935483873</v>
      </c>
      <c r="H10" s="54">
        <v>21480</v>
      </c>
      <c r="I10" s="56">
        <f t="shared" si="27"/>
        <v>629.90322580645159</v>
      </c>
      <c r="J10" s="57">
        <f t="shared" si="1"/>
        <v>161180</v>
      </c>
      <c r="K10" s="58">
        <f t="shared" si="2"/>
        <v>5199.3548387096771</v>
      </c>
      <c r="L10" s="59"/>
      <c r="M10" s="60">
        <f t="shared" si="3"/>
        <v>12</v>
      </c>
      <c r="N10" s="61">
        <f t="shared" si="3"/>
        <v>94600</v>
      </c>
      <c r="O10" s="55">
        <f t="shared" si="4"/>
        <v>7166.666666666667</v>
      </c>
      <c r="P10" s="61">
        <f t="shared" si="5"/>
        <v>25710</v>
      </c>
      <c r="Q10" s="56">
        <f t="shared" si="6"/>
        <v>1947.6666666666667</v>
      </c>
      <c r="R10" s="62">
        <f t="shared" si="7"/>
        <v>120310</v>
      </c>
      <c r="S10" s="58">
        <f t="shared" si="8"/>
        <v>10025.833333333334</v>
      </c>
      <c r="T10" s="82">
        <f t="shared" si="9"/>
        <v>43</v>
      </c>
      <c r="U10" s="61">
        <f t="shared" si="9"/>
        <v>234300</v>
      </c>
      <c r="V10" s="61">
        <f t="shared" si="10"/>
        <v>47190</v>
      </c>
      <c r="W10" s="64">
        <f t="shared" si="11"/>
        <v>281490</v>
      </c>
      <c r="X10" s="83"/>
      <c r="Y10" s="65"/>
      <c r="Z10" s="66">
        <v>18</v>
      </c>
      <c r="AA10" s="66">
        <v>3</v>
      </c>
      <c r="AB10" s="54">
        <v>12950</v>
      </c>
      <c r="AC10" s="55">
        <f t="shared" si="12"/>
        <v>719.44444444444446</v>
      </c>
      <c r="AD10" s="54">
        <v>1300</v>
      </c>
      <c r="AE10" s="56">
        <f t="shared" si="13"/>
        <v>72.222222222222229</v>
      </c>
      <c r="AF10" s="67">
        <f t="shared" si="14"/>
        <v>14250</v>
      </c>
      <c r="AG10" s="58">
        <f t="shared" si="15"/>
        <v>791.66666666666663</v>
      </c>
      <c r="AH10" s="68"/>
      <c r="AI10" s="66"/>
      <c r="AJ10" s="54"/>
      <c r="AK10" s="55" t="e">
        <f t="shared" si="16"/>
        <v>#DIV/0!</v>
      </c>
      <c r="AL10" s="54"/>
      <c r="AM10" s="56" t="e">
        <f t="shared" si="17"/>
        <v>#DIV/0!</v>
      </c>
      <c r="AN10" s="67">
        <f t="shared" si="28"/>
        <v>0</v>
      </c>
      <c r="AO10" s="69" t="str">
        <f t="shared" si="18"/>
        <v/>
      </c>
      <c r="AP10" s="70"/>
      <c r="AQ10" s="66">
        <v>154</v>
      </c>
      <c r="AR10" s="54">
        <v>111350</v>
      </c>
      <c r="AS10" s="55">
        <f t="shared" si="19"/>
        <v>723.0519480519481</v>
      </c>
      <c r="AT10" s="54">
        <v>85000</v>
      </c>
      <c r="AU10" s="56">
        <f t="shared" si="20"/>
        <v>551.9480519480519</v>
      </c>
      <c r="AV10" s="56"/>
      <c r="AW10" s="56"/>
      <c r="AX10" s="71">
        <f t="shared" si="31"/>
        <v>196350</v>
      </c>
      <c r="AY10" s="69">
        <f t="shared" si="21"/>
        <v>1275</v>
      </c>
      <c r="AZ10" s="84">
        <f t="shared" si="22"/>
        <v>43</v>
      </c>
      <c r="BA10" s="61">
        <f t="shared" si="23"/>
        <v>358600</v>
      </c>
      <c r="BB10" s="61">
        <f t="shared" si="24"/>
        <v>133490</v>
      </c>
      <c r="BC10" s="73">
        <f>W10+AF10+AN10+AX10-BO10</f>
        <v>492090</v>
      </c>
      <c r="BD10" s="74">
        <f t="shared" si="30"/>
        <v>2200</v>
      </c>
      <c r="BE10" s="75">
        <v>43</v>
      </c>
      <c r="BF10" s="76">
        <v>234300</v>
      </c>
      <c r="BG10" s="76">
        <v>47190</v>
      </c>
      <c r="BH10" s="77">
        <v>2200</v>
      </c>
      <c r="BI10" s="77"/>
      <c r="BJ10" s="77"/>
      <c r="BK10" s="77"/>
      <c r="BL10" s="78">
        <f t="shared" si="29"/>
        <v>283690</v>
      </c>
      <c r="BM10" s="49">
        <v>6</v>
      </c>
      <c r="BN10" s="79">
        <f t="shared" si="25"/>
        <v>283690</v>
      </c>
    </row>
    <row r="11" spans="1:68" ht="20" customHeight="1">
      <c r="B11" s="80">
        <f t="shared" si="26"/>
        <v>45784</v>
      </c>
      <c r="C11" s="81"/>
      <c r="D11" s="52"/>
      <c r="E11" s="53">
        <v>31</v>
      </c>
      <c r="F11" s="54">
        <v>133980</v>
      </c>
      <c r="G11" s="55">
        <f t="shared" si="0"/>
        <v>3929.0322580645161</v>
      </c>
      <c r="H11" s="54">
        <v>14640</v>
      </c>
      <c r="I11" s="56">
        <f t="shared" si="27"/>
        <v>429.32258064516128</v>
      </c>
      <c r="J11" s="57">
        <f t="shared" si="1"/>
        <v>148620</v>
      </c>
      <c r="K11" s="58">
        <f t="shared" si="2"/>
        <v>4794.1935483870966</v>
      </c>
      <c r="L11" s="59"/>
      <c r="M11" s="60">
        <f t="shared" si="3"/>
        <v>10</v>
      </c>
      <c r="N11" s="61">
        <f t="shared" si="3"/>
        <v>122100</v>
      </c>
      <c r="O11" s="55">
        <f t="shared" si="4"/>
        <v>11100</v>
      </c>
      <c r="P11" s="61">
        <f t="shared" si="5"/>
        <v>34650</v>
      </c>
      <c r="Q11" s="56">
        <f t="shared" si="6"/>
        <v>3150</v>
      </c>
      <c r="R11" s="62">
        <f t="shared" si="7"/>
        <v>156750</v>
      </c>
      <c r="S11" s="58">
        <f t="shared" si="8"/>
        <v>15675</v>
      </c>
      <c r="T11" s="82">
        <f t="shared" si="9"/>
        <v>41</v>
      </c>
      <c r="U11" s="61">
        <f t="shared" si="9"/>
        <v>256080</v>
      </c>
      <c r="V11" s="61">
        <f t="shared" si="10"/>
        <v>49290</v>
      </c>
      <c r="W11" s="64">
        <f t="shared" si="11"/>
        <v>305370</v>
      </c>
      <c r="X11" s="83"/>
      <c r="Y11" s="65"/>
      <c r="Z11" s="66">
        <v>5</v>
      </c>
      <c r="AA11" s="66">
        <v>5</v>
      </c>
      <c r="AB11" s="54">
        <v>12500</v>
      </c>
      <c r="AC11" s="55">
        <f t="shared" si="12"/>
        <v>2500</v>
      </c>
      <c r="AD11" s="54">
        <v>1250</v>
      </c>
      <c r="AE11" s="56">
        <f t="shared" si="13"/>
        <v>250</v>
      </c>
      <c r="AF11" s="67">
        <f t="shared" si="14"/>
        <v>13750</v>
      </c>
      <c r="AG11" s="58">
        <f t="shared" si="15"/>
        <v>2750</v>
      </c>
      <c r="AH11" s="68"/>
      <c r="AI11" s="66"/>
      <c r="AJ11" s="54"/>
      <c r="AK11" s="55" t="e">
        <f t="shared" si="16"/>
        <v>#DIV/0!</v>
      </c>
      <c r="AL11" s="54"/>
      <c r="AM11" s="56" t="e">
        <f t="shared" si="17"/>
        <v>#DIV/0!</v>
      </c>
      <c r="AN11" s="67">
        <f t="shared" si="28"/>
        <v>0</v>
      </c>
      <c r="AO11" s="69" t="str">
        <f t="shared" si="18"/>
        <v/>
      </c>
      <c r="AP11" s="70"/>
      <c r="AQ11" s="66">
        <v>39</v>
      </c>
      <c r="AR11" s="54">
        <v>47450</v>
      </c>
      <c r="AS11" s="55">
        <f t="shared" si="19"/>
        <v>1216.6666666666667</v>
      </c>
      <c r="AT11" s="54">
        <v>19250</v>
      </c>
      <c r="AU11" s="56">
        <f t="shared" si="20"/>
        <v>493.58974358974359</v>
      </c>
      <c r="AV11" s="56"/>
      <c r="AW11" s="56"/>
      <c r="AX11" s="71">
        <f t="shared" si="31"/>
        <v>66700</v>
      </c>
      <c r="AY11" s="69">
        <f t="shared" si="21"/>
        <v>1710.2564102564102</v>
      </c>
      <c r="AZ11" s="84">
        <f t="shared" si="22"/>
        <v>41</v>
      </c>
      <c r="BA11" s="61">
        <f t="shared" si="23"/>
        <v>316030</v>
      </c>
      <c r="BB11" s="61">
        <f t="shared" si="24"/>
        <v>69790</v>
      </c>
      <c r="BC11" s="73">
        <f t="shared" ref="BC11:BC30" si="32">W11+AF11+AN11+AX11</f>
        <v>385820</v>
      </c>
      <c r="BD11" s="74">
        <f t="shared" si="30"/>
        <v>1100</v>
      </c>
      <c r="BE11" s="75">
        <v>41</v>
      </c>
      <c r="BF11" s="76">
        <v>256080</v>
      </c>
      <c r="BG11" s="76">
        <v>49290</v>
      </c>
      <c r="BH11" s="77">
        <v>1100</v>
      </c>
      <c r="BI11" s="77"/>
      <c r="BJ11" s="77"/>
      <c r="BK11" s="77"/>
      <c r="BL11" s="78">
        <f t="shared" si="29"/>
        <v>306470</v>
      </c>
      <c r="BM11" s="49">
        <v>7</v>
      </c>
      <c r="BN11" s="79">
        <f t="shared" si="25"/>
        <v>306470</v>
      </c>
    </row>
    <row r="12" spans="1:68" ht="20" customHeight="1">
      <c r="B12" s="80">
        <f t="shared" si="26"/>
        <v>45785</v>
      </c>
      <c r="C12" s="86"/>
      <c r="D12" s="52"/>
      <c r="E12" s="53">
        <v>25</v>
      </c>
      <c r="F12" s="54">
        <f>65450+12760</f>
        <v>78210</v>
      </c>
      <c r="G12" s="55">
        <f t="shared" si="0"/>
        <v>2844</v>
      </c>
      <c r="H12" s="54">
        <f>11800+1440</f>
        <v>13240</v>
      </c>
      <c r="I12" s="56">
        <f t="shared" si="27"/>
        <v>481.44</v>
      </c>
      <c r="J12" s="57">
        <f t="shared" si="1"/>
        <v>91450</v>
      </c>
      <c r="K12" s="58">
        <f t="shared" si="2"/>
        <v>3658</v>
      </c>
      <c r="L12" s="59"/>
      <c r="M12" s="60">
        <f t="shared" si="3"/>
        <v>9</v>
      </c>
      <c r="N12" s="61">
        <f t="shared" si="3"/>
        <v>105600</v>
      </c>
      <c r="O12" s="55">
        <f t="shared" si="4"/>
        <v>10666.666666666666</v>
      </c>
      <c r="P12" s="61">
        <f t="shared" si="5"/>
        <v>67540</v>
      </c>
      <c r="Q12" s="87">
        <f t="shared" si="6"/>
        <v>6822.2222222222226</v>
      </c>
      <c r="R12" s="62">
        <f t="shared" si="7"/>
        <v>173140</v>
      </c>
      <c r="S12" s="58">
        <f t="shared" si="8"/>
        <v>19237.777777777777</v>
      </c>
      <c r="T12" s="82">
        <f t="shared" si="9"/>
        <v>34</v>
      </c>
      <c r="U12" s="61">
        <f t="shared" si="9"/>
        <v>183810</v>
      </c>
      <c r="V12" s="61">
        <f t="shared" si="10"/>
        <v>80780</v>
      </c>
      <c r="W12" s="64">
        <f t="shared" si="11"/>
        <v>264590</v>
      </c>
      <c r="X12" s="83"/>
      <c r="Y12" s="65"/>
      <c r="Z12" s="66">
        <v>4</v>
      </c>
      <c r="AA12" s="66">
        <v>3</v>
      </c>
      <c r="AB12" s="54">
        <v>7500</v>
      </c>
      <c r="AC12" s="55">
        <f t="shared" si="12"/>
        <v>1875</v>
      </c>
      <c r="AD12" s="54">
        <v>1850</v>
      </c>
      <c r="AE12" s="56">
        <f t="shared" si="13"/>
        <v>462.5</v>
      </c>
      <c r="AF12" s="67">
        <f t="shared" si="14"/>
        <v>9350</v>
      </c>
      <c r="AG12" s="58">
        <f t="shared" si="15"/>
        <v>2337.5</v>
      </c>
      <c r="AH12" s="68"/>
      <c r="AI12" s="66"/>
      <c r="AJ12" s="54"/>
      <c r="AK12" s="55" t="e">
        <f t="shared" si="16"/>
        <v>#DIV/0!</v>
      </c>
      <c r="AL12" s="54"/>
      <c r="AM12" s="56" t="e">
        <f t="shared" si="17"/>
        <v>#DIV/0!</v>
      </c>
      <c r="AN12" s="67">
        <f t="shared" si="28"/>
        <v>0</v>
      </c>
      <c r="AO12" s="69" t="str">
        <f t="shared" si="18"/>
        <v/>
      </c>
      <c r="AP12" s="70"/>
      <c r="AQ12" s="66">
        <v>46</v>
      </c>
      <c r="AR12" s="54">
        <v>25950</v>
      </c>
      <c r="AS12" s="55">
        <f t="shared" si="19"/>
        <v>564.13043478260875</v>
      </c>
      <c r="AT12" s="54">
        <v>25900</v>
      </c>
      <c r="AU12" s="56">
        <f t="shared" si="20"/>
        <v>563.04347826086962</v>
      </c>
      <c r="AV12" s="56"/>
      <c r="AW12" s="56"/>
      <c r="AX12" s="71">
        <f>AR12+AT12+AV12+AW12</f>
        <v>51850</v>
      </c>
      <c r="AY12" s="69">
        <f t="shared" si="21"/>
        <v>1127.1739130434783</v>
      </c>
      <c r="AZ12" s="84">
        <f t="shared" si="22"/>
        <v>34</v>
      </c>
      <c r="BA12" s="61">
        <f t="shared" si="23"/>
        <v>217260</v>
      </c>
      <c r="BB12" s="61">
        <f t="shared" si="24"/>
        <v>108530</v>
      </c>
      <c r="BC12" s="73">
        <f>W12+AF12+AN12+AX12-BO12</f>
        <v>325790</v>
      </c>
      <c r="BD12" s="74">
        <f t="shared" si="30"/>
        <v>0</v>
      </c>
      <c r="BE12" s="75">
        <v>34</v>
      </c>
      <c r="BF12" s="76">
        <v>183810</v>
      </c>
      <c r="BG12" s="76">
        <v>80780</v>
      </c>
      <c r="BH12" s="77"/>
      <c r="BI12" s="77"/>
      <c r="BJ12" s="77"/>
      <c r="BK12" s="77"/>
      <c r="BL12" s="78">
        <f t="shared" si="29"/>
        <v>264590</v>
      </c>
      <c r="BM12" s="49">
        <v>8</v>
      </c>
      <c r="BN12" s="79">
        <f t="shared" si="25"/>
        <v>264590</v>
      </c>
    </row>
    <row r="13" spans="1:68" ht="20" customHeight="1">
      <c r="B13" s="80">
        <f t="shared" si="26"/>
        <v>45786</v>
      </c>
      <c r="C13" s="81"/>
      <c r="D13" s="52"/>
      <c r="E13" s="53">
        <v>16</v>
      </c>
      <c r="F13" s="54">
        <v>70510</v>
      </c>
      <c r="G13" s="55">
        <f t="shared" si="0"/>
        <v>4006.25</v>
      </c>
      <c r="H13" s="54">
        <v>11360</v>
      </c>
      <c r="I13" s="56">
        <f t="shared" si="27"/>
        <v>645.4375</v>
      </c>
      <c r="J13" s="57">
        <f t="shared" si="1"/>
        <v>81870</v>
      </c>
      <c r="K13" s="58">
        <f t="shared" si="2"/>
        <v>5116.875</v>
      </c>
      <c r="L13" s="59"/>
      <c r="M13" s="60">
        <f t="shared" si="3"/>
        <v>8</v>
      </c>
      <c r="N13" s="61">
        <f t="shared" si="3"/>
        <v>82500</v>
      </c>
      <c r="O13" s="55">
        <f t="shared" si="4"/>
        <v>9375</v>
      </c>
      <c r="P13" s="61">
        <f t="shared" si="5"/>
        <v>22070</v>
      </c>
      <c r="Q13" s="56">
        <f t="shared" si="6"/>
        <v>2507.875</v>
      </c>
      <c r="R13" s="62">
        <f t="shared" si="7"/>
        <v>104570</v>
      </c>
      <c r="S13" s="58">
        <f t="shared" si="8"/>
        <v>13071.25</v>
      </c>
      <c r="T13" s="82">
        <f t="shared" si="9"/>
        <v>24</v>
      </c>
      <c r="U13" s="61">
        <f t="shared" si="9"/>
        <v>153010</v>
      </c>
      <c r="V13" s="61">
        <f t="shared" si="10"/>
        <v>33430</v>
      </c>
      <c r="W13" s="64">
        <f t="shared" si="11"/>
        <v>186440</v>
      </c>
      <c r="X13" s="83"/>
      <c r="Y13" s="65"/>
      <c r="Z13" s="66">
        <v>5</v>
      </c>
      <c r="AA13" s="66">
        <v>5</v>
      </c>
      <c r="AB13" s="54">
        <v>12500</v>
      </c>
      <c r="AC13" s="55">
        <f t="shared" si="12"/>
        <v>2500</v>
      </c>
      <c r="AD13" s="54">
        <v>1250</v>
      </c>
      <c r="AE13" s="56">
        <f t="shared" si="13"/>
        <v>250</v>
      </c>
      <c r="AF13" s="67">
        <f t="shared" si="14"/>
        <v>13750</v>
      </c>
      <c r="AG13" s="58">
        <f t="shared" si="15"/>
        <v>2750</v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8"/>
        <v>0</v>
      </c>
      <c r="AO13" s="69" t="str">
        <f t="shared" si="18"/>
        <v/>
      </c>
      <c r="AP13" s="70"/>
      <c r="AQ13" s="66">
        <v>75</v>
      </c>
      <c r="AR13" s="54">
        <v>103300</v>
      </c>
      <c r="AS13" s="55">
        <f t="shared" si="19"/>
        <v>1377.3333333333333</v>
      </c>
      <c r="AT13" s="54">
        <v>34900</v>
      </c>
      <c r="AU13" s="56">
        <f t="shared" si="20"/>
        <v>465.33333333333331</v>
      </c>
      <c r="AV13" s="56"/>
      <c r="AW13" s="56"/>
      <c r="AX13" s="71">
        <f>AR13+AT13+AV13+AW13-BO13</f>
        <v>138200</v>
      </c>
      <c r="AY13" s="69">
        <f t="shared" si="21"/>
        <v>1842.6666666666667</v>
      </c>
      <c r="AZ13" s="84">
        <f t="shared" si="22"/>
        <v>24</v>
      </c>
      <c r="BA13" s="61">
        <f t="shared" si="23"/>
        <v>268810</v>
      </c>
      <c r="BB13" s="61">
        <f t="shared" si="24"/>
        <v>69580</v>
      </c>
      <c r="BC13" s="73">
        <f t="shared" si="32"/>
        <v>338390</v>
      </c>
      <c r="BD13" s="74">
        <f t="shared" si="30"/>
        <v>0</v>
      </c>
      <c r="BE13" s="75">
        <v>24</v>
      </c>
      <c r="BF13" s="76">
        <v>153010</v>
      </c>
      <c r="BG13" s="76">
        <v>33430</v>
      </c>
      <c r="BH13" s="77"/>
      <c r="BI13" s="77"/>
      <c r="BJ13" s="77">
        <v>3300</v>
      </c>
      <c r="BK13" s="77"/>
      <c r="BL13" s="78">
        <f t="shared" si="29"/>
        <v>186440</v>
      </c>
      <c r="BM13" s="49">
        <v>9</v>
      </c>
      <c r="BN13" s="79">
        <f t="shared" si="25"/>
        <v>186440</v>
      </c>
    </row>
    <row r="14" spans="1:68" ht="20" customHeight="1">
      <c r="B14" s="80">
        <f t="shared" si="26"/>
        <v>45787</v>
      </c>
      <c r="C14" s="81"/>
      <c r="D14" s="52"/>
      <c r="E14" s="53">
        <v>27</v>
      </c>
      <c r="F14" s="54">
        <v>117040</v>
      </c>
      <c r="G14" s="55">
        <f t="shared" si="0"/>
        <v>3940.7407407407409</v>
      </c>
      <c r="H14" s="54">
        <v>27130</v>
      </c>
      <c r="I14" s="56">
        <f>ROUNDDOWN(H14/1.1,0)/E14</f>
        <v>913.44444444444446</v>
      </c>
      <c r="J14" s="57">
        <f t="shared" si="1"/>
        <v>144170</v>
      </c>
      <c r="K14" s="58">
        <f t="shared" si="2"/>
        <v>5339.6296296296296</v>
      </c>
      <c r="L14" s="59"/>
      <c r="M14" s="60">
        <f t="shared" si="3"/>
        <v>25</v>
      </c>
      <c r="N14" s="61">
        <f t="shared" si="3"/>
        <v>271700</v>
      </c>
      <c r="O14" s="55">
        <f t="shared" si="4"/>
        <v>9880</v>
      </c>
      <c r="P14" s="61">
        <f t="shared" si="5"/>
        <v>83780</v>
      </c>
      <c r="Q14" s="56">
        <f t="shared" si="6"/>
        <v>3046.52</v>
      </c>
      <c r="R14" s="62">
        <f t="shared" si="7"/>
        <v>355480</v>
      </c>
      <c r="S14" s="58">
        <f t="shared" si="8"/>
        <v>14219.2</v>
      </c>
      <c r="T14" s="82">
        <f t="shared" si="9"/>
        <v>52</v>
      </c>
      <c r="U14" s="61">
        <f t="shared" si="9"/>
        <v>388740</v>
      </c>
      <c r="V14" s="61">
        <f t="shared" si="10"/>
        <v>110910</v>
      </c>
      <c r="W14" s="64">
        <f t="shared" si="11"/>
        <v>499650</v>
      </c>
      <c r="X14" s="83"/>
      <c r="Y14" s="65"/>
      <c r="Z14" s="66">
        <v>5</v>
      </c>
      <c r="AA14" s="66">
        <v>5</v>
      </c>
      <c r="AB14" s="54">
        <v>12500</v>
      </c>
      <c r="AC14" s="55">
        <f t="shared" si="12"/>
        <v>2500</v>
      </c>
      <c r="AD14" s="54">
        <v>1250</v>
      </c>
      <c r="AE14" s="56">
        <f t="shared" si="13"/>
        <v>250</v>
      </c>
      <c r="AF14" s="67">
        <f t="shared" si="14"/>
        <v>13750</v>
      </c>
      <c r="AG14" s="58">
        <f t="shared" si="15"/>
        <v>2750</v>
      </c>
      <c r="AH14" s="68"/>
      <c r="AI14" s="66"/>
      <c r="AJ14" s="54"/>
      <c r="AK14" s="55" t="e">
        <f t="shared" si="16"/>
        <v>#DIV/0!</v>
      </c>
      <c r="AL14" s="54"/>
      <c r="AM14" s="56" t="e">
        <f t="shared" si="17"/>
        <v>#DIV/0!</v>
      </c>
      <c r="AN14" s="67">
        <f t="shared" si="28"/>
        <v>0</v>
      </c>
      <c r="AO14" s="69" t="str">
        <f t="shared" si="18"/>
        <v/>
      </c>
      <c r="AP14" s="70"/>
      <c r="AQ14" s="66">
        <v>75</v>
      </c>
      <c r="AR14" s="54">
        <v>64700</v>
      </c>
      <c r="AS14" s="55">
        <f t="shared" si="19"/>
        <v>862.66666666666663</v>
      </c>
      <c r="AT14" s="54">
        <v>43900</v>
      </c>
      <c r="AU14" s="56">
        <f t="shared" si="20"/>
        <v>585.33333333333337</v>
      </c>
      <c r="AV14" s="56"/>
      <c r="AW14" s="56"/>
      <c r="AX14" s="71">
        <f t="shared" si="31"/>
        <v>108600</v>
      </c>
      <c r="AY14" s="69">
        <f t="shared" si="21"/>
        <v>1448</v>
      </c>
      <c r="AZ14" s="84">
        <f t="shared" si="22"/>
        <v>52</v>
      </c>
      <c r="BA14" s="61">
        <f t="shared" si="23"/>
        <v>465940</v>
      </c>
      <c r="BB14" s="61">
        <f t="shared" si="24"/>
        <v>156060</v>
      </c>
      <c r="BC14" s="73">
        <f>W14+AF14+AN14+AX14-BO14</f>
        <v>622000</v>
      </c>
      <c r="BD14" s="74">
        <f t="shared" si="30"/>
        <v>1100</v>
      </c>
      <c r="BE14" s="75">
        <v>52</v>
      </c>
      <c r="BF14" s="76">
        <v>388740</v>
      </c>
      <c r="BG14" s="76">
        <v>110910</v>
      </c>
      <c r="BH14" s="77"/>
      <c r="BI14" s="77">
        <v>1100</v>
      </c>
      <c r="BJ14" s="77">
        <v>72000</v>
      </c>
      <c r="BK14" s="77"/>
      <c r="BL14" s="78">
        <f t="shared" si="29"/>
        <v>500750</v>
      </c>
      <c r="BM14" s="49">
        <v>10</v>
      </c>
      <c r="BN14" s="79">
        <f t="shared" si="25"/>
        <v>500750</v>
      </c>
    </row>
    <row r="15" spans="1:68" ht="20" customHeight="1">
      <c r="B15" s="80">
        <f t="shared" si="26"/>
        <v>45788</v>
      </c>
      <c r="C15" s="86"/>
      <c r="D15" s="52"/>
      <c r="E15" s="53">
        <v>36</v>
      </c>
      <c r="F15" s="54">
        <v>168190</v>
      </c>
      <c r="G15" s="55">
        <f t="shared" si="0"/>
        <v>4247.2222222222226</v>
      </c>
      <c r="H15" s="54">
        <v>52570</v>
      </c>
      <c r="I15" s="56">
        <f t="shared" si="27"/>
        <v>1327.5</v>
      </c>
      <c r="J15" s="57">
        <f t="shared" si="1"/>
        <v>220760</v>
      </c>
      <c r="K15" s="58">
        <f t="shared" si="2"/>
        <v>6132.2222222222226</v>
      </c>
      <c r="L15" s="59"/>
      <c r="M15" s="60">
        <f t="shared" si="3"/>
        <v>21</v>
      </c>
      <c r="N15" s="61">
        <f t="shared" si="3"/>
        <v>220330</v>
      </c>
      <c r="O15" s="55">
        <f t="shared" si="4"/>
        <v>9538.0952380952385</v>
      </c>
      <c r="P15" s="61">
        <f t="shared" si="5"/>
        <v>31240</v>
      </c>
      <c r="Q15" s="56">
        <f t="shared" si="6"/>
        <v>1352.3809523809523</v>
      </c>
      <c r="R15" s="62">
        <f t="shared" si="7"/>
        <v>251570</v>
      </c>
      <c r="S15" s="58">
        <f t="shared" si="8"/>
        <v>11979.523809523809</v>
      </c>
      <c r="T15" s="82">
        <f t="shared" si="9"/>
        <v>57</v>
      </c>
      <c r="U15" s="61">
        <f t="shared" si="9"/>
        <v>388520</v>
      </c>
      <c r="V15" s="61">
        <f t="shared" si="10"/>
        <v>83810</v>
      </c>
      <c r="W15" s="64">
        <f t="shared" si="11"/>
        <v>472330</v>
      </c>
      <c r="X15" s="83"/>
      <c r="Y15" s="65"/>
      <c r="Z15" s="66">
        <v>6</v>
      </c>
      <c r="AA15" s="66">
        <v>6</v>
      </c>
      <c r="AB15" s="54">
        <v>15000</v>
      </c>
      <c r="AC15" s="55">
        <f t="shared" si="12"/>
        <v>2500</v>
      </c>
      <c r="AD15" s="54">
        <v>1500</v>
      </c>
      <c r="AE15" s="56">
        <f t="shared" si="13"/>
        <v>250</v>
      </c>
      <c r="AF15" s="67">
        <f t="shared" si="14"/>
        <v>16500</v>
      </c>
      <c r="AG15" s="58">
        <f t="shared" si="15"/>
        <v>2750</v>
      </c>
      <c r="AH15" s="68"/>
      <c r="AI15" s="66"/>
      <c r="AJ15" s="54"/>
      <c r="AK15" s="55" t="e">
        <f t="shared" si="16"/>
        <v>#DIV/0!</v>
      </c>
      <c r="AL15" s="54"/>
      <c r="AM15" s="56" t="e">
        <f t="shared" si="17"/>
        <v>#DIV/0!</v>
      </c>
      <c r="AN15" s="67">
        <f t="shared" si="28"/>
        <v>0</v>
      </c>
      <c r="AO15" s="69" t="str">
        <f t="shared" si="18"/>
        <v/>
      </c>
      <c r="AP15" s="70"/>
      <c r="AQ15" s="66">
        <v>108</v>
      </c>
      <c r="AR15" s="54">
        <v>102000</v>
      </c>
      <c r="AS15" s="55">
        <f t="shared" si="19"/>
        <v>944.44444444444446</v>
      </c>
      <c r="AT15" s="54">
        <v>39150</v>
      </c>
      <c r="AU15" s="56">
        <f t="shared" si="20"/>
        <v>362.5</v>
      </c>
      <c r="AV15" s="56"/>
      <c r="AW15" s="56"/>
      <c r="AX15" s="71">
        <f t="shared" si="31"/>
        <v>141150</v>
      </c>
      <c r="AY15" s="69">
        <f t="shared" si="21"/>
        <v>1306.9444444444443</v>
      </c>
      <c r="AZ15" s="84">
        <f t="shared" si="22"/>
        <v>57</v>
      </c>
      <c r="BA15" s="61">
        <f t="shared" si="23"/>
        <v>505520</v>
      </c>
      <c r="BB15" s="61">
        <f t="shared" si="24"/>
        <v>124460</v>
      </c>
      <c r="BC15" s="73">
        <f>W15+AF15+AN15+AX15-BO15</f>
        <v>629980</v>
      </c>
      <c r="BD15" s="74">
        <f t="shared" si="30"/>
        <v>6050</v>
      </c>
      <c r="BE15" s="75">
        <v>57</v>
      </c>
      <c r="BF15" s="76">
        <v>388520</v>
      </c>
      <c r="BG15" s="76">
        <v>83810</v>
      </c>
      <c r="BH15" s="77">
        <v>6050</v>
      </c>
      <c r="BI15" s="77"/>
      <c r="BJ15" s="77">
        <v>10000</v>
      </c>
      <c r="BK15" s="77"/>
      <c r="BL15" s="78">
        <f t="shared" si="29"/>
        <v>478380</v>
      </c>
      <c r="BM15" s="49">
        <v>11</v>
      </c>
      <c r="BN15" s="79">
        <f t="shared" si="25"/>
        <v>478380</v>
      </c>
    </row>
    <row r="16" spans="1:68" ht="20" customHeight="1">
      <c r="B16" s="80">
        <f t="shared" si="26"/>
        <v>45789</v>
      </c>
      <c r="C16" s="81"/>
      <c r="D16" s="52"/>
      <c r="E16" s="53">
        <v>36</v>
      </c>
      <c r="F16" s="54">
        <v>123420</v>
      </c>
      <c r="G16" s="55">
        <f t="shared" si="0"/>
        <v>3116.6666666666665</v>
      </c>
      <c r="H16" s="54">
        <v>19110</v>
      </c>
      <c r="I16" s="56">
        <f t="shared" si="27"/>
        <v>482.55555555555554</v>
      </c>
      <c r="J16" s="57">
        <f t="shared" si="1"/>
        <v>142530</v>
      </c>
      <c r="K16" s="58">
        <f t="shared" si="2"/>
        <v>3959.1666666666665</v>
      </c>
      <c r="L16" s="59"/>
      <c r="M16" s="60">
        <f t="shared" si="3"/>
        <v>13</v>
      </c>
      <c r="N16" s="61">
        <f t="shared" si="3"/>
        <v>110660</v>
      </c>
      <c r="O16" s="55">
        <f t="shared" si="4"/>
        <v>7738.4615384615381</v>
      </c>
      <c r="P16" s="61">
        <f t="shared" si="5"/>
        <v>27840</v>
      </c>
      <c r="Q16" s="56">
        <f t="shared" si="6"/>
        <v>1946.8461538461538</v>
      </c>
      <c r="R16" s="62">
        <f t="shared" si="7"/>
        <v>138500</v>
      </c>
      <c r="S16" s="58">
        <f t="shared" si="8"/>
        <v>10653.846153846154</v>
      </c>
      <c r="T16" s="82">
        <f t="shared" si="9"/>
        <v>49</v>
      </c>
      <c r="U16" s="61">
        <f t="shared" si="9"/>
        <v>234080</v>
      </c>
      <c r="V16" s="61">
        <f t="shared" si="10"/>
        <v>46950</v>
      </c>
      <c r="W16" s="64">
        <f t="shared" si="11"/>
        <v>281030</v>
      </c>
      <c r="X16" s="83"/>
      <c r="Y16" s="65"/>
      <c r="Z16" s="66">
        <v>2</v>
      </c>
      <c r="AA16" s="66">
        <v>2</v>
      </c>
      <c r="AB16" s="54">
        <v>5000</v>
      </c>
      <c r="AC16" s="55">
        <f t="shared" si="12"/>
        <v>2500</v>
      </c>
      <c r="AD16" s="54">
        <v>2150</v>
      </c>
      <c r="AE16" s="56">
        <f t="shared" si="13"/>
        <v>1075</v>
      </c>
      <c r="AF16" s="67">
        <f t="shared" si="14"/>
        <v>7150</v>
      </c>
      <c r="AG16" s="58">
        <f t="shared" si="15"/>
        <v>3575</v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8"/>
        <v>0</v>
      </c>
      <c r="AO16" s="69" t="str">
        <f t="shared" si="18"/>
        <v/>
      </c>
      <c r="AP16" s="70"/>
      <c r="AQ16" s="66">
        <v>79</v>
      </c>
      <c r="AR16" s="54">
        <v>61900</v>
      </c>
      <c r="AS16" s="55">
        <f t="shared" si="19"/>
        <v>783.54430379746839</v>
      </c>
      <c r="AT16" s="54">
        <v>58500</v>
      </c>
      <c r="AU16" s="56">
        <f t="shared" si="20"/>
        <v>740.50632911392404</v>
      </c>
      <c r="AV16" s="56"/>
      <c r="AW16" s="56"/>
      <c r="AX16" s="71">
        <f t="shared" si="31"/>
        <v>120400</v>
      </c>
      <c r="AY16" s="69">
        <f t="shared" si="21"/>
        <v>1524.0506329113923</v>
      </c>
      <c r="AZ16" s="84">
        <f t="shared" si="22"/>
        <v>49</v>
      </c>
      <c r="BA16" s="61">
        <f t="shared" si="23"/>
        <v>300980</v>
      </c>
      <c r="BB16" s="61">
        <f t="shared" si="24"/>
        <v>107600</v>
      </c>
      <c r="BC16" s="73">
        <f t="shared" si="32"/>
        <v>408580</v>
      </c>
      <c r="BD16" s="74">
        <f t="shared" si="30"/>
        <v>3300</v>
      </c>
      <c r="BE16" s="75">
        <v>49</v>
      </c>
      <c r="BF16" s="76">
        <v>234080</v>
      </c>
      <c r="BG16" s="76">
        <v>46950</v>
      </c>
      <c r="BH16" s="77">
        <v>3300</v>
      </c>
      <c r="BI16" s="77"/>
      <c r="BJ16" s="77"/>
      <c r="BK16" s="77"/>
      <c r="BL16" s="78">
        <f t="shared" si="29"/>
        <v>284330</v>
      </c>
      <c r="BM16" s="49">
        <v>12</v>
      </c>
      <c r="BN16" s="79">
        <f t="shared" si="25"/>
        <v>284330</v>
      </c>
    </row>
    <row r="17" spans="2:68" ht="20" customHeight="1">
      <c r="B17" s="80">
        <f t="shared" si="26"/>
        <v>45790</v>
      </c>
      <c r="C17" s="86"/>
      <c r="D17" s="52"/>
      <c r="E17" s="53">
        <v>28</v>
      </c>
      <c r="F17" s="54">
        <v>108790</v>
      </c>
      <c r="G17" s="55">
        <f t="shared" si="0"/>
        <v>3532.1428571428573</v>
      </c>
      <c r="H17" s="54">
        <v>6840</v>
      </c>
      <c r="I17" s="56">
        <f t="shared" si="27"/>
        <v>222.07142857142858</v>
      </c>
      <c r="J17" s="57">
        <f t="shared" si="1"/>
        <v>115630</v>
      </c>
      <c r="K17" s="58">
        <f t="shared" si="2"/>
        <v>4129.6428571428569</v>
      </c>
      <c r="L17" s="59"/>
      <c r="M17" s="60">
        <f t="shared" si="3"/>
        <v>13</v>
      </c>
      <c r="N17" s="61">
        <f t="shared" si="3"/>
        <v>114400</v>
      </c>
      <c r="O17" s="55">
        <f t="shared" si="4"/>
        <v>8000</v>
      </c>
      <c r="P17" s="61">
        <f t="shared" si="5"/>
        <v>38790</v>
      </c>
      <c r="Q17" s="56">
        <f t="shared" si="6"/>
        <v>2712.5384615384614</v>
      </c>
      <c r="R17" s="62">
        <f t="shared" si="7"/>
        <v>153190</v>
      </c>
      <c r="S17" s="58">
        <f t="shared" si="8"/>
        <v>11783.846153846154</v>
      </c>
      <c r="T17" s="82">
        <f>E17+M17</f>
        <v>41</v>
      </c>
      <c r="U17" s="61">
        <f t="shared" si="9"/>
        <v>223190</v>
      </c>
      <c r="V17" s="61">
        <f t="shared" si="10"/>
        <v>45630</v>
      </c>
      <c r="W17" s="64">
        <f t="shared" si="11"/>
        <v>268820</v>
      </c>
      <c r="X17" s="83"/>
      <c r="Y17" s="65"/>
      <c r="Z17" s="66">
        <v>2</v>
      </c>
      <c r="AA17" s="66">
        <v>2</v>
      </c>
      <c r="AB17" s="54">
        <v>5000</v>
      </c>
      <c r="AC17" s="55">
        <f t="shared" si="12"/>
        <v>2500</v>
      </c>
      <c r="AD17" s="54">
        <v>500</v>
      </c>
      <c r="AE17" s="56">
        <f t="shared" si="13"/>
        <v>250</v>
      </c>
      <c r="AF17" s="67">
        <f t="shared" si="14"/>
        <v>5500</v>
      </c>
      <c r="AG17" s="58">
        <f t="shared" si="15"/>
        <v>2750</v>
      </c>
      <c r="AH17" s="68"/>
      <c r="AI17" s="66">
        <v>37</v>
      </c>
      <c r="AJ17" s="54">
        <v>144855</v>
      </c>
      <c r="AK17" s="55">
        <f t="shared" si="16"/>
        <v>3915</v>
      </c>
      <c r="AL17" s="54">
        <v>64380</v>
      </c>
      <c r="AM17" s="56">
        <f t="shared" si="17"/>
        <v>1740</v>
      </c>
      <c r="AN17" s="67">
        <f t="shared" si="28"/>
        <v>209235</v>
      </c>
      <c r="AO17" s="69">
        <f t="shared" si="18"/>
        <v>5655</v>
      </c>
      <c r="AP17" s="70"/>
      <c r="AQ17" s="66">
        <v>57</v>
      </c>
      <c r="AR17" s="54">
        <v>53400</v>
      </c>
      <c r="AS17" s="55">
        <f t="shared" si="19"/>
        <v>936.84210526315792</v>
      </c>
      <c r="AT17" s="54">
        <v>36400</v>
      </c>
      <c r="AU17" s="56">
        <f t="shared" si="20"/>
        <v>638.59649122807014</v>
      </c>
      <c r="AV17" s="56"/>
      <c r="AW17" s="56"/>
      <c r="AX17" s="71">
        <f>AR17+AT17+AV17+AW17</f>
        <v>89800</v>
      </c>
      <c r="AY17" s="69">
        <f t="shared" si="21"/>
        <v>1575.4385964912281</v>
      </c>
      <c r="AZ17" s="84">
        <f t="shared" si="22"/>
        <v>41</v>
      </c>
      <c r="BA17" s="61">
        <f t="shared" si="23"/>
        <v>426445</v>
      </c>
      <c r="BB17" s="61">
        <f t="shared" si="24"/>
        <v>146910</v>
      </c>
      <c r="BC17" s="73">
        <f>W17+AF17+AN17+AX17-BO17</f>
        <v>573355</v>
      </c>
      <c r="BD17" s="74">
        <f t="shared" si="30"/>
        <v>5500</v>
      </c>
      <c r="BE17" s="75">
        <v>41</v>
      </c>
      <c r="BF17" s="76">
        <v>223190</v>
      </c>
      <c r="BG17" s="76">
        <v>45630</v>
      </c>
      <c r="BH17" s="77">
        <v>5500</v>
      </c>
      <c r="BI17" s="77"/>
      <c r="BJ17" s="77"/>
      <c r="BK17" s="77"/>
      <c r="BL17" s="78">
        <f t="shared" si="29"/>
        <v>274320</v>
      </c>
      <c r="BM17" s="49">
        <v>13</v>
      </c>
      <c r="BN17" s="79">
        <f t="shared" si="25"/>
        <v>274320</v>
      </c>
    </row>
    <row r="18" spans="2:68" ht="20" customHeight="1">
      <c r="B18" s="80">
        <f t="shared" si="26"/>
        <v>45791</v>
      </c>
      <c r="C18" s="81"/>
      <c r="D18" s="52"/>
      <c r="E18" s="53">
        <v>13</v>
      </c>
      <c r="F18" s="54">
        <v>38830</v>
      </c>
      <c r="G18" s="55">
        <f t="shared" si="0"/>
        <v>2715.3846153846152</v>
      </c>
      <c r="H18" s="54">
        <v>5080</v>
      </c>
      <c r="I18" s="56">
        <f t="shared" si="27"/>
        <v>355.23076923076923</v>
      </c>
      <c r="J18" s="57">
        <f t="shared" si="1"/>
        <v>43910</v>
      </c>
      <c r="K18" s="58">
        <f t="shared" si="2"/>
        <v>3377.6923076923076</v>
      </c>
      <c r="L18" s="59"/>
      <c r="M18" s="60">
        <f t="shared" si="3"/>
        <v>37</v>
      </c>
      <c r="N18" s="61">
        <f t="shared" si="3"/>
        <v>385000</v>
      </c>
      <c r="O18" s="55">
        <f t="shared" si="4"/>
        <v>9459.45945945946</v>
      </c>
      <c r="P18" s="61">
        <f t="shared" si="5"/>
        <v>245000</v>
      </c>
      <c r="Q18" s="56">
        <f t="shared" si="6"/>
        <v>6019.6486486486483</v>
      </c>
      <c r="R18" s="62">
        <f t="shared" si="7"/>
        <v>630000</v>
      </c>
      <c r="S18" s="58">
        <f t="shared" si="8"/>
        <v>17027.027027027027</v>
      </c>
      <c r="T18" s="82">
        <f t="shared" si="9"/>
        <v>50</v>
      </c>
      <c r="U18" s="61">
        <f t="shared" si="9"/>
        <v>423830</v>
      </c>
      <c r="V18" s="61">
        <f t="shared" si="10"/>
        <v>250080</v>
      </c>
      <c r="W18" s="64">
        <f t="shared" si="11"/>
        <v>673910</v>
      </c>
      <c r="X18" s="83"/>
      <c r="Y18" s="65"/>
      <c r="Z18" s="66">
        <v>4</v>
      </c>
      <c r="AA18" s="66">
        <v>4</v>
      </c>
      <c r="AB18" s="54">
        <v>10000</v>
      </c>
      <c r="AC18" s="55">
        <f t="shared" si="12"/>
        <v>2500</v>
      </c>
      <c r="AD18" s="54">
        <v>1000</v>
      </c>
      <c r="AE18" s="56">
        <f t="shared" si="13"/>
        <v>250</v>
      </c>
      <c r="AF18" s="67">
        <f t="shared" si="14"/>
        <v>11000</v>
      </c>
      <c r="AG18" s="58">
        <f t="shared" si="15"/>
        <v>2750</v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8"/>
        <v>0</v>
      </c>
      <c r="AO18" s="69" t="str">
        <f t="shared" si="18"/>
        <v/>
      </c>
      <c r="AP18" s="70"/>
      <c r="AQ18" s="66">
        <v>59</v>
      </c>
      <c r="AR18" s="54">
        <v>69500</v>
      </c>
      <c r="AS18" s="55">
        <f t="shared" si="19"/>
        <v>1177.9661016949153</v>
      </c>
      <c r="AT18" s="54">
        <v>35700</v>
      </c>
      <c r="AU18" s="56">
        <f t="shared" si="20"/>
        <v>605.08474576271192</v>
      </c>
      <c r="AV18" s="56"/>
      <c r="AW18" s="56"/>
      <c r="AX18" s="71">
        <f t="shared" ref="AX18:AX35" si="33">AR18+AT18+AV18+AW18</f>
        <v>105200</v>
      </c>
      <c r="AY18" s="69">
        <f t="shared" si="21"/>
        <v>1783.050847457627</v>
      </c>
      <c r="AZ18" s="84">
        <f t="shared" si="22"/>
        <v>50</v>
      </c>
      <c r="BA18" s="61">
        <f t="shared" si="23"/>
        <v>503330</v>
      </c>
      <c r="BB18" s="61">
        <f t="shared" si="24"/>
        <v>286780</v>
      </c>
      <c r="BC18" s="73">
        <f>W18+AF18+AN18+AX18-BO18</f>
        <v>790110</v>
      </c>
      <c r="BD18" s="74">
        <f t="shared" si="30"/>
        <v>0</v>
      </c>
      <c r="BE18" s="75">
        <v>50</v>
      </c>
      <c r="BF18" s="76">
        <v>423830</v>
      </c>
      <c r="BG18" s="76">
        <v>250080</v>
      </c>
      <c r="BH18" s="77"/>
      <c r="BI18" s="77"/>
      <c r="BJ18" s="77"/>
      <c r="BK18" s="77"/>
      <c r="BL18" s="78">
        <f t="shared" si="29"/>
        <v>673910</v>
      </c>
      <c r="BM18" s="49">
        <v>14</v>
      </c>
      <c r="BN18" s="79">
        <f t="shared" si="25"/>
        <v>673910</v>
      </c>
    </row>
    <row r="19" spans="2:68" ht="20" customHeight="1">
      <c r="B19" s="80">
        <f t="shared" si="26"/>
        <v>45792</v>
      </c>
      <c r="C19" s="81"/>
      <c r="D19" s="52"/>
      <c r="E19" s="53">
        <v>26</v>
      </c>
      <c r="F19" s="54">
        <v>92840</v>
      </c>
      <c r="G19" s="55">
        <f t="shared" si="0"/>
        <v>3246.1538461538462</v>
      </c>
      <c r="H19" s="54">
        <v>16250</v>
      </c>
      <c r="I19" s="56">
        <f t="shared" si="27"/>
        <v>568.15384615384619</v>
      </c>
      <c r="J19" s="57">
        <f t="shared" si="1"/>
        <v>109090</v>
      </c>
      <c r="K19" s="58">
        <f t="shared" si="2"/>
        <v>4195.7692307692305</v>
      </c>
      <c r="L19" s="59"/>
      <c r="M19" s="60">
        <f t="shared" si="3"/>
        <v>2</v>
      </c>
      <c r="N19" s="61">
        <f t="shared" si="3"/>
        <v>20460</v>
      </c>
      <c r="O19" s="55">
        <f t="shared" si="4"/>
        <v>9300</v>
      </c>
      <c r="P19" s="61">
        <f t="shared" si="5"/>
        <v>3640</v>
      </c>
      <c r="Q19" s="87">
        <f t="shared" si="6"/>
        <v>1654.5</v>
      </c>
      <c r="R19" s="62">
        <f t="shared" si="7"/>
        <v>24100</v>
      </c>
      <c r="S19" s="58">
        <f t="shared" si="8"/>
        <v>12050</v>
      </c>
      <c r="T19" s="82">
        <f t="shared" si="9"/>
        <v>28</v>
      </c>
      <c r="U19" s="61">
        <f t="shared" si="9"/>
        <v>113300</v>
      </c>
      <c r="V19" s="61">
        <f t="shared" si="10"/>
        <v>19890</v>
      </c>
      <c r="W19" s="64">
        <f t="shared" si="11"/>
        <v>133190</v>
      </c>
      <c r="X19" s="83"/>
      <c r="Y19" s="65"/>
      <c r="Z19" s="66">
        <v>6</v>
      </c>
      <c r="AA19" s="66">
        <v>6</v>
      </c>
      <c r="AB19" s="54">
        <v>15000</v>
      </c>
      <c r="AC19" s="55">
        <f t="shared" si="12"/>
        <v>2500</v>
      </c>
      <c r="AD19" s="54">
        <v>1500</v>
      </c>
      <c r="AE19" s="56">
        <f t="shared" si="13"/>
        <v>250</v>
      </c>
      <c r="AF19" s="67">
        <f t="shared" si="14"/>
        <v>16500</v>
      </c>
      <c r="AG19" s="58">
        <f t="shared" si="15"/>
        <v>2750</v>
      </c>
      <c r="AH19" s="68"/>
      <c r="AI19" s="66"/>
      <c r="AJ19" s="54"/>
      <c r="AK19" s="55" t="e">
        <f t="shared" si="16"/>
        <v>#DIV/0!</v>
      </c>
      <c r="AL19" s="54"/>
      <c r="AM19" s="56" t="e">
        <f t="shared" si="17"/>
        <v>#DIV/0!</v>
      </c>
      <c r="AN19" s="67">
        <f t="shared" si="28"/>
        <v>0</v>
      </c>
      <c r="AO19" s="69" t="str">
        <f t="shared" si="18"/>
        <v/>
      </c>
      <c r="AP19" s="70"/>
      <c r="AQ19" s="66">
        <v>73</v>
      </c>
      <c r="AR19" s="54">
        <v>67150</v>
      </c>
      <c r="AS19" s="55">
        <f t="shared" si="19"/>
        <v>919.86301369863008</v>
      </c>
      <c r="AT19" s="54">
        <v>38000</v>
      </c>
      <c r="AU19" s="56">
        <f t="shared" si="20"/>
        <v>520.54794520547944</v>
      </c>
      <c r="AV19" s="56"/>
      <c r="AW19" s="56"/>
      <c r="AX19" s="71">
        <f>AR19+AT19+AV19+AW19-BO19</f>
        <v>105150</v>
      </c>
      <c r="AY19" s="69">
        <f t="shared" si="21"/>
        <v>1440.4109589041095</v>
      </c>
      <c r="AZ19" s="84">
        <f t="shared" si="22"/>
        <v>28</v>
      </c>
      <c r="BA19" s="61">
        <f t="shared" si="23"/>
        <v>195450</v>
      </c>
      <c r="BB19" s="61">
        <f t="shared" si="24"/>
        <v>59390</v>
      </c>
      <c r="BC19" s="73">
        <f>W19+AF19+AN19+AX19-BO19</f>
        <v>254840</v>
      </c>
      <c r="BD19" s="74">
        <f t="shared" si="30"/>
        <v>0</v>
      </c>
      <c r="BE19" s="75">
        <v>28</v>
      </c>
      <c r="BF19" s="76">
        <v>113300</v>
      </c>
      <c r="BG19" s="76">
        <v>19890</v>
      </c>
      <c r="BH19" s="77"/>
      <c r="BI19" s="77"/>
      <c r="BJ19" s="77"/>
      <c r="BK19" s="77"/>
      <c r="BL19" s="78">
        <f t="shared" si="29"/>
        <v>133190</v>
      </c>
      <c r="BM19" s="49">
        <v>15</v>
      </c>
      <c r="BN19" s="79">
        <f t="shared" si="25"/>
        <v>133190</v>
      </c>
    </row>
    <row r="20" spans="2:68" ht="20" customHeight="1">
      <c r="B20" s="80">
        <f t="shared" si="26"/>
        <v>45793</v>
      </c>
      <c r="C20" s="81"/>
      <c r="D20" s="52"/>
      <c r="E20" s="53">
        <v>25</v>
      </c>
      <c r="F20" s="54">
        <v>96250</v>
      </c>
      <c r="G20" s="55">
        <f t="shared" si="0"/>
        <v>3500</v>
      </c>
      <c r="H20" s="54">
        <v>17590</v>
      </c>
      <c r="I20" s="56">
        <f t="shared" si="27"/>
        <v>639.6</v>
      </c>
      <c r="J20" s="57">
        <f t="shared" si="1"/>
        <v>113840</v>
      </c>
      <c r="K20" s="58">
        <f t="shared" si="2"/>
        <v>4553.6000000000004</v>
      </c>
      <c r="L20" s="59"/>
      <c r="M20" s="60">
        <f t="shared" si="3"/>
        <v>19</v>
      </c>
      <c r="N20" s="61">
        <f t="shared" si="3"/>
        <v>205000</v>
      </c>
      <c r="O20" s="55">
        <f t="shared" si="4"/>
        <v>9808.5789473684217</v>
      </c>
      <c r="P20" s="61">
        <f t="shared" si="5"/>
        <v>55490</v>
      </c>
      <c r="Q20" s="87">
        <f t="shared" si="6"/>
        <v>2655</v>
      </c>
      <c r="R20" s="62">
        <f t="shared" si="7"/>
        <v>260490</v>
      </c>
      <c r="S20" s="58">
        <f t="shared" si="8"/>
        <v>13710</v>
      </c>
      <c r="T20" s="82">
        <f t="shared" si="9"/>
        <v>44</v>
      </c>
      <c r="U20" s="61">
        <f t="shared" si="9"/>
        <v>301250</v>
      </c>
      <c r="V20" s="61">
        <f t="shared" si="10"/>
        <v>73080</v>
      </c>
      <c r="W20" s="64">
        <f t="shared" si="11"/>
        <v>374330</v>
      </c>
      <c r="X20" s="83"/>
      <c r="Y20" s="65"/>
      <c r="Z20" s="66">
        <v>8</v>
      </c>
      <c r="AA20" s="66">
        <v>8</v>
      </c>
      <c r="AB20" s="54">
        <v>20000</v>
      </c>
      <c r="AC20" s="55">
        <f t="shared" si="12"/>
        <v>2500</v>
      </c>
      <c r="AD20" s="54">
        <v>2000</v>
      </c>
      <c r="AE20" s="56">
        <f t="shared" si="13"/>
        <v>250</v>
      </c>
      <c r="AF20" s="67">
        <f t="shared" si="14"/>
        <v>22000</v>
      </c>
      <c r="AG20" s="58">
        <f t="shared" si="15"/>
        <v>2750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>
        <v>110</v>
      </c>
      <c r="AR20" s="54">
        <v>62200</v>
      </c>
      <c r="AS20" s="55">
        <f t="shared" si="19"/>
        <v>565.4545454545455</v>
      </c>
      <c r="AT20" s="54">
        <v>72950</v>
      </c>
      <c r="AU20" s="56">
        <f t="shared" si="20"/>
        <v>663.18181818181813</v>
      </c>
      <c r="AV20" s="56"/>
      <c r="AW20" s="56"/>
      <c r="AX20" s="71">
        <f t="shared" si="33"/>
        <v>135150</v>
      </c>
      <c r="AY20" s="69">
        <f t="shared" si="21"/>
        <v>1228.6363636363637</v>
      </c>
      <c r="AZ20" s="84">
        <f t="shared" si="22"/>
        <v>44</v>
      </c>
      <c r="BA20" s="61">
        <f t="shared" si="23"/>
        <v>383450</v>
      </c>
      <c r="BB20" s="61">
        <f t="shared" si="24"/>
        <v>148030</v>
      </c>
      <c r="BC20" s="73">
        <f>W20+AF20+AN20+AX20</f>
        <v>531480</v>
      </c>
      <c r="BD20" s="74">
        <f t="shared" si="30"/>
        <v>1650</v>
      </c>
      <c r="BE20" s="75">
        <v>44</v>
      </c>
      <c r="BF20" s="76">
        <v>301250</v>
      </c>
      <c r="BG20" s="76">
        <v>73080</v>
      </c>
      <c r="BH20" s="77">
        <v>1650</v>
      </c>
      <c r="BI20" s="77"/>
      <c r="BJ20" s="77"/>
      <c r="BK20" s="77"/>
      <c r="BL20" s="78">
        <f t="shared" si="29"/>
        <v>375980</v>
      </c>
      <c r="BM20" s="49">
        <v>16</v>
      </c>
      <c r="BN20" s="79">
        <f t="shared" si="25"/>
        <v>375980</v>
      </c>
    </row>
    <row r="21" spans="2:68" ht="20" customHeight="1">
      <c r="B21" s="80">
        <f t="shared" si="26"/>
        <v>45794</v>
      </c>
      <c r="C21" s="81"/>
      <c r="D21" s="52"/>
      <c r="E21" s="53">
        <v>55</v>
      </c>
      <c r="F21" s="54">
        <v>271480</v>
      </c>
      <c r="G21" s="55">
        <f>ROUNDDOWN(F21/1.1,0)/E21</f>
        <v>4487.272727272727</v>
      </c>
      <c r="H21" s="54">
        <v>55980</v>
      </c>
      <c r="I21" s="56">
        <f t="shared" si="27"/>
        <v>925.27272727272725</v>
      </c>
      <c r="J21" s="57">
        <f t="shared" si="1"/>
        <v>327460</v>
      </c>
      <c r="K21" s="58">
        <f t="shared" si="2"/>
        <v>5953.818181818182</v>
      </c>
      <c r="L21" s="59"/>
      <c r="M21" s="60">
        <f t="shared" si="3"/>
        <v>28</v>
      </c>
      <c r="N21" s="61">
        <f t="shared" si="3"/>
        <v>280130</v>
      </c>
      <c r="O21" s="55">
        <f t="shared" si="4"/>
        <v>9095.1071428571431</v>
      </c>
      <c r="P21" s="61">
        <f t="shared" si="5"/>
        <v>69280</v>
      </c>
      <c r="Q21" s="87">
        <f t="shared" si="6"/>
        <v>2249.3214285714284</v>
      </c>
      <c r="R21" s="62">
        <f>N21+P21</f>
        <v>349410</v>
      </c>
      <c r="S21" s="58">
        <f t="shared" si="8"/>
        <v>12478.928571428571</v>
      </c>
      <c r="T21" s="82">
        <f t="shared" si="9"/>
        <v>83</v>
      </c>
      <c r="U21" s="61">
        <f t="shared" si="9"/>
        <v>551610</v>
      </c>
      <c r="V21" s="61">
        <f t="shared" si="10"/>
        <v>125260</v>
      </c>
      <c r="W21" s="64">
        <f t="shared" si="11"/>
        <v>676870</v>
      </c>
      <c r="X21" s="83"/>
      <c r="Y21" s="65"/>
      <c r="Z21" s="66">
        <v>0</v>
      </c>
      <c r="AA21" s="66">
        <v>0</v>
      </c>
      <c r="AB21" s="54">
        <v>0</v>
      </c>
      <c r="AC21" s="55" t="e">
        <f t="shared" si="12"/>
        <v>#DIV/0!</v>
      </c>
      <c r="AD21" s="54">
        <v>0</v>
      </c>
      <c r="AE21" s="56" t="e">
        <f t="shared" si="13"/>
        <v>#DIV/0!</v>
      </c>
      <c r="AF21" s="67">
        <f t="shared" si="14"/>
        <v>0</v>
      </c>
      <c r="AG21" s="58" t="e">
        <f t="shared" si="15"/>
        <v>#DIV/0!</v>
      </c>
      <c r="AH21" s="68"/>
      <c r="AI21" s="66"/>
      <c r="AJ21" s="54"/>
      <c r="AK21" s="55" t="e">
        <f t="shared" si="16"/>
        <v>#DIV/0!</v>
      </c>
      <c r="AL21" s="54"/>
      <c r="AM21" s="56" t="e">
        <f t="shared" si="17"/>
        <v>#DIV/0!</v>
      </c>
      <c r="AN21" s="67">
        <f t="shared" si="28"/>
        <v>0</v>
      </c>
      <c r="AO21" s="69" t="str">
        <f t="shared" si="18"/>
        <v/>
      </c>
      <c r="AP21" s="70"/>
      <c r="AQ21" s="66">
        <v>190</v>
      </c>
      <c r="AR21" s="54">
        <v>129850</v>
      </c>
      <c r="AS21" s="55">
        <f t="shared" si="19"/>
        <v>683.42105263157896</v>
      </c>
      <c r="AT21" s="54">
        <v>129700</v>
      </c>
      <c r="AU21" s="56">
        <f t="shared" si="20"/>
        <v>682.63157894736844</v>
      </c>
      <c r="AV21" s="56"/>
      <c r="AW21" s="56"/>
      <c r="AX21" s="71">
        <f t="shared" si="33"/>
        <v>259550</v>
      </c>
      <c r="AY21" s="69">
        <f t="shared" si="21"/>
        <v>1366.0526315789473</v>
      </c>
      <c r="AZ21" s="84">
        <f t="shared" si="22"/>
        <v>83</v>
      </c>
      <c r="BA21" s="61">
        <f t="shared" si="23"/>
        <v>681460</v>
      </c>
      <c r="BB21" s="61">
        <f t="shared" si="24"/>
        <v>254960</v>
      </c>
      <c r="BC21" s="73">
        <f>W21+AF21+AN21+AX21-BO21</f>
        <v>928540</v>
      </c>
      <c r="BD21" s="74">
        <f t="shared" si="30"/>
        <v>14300</v>
      </c>
      <c r="BE21" s="75">
        <v>83</v>
      </c>
      <c r="BF21" s="76">
        <v>551610</v>
      </c>
      <c r="BG21" s="76">
        <v>125260</v>
      </c>
      <c r="BH21" s="77">
        <v>14300</v>
      </c>
      <c r="BI21" s="77"/>
      <c r="BJ21" s="77"/>
      <c r="BK21" s="77"/>
      <c r="BL21" s="78">
        <f t="shared" si="29"/>
        <v>691170</v>
      </c>
      <c r="BM21" s="49">
        <v>17</v>
      </c>
      <c r="BN21" s="79">
        <f t="shared" si="25"/>
        <v>691170</v>
      </c>
      <c r="BO21" s="49">
        <v>7880</v>
      </c>
    </row>
    <row r="22" spans="2:68" ht="20" customHeight="1">
      <c r="B22" s="80">
        <f t="shared" si="26"/>
        <v>45795</v>
      </c>
      <c r="C22" s="81"/>
      <c r="D22" s="52"/>
      <c r="E22" s="53">
        <v>41</v>
      </c>
      <c r="F22" s="54">
        <v>168300</v>
      </c>
      <c r="G22" s="55">
        <f t="shared" si="0"/>
        <v>3731.7073170731705</v>
      </c>
      <c r="H22" s="54">
        <v>34760</v>
      </c>
      <c r="I22" s="56">
        <f t="shared" si="27"/>
        <v>770.73170731707319</v>
      </c>
      <c r="J22" s="57">
        <f t="shared" si="1"/>
        <v>203060</v>
      </c>
      <c r="K22" s="58">
        <f t="shared" si="2"/>
        <v>4952.6829268292686</v>
      </c>
      <c r="L22" s="59"/>
      <c r="M22" s="60">
        <f t="shared" si="3"/>
        <v>6</v>
      </c>
      <c r="N22" s="61">
        <f t="shared" si="3"/>
        <v>69300</v>
      </c>
      <c r="O22" s="55">
        <f t="shared" si="4"/>
        <v>10500</v>
      </c>
      <c r="P22" s="61">
        <f t="shared" si="5"/>
        <v>15060</v>
      </c>
      <c r="Q22" s="87">
        <f t="shared" si="6"/>
        <v>2281.6666666666665</v>
      </c>
      <c r="R22" s="62">
        <f t="shared" si="7"/>
        <v>84360</v>
      </c>
      <c r="S22" s="58">
        <f t="shared" si="8"/>
        <v>14060</v>
      </c>
      <c r="T22" s="82">
        <f t="shared" si="9"/>
        <v>47</v>
      </c>
      <c r="U22" s="61">
        <f t="shared" si="9"/>
        <v>237600</v>
      </c>
      <c r="V22" s="61">
        <f t="shared" si="10"/>
        <v>49820</v>
      </c>
      <c r="W22" s="64">
        <f t="shared" si="11"/>
        <v>287420</v>
      </c>
      <c r="X22" s="83"/>
      <c r="Y22" s="65"/>
      <c r="Z22" s="66">
        <v>5</v>
      </c>
      <c r="AA22" s="66">
        <v>5</v>
      </c>
      <c r="AB22" s="54">
        <v>0</v>
      </c>
      <c r="AC22" s="55">
        <f t="shared" si="12"/>
        <v>0</v>
      </c>
      <c r="AD22" s="54">
        <v>1250</v>
      </c>
      <c r="AE22" s="56">
        <f t="shared" si="13"/>
        <v>250</v>
      </c>
      <c r="AF22" s="67">
        <f t="shared" si="14"/>
        <v>1250</v>
      </c>
      <c r="AG22" s="58">
        <f t="shared" si="15"/>
        <v>250</v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8"/>
        <v>0</v>
      </c>
      <c r="AO22" s="69" t="str">
        <f t="shared" si="18"/>
        <v/>
      </c>
      <c r="AP22" s="70"/>
      <c r="AQ22" s="66">
        <v>234</v>
      </c>
      <c r="AR22" s="54">
        <v>209850</v>
      </c>
      <c r="AS22" s="55">
        <f t="shared" si="19"/>
        <v>896.79487179487182</v>
      </c>
      <c r="AT22" s="54">
        <v>151900</v>
      </c>
      <c r="AU22" s="56">
        <f t="shared" si="20"/>
        <v>649.14529914529919</v>
      </c>
      <c r="AV22" s="56"/>
      <c r="AW22" s="56"/>
      <c r="AX22" s="71">
        <f t="shared" si="33"/>
        <v>361750</v>
      </c>
      <c r="AY22" s="69">
        <f t="shared" si="21"/>
        <v>1545.9401709401709</v>
      </c>
      <c r="AZ22" s="84">
        <f t="shared" si="22"/>
        <v>47</v>
      </c>
      <c r="BA22" s="61">
        <f t="shared" si="23"/>
        <v>447450</v>
      </c>
      <c r="BB22" s="61">
        <f t="shared" si="24"/>
        <v>202970</v>
      </c>
      <c r="BC22" s="73">
        <f>W22+AF22+AN22+AX22-BO22</f>
        <v>648770</v>
      </c>
      <c r="BD22" s="74">
        <f t="shared" si="30"/>
        <v>4950</v>
      </c>
      <c r="BE22" s="75">
        <v>47</v>
      </c>
      <c r="BF22" s="76">
        <v>237600</v>
      </c>
      <c r="BG22" s="76">
        <v>49820</v>
      </c>
      <c r="BH22" s="77">
        <v>4950</v>
      </c>
      <c r="BI22" s="77"/>
      <c r="BJ22" s="77">
        <v>3300</v>
      </c>
      <c r="BK22" s="77"/>
      <c r="BL22" s="78">
        <f t="shared" si="29"/>
        <v>292370</v>
      </c>
      <c r="BM22" s="49">
        <v>18</v>
      </c>
      <c r="BN22" s="79">
        <f t="shared" si="25"/>
        <v>292370</v>
      </c>
      <c r="BO22" s="49">
        <v>1650</v>
      </c>
      <c r="BP22" s="85"/>
    </row>
    <row r="23" spans="2:68" ht="20" customHeight="1">
      <c r="B23" s="80">
        <f t="shared" si="26"/>
        <v>45796</v>
      </c>
      <c r="C23" s="81"/>
      <c r="D23" s="52"/>
      <c r="E23" s="53">
        <v>31</v>
      </c>
      <c r="F23" s="54">
        <v>114400</v>
      </c>
      <c r="G23" s="55">
        <f t="shared" si="0"/>
        <v>3354.8387096774195</v>
      </c>
      <c r="H23" s="54">
        <v>18160</v>
      </c>
      <c r="I23" s="56">
        <f t="shared" si="27"/>
        <v>532.54838709677415</v>
      </c>
      <c r="J23" s="57">
        <f t="shared" si="1"/>
        <v>132560</v>
      </c>
      <c r="K23" s="58">
        <f t="shared" si="2"/>
        <v>4276.1290322580644</v>
      </c>
      <c r="L23" s="59"/>
      <c r="M23" s="60">
        <f t="shared" si="3"/>
        <v>6</v>
      </c>
      <c r="N23" s="61">
        <f t="shared" si="3"/>
        <v>52800</v>
      </c>
      <c r="O23" s="55">
        <f t="shared" si="4"/>
        <v>8000</v>
      </c>
      <c r="P23" s="61">
        <f t="shared" si="5"/>
        <v>14970</v>
      </c>
      <c r="Q23" s="87">
        <f t="shared" si="6"/>
        <v>2268.1666666666665</v>
      </c>
      <c r="R23" s="62">
        <f t="shared" si="7"/>
        <v>67770</v>
      </c>
      <c r="S23" s="58">
        <f t="shared" si="8"/>
        <v>11295</v>
      </c>
      <c r="T23" s="82">
        <f t="shared" si="9"/>
        <v>37</v>
      </c>
      <c r="U23" s="61">
        <f t="shared" si="9"/>
        <v>167200</v>
      </c>
      <c r="V23" s="61">
        <f t="shared" si="10"/>
        <v>33130</v>
      </c>
      <c r="W23" s="64">
        <f t="shared" si="11"/>
        <v>200330</v>
      </c>
      <c r="X23" s="83"/>
      <c r="Y23" s="65"/>
      <c r="Z23" s="66">
        <v>4</v>
      </c>
      <c r="AA23" s="66">
        <v>4</v>
      </c>
      <c r="AB23" s="54">
        <v>10000</v>
      </c>
      <c r="AC23" s="55">
        <f t="shared" si="12"/>
        <v>2500</v>
      </c>
      <c r="AD23" s="54">
        <v>1000</v>
      </c>
      <c r="AE23" s="56">
        <f t="shared" si="13"/>
        <v>250</v>
      </c>
      <c r="AF23" s="67">
        <f t="shared" si="14"/>
        <v>11000</v>
      </c>
      <c r="AG23" s="58">
        <f t="shared" si="15"/>
        <v>2750</v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8"/>
        <v>0</v>
      </c>
      <c r="AO23" s="69" t="str">
        <f t="shared" si="18"/>
        <v/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3"/>
        <v>0</v>
      </c>
      <c r="AY23" s="69" t="str">
        <f>IF(AQ23="","",AX23/AQ23)</f>
        <v/>
      </c>
      <c r="AZ23" s="84">
        <f t="shared" si="22"/>
        <v>37</v>
      </c>
      <c r="BA23" s="61">
        <f t="shared" si="23"/>
        <v>177200</v>
      </c>
      <c r="BB23" s="61">
        <f t="shared" si="24"/>
        <v>34130</v>
      </c>
      <c r="BC23" s="73">
        <f>W23+AF23+AN23+AX23</f>
        <v>211330</v>
      </c>
      <c r="BD23" s="74">
        <f t="shared" si="30"/>
        <v>0</v>
      </c>
      <c r="BE23" s="75">
        <v>37</v>
      </c>
      <c r="BF23" s="76">
        <v>167200</v>
      </c>
      <c r="BG23" s="76">
        <v>33130</v>
      </c>
      <c r="BH23" s="77"/>
      <c r="BI23" s="77"/>
      <c r="BJ23" s="77"/>
      <c r="BK23" s="77"/>
      <c r="BL23" s="78">
        <f>SUM(BF23:BI23)</f>
        <v>200330</v>
      </c>
      <c r="BM23" s="49">
        <v>19</v>
      </c>
      <c r="BN23" s="79">
        <f t="shared" si="25"/>
        <v>200330</v>
      </c>
    </row>
    <row r="24" spans="2:68" ht="20" customHeight="1">
      <c r="B24" s="80">
        <f t="shared" si="26"/>
        <v>45797</v>
      </c>
      <c r="C24" s="81"/>
      <c r="D24" s="52"/>
      <c r="E24" s="53">
        <v>24</v>
      </c>
      <c r="F24" s="54">
        <v>94710</v>
      </c>
      <c r="G24" s="55">
        <f t="shared" si="0"/>
        <v>3587.5</v>
      </c>
      <c r="H24" s="54">
        <v>15200</v>
      </c>
      <c r="I24" s="56">
        <f t="shared" si="27"/>
        <v>575.75</v>
      </c>
      <c r="J24" s="57">
        <f t="shared" si="1"/>
        <v>109910</v>
      </c>
      <c r="K24" s="58">
        <f t="shared" si="2"/>
        <v>4579.583333333333</v>
      </c>
      <c r="L24" s="59"/>
      <c r="M24" s="60">
        <f t="shared" si="3"/>
        <v>12</v>
      </c>
      <c r="N24" s="61">
        <f t="shared" si="3"/>
        <v>95160</v>
      </c>
      <c r="O24" s="55">
        <f t="shared" si="4"/>
        <v>7209.083333333333</v>
      </c>
      <c r="P24" s="61">
        <f t="shared" si="5"/>
        <v>35850</v>
      </c>
      <c r="Q24" s="87">
        <f t="shared" si="6"/>
        <v>2715.8333333333335</v>
      </c>
      <c r="R24" s="62">
        <f t="shared" si="7"/>
        <v>131010</v>
      </c>
      <c r="S24" s="58">
        <f t="shared" si="8"/>
        <v>10917.5</v>
      </c>
      <c r="T24" s="82">
        <f t="shared" si="9"/>
        <v>36</v>
      </c>
      <c r="U24" s="61">
        <f t="shared" si="9"/>
        <v>189870</v>
      </c>
      <c r="V24" s="61">
        <f t="shared" si="10"/>
        <v>51050</v>
      </c>
      <c r="W24" s="64">
        <f t="shared" si="11"/>
        <v>240920</v>
      </c>
      <c r="X24" s="83"/>
      <c r="Y24" s="65"/>
      <c r="Z24" s="66">
        <v>0</v>
      </c>
      <c r="AA24" s="66"/>
      <c r="AB24" s="54">
        <v>0</v>
      </c>
      <c r="AC24" s="55" t="e">
        <f t="shared" si="12"/>
        <v>#DIV/0!</v>
      </c>
      <c r="AD24" s="54">
        <v>0</v>
      </c>
      <c r="AE24" s="56" t="e">
        <f t="shared" si="13"/>
        <v>#DIV/0!</v>
      </c>
      <c r="AF24" s="67">
        <f t="shared" si="14"/>
        <v>0</v>
      </c>
      <c r="AG24" s="58" t="e">
        <f t="shared" si="15"/>
        <v>#DIV/0!</v>
      </c>
      <c r="AH24" s="68"/>
      <c r="AI24" s="66"/>
      <c r="AJ24" s="54"/>
      <c r="AK24" s="55" t="e">
        <f t="shared" si="16"/>
        <v>#DIV/0!</v>
      </c>
      <c r="AL24" s="54"/>
      <c r="AM24" s="56" t="e">
        <f t="shared" si="17"/>
        <v>#DIV/0!</v>
      </c>
      <c r="AN24" s="67">
        <f t="shared" si="28"/>
        <v>0</v>
      </c>
      <c r="AO24" s="69" t="str">
        <f t="shared" si="18"/>
        <v/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3"/>
        <v>0</v>
      </c>
      <c r="AY24" s="69" t="str">
        <f t="shared" si="21"/>
        <v/>
      </c>
      <c r="AZ24" s="84">
        <f t="shared" si="22"/>
        <v>36</v>
      </c>
      <c r="BA24" s="61">
        <f t="shared" si="23"/>
        <v>189870</v>
      </c>
      <c r="BB24" s="61">
        <f t="shared" si="24"/>
        <v>51050</v>
      </c>
      <c r="BC24" s="73">
        <f>W24+AF24+AN24+AX24-BO24</f>
        <v>240920</v>
      </c>
      <c r="BD24" s="74">
        <f t="shared" si="30"/>
        <v>3300</v>
      </c>
      <c r="BE24" s="75">
        <v>36</v>
      </c>
      <c r="BF24" s="76">
        <v>189870</v>
      </c>
      <c r="BG24" s="76">
        <v>51050</v>
      </c>
      <c r="BH24" s="77">
        <v>3300</v>
      </c>
      <c r="BI24" s="77"/>
      <c r="BJ24" s="77"/>
      <c r="BK24" s="77"/>
      <c r="BL24" s="78">
        <f t="shared" si="29"/>
        <v>244220</v>
      </c>
      <c r="BM24" s="49">
        <v>20</v>
      </c>
      <c r="BN24" s="79">
        <f t="shared" si="25"/>
        <v>244220</v>
      </c>
    </row>
    <row r="25" spans="2:68" ht="20" customHeight="1">
      <c r="B25" s="80">
        <f t="shared" si="26"/>
        <v>45798</v>
      </c>
      <c r="C25" s="81"/>
      <c r="D25" s="52"/>
      <c r="E25" s="53">
        <v>27</v>
      </c>
      <c r="F25" s="54">
        <v>99220</v>
      </c>
      <c r="G25" s="55">
        <f t="shared" si="0"/>
        <v>3340.7407407407409</v>
      </c>
      <c r="H25" s="54">
        <v>6930</v>
      </c>
      <c r="I25" s="56">
        <f t="shared" si="27"/>
        <v>233.33333333333334</v>
      </c>
      <c r="J25" s="57">
        <f t="shared" si="1"/>
        <v>106150</v>
      </c>
      <c r="K25" s="58">
        <f t="shared" si="2"/>
        <v>3931.4814814814813</v>
      </c>
      <c r="L25" s="59"/>
      <c r="M25" s="60">
        <f t="shared" si="3"/>
        <v>6</v>
      </c>
      <c r="N25" s="61">
        <f t="shared" si="3"/>
        <v>68970</v>
      </c>
      <c r="O25" s="55">
        <f t="shared" si="4"/>
        <v>10450</v>
      </c>
      <c r="P25" s="61">
        <f t="shared" si="5"/>
        <v>24220</v>
      </c>
      <c r="Q25" s="87">
        <f t="shared" si="6"/>
        <v>3669.6666666666665</v>
      </c>
      <c r="R25" s="62">
        <f t="shared" si="7"/>
        <v>93190</v>
      </c>
      <c r="S25" s="58">
        <f t="shared" si="8"/>
        <v>15531.666666666666</v>
      </c>
      <c r="T25" s="82">
        <f t="shared" si="9"/>
        <v>33</v>
      </c>
      <c r="U25" s="61">
        <f t="shared" si="9"/>
        <v>168190</v>
      </c>
      <c r="V25" s="61">
        <f t="shared" si="10"/>
        <v>31150</v>
      </c>
      <c r="W25" s="64">
        <f t="shared" si="11"/>
        <v>199340</v>
      </c>
      <c r="X25" s="83"/>
      <c r="Y25" s="65"/>
      <c r="Z25" s="66">
        <v>6</v>
      </c>
      <c r="AA25" s="66"/>
      <c r="AB25" s="54">
        <v>15000</v>
      </c>
      <c r="AC25" s="55">
        <f t="shared" si="12"/>
        <v>2500</v>
      </c>
      <c r="AD25" s="54">
        <v>1500</v>
      </c>
      <c r="AE25" s="56">
        <f t="shared" si="13"/>
        <v>250</v>
      </c>
      <c r="AF25" s="67">
        <f t="shared" si="14"/>
        <v>16500</v>
      </c>
      <c r="AG25" s="58">
        <f t="shared" si="15"/>
        <v>2750</v>
      </c>
      <c r="AH25" s="68"/>
      <c r="AI25" s="66">
        <v>36</v>
      </c>
      <c r="AJ25" s="54">
        <v>140940</v>
      </c>
      <c r="AK25" s="55">
        <f t="shared" si="16"/>
        <v>3915</v>
      </c>
      <c r="AL25" s="54">
        <v>46980</v>
      </c>
      <c r="AM25" s="56">
        <f t="shared" si="17"/>
        <v>1305</v>
      </c>
      <c r="AN25" s="67">
        <f t="shared" si="28"/>
        <v>187920</v>
      </c>
      <c r="AO25" s="69">
        <f t="shared" si="18"/>
        <v>5220</v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3"/>
        <v>0</v>
      </c>
      <c r="AY25" s="69" t="str">
        <f t="shared" si="21"/>
        <v/>
      </c>
      <c r="AZ25" s="84">
        <f t="shared" si="22"/>
        <v>33</v>
      </c>
      <c r="BA25" s="61">
        <f t="shared" si="23"/>
        <v>324130</v>
      </c>
      <c r="BB25" s="61">
        <f t="shared" si="24"/>
        <v>79630</v>
      </c>
      <c r="BC25" s="73">
        <f>W25+AF25+AN25+AX25-BO25</f>
        <v>403760</v>
      </c>
      <c r="BD25" s="74">
        <f t="shared" si="30"/>
        <v>0</v>
      </c>
      <c r="BE25" s="75">
        <v>33</v>
      </c>
      <c r="BF25" s="76">
        <v>168190</v>
      </c>
      <c r="BG25" s="76">
        <v>31150</v>
      </c>
      <c r="BH25" s="77"/>
      <c r="BI25" s="77"/>
      <c r="BJ25" s="77"/>
      <c r="BK25" s="77"/>
      <c r="BL25" s="78">
        <f t="shared" si="29"/>
        <v>199340</v>
      </c>
      <c r="BM25" s="49">
        <v>21</v>
      </c>
      <c r="BN25" s="79">
        <f t="shared" si="25"/>
        <v>199340</v>
      </c>
    </row>
    <row r="26" spans="2:68" ht="20" customHeight="1">
      <c r="B26" s="80">
        <f t="shared" si="26"/>
        <v>45799</v>
      </c>
      <c r="C26" s="81"/>
      <c r="D26" s="52"/>
      <c r="E26" s="53">
        <v>31</v>
      </c>
      <c r="F26" s="54">
        <v>120890</v>
      </c>
      <c r="G26" s="55">
        <f t="shared" si="0"/>
        <v>3545.1612903225805</v>
      </c>
      <c r="H26" s="54">
        <v>10070</v>
      </c>
      <c r="I26" s="56">
        <f t="shared" si="27"/>
        <v>295.29032258064518</v>
      </c>
      <c r="J26" s="57">
        <f t="shared" si="1"/>
        <v>130960</v>
      </c>
      <c r="K26" s="58">
        <f t="shared" si="2"/>
        <v>4224.5161290322585</v>
      </c>
      <c r="L26" s="59"/>
      <c r="M26" s="60">
        <f t="shared" si="3"/>
        <v>12</v>
      </c>
      <c r="N26" s="61">
        <f t="shared" si="3"/>
        <v>114460</v>
      </c>
      <c r="O26" s="55">
        <f t="shared" si="4"/>
        <v>8671.1666666666661</v>
      </c>
      <c r="P26" s="61">
        <f t="shared" si="5"/>
        <v>23890</v>
      </c>
      <c r="Q26" s="87">
        <f t="shared" si="6"/>
        <v>1809.8333333333333</v>
      </c>
      <c r="R26" s="62">
        <f t="shared" si="7"/>
        <v>138350</v>
      </c>
      <c r="S26" s="58">
        <f t="shared" si="8"/>
        <v>11529.166666666666</v>
      </c>
      <c r="T26" s="82">
        <f t="shared" si="9"/>
        <v>43</v>
      </c>
      <c r="U26" s="61">
        <f t="shared" si="9"/>
        <v>235350</v>
      </c>
      <c r="V26" s="61">
        <f t="shared" si="10"/>
        <v>33960</v>
      </c>
      <c r="W26" s="64">
        <f t="shared" si="11"/>
        <v>269310</v>
      </c>
      <c r="X26" s="83"/>
      <c r="Y26" s="65"/>
      <c r="Z26" s="66">
        <v>5</v>
      </c>
      <c r="AA26" s="66"/>
      <c r="AB26" s="54">
        <v>13700</v>
      </c>
      <c r="AC26" s="55">
        <f t="shared" si="12"/>
        <v>2740</v>
      </c>
      <c r="AD26" s="54">
        <v>1250</v>
      </c>
      <c r="AE26" s="56">
        <f t="shared" si="13"/>
        <v>250</v>
      </c>
      <c r="AF26" s="67">
        <f t="shared" si="14"/>
        <v>14950</v>
      </c>
      <c r="AG26" s="58">
        <f t="shared" si="15"/>
        <v>2990</v>
      </c>
      <c r="AH26" s="68"/>
      <c r="AI26" s="66">
        <v>22</v>
      </c>
      <c r="AJ26" s="54">
        <v>66990</v>
      </c>
      <c r="AK26" s="55">
        <f t="shared" si="16"/>
        <v>3045</v>
      </c>
      <c r="AL26" s="54">
        <v>30755</v>
      </c>
      <c r="AM26" s="56">
        <f t="shared" si="17"/>
        <v>1397.9545454545455</v>
      </c>
      <c r="AN26" s="67">
        <f t="shared" si="28"/>
        <v>97745</v>
      </c>
      <c r="AO26" s="69">
        <f t="shared" si="18"/>
        <v>4442.954545454545</v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 t="shared" si="33"/>
        <v>0</v>
      </c>
      <c r="AY26" s="69" t="str">
        <f t="shared" si="21"/>
        <v/>
      </c>
      <c r="AZ26" s="84">
        <f t="shared" si="22"/>
        <v>43</v>
      </c>
      <c r="BA26" s="61">
        <f t="shared" si="23"/>
        <v>316040</v>
      </c>
      <c r="BB26" s="61">
        <f t="shared" si="24"/>
        <v>65965</v>
      </c>
      <c r="BC26" s="73">
        <f>W26+AF26+AN26+AX26-BO26</f>
        <v>379035</v>
      </c>
      <c r="BD26" s="74">
        <f>BH26+BI26</f>
        <v>2200</v>
      </c>
      <c r="BE26" s="75">
        <v>43</v>
      </c>
      <c r="BF26" s="76">
        <v>235350</v>
      </c>
      <c r="BG26" s="76">
        <v>33960</v>
      </c>
      <c r="BH26" s="77">
        <v>2200</v>
      </c>
      <c r="BI26" s="77"/>
      <c r="BJ26" s="77"/>
      <c r="BK26" s="77"/>
      <c r="BL26" s="78">
        <f t="shared" si="29"/>
        <v>271510</v>
      </c>
      <c r="BM26" s="49">
        <v>22</v>
      </c>
      <c r="BN26" s="79">
        <f t="shared" si="25"/>
        <v>271510</v>
      </c>
      <c r="BO26" s="49">
        <v>2970</v>
      </c>
    </row>
    <row r="27" spans="2:68" ht="20" customHeight="1">
      <c r="B27" s="80">
        <f t="shared" si="26"/>
        <v>45800</v>
      </c>
      <c r="C27" s="81"/>
      <c r="D27" s="52"/>
      <c r="E27" s="53">
        <v>27</v>
      </c>
      <c r="F27" s="54">
        <v>136950</v>
      </c>
      <c r="G27" s="55">
        <f t="shared" si="0"/>
        <v>4611.1111111111113</v>
      </c>
      <c r="H27" s="54">
        <v>29490</v>
      </c>
      <c r="I27" s="56">
        <f t="shared" si="27"/>
        <v>992.92592592592598</v>
      </c>
      <c r="J27" s="57">
        <f t="shared" si="1"/>
        <v>166440</v>
      </c>
      <c r="K27" s="58">
        <f t="shared" si="2"/>
        <v>6164.4444444444443</v>
      </c>
      <c r="L27" s="59"/>
      <c r="M27" s="60">
        <f t="shared" si="3"/>
        <v>20</v>
      </c>
      <c r="N27" s="61">
        <f t="shared" si="3"/>
        <v>186340</v>
      </c>
      <c r="O27" s="55">
        <f t="shared" si="4"/>
        <v>8470</v>
      </c>
      <c r="P27" s="61">
        <f t="shared" si="5"/>
        <v>52200</v>
      </c>
      <c r="Q27" s="56">
        <f t="shared" si="6"/>
        <v>2372.6999999999998</v>
      </c>
      <c r="R27" s="62">
        <f t="shared" si="7"/>
        <v>238540</v>
      </c>
      <c r="S27" s="58">
        <f t="shared" si="8"/>
        <v>11927</v>
      </c>
      <c r="T27" s="82">
        <f t="shared" si="9"/>
        <v>47</v>
      </c>
      <c r="U27" s="61">
        <f t="shared" si="9"/>
        <v>323290</v>
      </c>
      <c r="V27" s="61">
        <f t="shared" si="10"/>
        <v>81690</v>
      </c>
      <c r="W27" s="64">
        <f t="shared" si="11"/>
        <v>404980</v>
      </c>
      <c r="X27" s="83"/>
      <c r="Y27" s="65"/>
      <c r="Z27" s="66">
        <v>4</v>
      </c>
      <c r="AA27" s="66"/>
      <c r="AB27" s="54">
        <v>10000</v>
      </c>
      <c r="AC27" s="55">
        <f t="shared" si="12"/>
        <v>2500</v>
      </c>
      <c r="AD27" s="54">
        <v>5130</v>
      </c>
      <c r="AE27" s="56">
        <f t="shared" si="13"/>
        <v>1282.5</v>
      </c>
      <c r="AF27" s="67">
        <f t="shared" si="14"/>
        <v>15130</v>
      </c>
      <c r="AG27" s="58">
        <f t="shared" si="15"/>
        <v>3782.5</v>
      </c>
      <c r="AH27" s="68"/>
      <c r="AI27" s="66">
        <v>50</v>
      </c>
      <c r="AJ27" s="54">
        <v>174000</v>
      </c>
      <c r="AK27" s="55">
        <f t="shared" si="16"/>
        <v>3480</v>
      </c>
      <c r="AL27" s="54">
        <v>65250</v>
      </c>
      <c r="AM27" s="56">
        <f t="shared" si="17"/>
        <v>1305</v>
      </c>
      <c r="AN27" s="67">
        <f t="shared" si="28"/>
        <v>239250</v>
      </c>
      <c r="AO27" s="69">
        <f t="shared" si="18"/>
        <v>4785</v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>AR27+AT27+AV27+AW27-BP26</f>
        <v>0</v>
      </c>
      <c r="AY27" s="69" t="str">
        <f t="shared" si="21"/>
        <v/>
      </c>
      <c r="AZ27" s="84">
        <f t="shared" si="22"/>
        <v>47</v>
      </c>
      <c r="BA27" s="61">
        <f t="shared" si="23"/>
        <v>507290</v>
      </c>
      <c r="BB27" s="61">
        <f t="shared" si="24"/>
        <v>152070</v>
      </c>
      <c r="BC27" s="73">
        <f>W27+AF27+AN27+AX27-BO27</f>
        <v>659360</v>
      </c>
      <c r="BD27" s="74">
        <f t="shared" si="30"/>
        <v>2200</v>
      </c>
      <c r="BE27" s="75">
        <v>47</v>
      </c>
      <c r="BF27" s="76">
        <v>323290</v>
      </c>
      <c r="BG27" s="76">
        <v>81690</v>
      </c>
      <c r="BH27" s="77">
        <v>2200</v>
      </c>
      <c r="BI27" s="77"/>
      <c r="BJ27" s="77"/>
      <c r="BK27" s="77"/>
      <c r="BL27" s="78">
        <f t="shared" si="29"/>
        <v>407180</v>
      </c>
      <c r="BM27" s="49">
        <v>23</v>
      </c>
      <c r="BN27" s="79">
        <f t="shared" si="25"/>
        <v>407180</v>
      </c>
    </row>
    <row r="28" spans="2:68" ht="20" customHeight="1">
      <c r="B28" s="80">
        <f>B27+1</f>
        <v>45801</v>
      </c>
      <c r="C28" s="81"/>
      <c r="D28" s="52"/>
      <c r="E28" s="53">
        <v>37</v>
      </c>
      <c r="F28" s="54">
        <v>158950</v>
      </c>
      <c r="G28" s="55">
        <f t="shared" si="0"/>
        <v>3905.4054054054054</v>
      </c>
      <c r="H28" s="54">
        <v>32320</v>
      </c>
      <c r="I28" s="56">
        <f t="shared" si="27"/>
        <v>794.08108108108104</v>
      </c>
      <c r="J28" s="57">
        <f t="shared" si="1"/>
        <v>191270</v>
      </c>
      <c r="K28" s="58">
        <f t="shared" si="2"/>
        <v>5169.4594594594591</v>
      </c>
      <c r="L28" s="59"/>
      <c r="M28" s="60">
        <f t="shared" si="3"/>
        <v>22</v>
      </c>
      <c r="N28" s="61">
        <f t="shared" si="3"/>
        <v>216590</v>
      </c>
      <c r="O28" s="55">
        <f t="shared" si="4"/>
        <v>8950</v>
      </c>
      <c r="P28" s="61">
        <f t="shared" si="5"/>
        <v>38550</v>
      </c>
      <c r="Q28" s="56">
        <f>ROUNDDOWN(P28/1.1,0)/M28</f>
        <v>1592.9545454545455</v>
      </c>
      <c r="R28" s="62">
        <f t="shared" si="7"/>
        <v>255140</v>
      </c>
      <c r="S28" s="58">
        <f t="shared" si="8"/>
        <v>11597.272727272728</v>
      </c>
      <c r="T28" s="82">
        <f t="shared" si="9"/>
        <v>59</v>
      </c>
      <c r="U28" s="61">
        <f t="shared" si="9"/>
        <v>375540</v>
      </c>
      <c r="V28" s="61">
        <f t="shared" si="10"/>
        <v>70870</v>
      </c>
      <c r="W28" s="64">
        <f t="shared" si="11"/>
        <v>446410</v>
      </c>
      <c r="X28" s="83"/>
      <c r="Y28" s="65"/>
      <c r="Z28" s="66">
        <v>4</v>
      </c>
      <c r="AA28" s="66"/>
      <c r="AB28" s="54">
        <v>10000</v>
      </c>
      <c r="AC28" s="55">
        <f t="shared" si="12"/>
        <v>2500</v>
      </c>
      <c r="AD28" s="54">
        <v>1000</v>
      </c>
      <c r="AE28" s="56">
        <f t="shared" si="13"/>
        <v>250</v>
      </c>
      <c r="AF28" s="67">
        <f t="shared" si="14"/>
        <v>11000</v>
      </c>
      <c r="AG28" s="58">
        <f t="shared" si="15"/>
        <v>2750</v>
      </c>
      <c r="AH28" s="68"/>
      <c r="AI28" s="66"/>
      <c r="AJ28" s="54"/>
      <c r="AK28" s="55" t="e">
        <f t="shared" si="16"/>
        <v>#DIV/0!</v>
      </c>
      <c r="AL28" s="54"/>
      <c r="AM28" s="56" t="e">
        <f t="shared" si="17"/>
        <v>#DIV/0!</v>
      </c>
      <c r="AN28" s="67">
        <f t="shared" si="28"/>
        <v>0</v>
      </c>
      <c r="AO28" s="69" t="str">
        <f t="shared" si="18"/>
        <v/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>AR28+AT28+AV28+AW28</f>
        <v>0</v>
      </c>
      <c r="AY28" s="69" t="str">
        <f t="shared" si="21"/>
        <v/>
      </c>
      <c r="AZ28" s="84">
        <f t="shared" si="22"/>
        <v>59</v>
      </c>
      <c r="BA28" s="61">
        <f t="shared" si="23"/>
        <v>385540</v>
      </c>
      <c r="BB28" s="61">
        <f t="shared" si="24"/>
        <v>71870</v>
      </c>
      <c r="BC28" s="73">
        <f>W28+AF28+AN28+AX28</f>
        <v>457410</v>
      </c>
      <c r="BD28" s="74">
        <f t="shared" si="30"/>
        <v>6050</v>
      </c>
      <c r="BE28" s="75">
        <v>59</v>
      </c>
      <c r="BF28" s="76">
        <v>375540</v>
      </c>
      <c r="BG28" s="76">
        <v>70870</v>
      </c>
      <c r="BH28" s="77">
        <v>6050</v>
      </c>
      <c r="BI28" s="77"/>
      <c r="BJ28" s="77"/>
      <c r="BK28" s="77"/>
      <c r="BL28" s="78">
        <f t="shared" si="29"/>
        <v>452460</v>
      </c>
      <c r="BM28" s="49">
        <v>24</v>
      </c>
      <c r="BN28" s="79">
        <f t="shared" si="25"/>
        <v>452460</v>
      </c>
    </row>
    <row r="29" spans="2:68" ht="20" customHeight="1">
      <c r="B29" s="80">
        <f t="shared" si="26"/>
        <v>45802</v>
      </c>
      <c r="C29" s="81"/>
      <c r="D29" s="52"/>
      <c r="E29" s="53">
        <v>30</v>
      </c>
      <c r="F29" s="54">
        <v>122760</v>
      </c>
      <c r="G29" s="55">
        <f t="shared" si="0"/>
        <v>3720</v>
      </c>
      <c r="H29" s="54">
        <v>38730</v>
      </c>
      <c r="I29" s="55">
        <f t="shared" si="27"/>
        <v>1173.6333333333334</v>
      </c>
      <c r="J29" s="57">
        <f t="shared" si="1"/>
        <v>161490</v>
      </c>
      <c r="K29" s="58">
        <f t="shared" si="2"/>
        <v>5383</v>
      </c>
      <c r="L29" s="59"/>
      <c r="M29" s="60">
        <f t="shared" si="3"/>
        <v>20</v>
      </c>
      <c r="N29" s="61">
        <f t="shared" si="3"/>
        <v>224510</v>
      </c>
      <c r="O29" s="55">
        <f t="shared" si="4"/>
        <v>10205</v>
      </c>
      <c r="P29" s="61">
        <f t="shared" si="5"/>
        <v>35800</v>
      </c>
      <c r="Q29" s="56">
        <f t="shared" si="6"/>
        <v>1627.25</v>
      </c>
      <c r="R29" s="62">
        <f t="shared" si="7"/>
        <v>260310</v>
      </c>
      <c r="S29" s="58">
        <f t="shared" si="8"/>
        <v>13015.5</v>
      </c>
      <c r="T29" s="82">
        <f t="shared" si="9"/>
        <v>50</v>
      </c>
      <c r="U29" s="61">
        <f t="shared" si="9"/>
        <v>347270</v>
      </c>
      <c r="V29" s="61">
        <f t="shared" si="10"/>
        <v>74530</v>
      </c>
      <c r="W29" s="64">
        <f t="shared" si="11"/>
        <v>421800</v>
      </c>
      <c r="X29" s="83"/>
      <c r="Y29" s="65"/>
      <c r="Z29" s="66">
        <v>6</v>
      </c>
      <c r="AA29" s="66"/>
      <c r="AB29" s="54">
        <v>15000</v>
      </c>
      <c r="AC29" s="55">
        <f t="shared" si="12"/>
        <v>2500</v>
      </c>
      <c r="AD29" s="54">
        <v>1500</v>
      </c>
      <c r="AE29" s="56">
        <f t="shared" si="13"/>
        <v>250</v>
      </c>
      <c r="AF29" s="67">
        <f t="shared" si="14"/>
        <v>16500</v>
      </c>
      <c r="AG29" s="58">
        <f t="shared" si="15"/>
        <v>2750</v>
      </c>
      <c r="AH29" s="68"/>
      <c r="AI29" s="66"/>
      <c r="AJ29" s="54"/>
      <c r="AK29" s="55" t="e">
        <f t="shared" si="16"/>
        <v>#DIV/0!</v>
      </c>
      <c r="AL29" s="54"/>
      <c r="AM29" s="56" t="e">
        <f t="shared" si="17"/>
        <v>#DIV/0!</v>
      </c>
      <c r="AN29" s="67">
        <f t="shared" si="28"/>
        <v>0</v>
      </c>
      <c r="AO29" s="69" t="str">
        <f t="shared" si="18"/>
        <v/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>AR29+AT29+AV29+AW29-BP29</f>
        <v>0</v>
      </c>
      <c r="AY29" s="69" t="str">
        <f t="shared" si="21"/>
        <v/>
      </c>
      <c r="AZ29" s="84">
        <f t="shared" si="22"/>
        <v>50</v>
      </c>
      <c r="BA29" s="61">
        <f t="shared" si="23"/>
        <v>362270</v>
      </c>
      <c r="BB29" s="61">
        <f t="shared" si="24"/>
        <v>76030</v>
      </c>
      <c r="BC29" s="73">
        <f t="shared" si="32"/>
        <v>438300</v>
      </c>
      <c r="BD29" s="74">
        <f t="shared" si="30"/>
        <v>3850</v>
      </c>
      <c r="BE29" s="75">
        <v>50</v>
      </c>
      <c r="BF29" s="76">
        <v>347270</v>
      </c>
      <c r="BG29" s="76">
        <v>74530</v>
      </c>
      <c r="BH29" s="77">
        <v>3850</v>
      </c>
      <c r="BI29" s="77"/>
      <c r="BJ29" s="77"/>
      <c r="BK29" s="77"/>
      <c r="BL29" s="78">
        <f t="shared" si="29"/>
        <v>425650</v>
      </c>
      <c r="BM29" s="49">
        <v>25</v>
      </c>
      <c r="BN29" s="79">
        <f t="shared" si="25"/>
        <v>425650</v>
      </c>
    </row>
    <row r="30" spans="2:68" ht="20" customHeight="1">
      <c r="B30" s="80">
        <f t="shared" si="26"/>
        <v>45803</v>
      </c>
      <c r="C30" s="81"/>
      <c r="D30" s="52"/>
      <c r="E30" s="53">
        <v>11</v>
      </c>
      <c r="F30" s="54">
        <v>40480</v>
      </c>
      <c r="G30" s="55">
        <f t="shared" si="0"/>
        <v>3345.4545454545455</v>
      </c>
      <c r="H30" s="54">
        <v>2810</v>
      </c>
      <c r="I30" s="55">
        <f t="shared" si="27"/>
        <v>232.18181818181819</v>
      </c>
      <c r="J30" s="57">
        <f t="shared" si="1"/>
        <v>43290</v>
      </c>
      <c r="K30" s="58">
        <f t="shared" si="2"/>
        <v>3935.4545454545455</v>
      </c>
      <c r="L30" s="59"/>
      <c r="M30" s="60">
        <f t="shared" si="3"/>
        <v>16</v>
      </c>
      <c r="N30" s="61">
        <f t="shared" si="3"/>
        <v>167310</v>
      </c>
      <c r="O30" s="55">
        <f t="shared" si="4"/>
        <v>9506.25</v>
      </c>
      <c r="P30" s="61">
        <f t="shared" si="5"/>
        <v>34790</v>
      </c>
      <c r="Q30" s="55">
        <f t="shared" si="6"/>
        <v>1976.6875</v>
      </c>
      <c r="R30" s="62">
        <f t="shared" si="7"/>
        <v>202100</v>
      </c>
      <c r="S30" s="58">
        <f t="shared" si="8"/>
        <v>12631.25</v>
      </c>
      <c r="T30" s="82">
        <f t="shared" si="9"/>
        <v>27</v>
      </c>
      <c r="U30" s="61">
        <f t="shared" si="9"/>
        <v>207790</v>
      </c>
      <c r="V30" s="61">
        <f t="shared" si="10"/>
        <v>37600</v>
      </c>
      <c r="W30" s="64">
        <f t="shared" si="11"/>
        <v>245390</v>
      </c>
      <c r="X30" s="83"/>
      <c r="Y30" s="65"/>
      <c r="Z30" s="66">
        <v>6</v>
      </c>
      <c r="AA30" s="66"/>
      <c r="AB30" s="54">
        <v>15000</v>
      </c>
      <c r="AC30" s="55">
        <f t="shared" si="12"/>
        <v>2500</v>
      </c>
      <c r="AD30" s="54">
        <v>1500</v>
      </c>
      <c r="AE30" s="56">
        <f t="shared" si="13"/>
        <v>250</v>
      </c>
      <c r="AF30" s="67">
        <f t="shared" si="14"/>
        <v>16500</v>
      </c>
      <c r="AG30" s="58">
        <f t="shared" si="15"/>
        <v>2750</v>
      </c>
      <c r="AH30" s="68"/>
      <c r="AI30" s="66"/>
      <c r="AJ30" s="54"/>
      <c r="AK30" s="55" t="e">
        <f t="shared" si="16"/>
        <v>#DIV/0!</v>
      </c>
      <c r="AL30" s="54"/>
      <c r="AM30" s="56" t="e">
        <f t="shared" si="17"/>
        <v>#DIV/0!</v>
      </c>
      <c r="AN30" s="67">
        <f t="shared" si="28"/>
        <v>0</v>
      </c>
      <c r="AO30" s="69" t="str">
        <f t="shared" si="18"/>
        <v/>
      </c>
      <c r="AP30" s="70"/>
      <c r="AQ30" s="66"/>
      <c r="AR30" s="54"/>
      <c r="AS30" s="55" t="e">
        <f t="shared" si="19"/>
        <v>#DIV/0!</v>
      </c>
      <c r="AT30" s="54"/>
      <c r="AU30" s="56" t="e">
        <f t="shared" si="20"/>
        <v>#DIV/0!</v>
      </c>
      <c r="AV30" s="56"/>
      <c r="AW30" s="56"/>
      <c r="AX30" s="71">
        <f>AR30+AT30+AV30+AW30-BP30</f>
        <v>0</v>
      </c>
      <c r="AY30" s="69" t="str">
        <f t="shared" si="21"/>
        <v/>
      </c>
      <c r="AZ30" s="84">
        <f t="shared" si="22"/>
        <v>27</v>
      </c>
      <c r="BA30" s="61">
        <f t="shared" si="23"/>
        <v>222790</v>
      </c>
      <c r="BB30" s="61">
        <f t="shared" si="24"/>
        <v>39100</v>
      </c>
      <c r="BC30" s="73">
        <f t="shared" si="32"/>
        <v>261890</v>
      </c>
      <c r="BD30" s="74">
        <f>BH30+BI30</f>
        <v>5500</v>
      </c>
      <c r="BE30" s="75">
        <v>27</v>
      </c>
      <c r="BF30" s="76">
        <v>207790</v>
      </c>
      <c r="BG30" s="76">
        <v>37600</v>
      </c>
      <c r="BH30" s="77">
        <v>5500</v>
      </c>
      <c r="BI30" s="77"/>
      <c r="BJ30" s="77"/>
      <c r="BK30" s="77"/>
      <c r="BL30" s="78">
        <f t="shared" si="29"/>
        <v>250890</v>
      </c>
      <c r="BM30" s="49">
        <v>26</v>
      </c>
      <c r="BN30" s="79">
        <f t="shared" si="25"/>
        <v>250890</v>
      </c>
    </row>
    <row r="31" spans="2:68" ht="20" customHeight="1">
      <c r="B31" s="80">
        <f t="shared" si="26"/>
        <v>45804</v>
      </c>
      <c r="C31" s="81"/>
      <c r="D31" s="52"/>
      <c r="E31" s="53">
        <v>28</v>
      </c>
      <c r="F31" s="54">
        <v>110440</v>
      </c>
      <c r="G31" s="55">
        <f t="shared" si="0"/>
        <v>3585.7142857142858</v>
      </c>
      <c r="H31" s="54">
        <v>15920</v>
      </c>
      <c r="I31" s="55">
        <f t="shared" si="27"/>
        <v>516.85714285714289</v>
      </c>
      <c r="J31" s="57">
        <f t="shared" si="1"/>
        <v>126360</v>
      </c>
      <c r="K31" s="58">
        <f t="shared" si="2"/>
        <v>4512.8571428571431</v>
      </c>
      <c r="L31" s="59"/>
      <c r="M31" s="60">
        <f t="shared" si="3"/>
        <v>14</v>
      </c>
      <c r="N31" s="61">
        <f t="shared" si="3"/>
        <v>130860</v>
      </c>
      <c r="O31" s="55">
        <f t="shared" si="4"/>
        <v>8497.3571428571431</v>
      </c>
      <c r="P31" s="61">
        <f t="shared" si="5"/>
        <v>38460</v>
      </c>
      <c r="Q31" s="55">
        <f t="shared" si="6"/>
        <v>2497.3571428571427</v>
      </c>
      <c r="R31" s="62">
        <f t="shared" si="7"/>
        <v>169320</v>
      </c>
      <c r="S31" s="58">
        <f t="shared" si="8"/>
        <v>12094.285714285714</v>
      </c>
      <c r="T31" s="82">
        <f t="shared" si="9"/>
        <v>42</v>
      </c>
      <c r="U31" s="61">
        <f t="shared" si="9"/>
        <v>241300</v>
      </c>
      <c r="V31" s="61">
        <f t="shared" si="10"/>
        <v>54380</v>
      </c>
      <c r="W31" s="64">
        <f t="shared" si="11"/>
        <v>295680</v>
      </c>
      <c r="X31" s="83"/>
      <c r="Y31" s="65"/>
      <c r="Z31" s="66">
        <v>8</v>
      </c>
      <c r="AA31" s="66"/>
      <c r="AB31" s="54">
        <v>20000</v>
      </c>
      <c r="AC31" s="55">
        <f t="shared" si="12"/>
        <v>2500</v>
      </c>
      <c r="AD31" s="54">
        <v>2000</v>
      </c>
      <c r="AE31" s="56">
        <f t="shared" si="13"/>
        <v>250</v>
      </c>
      <c r="AF31" s="67">
        <f t="shared" si="14"/>
        <v>22000</v>
      </c>
      <c r="AG31" s="58">
        <f t="shared" si="15"/>
        <v>2750</v>
      </c>
      <c r="AH31" s="68"/>
      <c r="AI31" s="66">
        <v>60</v>
      </c>
      <c r="AJ31" s="54">
        <v>234900</v>
      </c>
      <c r="AK31" s="55">
        <f t="shared" si="16"/>
        <v>3915</v>
      </c>
      <c r="AL31" s="54">
        <v>78300</v>
      </c>
      <c r="AM31" s="56">
        <f t="shared" si="17"/>
        <v>1305</v>
      </c>
      <c r="AN31" s="67">
        <f t="shared" si="28"/>
        <v>313200</v>
      </c>
      <c r="AO31" s="69">
        <f t="shared" si="18"/>
        <v>5220</v>
      </c>
      <c r="AP31" s="70"/>
      <c r="AQ31" s="66"/>
      <c r="AR31" s="54"/>
      <c r="AS31" s="55" t="e">
        <f t="shared" si="19"/>
        <v>#DIV/0!</v>
      </c>
      <c r="AT31" s="54"/>
      <c r="AU31" s="56" t="e">
        <f t="shared" si="20"/>
        <v>#DIV/0!</v>
      </c>
      <c r="AV31" s="56"/>
      <c r="AW31" s="56"/>
      <c r="AX31" s="71">
        <f>AR31+AT31+AV31+AW31-BP31</f>
        <v>0</v>
      </c>
      <c r="AY31" s="69" t="str">
        <f t="shared" si="21"/>
        <v/>
      </c>
      <c r="AZ31" s="84">
        <f t="shared" si="22"/>
        <v>42</v>
      </c>
      <c r="BA31" s="61">
        <f t="shared" si="23"/>
        <v>496200</v>
      </c>
      <c r="BB31" s="61">
        <f t="shared" si="24"/>
        <v>134680</v>
      </c>
      <c r="BC31" s="73">
        <f>W31+AF31+AN31+AX31-BO31</f>
        <v>630880</v>
      </c>
      <c r="BD31" s="74">
        <f t="shared" ref="BD31:BD34" si="34">BH31+BI31</f>
        <v>7700</v>
      </c>
      <c r="BE31" s="75">
        <v>42</v>
      </c>
      <c r="BF31" s="76">
        <v>241300</v>
      </c>
      <c r="BG31" s="76">
        <v>54380</v>
      </c>
      <c r="BH31" s="77">
        <v>7700</v>
      </c>
      <c r="BI31" s="77"/>
      <c r="BJ31" s="77"/>
      <c r="BK31" s="77"/>
      <c r="BL31" s="78">
        <f t="shared" si="29"/>
        <v>303380</v>
      </c>
      <c r="BM31" s="49">
        <v>27</v>
      </c>
      <c r="BN31" s="79">
        <f t="shared" si="25"/>
        <v>303380</v>
      </c>
    </row>
    <row r="32" spans="2:68" ht="20" customHeight="1">
      <c r="B32" s="80">
        <f t="shared" si="26"/>
        <v>45805</v>
      </c>
      <c r="C32" s="81"/>
      <c r="D32" s="52"/>
      <c r="E32" s="53">
        <v>26</v>
      </c>
      <c r="F32" s="54">
        <v>98780</v>
      </c>
      <c r="G32" s="55">
        <f t="shared" si="0"/>
        <v>3453.8461538461538</v>
      </c>
      <c r="H32" s="54">
        <v>15290</v>
      </c>
      <c r="I32" s="55">
        <f t="shared" si="27"/>
        <v>534.61538461538464</v>
      </c>
      <c r="J32" s="57">
        <f t="shared" si="1"/>
        <v>114070</v>
      </c>
      <c r="K32" s="58">
        <f t="shared" si="2"/>
        <v>4387.3076923076924</v>
      </c>
      <c r="L32" s="59"/>
      <c r="M32" s="60">
        <f t="shared" si="3"/>
        <v>13</v>
      </c>
      <c r="N32" s="61">
        <f t="shared" si="3"/>
        <v>85250</v>
      </c>
      <c r="O32" s="55">
        <f t="shared" si="4"/>
        <v>5961.5384615384619</v>
      </c>
      <c r="P32" s="61">
        <f t="shared" si="5"/>
        <v>40290</v>
      </c>
      <c r="Q32" s="55">
        <f t="shared" si="6"/>
        <v>2817.4615384615386</v>
      </c>
      <c r="R32" s="62">
        <f t="shared" si="7"/>
        <v>125540</v>
      </c>
      <c r="S32" s="58">
        <f t="shared" si="8"/>
        <v>9656.9230769230762</v>
      </c>
      <c r="T32" s="82">
        <f t="shared" si="9"/>
        <v>39</v>
      </c>
      <c r="U32" s="61">
        <f t="shared" si="9"/>
        <v>184030</v>
      </c>
      <c r="V32" s="61">
        <f t="shared" si="10"/>
        <v>55580</v>
      </c>
      <c r="W32" s="64">
        <f t="shared" si="11"/>
        <v>239610</v>
      </c>
      <c r="X32" s="83"/>
      <c r="Y32" s="65"/>
      <c r="Z32" s="66">
        <v>2</v>
      </c>
      <c r="AA32" s="66"/>
      <c r="AB32" s="54">
        <v>5000</v>
      </c>
      <c r="AC32" s="55">
        <f t="shared" si="12"/>
        <v>2500</v>
      </c>
      <c r="AD32" s="54">
        <v>500</v>
      </c>
      <c r="AE32" s="56">
        <f t="shared" si="13"/>
        <v>250</v>
      </c>
      <c r="AF32" s="67">
        <f t="shared" si="14"/>
        <v>5500</v>
      </c>
      <c r="AG32" s="58">
        <f t="shared" si="15"/>
        <v>2750</v>
      </c>
      <c r="AH32" s="68"/>
      <c r="AI32" s="66">
        <v>19</v>
      </c>
      <c r="AJ32" s="54">
        <v>57855</v>
      </c>
      <c r="AK32" s="55">
        <f t="shared" si="16"/>
        <v>3045</v>
      </c>
      <c r="AL32" s="54">
        <v>24795</v>
      </c>
      <c r="AM32" s="56">
        <f t="shared" si="17"/>
        <v>1305</v>
      </c>
      <c r="AN32" s="67">
        <f t="shared" si="28"/>
        <v>82650</v>
      </c>
      <c r="AO32" s="69">
        <f t="shared" si="18"/>
        <v>4350</v>
      </c>
      <c r="AP32" s="70"/>
      <c r="AQ32" s="66"/>
      <c r="AR32" s="54"/>
      <c r="AS32" s="55" t="e">
        <f t="shared" si="19"/>
        <v>#DIV/0!</v>
      </c>
      <c r="AT32" s="54"/>
      <c r="AU32" s="56" t="e">
        <f t="shared" si="20"/>
        <v>#DIV/0!</v>
      </c>
      <c r="AV32" s="56"/>
      <c r="AW32" s="56"/>
      <c r="AX32" s="71">
        <f t="shared" ref="AX32:AX33" si="35">AR32+AT32+AV32+AW32</f>
        <v>0</v>
      </c>
      <c r="AY32" s="69" t="str">
        <f t="shared" si="21"/>
        <v/>
      </c>
      <c r="AZ32" s="84">
        <f t="shared" si="22"/>
        <v>39</v>
      </c>
      <c r="BA32" s="61">
        <f>U32+AB32+AJ32+AR32</f>
        <v>246885</v>
      </c>
      <c r="BB32" s="61">
        <f t="shared" si="24"/>
        <v>80875</v>
      </c>
      <c r="BC32" s="73">
        <f>W32+AF32+AN32+AX32-BO32</f>
        <v>327760</v>
      </c>
      <c r="BD32" s="74">
        <f>BH32+BI32</f>
        <v>8800</v>
      </c>
      <c r="BE32" s="75">
        <v>39</v>
      </c>
      <c r="BF32" s="76">
        <v>184030</v>
      </c>
      <c r="BG32" s="76">
        <v>55580</v>
      </c>
      <c r="BH32" s="77">
        <v>8800</v>
      </c>
      <c r="BI32" s="77"/>
      <c r="BJ32" s="77"/>
      <c r="BK32" s="77"/>
      <c r="BL32" s="78">
        <f>SUM(BF32:BI32)</f>
        <v>248410</v>
      </c>
      <c r="BM32" s="49">
        <v>28</v>
      </c>
    </row>
    <row r="33" spans="2:67" ht="20" customHeight="1">
      <c r="B33" s="80">
        <f t="shared" si="26"/>
        <v>45806</v>
      </c>
      <c r="C33" s="81"/>
      <c r="D33" s="52"/>
      <c r="E33" s="53">
        <v>30</v>
      </c>
      <c r="F33" s="54">
        <v>114450</v>
      </c>
      <c r="G33" s="55">
        <f t="shared" si="0"/>
        <v>3468.1666666666665</v>
      </c>
      <c r="H33" s="54">
        <v>15040</v>
      </c>
      <c r="I33" s="55">
        <f t="shared" si="27"/>
        <v>455.73333333333335</v>
      </c>
      <c r="J33" s="57">
        <f t="shared" si="1"/>
        <v>129490</v>
      </c>
      <c r="K33" s="58">
        <f t="shared" si="2"/>
        <v>4316.333333333333</v>
      </c>
      <c r="L33" s="59"/>
      <c r="M33" s="60">
        <f t="shared" si="3"/>
        <v>12</v>
      </c>
      <c r="N33" s="61">
        <f t="shared" si="3"/>
        <v>123970</v>
      </c>
      <c r="O33" s="55">
        <f t="shared" si="4"/>
        <v>9391.6666666666661</v>
      </c>
      <c r="P33" s="61">
        <f t="shared" si="5"/>
        <v>33430</v>
      </c>
      <c r="Q33" s="55">
        <f t="shared" si="6"/>
        <v>2532.5</v>
      </c>
      <c r="R33" s="62">
        <f t="shared" si="7"/>
        <v>157400</v>
      </c>
      <c r="S33" s="58">
        <f t="shared" si="8"/>
        <v>13116.666666666666</v>
      </c>
      <c r="T33" s="82">
        <f t="shared" si="9"/>
        <v>42</v>
      </c>
      <c r="U33" s="61">
        <f t="shared" si="9"/>
        <v>238420</v>
      </c>
      <c r="V33" s="61">
        <f t="shared" si="10"/>
        <v>48470</v>
      </c>
      <c r="W33" s="64">
        <f>J33+R33</f>
        <v>286890</v>
      </c>
      <c r="X33" s="83"/>
      <c r="Y33" s="65"/>
      <c r="Z33" s="66">
        <v>11</v>
      </c>
      <c r="AA33" s="66"/>
      <c r="AB33" s="54">
        <v>20600</v>
      </c>
      <c r="AC33" s="55">
        <f t="shared" si="12"/>
        <v>1872.7272727272727</v>
      </c>
      <c r="AD33" s="54">
        <v>2000</v>
      </c>
      <c r="AE33" s="56">
        <f t="shared" si="13"/>
        <v>181.81818181818181</v>
      </c>
      <c r="AF33" s="67">
        <f t="shared" si="14"/>
        <v>22600</v>
      </c>
      <c r="AG33" s="58">
        <f t="shared" si="15"/>
        <v>2054.5454545454545</v>
      </c>
      <c r="AH33" s="68"/>
      <c r="AI33" s="66">
        <v>15</v>
      </c>
      <c r="AJ33" s="54">
        <v>0</v>
      </c>
      <c r="AK33" s="55">
        <f t="shared" si="16"/>
        <v>0</v>
      </c>
      <c r="AL33" s="54">
        <v>7178</v>
      </c>
      <c r="AM33" s="56">
        <f t="shared" si="17"/>
        <v>478.53333333333336</v>
      </c>
      <c r="AN33" s="67">
        <f t="shared" si="28"/>
        <v>7178</v>
      </c>
      <c r="AO33" s="69">
        <f t="shared" si="18"/>
        <v>478.53333333333336</v>
      </c>
      <c r="AP33" s="70"/>
      <c r="AQ33" s="66"/>
      <c r="AR33" s="54"/>
      <c r="AS33" s="55" t="e">
        <f t="shared" si="19"/>
        <v>#DIV/0!</v>
      </c>
      <c r="AT33" s="54"/>
      <c r="AU33" s="56" t="e">
        <f t="shared" si="20"/>
        <v>#DIV/0!</v>
      </c>
      <c r="AV33" s="56"/>
      <c r="AW33" s="56"/>
      <c r="AX33" s="71">
        <f t="shared" si="35"/>
        <v>0</v>
      </c>
      <c r="AY33" s="69" t="str">
        <f t="shared" si="21"/>
        <v/>
      </c>
      <c r="AZ33" s="84">
        <f t="shared" si="22"/>
        <v>42</v>
      </c>
      <c r="BA33" s="61">
        <f t="shared" si="23"/>
        <v>259020</v>
      </c>
      <c r="BB33" s="61">
        <f t="shared" si="24"/>
        <v>57648</v>
      </c>
      <c r="BC33" s="73">
        <f>W33+AF33+AN33+AX33-BO33</f>
        <v>316668</v>
      </c>
      <c r="BD33" s="74">
        <f t="shared" si="34"/>
        <v>3300</v>
      </c>
      <c r="BE33" s="75">
        <v>42</v>
      </c>
      <c r="BF33" s="76">
        <v>238420</v>
      </c>
      <c r="BG33" s="76">
        <v>48470</v>
      </c>
      <c r="BH33" s="77">
        <v>3300</v>
      </c>
      <c r="BI33" s="77"/>
      <c r="BJ33" s="77"/>
      <c r="BK33" s="77">
        <v>36300</v>
      </c>
      <c r="BL33" s="78">
        <f t="shared" si="29"/>
        <v>290190</v>
      </c>
      <c r="BM33" s="49">
        <v>29</v>
      </c>
      <c r="BN33" s="79">
        <f t="shared" si="25"/>
        <v>326490</v>
      </c>
    </row>
    <row r="34" spans="2:67" ht="20" customHeight="1">
      <c r="B34" s="80">
        <f t="shared" si="26"/>
        <v>45807</v>
      </c>
      <c r="C34" s="81"/>
      <c r="D34" s="52"/>
      <c r="E34" s="53">
        <v>20</v>
      </c>
      <c r="F34" s="54">
        <v>62700</v>
      </c>
      <c r="G34" s="55">
        <f t="shared" si="0"/>
        <v>2850</v>
      </c>
      <c r="H34" s="54">
        <v>3960</v>
      </c>
      <c r="I34" s="55">
        <f t="shared" si="27"/>
        <v>180</v>
      </c>
      <c r="J34" s="57">
        <f t="shared" si="1"/>
        <v>66660</v>
      </c>
      <c r="K34" s="58">
        <f t="shared" si="2"/>
        <v>3333</v>
      </c>
      <c r="L34" s="59"/>
      <c r="M34" s="60">
        <f t="shared" si="3"/>
        <v>12</v>
      </c>
      <c r="N34" s="61">
        <f t="shared" si="3"/>
        <v>128040</v>
      </c>
      <c r="O34" s="55">
        <f t="shared" si="4"/>
        <v>9700</v>
      </c>
      <c r="P34" s="61">
        <f t="shared" si="5"/>
        <v>27780</v>
      </c>
      <c r="Q34" s="55">
        <f t="shared" si="6"/>
        <v>2104.5</v>
      </c>
      <c r="R34" s="62">
        <f t="shared" si="7"/>
        <v>155820</v>
      </c>
      <c r="S34" s="58">
        <f t="shared" si="8"/>
        <v>12985</v>
      </c>
      <c r="T34" s="82">
        <f t="shared" si="9"/>
        <v>32</v>
      </c>
      <c r="U34" s="61">
        <f t="shared" si="9"/>
        <v>190740</v>
      </c>
      <c r="V34" s="61">
        <f t="shared" si="10"/>
        <v>31740</v>
      </c>
      <c r="W34" s="64">
        <f t="shared" si="11"/>
        <v>222480</v>
      </c>
      <c r="X34" s="83"/>
      <c r="Y34" s="88"/>
      <c r="Z34" s="89">
        <v>2</v>
      </c>
      <c r="AA34" s="89"/>
      <c r="AB34" s="90">
        <v>5000</v>
      </c>
      <c r="AC34" s="55">
        <f t="shared" si="12"/>
        <v>2500</v>
      </c>
      <c r="AD34" s="90">
        <v>500</v>
      </c>
      <c r="AE34" s="56">
        <f t="shared" si="13"/>
        <v>250</v>
      </c>
      <c r="AF34" s="67">
        <f t="shared" si="14"/>
        <v>5500</v>
      </c>
      <c r="AG34" s="58">
        <f t="shared" si="15"/>
        <v>2750</v>
      </c>
      <c r="AH34" s="68"/>
      <c r="AI34" s="89">
        <v>82</v>
      </c>
      <c r="AJ34" s="90">
        <v>359310</v>
      </c>
      <c r="AK34" s="55">
        <f t="shared" si="16"/>
        <v>4381.8292682926831</v>
      </c>
      <c r="AL34" s="90">
        <v>120060</v>
      </c>
      <c r="AM34" s="56">
        <f t="shared" si="17"/>
        <v>1464.1463414634147</v>
      </c>
      <c r="AN34" s="67">
        <f t="shared" si="28"/>
        <v>479370</v>
      </c>
      <c r="AO34" s="69">
        <f t="shared" si="18"/>
        <v>5845.9756097560976</v>
      </c>
      <c r="AP34" s="70"/>
      <c r="AQ34" s="89">
        <v>218</v>
      </c>
      <c r="AR34" s="90">
        <v>605150</v>
      </c>
      <c r="AS34" s="55">
        <f t="shared" si="19"/>
        <v>2775.9174311926604</v>
      </c>
      <c r="AT34" s="90">
        <v>354900</v>
      </c>
      <c r="AU34" s="56">
        <f t="shared" si="20"/>
        <v>1627.9816513761468</v>
      </c>
      <c r="AV34" s="56">
        <v>5280</v>
      </c>
      <c r="AW34" s="56">
        <v>5940</v>
      </c>
      <c r="AX34" s="71">
        <f>AR34+AT34+AV34+AW34</f>
        <v>971270</v>
      </c>
      <c r="AY34" s="69">
        <f t="shared" si="21"/>
        <v>4455.3669724770643</v>
      </c>
      <c r="AZ34" s="84">
        <f t="shared" si="22"/>
        <v>32</v>
      </c>
      <c r="BA34" s="61">
        <f t="shared" si="23"/>
        <v>1160200</v>
      </c>
      <c r="BB34" s="61">
        <f t="shared" si="24"/>
        <v>507200</v>
      </c>
      <c r="BC34" s="73">
        <f>W34+AF34+AN34+AX34-BO34</f>
        <v>1677212</v>
      </c>
      <c r="BD34" s="74">
        <f t="shared" si="34"/>
        <v>2200</v>
      </c>
      <c r="BE34" s="75">
        <v>32</v>
      </c>
      <c r="BF34" s="76">
        <v>190740</v>
      </c>
      <c r="BG34" s="76">
        <v>31740</v>
      </c>
      <c r="BH34" s="77"/>
      <c r="BI34" s="77">
        <v>2200</v>
      </c>
      <c r="BJ34" s="77">
        <v>19800</v>
      </c>
      <c r="BK34" s="77"/>
      <c r="BL34" s="78">
        <f t="shared" si="29"/>
        <v>224680</v>
      </c>
      <c r="BM34" s="49">
        <v>30</v>
      </c>
      <c r="BN34" s="79">
        <f t="shared" si="25"/>
        <v>224680</v>
      </c>
      <c r="BO34" s="49">
        <v>1408</v>
      </c>
    </row>
    <row r="35" spans="2:67" ht="20" customHeight="1" thickBot="1">
      <c r="B35" s="80">
        <f t="shared" si="26"/>
        <v>45808</v>
      </c>
      <c r="C35" s="81"/>
      <c r="D35" s="52"/>
      <c r="E35" s="53">
        <v>23</v>
      </c>
      <c r="F35" s="54">
        <v>105270</v>
      </c>
      <c r="G35" s="55">
        <f t="shared" si="0"/>
        <v>4160.869565217391</v>
      </c>
      <c r="H35" s="54">
        <v>18110</v>
      </c>
      <c r="I35" s="55">
        <f t="shared" si="27"/>
        <v>715.78260869565213</v>
      </c>
      <c r="J35" s="57">
        <f t="shared" si="1"/>
        <v>123380</v>
      </c>
      <c r="K35" s="58">
        <f t="shared" si="2"/>
        <v>5364.347826086957</v>
      </c>
      <c r="L35" s="59"/>
      <c r="M35" s="91">
        <f t="shared" si="3"/>
        <v>21</v>
      </c>
      <c r="N35" s="61">
        <f t="shared" si="3"/>
        <v>211860</v>
      </c>
      <c r="O35" s="55">
        <f t="shared" si="4"/>
        <v>9171.4285714285706</v>
      </c>
      <c r="P35" s="61">
        <f t="shared" si="5"/>
        <v>51820</v>
      </c>
      <c r="Q35" s="55">
        <f t="shared" si="6"/>
        <v>2243.2857142857142</v>
      </c>
      <c r="R35" s="62">
        <f t="shared" si="7"/>
        <v>263680</v>
      </c>
      <c r="S35" s="58">
        <f t="shared" si="8"/>
        <v>12556.190476190477</v>
      </c>
      <c r="T35" s="92">
        <f t="shared" si="9"/>
        <v>44</v>
      </c>
      <c r="U35" s="93">
        <f t="shared" si="9"/>
        <v>317130</v>
      </c>
      <c r="V35" s="93">
        <f t="shared" si="10"/>
        <v>69930</v>
      </c>
      <c r="W35" s="94">
        <f t="shared" si="11"/>
        <v>387060</v>
      </c>
      <c r="X35" s="93"/>
      <c r="Y35" s="95"/>
      <c r="Z35" s="96">
        <v>6</v>
      </c>
      <c r="AA35" s="96"/>
      <c r="AB35" s="97">
        <v>15000</v>
      </c>
      <c r="AC35" s="98">
        <f t="shared" si="12"/>
        <v>2500</v>
      </c>
      <c r="AD35" s="97">
        <v>1500</v>
      </c>
      <c r="AE35" s="99">
        <f t="shared" si="13"/>
        <v>250</v>
      </c>
      <c r="AF35" s="100">
        <f t="shared" si="14"/>
        <v>16500</v>
      </c>
      <c r="AG35" s="58">
        <f t="shared" si="15"/>
        <v>2750</v>
      </c>
      <c r="AH35" s="101"/>
      <c r="AI35" s="96"/>
      <c r="AJ35" s="97"/>
      <c r="AK35" s="98" t="e">
        <f t="shared" si="16"/>
        <v>#DIV/0!</v>
      </c>
      <c r="AL35" s="97"/>
      <c r="AM35" s="99" t="e">
        <f t="shared" si="17"/>
        <v>#DIV/0!</v>
      </c>
      <c r="AN35" s="67">
        <f t="shared" si="28"/>
        <v>0</v>
      </c>
      <c r="AO35" s="69" t="str">
        <f t="shared" si="18"/>
        <v/>
      </c>
      <c r="AP35" s="102"/>
      <c r="AQ35" s="96">
        <v>433</v>
      </c>
      <c r="AR35" s="97">
        <v>1195750</v>
      </c>
      <c r="AS35" s="98">
        <f t="shared" si="19"/>
        <v>2761.5473441108543</v>
      </c>
      <c r="AT35" s="97">
        <v>668500</v>
      </c>
      <c r="AU35" s="99">
        <f t="shared" si="20"/>
        <v>1543.8799076212472</v>
      </c>
      <c r="AV35" s="99">
        <v>11770</v>
      </c>
      <c r="AW35" s="56"/>
      <c r="AX35" s="71">
        <f t="shared" si="33"/>
        <v>1876020</v>
      </c>
      <c r="AY35" s="69">
        <f t="shared" si="21"/>
        <v>4332.6096997690529</v>
      </c>
      <c r="AZ35" s="103">
        <f t="shared" si="22"/>
        <v>44</v>
      </c>
      <c r="BA35" s="61">
        <f t="shared" si="23"/>
        <v>1527880</v>
      </c>
      <c r="BB35" s="61">
        <f t="shared" si="24"/>
        <v>739930</v>
      </c>
      <c r="BC35" s="73">
        <f>W35+AF35+AN35+AX35-BO35</f>
        <v>2279580</v>
      </c>
      <c r="BD35" s="74">
        <f t="shared" si="30"/>
        <v>2200</v>
      </c>
      <c r="BE35" s="104">
        <v>44</v>
      </c>
      <c r="BF35" s="105">
        <v>317130</v>
      </c>
      <c r="BG35" s="105">
        <v>69930</v>
      </c>
      <c r="BH35" s="106"/>
      <c r="BI35" s="106">
        <v>2200</v>
      </c>
      <c r="BJ35" s="106">
        <v>23100</v>
      </c>
      <c r="BK35" s="106"/>
      <c r="BL35" s="78">
        <f t="shared" si="29"/>
        <v>389260</v>
      </c>
      <c r="BM35" s="49">
        <v>31</v>
      </c>
      <c r="BN35" s="79">
        <f t="shared" si="25"/>
        <v>389260</v>
      </c>
    </row>
    <row r="36" spans="2:67" s="129" customFormat="1" ht="20" customHeight="1" thickTop="1">
      <c r="B36" s="107" t="s">
        <v>29</v>
      </c>
      <c r="C36" s="108">
        <f>SUM(C5:C35)</f>
        <v>0</v>
      </c>
      <c r="D36" s="109">
        <f>SUM(D5:D35)</f>
        <v>0</v>
      </c>
      <c r="E36" s="110">
        <f>SUM(E5:E35)</f>
        <v>874</v>
      </c>
      <c r="F36" s="111">
        <f>SUM(F5:F35)</f>
        <v>3604420</v>
      </c>
      <c r="G36" s="112">
        <f>F36/E36</f>
        <v>4124.0503432494279</v>
      </c>
      <c r="H36" s="108">
        <f>SUM(H5:H35)</f>
        <v>641580</v>
      </c>
      <c r="I36" s="113">
        <f>H36/E36</f>
        <v>734.07322654462246</v>
      </c>
      <c r="J36" s="114">
        <f>SUM(J5:J35)</f>
        <v>4246000</v>
      </c>
      <c r="K36" s="115">
        <f>J36/E36</f>
        <v>4858.1235697940501</v>
      </c>
      <c r="L36" s="116">
        <f>SUM(L5:L35)</f>
        <v>0</v>
      </c>
      <c r="M36" s="110">
        <f>SUM(M5:M35)</f>
        <v>499</v>
      </c>
      <c r="N36" s="111">
        <f>SUM(N5:N35)</f>
        <v>4966300</v>
      </c>
      <c r="O36" s="112">
        <f>N36/M36</f>
        <v>9952.5050100200406</v>
      </c>
      <c r="P36" s="117">
        <f>SUM(P5:P35)</f>
        <v>1386920</v>
      </c>
      <c r="Q36" s="113">
        <f>P36/M36</f>
        <v>2779.3987975951904</v>
      </c>
      <c r="R36" s="118">
        <f>SUM(R5:R35)</f>
        <v>6353220</v>
      </c>
      <c r="S36" s="119">
        <f>R36/M36</f>
        <v>12731.90380761523</v>
      </c>
      <c r="T36" s="110">
        <f t="shared" ref="T36:AB36" si="36">SUM(T5:T35)</f>
        <v>1373</v>
      </c>
      <c r="U36" s="117">
        <f t="shared" si="36"/>
        <v>8570720</v>
      </c>
      <c r="V36" s="117">
        <f t="shared" si="36"/>
        <v>2028500</v>
      </c>
      <c r="W36" s="114">
        <f>SUM(W5:W35)</f>
        <v>10599220</v>
      </c>
      <c r="X36" s="120">
        <f t="shared" si="36"/>
        <v>0</v>
      </c>
      <c r="Y36" s="109">
        <f t="shared" si="36"/>
        <v>0</v>
      </c>
      <c r="Z36" s="110">
        <f t="shared" si="36"/>
        <v>181</v>
      </c>
      <c r="AA36" s="121"/>
      <c r="AB36" s="112">
        <f t="shared" si="36"/>
        <v>323600</v>
      </c>
      <c r="AC36" s="112">
        <f>AB36/Z36</f>
        <v>1787.8453038674033</v>
      </c>
      <c r="AD36" s="108">
        <f>SUM(AD5:AD35)</f>
        <v>42180</v>
      </c>
      <c r="AE36" s="113">
        <f>AD36/Z36</f>
        <v>233.03867403314916</v>
      </c>
      <c r="AF36" s="118">
        <f>SUM(AF5:AF35)</f>
        <v>365780</v>
      </c>
      <c r="AG36" s="122">
        <f>AF36/Z36</f>
        <v>2020.8839779005525</v>
      </c>
      <c r="AH36" s="123">
        <f t="shared" ref="AH36:AJ36" si="37">SUM(AH5:AH35)</f>
        <v>0</v>
      </c>
      <c r="AI36" s="110">
        <f t="shared" si="37"/>
        <v>321</v>
      </c>
      <c r="AJ36" s="112">
        <f t="shared" si="37"/>
        <v>1178850</v>
      </c>
      <c r="AK36" s="112"/>
      <c r="AL36" s="108">
        <f>SUM(AL5:AL35)</f>
        <v>437698</v>
      </c>
      <c r="AM36" s="113"/>
      <c r="AN36" s="118">
        <f>SUM(AN5:AN35)</f>
        <v>1616548</v>
      </c>
      <c r="AO36" s="124">
        <f>AN36/AI36</f>
        <v>5035.9750778816197</v>
      </c>
      <c r="AP36" s="125">
        <f t="shared" ref="AP36:AR36" si="38">SUM(AP5:AP35)</f>
        <v>0</v>
      </c>
      <c r="AQ36" s="110">
        <f t="shared" si="38"/>
        <v>2610</v>
      </c>
      <c r="AR36" s="112">
        <f t="shared" si="38"/>
        <v>3500850</v>
      </c>
      <c r="AS36" s="112"/>
      <c r="AT36" s="108">
        <f>SUM(AT5:AT35)</f>
        <v>2099600</v>
      </c>
      <c r="AU36" s="113"/>
      <c r="AV36" s="108">
        <f>SUM(AV5:AV35)</f>
        <v>17050</v>
      </c>
      <c r="AW36" s="108">
        <f>SUM(AW5:AW35)</f>
        <v>5940</v>
      </c>
      <c r="AX36" s="118">
        <f>SUM(AX5:AX35)</f>
        <v>5623440</v>
      </c>
      <c r="AY36" s="124">
        <f>AX36/AQ36</f>
        <v>2154.5747126436781</v>
      </c>
      <c r="AZ36" s="121">
        <f t="shared" ref="AZ36:BL36" si="39">SUM(AZ5:AZ35)</f>
        <v>1373</v>
      </c>
      <c r="BA36" s="117">
        <f t="shared" si="39"/>
        <v>13574020</v>
      </c>
      <c r="BB36" s="117">
        <f t="shared" si="39"/>
        <v>4607978</v>
      </c>
      <c r="BC36" s="118">
        <f>SUM(BC5:BC35)</f>
        <v>18191080</v>
      </c>
      <c r="BD36" s="126">
        <f t="shared" si="39"/>
        <v>125400</v>
      </c>
      <c r="BE36" s="127">
        <f t="shared" si="39"/>
        <v>1373</v>
      </c>
      <c r="BF36" s="127">
        <f t="shared" si="39"/>
        <v>8570720</v>
      </c>
      <c r="BG36" s="127">
        <f t="shared" si="39"/>
        <v>2028500</v>
      </c>
      <c r="BH36" s="127">
        <f t="shared" si="39"/>
        <v>119900</v>
      </c>
      <c r="BI36" s="127">
        <f t="shared" si="39"/>
        <v>5500</v>
      </c>
      <c r="BJ36" s="127">
        <f t="shared" si="39"/>
        <v>138100</v>
      </c>
      <c r="BK36" s="127">
        <f t="shared" si="39"/>
        <v>36300</v>
      </c>
      <c r="BL36" s="128">
        <f t="shared" si="39"/>
        <v>10724620</v>
      </c>
      <c r="BN36" s="130">
        <f>SUM(BN5:BN35)</f>
        <v>10512510</v>
      </c>
    </row>
    <row r="37" spans="2:67" s="129" customFormat="1" ht="18">
      <c r="B37" s="131"/>
      <c r="E37" s="132" t="s">
        <v>42</v>
      </c>
      <c r="F37" s="133">
        <f>F36/1.1</f>
        <v>3276745.4545454541</v>
      </c>
      <c r="G37" s="134">
        <f>F37/E36</f>
        <v>3749.1366756812977</v>
      </c>
      <c r="H37" s="135">
        <f>H36/1.1</f>
        <v>583254.54545454541</v>
      </c>
      <c r="I37" s="134">
        <f>H37/E36</f>
        <v>667.33929685874762</v>
      </c>
      <c r="J37" s="136">
        <f>J36/1.1</f>
        <v>3859999.9999999995</v>
      </c>
      <c r="K37" s="137">
        <f>G37+I37</f>
        <v>4416.4759725400454</v>
      </c>
      <c r="L37" s="138"/>
      <c r="M37" s="132" t="s">
        <v>42</v>
      </c>
      <c r="N37" s="133">
        <f>N36/1.1</f>
        <v>4514818.1818181816</v>
      </c>
      <c r="O37" s="134">
        <f>N37/M36</f>
        <v>9047.7318272909451</v>
      </c>
      <c r="P37" s="135">
        <f>P36/1.1</f>
        <v>1260836.3636363635</v>
      </c>
      <c r="Q37" s="134">
        <f>P37/M36</f>
        <v>2526.7261796319908</v>
      </c>
      <c r="R37" s="134">
        <f>R36/1.1</f>
        <v>5775654.5454545449</v>
      </c>
      <c r="S37" s="139">
        <f>R37/M36</f>
        <v>11574.458006922936</v>
      </c>
      <c r="T37" s="132" t="s">
        <v>42</v>
      </c>
      <c r="U37" s="133">
        <f>U36/1.1</f>
        <v>7791563.6363636358</v>
      </c>
      <c r="V37" s="133">
        <f>V36/1.1</f>
        <v>1844090.9090909089</v>
      </c>
      <c r="W37" s="136">
        <f>W36/1.1</f>
        <v>9635654.5454545449</v>
      </c>
      <c r="X37" s="140"/>
      <c r="Y37" s="138"/>
      <c r="Z37" s="132" t="s">
        <v>42</v>
      </c>
      <c r="AA37" s="132"/>
      <c r="AB37" s="133">
        <f>AB36/1.1</f>
        <v>294181.81818181818</v>
      </c>
      <c r="AC37" s="135">
        <f>AB37/Z36</f>
        <v>1625.3139126067304</v>
      </c>
      <c r="AD37" s="135">
        <f>AD36/1.1</f>
        <v>38345.454545454544</v>
      </c>
      <c r="AE37" s="135">
        <f>AD37/Z36</f>
        <v>211.8533400301356</v>
      </c>
      <c r="AF37" s="134">
        <f>AF36/1.1</f>
        <v>332527.27272727271</v>
      </c>
      <c r="AG37" s="141">
        <f>AF37/Z36</f>
        <v>1837.1672526368657</v>
      </c>
      <c r="AH37" s="138"/>
      <c r="AI37" s="132" t="s">
        <v>42</v>
      </c>
      <c r="AJ37" s="133">
        <f>AJ36/1.1</f>
        <v>1071681.8181818181</v>
      </c>
      <c r="AK37" s="135">
        <f>AJ37/AI36</f>
        <v>3338.57264231096</v>
      </c>
      <c r="AL37" s="135">
        <f>AL36/1.1</f>
        <v>397907.27272727271</v>
      </c>
      <c r="AM37" s="135">
        <f>AL37/AI36</f>
        <v>1239.5865193996035</v>
      </c>
      <c r="AN37" s="134">
        <f>AN36/1.1</f>
        <v>1469589.0909090908</v>
      </c>
      <c r="AO37" s="142" t="e">
        <f>AN37/AH36</f>
        <v>#DIV/0!</v>
      </c>
      <c r="AP37" s="138"/>
      <c r="AQ37" s="132" t="s">
        <v>42</v>
      </c>
      <c r="AR37" s="133">
        <f>AR36/1.1</f>
        <v>3182590.9090909087</v>
      </c>
      <c r="AS37" s="135">
        <f>AR37/AQ36</f>
        <v>1219.3834900731451</v>
      </c>
      <c r="AT37" s="135">
        <f>AT36/1.1</f>
        <v>1908727.2727272725</v>
      </c>
      <c r="AU37" s="135">
        <f>AT37/AQ36</f>
        <v>731.31313131313118</v>
      </c>
      <c r="AV37" s="135">
        <f>AV36/1.1</f>
        <v>15499.999999999998</v>
      </c>
      <c r="AW37" s="135">
        <f>AW36/1.1</f>
        <v>5400</v>
      </c>
      <c r="AX37" s="134">
        <f>AX36/1.1</f>
        <v>5112218.1818181816</v>
      </c>
      <c r="AY37" s="142">
        <f>AX37/AQ36</f>
        <v>1958.7042842215255</v>
      </c>
      <c r="AZ37" s="143" t="s">
        <v>42</v>
      </c>
      <c r="BA37" s="133">
        <f>BA36/1.1</f>
        <v>12340018.181818182</v>
      </c>
      <c r="BB37" s="133">
        <f>BB36/1.1</f>
        <v>4189070.9090909087</v>
      </c>
      <c r="BC37" s="134">
        <f>BC36/1.1</f>
        <v>16537345.454545453</v>
      </c>
      <c r="BD37" s="144">
        <f>BD36/1.1</f>
        <v>113999.99999999999</v>
      </c>
      <c r="BI37" s="145"/>
      <c r="BL37" s="146">
        <f>BL36/1.1</f>
        <v>9749654.5454545449</v>
      </c>
      <c r="BN37" s="146"/>
    </row>
    <row r="38" spans="2:67">
      <c r="C38" s="49">
        <v>31</v>
      </c>
      <c r="E38" s="147" t="s">
        <v>43</v>
      </c>
      <c r="F38" s="148">
        <f>E36/G38</f>
        <v>28.193548387096776</v>
      </c>
      <c r="G38" s="149">
        <v>31</v>
      </c>
      <c r="H38" s="148"/>
      <c r="I38" s="148"/>
      <c r="J38" s="150" t="s">
        <v>44</v>
      </c>
      <c r="K38" s="151">
        <f>J37/G38</f>
        <v>124516.12903225805</v>
      </c>
      <c r="M38" s="147" t="s">
        <v>43</v>
      </c>
      <c r="N38" s="148">
        <f>M36/O38</f>
        <v>16.096774193548388</v>
      </c>
      <c r="O38" s="149">
        <f>G38</f>
        <v>31</v>
      </c>
      <c r="P38" s="148"/>
      <c r="Q38" s="148"/>
      <c r="R38" s="150" t="s">
        <v>44</v>
      </c>
      <c r="S38" s="152">
        <f>R37/O38</f>
        <v>186311.4369501466</v>
      </c>
      <c r="U38" s="153">
        <f>O38</f>
        <v>31</v>
      </c>
      <c r="W38" s="85">
        <f>W37/U38</f>
        <v>310827.56598240469</v>
      </c>
      <c r="X38" s="79"/>
      <c r="AB38" s="154">
        <f>G38</f>
        <v>31</v>
      </c>
      <c r="AC38" s="148"/>
      <c r="AD38" s="148"/>
      <c r="AE38" s="148"/>
      <c r="AF38" s="148"/>
      <c r="AG38" s="151">
        <f>AF37/AB38</f>
        <v>10726.686217008797</v>
      </c>
      <c r="AJ38" s="154">
        <f>AB38</f>
        <v>31</v>
      </c>
      <c r="AK38" s="148"/>
      <c r="AL38" s="148"/>
      <c r="AM38" s="148"/>
      <c r="AN38" s="148"/>
      <c r="AO38" s="151">
        <f>AN37/AJ38</f>
        <v>47406.099706744862</v>
      </c>
      <c r="AR38" s="154">
        <f>G38</f>
        <v>31</v>
      </c>
      <c r="AS38" s="148"/>
      <c r="AT38" s="148"/>
      <c r="AU38" s="148"/>
      <c r="AV38" s="148"/>
      <c r="AW38" s="148"/>
      <c r="AX38" s="148"/>
      <c r="AY38" s="151">
        <f>AX37/AR38</f>
        <v>164910.26392961876</v>
      </c>
      <c r="BC38" s="85"/>
      <c r="BD38" s="79" t="e">
        <f>BC37/BE37</f>
        <v>#DIV/0!</v>
      </c>
      <c r="BE38" s="155">
        <f>AZ36+T36</f>
        <v>2746</v>
      </c>
      <c r="BH38" s="49">
        <f>BH36/1.1</f>
        <v>108999.99999999999</v>
      </c>
      <c r="BI38" s="85"/>
    </row>
    <row r="39" spans="2:67">
      <c r="D39" s="156" t="s">
        <v>45</v>
      </c>
      <c r="E39" s="157"/>
      <c r="F39" s="148"/>
      <c r="G39" s="158"/>
      <c r="H39" s="148"/>
      <c r="I39" s="148"/>
      <c r="J39" s="150"/>
      <c r="K39" s="151"/>
      <c r="L39" s="159" t="s">
        <v>46</v>
      </c>
      <c r="M39" s="147"/>
      <c r="N39" s="148"/>
      <c r="O39" s="148"/>
      <c r="P39" s="148"/>
      <c r="Q39" s="148"/>
      <c r="R39" s="150"/>
      <c r="S39" s="151"/>
      <c r="V39" s="85">
        <f>V37/T36</f>
        <v>1343.1106402701448</v>
      </c>
      <c r="W39" s="85"/>
      <c r="X39" s="79"/>
      <c r="Y39" s="159" t="s">
        <v>47</v>
      </c>
      <c r="AB39" s="148"/>
      <c r="AC39" s="148"/>
      <c r="AD39" s="148"/>
      <c r="AE39" s="148"/>
      <c r="AF39" s="148"/>
      <c r="AG39" s="151"/>
      <c r="AH39" s="159" t="s">
        <v>48</v>
      </c>
      <c r="AJ39" s="148"/>
      <c r="AK39" s="148"/>
      <c r="AL39" s="148"/>
      <c r="AM39" s="148"/>
      <c r="AN39" s="148"/>
      <c r="AO39" s="151"/>
      <c r="AP39" s="159" t="s">
        <v>49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18316480</v>
      </c>
      <c r="BD39" s="160">
        <f>BC39/G38</f>
        <v>590854.19354838715</v>
      </c>
      <c r="BE39" s="49" t="s">
        <v>50</v>
      </c>
      <c r="BI39" s="85"/>
    </row>
    <row r="40" spans="2:67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16651345.454545453</v>
      </c>
    </row>
    <row r="41" spans="2:67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537140.17595307913</v>
      </c>
      <c r="BE41" s="49" t="s">
        <v>51</v>
      </c>
      <c r="BF41" s="49">
        <v>9</v>
      </c>
    </row>
    <row r="42" spans="2:67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1908727.2727272725</v>
      </c>
    </row>
    <row r="43" spans="2:67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16651345.454545453</v>
      </c>
      <c r="BD43" s="163" t="s">
        <v>52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7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53</v>
      </c>
      <c r="BC44" s="146">
        <f>J45+R45+AF45+BD44+AN45+AX45</f>
        <v>12585389</v>
      </c>
      <c r="BD44" s="167">
        <v>80000</v>
      </c>
      <c r="BE44" s="129"/>
      <c r="BF44" s="49">
        <v>6</v>
      </c>
      <c r="BG44" s="164">
        <v>7119727</v>
      </c>
      <c r="BH44" s="164">
        <v>2680643</v>
      </c>
      <c r="BI44" s="165">
        <f t="shared" ref="BI44:BI45" si="40">BH44/BG44</f>
        <v>0.37650923975034434</v>
      </c>
      <c r="BJ44" s="49" t="s">
        <v>54</v>
      </c>
    </row>
    <row r="45" spans="2:67" ht="21" customHeight="1">
      <c r="H45" s="168"/>
      <c r="I45" s="169" t="s">
        <v>55</v>
      </c>
      <c r="J45" s="146">
        <v>3570000</v>
      </c>
      <c r="K45" s="170" t="s">
        <v>56</v>
      </c>
      <c r="L45" s="129"/>
      <c r="M45" s="129"/>
      <c r="N45" s="129"/>
      <c r="O45" s="129"/>
      <c r="P45" s="129"/>
      <c r="Q45" s="169" t="s">
        <v>57</v>
      </c>
      <c r="R45" s="146">
        <v>3978000</v>
      </c>
      <c r="S45" s="170" t="s">
        <v>56</v>
      </c>
      <c r="T45" s="129">
        <v>10</v>
      </c>
      <c r="U45" s="129"/>
      <c r="V45" s="169" t="s">
        <v>58</v>
      </c>
      <c r="W45" s="146">
        <f>J45+R45</f>
        <v>7548000</v>
      </c>
      <c r="X45" s="170" t="s">
        <v>56</v>
      </c>
      <c r="Y45" s="129"/>
      <c r="Z45" s="129"/>
      <c r="AA45" s="129"/>
      <c r="AB45" s="129"/>
      <c r="AC45" s="129"/>
      <c r="AD45" s="129"/>
      <c r="AE45" s="168" t="s">
        <v>59</v>
      </c>
      <c r="AF45" s="146">
        <v>345400</v>
      </c>
      <c r="AG45" s="170" t="s">
        <v>56</v>
      </c>
      <c r="AH45" s="170"/>
      <c r="AI45" s="170"/>
      <c r="AJ45" s="170"/>
      <c r="AK45" s="170"/>
      <c r="AL45" s="129"/>
      <c r="AM45" s="169" t="s">
        <v>60</v>
      </c>
      <c r="AN45" s="146">
        <v>1764469</v>
      </c>
      <c r="AO45" s="170" t="s">
        <v>56</v>
      </c>
      <c r="AP45" s="170"/>
      <c r="AQ45" s="170"/>
      <c r="AR45" s="170"/>
      <c r="AS45" s="170"/>
      <c r="AT45" s="129"/>
      <c r="AU45" s="169" t="s">
        <v>61</v>
      </c>
      <c r="AV45" s="169"/>
      <c r="AW45" s="169"/>
      <c r="AX45" s="146">
        <v>2847520</v>
      </c>
      <c r="AY45" s="170" t="s">
        <v>56</v>
      </c>
      <c r="AZ45" s="129"/>
      <c r="BA45" s="129"/>
      <c r="BB45" s="166" t="s">
        <v>62</v>
      </c>
      <c r="BC45" s="145">
        <f>BC44-BC37-BD37</f>
        <v>-4065956.4545454532</v>
      </c>
      <c r="BD45" s="145">
        <f>BD44-BD37</f>
        <v>-33999.999999999985</v>
      </c>
      <c r="BE45" s="171">
        <f>BD37/BD44</f>
        <v>1.4249999999999998</v>
      </c>
      <c r="BF45" s="49">
        <v>5</v>
      </c>
      <c r="BG45" s="164">
        <v>637682</v>
      </c>
      <c r="BH45" s="164"/>
      <c r="BI45" s="165">
        <f t="shared" si="40"/>
        <v>0</v>
      </c>
      <c r="BJ45" s="79" t="s">
        <v>63</v>
      </c>
      <c r="BN45" s="49"/>
    </row>
    <row r="46" spans="2:67" ht="21" customHeight="1">
      <c r="H46" s="168"/>
      <c r="I46" s="168" t="s">
        <v>62</v>
      </c>
      <c r="J46" s="145">
        <f>J45-J37</f>
        <v>-289999.99999999953</v>
      </c>
      <c r="K46" s="172">
        <v>17</v>
      </c>
      <c r="L46" s="129"/>
      <c r="M46" s="129"/>
      <c r="N46" s="129"/>
      <c r="O46" s="129"/>
      <c r="P46" s="129"/>
      <c r="Q46" s="168" t="s">
        <v>62</v>
      </c>
      <c r="R46" s="145">
        <f>R45-R37</f>
        <v>-1797654.5454545449</v>
      </c>
      <c r="S46" s="129">
        <f>K46</f>
        <v>17</v>
      </c>
      <c r="T46" s="129"/>
      <c r="U46" s="129"/>
      <c r="V46" s="168" t="s">
        <v>62</v>
      </c>
      <c r="W46" s="145">
        <f>W45-W37</f>
        <v>-2087654.5454545449</v>
      </c>
      <c r="X46" s="129">
        <f>S46</f>
        <v>17</v>
      </c>
      <c r="Y46" s="129"/>
      <c r="Z46" s="129"/>
      <c r="AA46" s="129"/>
      <c r="AB46" s="129"/>
      <c r="AC46" s="129"/>
      <c r="AD46" s="129"/>
      <c r="AE46" s="168" t="s">
        <v>62</v>
      </c>
      <c r="AF46" s="145">
        <f>AF45-AF37</f>
        <v>12872.727272727294</v>
      </c>
      <c r="AG46" s="129">
        <f>K46</f>
        <v>17</v>
      </c>
      <c r="AH46" s="129"/>
      <c r="AI46" s="129"/>
      <c r="AJ46" s="129"/>
      <c r="AK46" s="129"/>
      <c r="AL46" s="129"/>
      <c r="AM46" s="168" t="s">
        <v>62</v>
      </c>
      <c r="AN46" s="145">
        <f>AN45-AN37</f>
        <v>294879.90909090918</v>
      </c>
      <c r="AO46" s="129">
        <f>AG46</f>
        <v>17</v>
      </c>
      <c r="AP46" s="129"/>
      <c r="AQ46" s="129"/>
      <c r="AR46" s="129"/>
      <c r="AS46" s="129"/>
      <c r="AT46" s="129"/>
      <c r="AU46" s="168" t="s">
        <v>62</v>
      </c>
      <c r="AV46" s="168"/>
      <c r="AW46" s="173"/>
      <c r="AX46" s="145">
        <f>AX45-AX37</f>
        <v>-2264698.1818181816</v>
      </c>
      <c r="AY46" s="129">
        <f>AO46</f>
        <v>17</v>
      </c>
      <c r="AZ46" s="129"/>
      <c r="BA46" s="174"/>
      <c r="BB46" s="175" t="s">
        <v>64</v>
      </c>
      <c r="BC46" s="176">
        <f>BC45/K46</f>
        <v>-239173.909090909</v>
      </c>
      <c r="BD46" s="177">
        <f>(BC37+BD37)/BC44</f>
        <v>1.323069589231247</v>
      </c>
      <c r="BE46" s="174"/>
      <c r="BF46" s="178"/>
      <c r="BG46" s="179">
        <f>SUM(BG41:BG45)</f>
        <v>25509772.636363633</v>
      </c>
      <c r="BH46" s="180">
        <f>BL71</f>
        <v>9138052</v>
      </c>
      <c r="BI46" s="181">
        <f>BH46/BG46</f>
        <v>0.35821769681215831</v>
      </c>
      <c r="BJ46" s="182">
        <f>BG46-BH46</f>
        <v>16371720.636363633</v>
      </c>
      <c r="BN46" s="49"/>
    </row>
    <row r="47" spans="2:67" s="178" customFormat="1" ht="26" customHeight="1">
      <c r="B47" s="183"/>
      <c r="H47" s="184"/>
      <c r="I47" s="175" t="s">
        <v>64</v>
      </c>
      <c r="J47" s="185">
        <f>J46/K46</f>
        <v>-17058.823529411737</v>
      </c>
      <c r="K47" s="186">
        <f>J37/J45</f>
        <v>1.0812324929971988</v>
      </c>
      <c r="L47" s="174"/>
      <c r="M47" s="174"/>
      <c r="N47" s="174"/>
      <c r="O47" s="174"/>
      <c r="P47" s="174"/>
      <c r="Q47" s="175" t="s">
        <v>64</v>
      </c>
      <c r="R47" s="176">
        <f>R46/S46</f>
        <v>-105744.38502673793</v>
      </c>
      <c r="S47" s="186">
        <f>R37/R45</f>
        <v>1.4518990813108459</v>
      </c>
      <c r="T47" s="174"/>
      <c r="U47" s="174"/>
      <c r="V47" s="175" t="s">
        <v>64</v>
      </c>
      <c r="W47" s="176">
        <f>W46/X46</f>
        <v>-122803.20855614971</v>
      </c>
      <c r="X47" s="186">
        <f>W37/W45</f>
        <v>1.2765838030543912</v>
      </c>
      <c r="Y47" s="174"/>
      <c r="Z47" s="174"/>
      <c r="AA47" s="174"/>
      <c r="AB47" s="174"/>
      <c r="AC47" s="174"/>
      <c r="AD47" s="174"/>
      <c r="AE47" s="175" t="s">
        <v>64</v>
      </c>
      <c r="AF47" s="185">
        <f>AF46/AG46</f>
        <v>757.21925133689967</v>
      </c>
      <c r="AG47" s="186">
        <f>AF37/AF45</f>
        <v>0.96273095751960824</v>
      </c>
      <c r="AH47" s="186"/>
      <c r="AI47" s="186"/>
      <c r="AJ47" s="186"/>
      <c r="AK47" s="186"/>
      <c r="AL47" s="174"/>
      <c r="AM47" s="175" t="s">
        <v>64</v>
      </c>
      <c r="AN47" s="176">
        <f>AN46/AO46</f>
        <v>17345.8770053476</v>
      </c>
      <c r="AO47" s="186">
        <f>AN37/AN45</f>
        <v>0.83287895163309233</v>
      </c>
      <c r="AP47" s="186"/>
      <c r="AQ47" s="186"/>
      <c r="AR47" s="186"/>
      <c r="AS47" s="186"/>
      <c r="AT47" s="174"/>
      <c r="AU47" s="175" t="s">
        <v>64</v>
      </c>
      <c r="AV47" s="175"/>
      <c r="AW47" s="175">
        <f>AW46/AY46</f>
        <v>0</v>
      </c>
      <c r="AX47" s="176">
        <f>AX46/AY46</f>
        <v>-133217.54010695187</v>
      </c>
      <c r="AY47" s="186">
        <f>AX37/AX45</f>
        <v>1.7953230115392278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7">
      <c r="H48" s="49">
        <v>931</v>
      </c>
      <c r="I48" s="49">
        <f>H48/31</f>
        <v>30.032258064516128</v>
      </c>
      <c r="K48" s="49">
        <f>J45/31</f>
        <v>115161.29032258065</v>
      </c>
      <c r="P48" s="49">
        <v>557</v>
      </c>
      <c r="Q48" s="49">
        <f>P48/31</f>
        <v>17.967741935483872</v>
      </c>
      <c r="S48" s="49">
        <f>R45/31</f>
        <v>128322.58064516129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I49" s="188" t="s">
        <v>65</v>
      </c>
      <c r="J49" s="190">
        <f>(I5+I8+I9+I10+I11+I12+I15+I16+I17+I18+I19+I22+I23+I24+I25+I26)/16</f>
        <v>589.36166687971877</v>
      </c>
      <c r="K49" s="188">
        <v>800000</v>
      </c>
      <c r="L49" s="191"/>
      <c r="M49" s="49"/>
      <c r="N49" s="49"/>
      <c r="O49" s="49"/>
      <c r="P49" s="49"/>
      <c r="Q49" s="49"/>
      <c r="R49" s="191">
        <v>400000</v>
      </c>
      <c r="AF49" s="188">
        <f>AF45/30</f>
        <v>11513.333333333334</v>
      </c>
      <c r="AR49" s="192">
        <f>AQ14+AQ21</f>
        <v>265</v>
      </c>
      <c r="AS49" s="193">
        <f>AS14+AS21</f>
        <v>1546.0877192982457</v>
      </c>
      <c r="AT49" s="193">
        <f>AU14+AU21</f>
        <v>1267.9649122807018</v>
      </c>
      <c r="AX49" s="188">
        <f>AX45/30</f>
        <v>94917.333333333328</v>
      </c>
      <c r="BA49" s="1"/>
      <c r="BB49" s="1"/>
      <c r="BC49" s="1"/>
      <c r="BD49" s="1"/>
      <c r="BE49" s="194" t="s">
        <v>66</v>
      </c>
      <c r="BF49" s="1" t="s">
        <v>67</v>
      </c>
      <c r="BG49" s="1" t="s">
        <v>68</v>
      </c>
      <c r="BH49" s="1" t="s">
        <v>69</v>
      </c>
      <c r="BI49" s="1" t="s">
        <v>70</v>
      </c>
      <c r="BJ49" s="195" t="s">
        <v>71</v>
      </c>
      <c r="BK49" s="195" t="s">
        <v>72</v>
      </c>
      <c r="BL49" s="195" t="s">
        <v>73</v>
      </c>
    </row>
    <row r="50" spans="2:64" s="1" customFormat="1" ht="24" customHeight="1">
      <c r="B50" s="189"/>
      <c r="I50" s="1" t="s">
        <v>74</v>
      </c>
      <c r="J50" s="190">
        <f>(I6+I7+I13+I14+I20+I21+I27)/7</f>
        <v>791.07799746549756</v>
      </c>
      <c r="L50" s="196"/>
      <c r="M50" s="49"/>
      <c r="N50" s="49"/>
      <c r="O50" s="49"/>
      <c r="P50" s="49"/>
      <c r="Q50" s="49"/>
      <c r="R50" s="196"/>
      <c r="S50" s="196"/>
      <c r="Z50" s="197"/>
      <c r="AA50" s="197"/>
      <c r="AR50" s="1">
        <f>AR49/2</f>
        <v>132.5</v>
      </c>
      <c r="AS50" s="198">
        <f t="shared" ref="AS50:AT50" si="41">AS49/2</f>
        <v>773.04385964912285</v>
      </c>
      <c r="AT50" s="198">
        <f t="shared" si="41"/>
        <v>633.98245614035091</v>
      </c>
      <c r="AX50" s="1">
        <v>54000000</v>
      </c>
      <c r="AY50" s="199">
        <f>AX50-AX37</f>
        <v>48887781.81818182</v>
      </c>
      <c r="BA50" s="188"/>
      <c r="BB50" s="188"/>
      <c r="BC50" s="188"/>
      <c r="BD50" s="188"/>
      <c r="BE50" s="194" t="s">
        <v>75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K51" s="1"/>
      <c r="L51" s="196"/>
      <c r="M51" s="49"/>
      <c r="N51" s="49"/>
      <c r="O51" s="49"/>
      <c r="P51" s="49"/>
      <c r="Q51" s="49"/>
      <c r="R51" s="203"/>
      <c r="S51" s="204"/>
      <c r="T51" s="204"/>
      <c r="U51" s="204" t="s">
        <v>76</v>
      </c>
      <c r="V51" s="204"/>
      <c r="W51" s="205"/>
      <c r="X51" s="206"/>
      <c r="Y51" s="194"/>
      <c r="Z51" s="202"/>
      <c r="AA51" s="202"/>
      <c r="AY51" s="188">
        <f>AY50/AY46</f>
        <v>2875751.8716577543</v>
      </c>
      <c r="BE51" s="194" t="s">
        <v>77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2">BF51*BG51</f>
        <v>6912000</v>
      </c>
      <c r="BK51" s="202">
        <f t="shared" ref="BK51:BK70" si="43">BF51*BH51</f>
        <v>216000</v>
      </c>
      <c r="BL51" s="202">
        <f t="shared" ref="BL51:BL70" si="44">BJ51-BK51</f>
        <v>6696000</v>
      </c>
    </row>
    <row r="52" spans="2:64" s="188" customFormat="1" ht="24" customHeight="1">
      <c r="B52" s="189"/>
      <c r="K52" s="1"/>
      <c r="L52" s="196"/>
      <c r="M52" s="49"/>
      <c r="N52" s="49"/>
      <c r="O52" s="49"/>
      <c r="P52" s="49"/>
      <c r="Q52" s="49"/>
      <c r="R52" s="205"/>
      <c r="S52" s="204"/>
      <c r="T52" s="204"/>
      <c r="U52" s="207" t="s">
        <v>78</v>
      </c>
      <c r="V52" s="208" t="s">
        <v>79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80</v>
      </c>
      <c r="BF52" s="200">
        <v>6120</v>
      </c>
      <c r="BG52" s="200">
        <v>40</v>
      </c>
      <c r="BH52" s="200">
        <v>4</v>
      </c>
      <c r="BI52" s="200"/>
      <c r="BJ52" s="202">
        <f t="shared" si="42"/>
        <v>244800</v>
      </c>
      <c r="BK52" s="202">
        <f t="shared" si="43"/>
        <v>24480</v>
      </c>
      <c r="BL52" s="202">
        <f t="shared" si="44"/>
        <v>220320</v>
      </c>
    </row>
    <row r="53" spans="2:64" s="188" customFormat="1" ht="24" customHeight="1">
      <c r="B53" s="189"/>
      <c r="K53" s="1"/>
      <c r="L53" s="196"/>
      <c r="M53" s="49"/>
      <c r="N53" s="49"/>
      <c r="O53" s="49"/>
      <c r="P53" s="49"/>
      <c r="Q53" s="49"/>
      <c r="R53" s="205"/>
      <c r="S53" s="204"/>
      <c r="T53" s="204"/>
      <c r="U53" s="207"/>
      <c r="V53" s="208" t="s">
        <v>81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82</v>
      </c>
      <c r="BE53" s="194" t="s">
        <v>83</v>
      </c>
      <c r="BF53" s="200">
        <v>1780</v>
      </c>
      <c r="BG53" s="200">
        <v>24</v>
      </c>
      <c r="BH53" s="200">
        <v>4</v>
      </c>
      <c r="BI53" s="200"/>
      <c r="BJ53" s="202">
        <f t="shared" si="42"/>
        <v>42720</v>
      </c>
      <c r="BK53" s="202">
        <f t="shared" si="43"/>
        <v>7120</v>
      </c>
      <c r="BL53" s="202">
        <f t="shared" si="44"/>
        <v>35600</v>
      </c>
    </row>
    <row r="54" spans="2:64" s="188" customFormat="1" ht="24" customHeight="1">
      <c r="B54" s="189"/>
      <c r="K54" s="1"/>
      <c r="L54" s="196"/>
      <c r="M54" s="49"/>
      <c r="N54" s="49"/>
      <c r="O54" s="49"/>
      <c r="P54" s="49"/>
      <c r="Q54" s="49"/>
      <c r="R54" s="205"/>
      <c r="S54" s="204"/>
      <c r="T54" s="204"/>
      <c r="U54" s="213" t="s">
        <v>84</v>
      </c>
      <c r="V54" s="208" t="s">
        <v>79</v>
      </c>
      <c r="W54" s="209"/>
      <c r="X54" s="210" t="e">
        <f t="shared" ref="X54" si="45">W54/Y54</f>
        <v>#DIV/0!</v>
      </c>
      <c r="Y54" s="211">
        <f t="shared" ref="Y54" si="46">W54+W55</f>
        <v>0</v>
      </c>
      <c r="Z54" s="212"/>
      <c r="AA54" s="212"/>
      <c r="AB54" s="212"/>
      <c r="BE54" s="194" t="s">
        <v>85</v>
      </c>
      <c r="BF54" s="200">
        <v>1780</v>
      </c>
      <c r="BG54" s="200">
        <v>24</v>
      </c>
      <c r="BH54" s="200">
        <v>20</v>
      </c>
      <c r="BI54" s="200"/>
      <c r="BJ54" s="202">
        <f t="shared" si="42"/>
        <v>42720</v>
      </c>
      <c r="BK54" s="202">
        <f t="shared" si="43"/>
        <v>35600</v>
      </c>
      <c r="BL54" s="202">
        <f t="shared" si="44"/>
        <v>7120</v>
      </c>
    </row>
    <row r="55" spans="2:64" s="188" customFormat="1" ht="24" customHeight="1">
      <c r="B55" s="189"/>
      <c r="L55" s="191"/>
      <c r="M55" s="49"/>
      <c r="N55" s="49"/>
      <c r="O55" s="49"/>
      <c r="P55" s="49"/>
      <c r="Q55" s="49"/>
      <c r="R55" s="214"/>
      <c r="S55" s="204"/>
      <c r="T55" s="204"/>
      <c r="U55" s="213"/>
      <c r="V55" s="208" t="s">
        <v>81</v>
      </c>
      <c r="W55" s="209"/>
      <c r="X55" s="210" t="e">
        <f t="shared" ref="X55" si="47">W55/Y54</f>
        <v>#DIV/0!</v>
      </c>
      <c r="Y55" s="212"/>
      <c r="Z55" s="212"/>
      <c r="AA55" s="212"/>
      <c r="AB55" s="212"/>
      <c r="BA55" s="49"/>
      <c r="BB55" s="49"/>
      <c r="BC55" s="49"/>
      <c r="BD55" s="49"/>
      <c r="BE55" s="194" t="s">
        <v>86</v>
      </c>
      <c r="BF55" s="215">
        <v>8190</v>
      </c>
      <c r="BG55" s="200">
        <v>13</v>
      </c>
      <c r="BH55" s="200">
        <v>4</v>
      </c>
      <c r="BI55" s="200"/>
      <c r="BJ55" s="202">
        <f t="shared" si="42"/>
        <v>106470</v>
      </c>
      <c r="BK55" s="202">
        <f t="shared" si="43"/>
        <v>32760</v>
      </c>
      <c r="BL55" s="202">
        <f t="shared" si="44"/>
        <v>73710</v>
      </c>
    </row>
    <row r="56" spans="2:64" ht="24" customHeight="1">
      <c r="U56" s="216" t="s">
        <v>2</v>
      </c>
      <c r="V56" s="217" t="s">
        <v>79</v>
      </c>
      <c r="W56" s="209"/>
      <c r="X56" s="210" t="e">
        <f t="shared" ref="X56:X58" si="48">W56/Y56</f>
        <v>#DIV/0!</v>
      </c>
      <c r="Y56" s="211">
        <f t="shared" ref="Y56" si="49">W56+W57</f>
        <v>0</v>
      </c>
      <c r="Z56" s="212"/>
      <c r="AA56" s="212"/>
      <c r="AB56" s="212"/>
      <c r="BE56" s="194" t="s">
        <v>87</v>
      </c>
      <c r="BF56" s="215">
        <v>5784</v>
      </c>
      <c r="BG56" s="215">
        <v>36</v>
      </c>
      <c r="BH56" s="215">
        <v>28</v>
      </c>
      <c r="BI56" s="215"/>
      <c r="BJ56" s="202">
        <f t="shared" si="42"/>
        <v>208224</v>
      </c>
      <c r="BK56" s="202">
        <f t="shared" si="43"/>
        <v>161952</v>
      </c>
      <c r="BL56" s="202">
        <f t="shared" si="44"/>
        <v>46272</v>
      </c>
    </row>
    <row r="57" spans="2:64" ht="24" customHeight="1">
      <c r="U57" s="216"/>
      <c r="V57" s="217" t="s">
        <v>81</v>
      </c>
      <c r="W57" s="209"/>
      <c r="X57" s="210" t="e">
        <f t="shared" ref="X57:X59" si="50">W57/Y56</f>
        <v>#DIV/0!</v>
      </c>
      <c r="Y57" s="212"/>
      <c r="Z57" s="212"/>
      <c r="AA57" s="212"/>
      <c r="AB57" s="212"/>
      <c r="BE57" s="194" t="s">
        <v>88</v>
      </c>
      <c r="BF57" s="215">
        <v>6775</v>
      </c>
      <c r="BG57" s="215">
        <v>12</v>
      </c>
      <c r="BH57" s="215">
        <v>11</v>
      </c>
      <c r="BI57" s="215"/>
      <c r="BJ57" s="202">
        <f t="shared" si="42"/>
        <v>81300</v>
      </c>
      <c r="BK57" s="202">
        <f t="shared" si="43"/>
        <v>74525</v>
      </c>
      <c r="BL57" s="202">
        <f t="shared" si="44"/>
        <v>6775</v>
      </c>
    </row>
    <row r="58" spans="2:64" ht="24" customHeight="1">
      <c r="U58" s="218" t="s">
        <v>89</v>
      </c>
      <c r="V58" s="217" t="s">
        <v>79</v>
      </c>
      <c r="W58" s="209"/>
      <c r="X58" s="210" t="e">
        <f t="shared" si="48"/>
        <v>#DIV/0!</v>
      </c>
      <c r="Y58" s="219">
        <f>SUM(Y52:AB56)</f>
        <v>0</v>
      </c>
      <c r="Z58" s="220"/>
      <c r="AA58" s="220"/>
      <c r="AB58" s="220"/>
      <c r="BE58" s="194" t="s">
        <v>90</v>
      </c>
      <c r="BF58" s="215">
        <v>1755</v>
      </c>
      <c r="BG58" s="215">
        <v>14</v>
      </c>
      <c r="BH58" s="215">
        <v>2</v>
      </c>
      <c r="BI58" s="215"/>
      <c r="BJ58" s="202">
        <f t="shared" si="42"/>
        <v>24570</v>
      </c>
      <c r="BK58" s="202">
        <f t="shared" si="43"/>
        <v>3510</v>
      </c>
      <c r="BL58" s="202">
        <f t="shared" si="44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81</v>
      </c>
      <c r="W59" s="209"/>
      <c r="X59" s="210" t="e">
        <f t="shared" si="50"/>
        <v>#DIV/0!</v>
      </c>
      <c r="Y59" s="220"/>
      <c r="Z59" s="220"/>
      <c r="AA59" s="220"/>
      <c r="AB59" s="220"/>
      <c r="BE59" s="194" t="s">
        <v>91</v>
      </c>
      <c r="BF59" s="215">
        <v>1755</v>
      </c>
      <c r="BG59" s="215">
        <v>10</v>
      </c>
      <c r="BH59" s="215">
        <v>0</v>
      </c>
      <c r="BI59" s="215"/>
      <c r="BJ59" s="202">
        <f t="shared" si="42"/>
        <v>17550</v>
      </c>
      <c r="BK59" s="202">
        <f t="shared" si="43"/>
        <v>0</v>
      </c>
      <c r="BL59" s="202">
        <f t="shared" si="44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92</v>
      </c>
      <c r="BF60" s="215">
        <v>1075</v>
      </c>
      <c r="BG60" s="215">
        <v>96</v>
      </c>
      <c r="BH60" s="215">
        <v>38</v>
      </c>
      <c r="BI60" s="215"/>
      <c r="BJ60" s="202">
        <f t="shared" si="42"/>
        <v>103200</v>
      </c>
      <c r="BK60" s="202">
        <f t="shared" si="43"/>
        <v>40850</v>
      </c>
      <c r="BL60" s="202">
        <f t="shared" si="44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93</v>
      </c>
      <c r="BF61" s="215">
        <v>3860</v>
      </c>
      <c r="BG61" s="215">
        <v>166</v>
      </c>
      <c r="BH61" s="215">
        <v>13</v>
      </c>
      <c r="BI61" s="215"/>
      <c r="BJ61" s="202">
        <f t="shared" si="42"/>
        <v>640760</v>
      </c>
      <c r="BK61" s="202">
        <f t="shared" si="43"/>
        <v>50180</v>
      </c>
      <c r="BL61" s="202">
        <f t="shared" si="44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94</v>
      </c>
      <c r="BF62" s="215">
        <v>6450</v>
      </c>
      <c r="BG62" s="215">
        <v>137</v>
      </c>
      <c r="BH62" s="215">
        <v>12</v>
      </c>
      <c r="BI62" s="215"/>
      <c r="BJ62" s="202">
        <f t="shared" si="42"/>
        <v>883650</v>
      </c>
      <c r="BK62" s="202">
        <f t="shared" si="43"/>
        <v>77400</v>
      </c>
      <c r="BL62" s="202">
        <f t="shared" si="44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95</v>
      </c>
      <c r="BF63" s="215">
        <v>1380</v>
      </c>
      <c r="BG63" s="215">
        <v>35</v>
      </c>
      <c r="BH63" s="215">
        <v>5</v>
      </c>
      <c r="BI63" s="215"/>
      <c r="BJ63" s="202">
        <f t="shared" si="42"/>
        <v>48300</v>
      </c>
      <c r="BK63" s="202">
        <f t="shared" si="43"/>
        <v>6900</v>
      </c>
      <c r="BL63" s="202">
        <f t="shared" si="44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96</v>
      </c>
      <c r="BF64" s="215">
        <v>1380</v>
      </c>
      <c r="BG64" s="215">
        <v>39</v>
      </c>
      <c r="BH64" s="215">
        <v>6</v>
      </c>
      <c r="BI64" s="215"/>
      <c r="BJ64" s="202">
        <f t="shared" si="42"/>
        <v>53820</v>
      </c>
      <c r="BK64" s="202">
        <f t="shared" si="43"/>
        <v>8280</v>
      </c>
      <c r="BL64" s="202">
        <f t="shared" si="44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97</v>
      </c>
      <c r="BF65" s="215">
        <v>160</v>
      </c>
      <c r="BG65" s="215">
        <v>594</v>
      </c>
      <c r="BH65" s="215">
        <v>53</v>
      </c>
      <c r="BI65" s="215"/>
      <c r="BJ65" s="202">
        <f t="shared" si="42"/>
        <v>95040</v>
      </c>
      <c r="BK65" s="202">
        <f t="shared" si="43"/>
        <v>8480</v>
      </c>
      <c r="BL65" s="202">
        <f t="shared" si="44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98</v>
      </c>
      <c r="BF66" s="215">
        <v>160</v>
      </c>
      <c r="BG66" s="215">
        <v>300</v>
      </c>
      <c r="BH66" s="215">
        <v>47</v>
      </c>
      <c r="BI66" s="215"/>
      <c r="BJ66" s="202">
        <f t="shared" si="42"/>
        <v>48000</v>
      </c>
      <c r="BK66" s="202">
        <f t="shared" si="43"/>
        <v>7520</v>
      </c>
      <c r="BL66" s="202">
        <f t="shared" si="44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99</v>
      </c>
      <c r="BF67" s="215">
        <v>205</v>
      </c>
      <c r="BG67" s="215">
        <v>366</v>
      </c>
      <c r="BH67" s="215">
        <v>49</v>
      </c>
      <c r="BI67" s="215"/>
      <c r="BJ67" s="202">
        <f t="shared" si="42"/>
        <v>75030</v>
      </c>
      <c r="BK67" s="202">
        <f t="shared" si="43"/>
        <v>10045</v>
      </c>
      <c r="BL67" s="202">
        <f t="shared" si="44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100</v>
      </c>
      <c r="BF68" s="215">
        <v>295</v>
      </c>
      <c r="BG68" s="215">
        <v>612</v>
      </c>
      <c r="BH68" s="215">
        <v>86</v>
      </c>
      <c r="BI68" s="215"/>
      <c r="BJ68" s="202">
        <f t="shared" si="42"/>
        <v>180540</v>
      </c>
      <c r="BK68" s="202">
        <f t="shared" si="43"/>
        <v>25370</v>
      </c>
      <c r="BL68" s="202">
        <f t="shared" si="44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101</v>
      </c>
      <c r="BF69" s="215">
        <v>70</v>
      </c>
      <c r="BG69" s="215">
        <v>480</v>
      </c>
      <c r="BH69" s="215">
        <v>71</v>
      </c>
      <c r="BI69" s="215"/>
      <c r="BJ69" s="202">
        <f t="shared" si="42"/>
        <v>33600</v>
      </c>
      <c r="BK69" s="202">
        <f t="shared" si="43"/>
        <v>4970</v>
      </c>
      <c r="BL69" s="202">
        <f t="shared" si="44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102</v>
      </c>
      <c r="BF70" s="215">
        <v>2450</v>
      </c>
      <c r="BG70" s="215">
        <v>31</v>
      </c>
      <c r="BH70" s="215">
        <v>9</v>
      </c>
      <c r="BI70" s="215"/>
      <c r="BJ70" s="202">
        <f t="shared" si="42"/>
        <v>75950</v>
      </c>
      <c r="BK70" s="202">
        <f t="shared" si="43"/>
        <v>22050</v>
      </c>
      <c r="BL70" s="202">
        <f t="shared" si="44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1">SUM(BK50:BK70)</f>
        <v>817992</v>
      </c>
      <c r="BL71" s="221">
        <f t="shared" si="51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DEFA-13D7-A444-9047-C806FEBDD60A}">
  <dimension ref="A1:BP224"/>
  <sheetViews>
    <sheetView tabSelected="1" workbookViewId="0">
      <selection activeCell="F10" sqref="F10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3" width="7.5703125" style="49" customWidth="1"/>
    <col min="44" max="44" width="15.85546875" style="49" customWidth="1"/>
    <col min="45" max="47" width="7.5703125" style="49" customWidth="1"/>
    <col min="48" max="49" width="9.140625" style="49" customWidth="1"/>
    <col min="50" max="50" width="11.28515625" style="49" customWidth="1"/>
    <col min="51" max="51" width="9.8554687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6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/>
      <c r="AH3" s="17" t="s">
        <v>7</v>
      </c>
      <c r="AI3" s="18"/>
      <c r="AJ3" s="18"/>
      <c r="AK3" s="18"/>
      <c r="AL3" s="18"/>
      <c r="AM3" s="18"/>
      <c r="AN3" s="18"/>
      <c r="AO3" s="19"/>
      <c r="AP3" s="20" t="s">
        <v>8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9</v>
      </c>
      <c r="BA3" s="14"/>
      <c r="BB3" s="14"/>
      <c r="BC3" s="14"/>
      <c r="BD3" s="24"/>
      <c r="BE3" s="25" t="s">
        <v>103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26</v>
      </c>
      <c r="AB4" s="37" t="s">
        <v>22</v>
      </c>
      <c r="AC4" s="40" t="s">
        <v>27</v>
      </c>
      <c r="AD4" s="37" t="s">
        <v>23</v>
      </c>
      <c r="AE4" s="38" t="s">
        <v>28</v>
      </c>
      <c r="AF4" s="41" t="s">
        <v>29</v>
      </c>
      <c r="AG4" s="42" t="s">
        <v>19</v>
      </c>
      <c r="AH4" s="43" t="s">
        <v>30</v>
      </c>
      <c r="AI4" s="30" t="s">
        <v>13</v>
      </c>
      <c r="AJ4" s="30" t="s">
        <v>22</v>
      </c>
      <c r="AK4" s="32" t="s">
        <v>27</v>
      </c>
      <c r="AL4" s="30" t="s">
        <v>23</v>
      </c>
      <c r="AM4" s="33" t="s">
        <v>28</v>
      </c>
      <c r="AN4" s="34" t="s">
        <v>29</v>
      </c>
      <c r="AO4" s="40" t="s">
        <v>19</v>
      </c>
      <c r="AP4" s="44" t="s">
        <v>30</v>
      </c>
      <c r="AQ4" s="30" t="s">
        <v>13</v>
      </c>
      <c r="AR4" s="30" t="s">
        <v>22</v>
      </c>
      <c r="AS4" s="32" t="s">
        <v>27</v>
      </c>
      <c r="AT4" s="30" t="s">
        <v>23</v>
      </c>
      <c r="AU4" s="33" t="s">
        <v>28</v>
      </c>
      <c r="AV4" s="33" t="s">
        <v>31</v>
      </c>
      <c r="AW4" s="33" t="s">
        <v>32</v>
      </c>
      <c r="AX4" s="34" t="s">
        <v>29</v>
      </c>
      <c r="AY4" s="40" t="s">
        <v>19</v>
      </c>
      <c r="AZ4" s="40" t="s">
        <v>21</v>
      </c>
      <c r="BA4" s="37" t="s">
        <v>22</v>
      </c>
      <c r="BB4" s="37" t="s">
        <v>23</v>
      </c>
      <c r="BC4" s="38" t="s">
        <v>24</v>
      </c>
      <c r="BD4" s="38" t="s">
        <v>33</v>
      </c>
      <c r="BE4" s="45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6" t="s">
        <v>40</v>
      </c>
      <c r="BL4" s="47" t="s">
        <v>41</v>
      </c>
      <c r="BN4" s="48"/>
    </row>
    <row r="5" spans="1:68" ht="20" customHeight="1" thickTop="1">
      <c r="B5" s="50">
        <f>DATE($A$2,$B$2,1)</f>
        <v>45809</v>
      </c>
      <c r="C5" s="51"/>
      <c r="D5" s="52"/>
      <c r="E5" s="53">
        <v>36</v>
      </c>
      <c r="F5" s="54">
        <v>161040</v>
      </c>
      <c r="G5" s="55">
        <f t="shared" ref="G5:G35" si="0">ROUNDDOWN(F5/1.1,0)/E5</f>
        <v>4066.6666666666665</v>
      </c>
      <c r="H5" s="54">
        <v>35970</v>
      </c>
      <c r="I5" s="56">
        <f>ROUNDDOWN(H5/1.1,0)/E5</f>
        <v>908.33333333333337</v>
      </c>
      <c r="J5" s="57">
        <f t="shared" ref="J5:J35" si="1">F5+H5</f>
        <v>197010</v>
      </c>
      <c r="K5" s="58">
        <f t="shared" ref="K5:K35" si="2">IF(E5="","",J5/E5)</f>
        <v>5472.5</v>
      </c>
      <c r="L5" s="59"/>
      <c r="M5" s="60">
        <f t="shared" ref="M5:N35" si="3">BE5-E5</f>
        <v>26</v>
      </c>
      <c r="N5" s="61">
        <f t="shared" si="3"/>
        <v>241480</v>
      </c>
      <c r="O5" s="55">
        <f t="shared" ref="O5:O35" si="4">ROUNDDOWN(N5/1.1,0)/M5</f>
        <v>8443.3461538461543</v>
      </c>
      <c r="P5" s="61">
        <f t="shared" ref="P5:P35" si="5">BG5-H5</f>
        <v>62170</v>
      </c>
      <c r="Q5" s="56">
        <f t="shared" ref="Q5:Q35" si="6">ROUNDDOWN(P5/1.1,0)/M5</f>
        <v>2173.7692307692309</v>
      </c>
      <c r="R5" s="62">
        <f t="shared" ref="R5:R35" si="7">N5+P5</f>
        <v>303650</v>
      </c>
      <c r="S5" s="58">
        <f t="shared" ref="S5:S35" si="8">IF(M5="","",R5/M5)</f>
        <v>11678.846153846154</v>
      </c>
      <c r="T5" s="63">
        <f t="shared" ref="T5:U35" si="9">E5+M5</f>
        <v>62</v>
      </c>
      <c r="U5" s="61">
        <f t="shared" si="9"/>
        <v>402520</v>
      </c>
      <c r="V5" s="61">
        <f t="shared" ref="V5:V35" si="10">H5+P5</f>
        <v>98140</v>
      </c>
      <c r="W5" s="64">
        <f t="shared" ref="W5:W35" si="11">J5+R5</f>
        <v>500660</v>
      </c>
      <c r="X5" s="61"/>
      <c r="Y5" s="65"/>
      <c r="Z5" s="66">
        <v>6</v>
      </c>
      <c r="AA5" s="66"/>
      <c r="AB5" s="54">
        <v>15000</v>
      </c>
      <c r="AC5" s="55">
        <f t="shared" ref="AC5:AC35" si="12">AB5/Z5</f>
        <v>2500</v>
      </c>
      <c r="AD5" s="54">
        <v>1500</v>
      </c>
      <c r="AE5" s="56">
        <f t="shared" ref="AE5:AE35" si="13">AD5/Z5</f>
        <v>250</v>
      </c>
      <c r="AF5" s="67">
        <f t="shared" ref="AF5:AF35" si="14">AB5+AD5</f>
        <v>16500</v>
      </c>
      <c r="AG5" s="58">
        <f t="shared" ref="AG5:AG35" si="15">IF(Z5="","",AF5/Z5)</f>
        <v>2750</v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>
        <v>337</v>
      </c>
      <c r="AR5" s="54">
        <v>1016700</v>
      </c>
      <c r="AS5" s="55">
        <f t="shared" ref="AS5:AS35" si="19">AR5/AQ5</f>
        <v>3016.9139465875369</v>
      </c>
      <c r="AT5" s="54">
        <v>540750</v>
      </c>
      <c r="AU5" s="56">
        <f t="shared" ref="AU5:AU35" si="20">AT5/AQ5</f>
        <v>1604.59940652819</v>
      </c>
      <c r="AV5" s="56">
        <v>2200</v>
      </c>
      <c r="AW5" s="56"/>
      <c r="AX5" s="71">
        <f>AR5+AT5+AV5+AW5</f>
        <v>1559650</v>
      </c>
      <c r="AY5" s="69">
        <f t="shared" ref="AY5:AY35" si="21">IF(AQ5="","",AX5/AQ5)</f>
        <v>4628.0415430267067</v>
      </c>
      <c r="AZ5" s="72">
        <f t="shared" ref="AZ5:AZ35" si="22">SUM(E5,M5)</f>
        <v>62</v>
      </c>
      <c r="BA5" s="61">
        <f t="shared" ref="BA5:BA35" si="23">U5+AB5+AJ5+AR5</f>
        <v>1434220</v>
      </c>
      <c r="BB5" s="61">
        <f t="shared" ref="BB5:BB35" si="24">V5+AD5+AL5+AT5</f>
        <v>640390</v>
      </c>
      <c r="BC5" s="73">
        <f>W5+AF5+AN5+AX5</f>
        <v>2076810</v>
      </c>
      <c r="BD5" s="74">
        <f>BH5+BI5</f>
        <v>12650</v>
      </c>
      <c r="BE5" s="75">
        <v>62</v>
      </c>
      <c r="BF5" s="76">
        <v>402520</v>
      </c>
      <c r="BG5" s="76">
        <v>98140</v>
      </c>
      <c r="BH5" s="77">
        <v>12650</v>
      </c>
      <c r="BI5" s="77"/>
      <c r="BJ5" s="77"/>
      <c r="BK5" s="77"/>
      <c r="BL5" s="78">
        <f>SUM(BF5:BI5)</f>
        <v>513310</v>
      </c>
      <c r="BM5" s="49">
        <v>1</v>
      </c>
      <c r="BN5" s="79">
        <f t="shared" ref="BN5:BN35" si="25">BK5+BL5</f>
        <v>513310</v>
      </c>
    </row>
    <row r="6" spans="1:68" ht="20" customHeight="1">
      <c r="B6" s="80">
        <f t="shared" ref="B6:B35" si="26">B5+1</f>
        <v>45810</v>
      </c>
      <c r="C6" s="81"/>
      <c r="D6" s="52"/>
      <c r="E6" s="53">
        <v>30</v>
      </c>
      <c r="F6" s="54">
        <f>115390+9900</f>
        <v>125290</v>
      </c>
      <c r="G6" s="55">
        <f t="shared" si="0"/>
        <v>3796.6666666666665</v>
      </c>
      <c r="H6" s="54">
        <f>13770+1320</f>
        <v>15090</v>
      </c>
      <c r="I6" s="56">
        <f t="shared" ref="I6:I35" si="27">ROUNDDOWN(H6/1.1,0)/E6</f>
        <v>457.26666666666665</v>
      </c>
      <c r="J6" s="57">
        <f t="shared" si="1"/>
        <v>140380</v>
      </c>
      <c r="K6" s="58">
        <f t="shared" si="2"/>
        <v>4679.333333333333</v>
      </c>
      <c r="L6" s="59"/>
      <c r="M6" s="60">
        <f t="shared" si="3"/>
        <v>1</v>
      </c>
      <c r="N6" s="61">
        <f t="shared" si="3"/>
        <v>9900</v>
      </c>
      <c r="O6" s="55">
        <f t="shared" si="4"/>
        <v>9000</v>
      </c>
      <c r="P6" s="61">
        <f t="shared" si="5"/>
        <v>6270</v>
      </c>
      <c r="Q6" s="56">
        <f t="shared" si="6"/>
        <v>5700</v>
      </c>
      <c r="R6" s="62">
        <f t="shared" si="7"/>
        <v>16170</v>
      </c>
      <c r="S6" s="58">
        <f t="shared" si="8"/>
        <v>16170</v>
      </c>
      <c r="T6" s="82">
        <f t="shared" si="9"/>
        <v>31</v>
      </c>
      <c r="U6" s="61">
        <f t="shared" si="9"/>
        <v>135190</v>
      </c>
      <c r="V6" s="61">
        <f t="shared" si="10"/>
        <v>21360</v>
      </c>
      <c r="W6" s="64">
        <f t="shared" si="11"/>
        <v>156550</v>
      </c>
      <c r="X6" s="83"/>
      <c r="Y6" s="65"/>
      <c r="Z6" s="66">
        <v>8</v>
      </c>
      <c r="AA6" s="66"/>
      <c r="AB6" s="54">
        <v>20000</v>
      </c>
      <c r="AC6" s="55">
        <f t="shared" si="12"/>
        <v>2500</v>
      </c>
      <c r="AD6" s="54">
        <v>2000</v>
      </c>
      <c r="AE6" s="56">
        <f t="shared" si="13"/>
        <v>250</v>
      </c>
      <c r="AF6" s="67">
        <f>AB6+AD6</f>
        <v>22000</v>
      </c>
      <c r="AG6" s="58">
        <f t="shared" si="15"/>
        <v>2750</v>
      </c>
      <c r="AH6" s="68"/>
      <c r="AI6" s="66">
        <v>72</v>
      </c>
      <c r="AJ6" s="54">
        <v>232290</v>
      </c>
      <c r="AK6" s="55">
        <f t="shared" si="16"/>
        <v>3226.25</v>
      </c>
      <c r="AL6" s="54">
        <v>93960</v>
      </c>
      <c r="AM6" s="56">
        <f t="shared" si="17"/>
        <v>1305</v>
      </c>
      <c r="AN6" s="67">
        <f t="shared" ref="AN6:AN35" si="28">AJ6+AL6</f>
        <v>326250</v>
      </c>
      <c r="AO6" s="69">
        <f t="shared" si="18"/>
        <v>4531.25</v>
      </c>
      <c r="AP6" s="70"/>
      <c r="AQ6" s="66">
        <v>99</v>
      </c>
      <c r="AR6" s="54">
        <v>216200</v>
      </c>
      <c r="AS6" s="55">
        <f t="shared" si="19"/>
        <v>2183.8383838383838</v>
      </c>
      <c r="AT6" s="54">
        <v>139000</v>
      </c>
      <c r="AU6" s="56">
        <f t="shared" si="20"/>
        <v>1404.0404040404039</v>
      </c>
      <c r="AV6" s="56"/>
      <c r="AW6" s="56"/>
      <c r="AX6" s="71">
        <f>AR6+AT6+AV6+AW6-BP6</f>
        <v>354100</v>
      </c>
      <c r="AY6" s="69">
        <f t="shared" si="21"/>
        <v>3576.7676767676767</v>
      </c>
      <c r="AZ6" s="84">
        <f t="shared" si="22"/>
        <v>31</v>
      </c>
      <c r="BA6" s="61">
        <f t="shared" si="23"/>
        <v>603680</v>
      </c>
      <c r="BB6" s="61">
        <f t="shared" si="24"/>
        <v>256320</v>
      </c>
      <c r="BC6" s="73">
        <f>W6+AF6+AN6+AX6</f>
        <v>858900</v>
      </c>
      <c r="BD6" s="74">
        <f>BH6+BI6</f>
        <v>0</v>
      </c>
      <c r="BE6" s="75">
        <v>31</v>
      </c>
      <c r="BF6" s="76">
        <v>135190</v>
      </c>
      <c r="BG6" s="76">
        <v>21360</v>
      </c>
      <c r="BH6" s="77"/>
      <c r="BI6" s="77"/>
      <c r="BJ6" s="77"/>
      <c r="BK6" s="77"/>
      <c r="BL6" s="78">
        <f t="shared" ref="BL6:BL35" si="29">SUM(BF6:BI6)</f>
        <v>156550</v>
      </c>
      <c r="BM6" s="49">
        <v>2</v>
      </c>
      <c r="BN6" s="79">
        <f t="shared" si="25"/>
        <v>156550</v>
      </c>
      <c r="BP6" s="49">
        <v>1100</v>
      </c>
    </row>
    <row r="7" spans="1:68" ht="20" customHeight="1">
      <c r="B7" s="80">
        <f>B6+1</f>
        <v>45811</v>
      </c>
      <c r="C7" s="81"/>
      <c r="D7" s="52"/>
      <c r="E7" s="53">
        <v>24</v>
      </c>
      <c r="F7" s="54">
        <v>86130</v>
      </c>
      <c r="G7" s="55">
        <f t="shared" si="0"/>
        <v>3262.5</v>
      </c>
      <c r="H7" s="54">
        <v>8870</v>
      </c>
      <c r="I7" s="56">
        <f t="shared" si="27"/>
        <v>335.95833333333331</v>
      </c>
      <c r="J7" s="57">
        <f t="shared" si="1"/>
        <v>95000</v>
      </c>
      <c r="K7" s="58">
        <f t="shared" si="2"/>
        <v>3958.3333333333335</v>
      </c>
      <c r="L7" s="59"/>
      <c r="M7" s="60">
        <f t="shared" si="3"/>
        <v>8</v>
      </c>
      <c r="N7" s="61">
        <f t="shared" si="3"/>
        <v>68530</v>
      </c>
      <c r="O7" s="55">
        <f t="shared" si="4"/>
        <v>7787.5</v>
      </c>
      <c r="P7" s="61">
        <f t="shared" si="5"/>
        <v>21960</v>
      </c>
      <c r="Q7" s="56">
        <f t="shared" si="6"/>
        <v>2495.375</v>
      </c>
      <c r="R7" s="62">
        <f t="shared" si="7"/>
        <v>90490</v>
      </c>
      <c r="S7" s="58">
        <f t="shared" si="8"/>
        <v>11311.25</v>
      </c>
      <c r="T7" s="82">
        <f t="shared" si="9"/>
        <v>32</v>
      </c>
      <c r="U7" s="61">
        <f t="shared" si="9"/>
        <v>154660</v>
      </c>
      <c r="V7" s="61">
        <f t="shared" si="10"/>
        <v>30830</v>
      </c>
      <c r="W7" s="64">
        <f t="shared" si="11"/>
        <v>185490</v>
      </c>
      <c r="X7" s="83"/>
      <c r="Y7" s="65"/>
      <c r="Z7" s="66">
        <v>5</v>
      </c>
      <c r="AA7" s="66"/>
      <c r="AB7" s="54">
        <v>12500</v>
      </c>
      <c r="AC7" s="55">
        <f t="shared" si="12"/>
        <v>2500</v>
      </c>
      <c r="AD7" s="54">
        <v>1250</v>
      </c>
      <c r="AE7" s="56">
        <f t="shared" si="13"/>
        <v>250</v>
      </c>
      <c r="AF7" s="67">
        <f t="shared" si="14"/>
        <v>13750</v>
      </c>
      <c r="AG7" s="58">
        <f t="shared" si="15"/>
        <v>2750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8"/>
        <v>0</v>
      </c>
      <c r="AO7" s="69" t="str">
        <f t="shared" si="18"/>
        <v/>
      </c>
      <c r="AP7" s="70"/>
      <c r="AQ7" s="66">
        <v>74</v>
      </c>
      <c r="AR7" s="54">
        <v>128000</v>
      </c>
      <c r="AS7" s="55">
        <f t="shared" si="19"/>
        <v>1729.7297297297298</v>
      </c>
      <c r="AT7" s="54">
        <v>84450</v>
      </c>
      <c r="AU7" s="56">
        <f t="shared" si="20"/>
        <v>1141.2162162162163</v>
      </c>
      <c r="AV7" s="56"/>
      <c r="AW7" s="56"/>
      <c r="AX7" s="71">
        <f>AR7+AT7+AV7+AW7</f>
        <v>212450</v>
      </c>
      <c r="AY7" s="69">
        <f t="shared" si="21"/>
        <v>2870.9459459459458</v>
      </c>
      <c r="AZ7" s="84">
        <f t="shared" si="22"/>
        <v>32</v>
      </c>
      <c r="BA7" s="61">
        <f t="shared" si="23"/>
        <v>295160</v>
      </c>
      <c r="BB7" s="61">
        <f t="shared" si="24"/>
        <v>116530</v>
      </c>
      <c r="BC7" s="73">
        <f>W7+AF7+AN7+AX7-BO7</f>
        <v>411690</v>
      </c>
      <c r="BD7" s="74">
        <f t="shared" ref="BD7:BD35" si="30">BH7+BI7</f>
        <v>3300</v>
      </c>
      <c r="BE7" s="75">
        <v>32</v>
      </c>
      <c r="BF7" s="76">
        <v>154660</v>
      </c>
      <c r="BG7" s="76">
        <v>30830</v>
      </c>
      <c r="BH7" s="77">
        <v>3300</v>
      </c>
      <c r="BI7" s="77"/>
      <c r="BJ7" s="77"/>
      <c r="BK7" s="77"/>
      <c r="BL7" s="78">
        <f t="shared" si="29"/>
        <v>188790</v>
      </c>
      <c r="BM7" s="49">
        <v>3</v>
      </c>
      <c r="BN7" s="79">
        <f t="shared" si="25"/>
        <v>188790</v>
      </c>
    </row>
    <row r="8" spans="1:68" ht="20" customHeight="1">
      <c r="B8" s="80">
        <f t="shared" si="26"/>
        <v>45812</v>
      </c>
      <c r="C8" s="81"/>
      <c r="D8" s="52"/>
      <c r="E8" s="53">
        <v>31</v>
      </c>
      <c r="F8" s="54">
        <v>118690</v>
      </c>
      <c r="G8" s="55">
        <f t="shared" si="0"/>
        <v>3480.6451612903224</v>
      </c>
      <c r="H8" s="54">
        <v>3470</v>
      </c>
      <c r="I8" s="56">
        <f t="shared" si="27"/>
        <v>101.74193548387096</v>
      </c>
      <c r="J8" s="57">
        <f t="shared" si="1"/>
        <v>122160</v>
      </c>
      <c r="K8" s="58">
        <f t="shared" si="2"/>
        <v>3940.6451612903224</v>
      </c>
      <c r="L8" s="59"/>
      <c r="M8" s="60">
        <f t="shared" si="3"/>
        <v>28</v>
      </c>
      <c r="N8" s="61">
        <f t="shared" si="3"/>
        <v>299970</v>
      </c>
      <c r="O8" s="55">
        <f t="shared" si="4"/>
        <v>9739.2857142857138</v>
      </c>
      <c r="P8" s="61">
        <f t="shared" si="5"/>
        <v>68780</v>
      </c>
      <c r="Q8" s="56">
        <f t="shared" si="6"/>
        <v>2233.1071428571427</v>
      </c>
      <c r="R8" s="62">
        <f t="shared" si="7"/>
        <v>368750</v>
      </c>
      <c r="S8" s="58">
        <f t="shared" si="8"/>
        <v>13169.642857142857</v>
      </c>
      <c r="T8" s="82">
        <f t="shared" si="9"/>
        <v>59</v>
      </c>
      <c r="U8" s="61">
        <f t="shared" si="9"/>
        <v>418660</v>
      </c>
      <c r="V8" s="61">
        <f t="shared" si="10"/>
        <v>72250</v>
      </c>
      <c r="W8" s="64">
        <f t="shared" si="11"/>
        <v>490910</v>
      </c>
      <c r="X8" s="83"/>
      <c r="Y8" s="65"/>
      <c r="Z8" s="66">
        <v>6</v>
      </c>
      <c r="AA8" s="66"/>
      <c r="AB8" s="54">
        <v>15000</v>
      </c>
      <c r="AC8" s="55">
        <f t="shared" si="12"/>
        <v>2500</v>
      </c>
      <c r="AD8" s="54">
        <v>1500</v>
      </c>
      <c r="AE8" s="56">
        <f t="shared" si="13"/>
        <v>250</v>
      </c>
      <c r="AF8" s="67">
        <f t="shared" si="14"/>
        <v>16500</v>
      </c>
      <c r="AG8" s="58">
        <f t="shared" si="15"/>
        <v>2750</v>
      </c>
      <c r="AH8" s="68"/>
      <c r="AI8" s="66">
        <v>35</v>
      </c>
      <c r="AJ8" s="54">
        <v>197925</v>
      </c>
      <c r="AK8" s="55">
        <f t="shared" si="16"/>
        <v>5655</v>
      </c>
      <c r="AL8" s="54">
        <v>45675</v>
      </c>
      <c r="AM8" s="56">
        <f t="shared" si="17"/>
        <v>1305</v>
      </c>
      <c r="AN8" s="67">
        <f t="shared" si="28"/>
        <v>243600</v>
      </c>
      <c r="AO8" s="69">
        <f t="shared" si="18"/>
        <v>6960</v>
      </c>
      <c r="AP8" s="70"/>
      <c r="AQ8" s="66">
        <v>128</v>
      </c>
      <c r="AR8" s="54">
        <v>385850</v>
      </c>
      <c r="AS8" s="55">
        <f t="shared" si="19"/>
        <v>3014.453125</v>
      </c>
      <c r="AT8" s="54">
        <v>213050</v>
      </c>
      <c r="AU8" s="56">
        <f t="shared" si="20"/>
        <v>1664.453125</v>
      </c>
      <c r="AV8" s="56">
        <v>11550</v>
      </c>
      <c r="AW8" s="56"/>
      <c r="AX8" s="71">
        <f t="shared" ref="AX8:AX16" si="31">AR8+AT8+AV8+AW8</f>
        <v>610450</v>
      </c>
      <c r="AY8" s="69">
        <f t="shared" si="21"/>
        <v>4769.140625</v>
      </c>
      <c r="AZ8" s="84">
        <f t="shared" si="22"/>
        <v>59</v>
      </c>
      <c r="BA8" s="61">
        <f t="shared" si="23"/>
        <v>1017435</v>
      </c>
      <c r="BB8" s="61">
        <f t="shared" si="24"/>
        <v>332475</v>
      </c>
      <c r="BC8" s="73">
        <f>W8+AF8+AN8+AX8</f>
        <v>1361460</v>
      </c>
      <c r="BD8" s="74">
        <f t="shared" si="30"/>
        <v>18150</v>
      </c>
      <c r="BE8" s="75">
        <v>59</v>
      </c>
      <c r="BF8" s="76">
        <v>418660</v>
      </c>
      <c r="BG8" s="76">
        <v>72250</v>
      </c>
      <c r="BH8" s="77">
        <v>18150</v>
      </c>
      <c r="BI8" s="77"/>
      <c r="BJ8" s="77"/>
      <c r="BK8" s="77"/>
      <c r="BL8" s="78">
        <f t="shared" si="29"/>
        <v>509060</v>
      </c>
      <c r="BM8" s="49">
        <v>4</v>
      </c>
      <c r="BN8" s="79">
        <f t="shared" si="25"/>
        <v>509060</v>
      </c>
      <c r="BO8" s="85"/>
      <c r="BP8" s="85"/>
    </row>
    <row r="9" spans="1:68" ht="20" customHeight="1">
      <c r="B9" s="80">
        <f t="shared" si="26"/>
        <v>45813</v>
      </c>
      <c r="C9" s="81"/>
      <c r="D9" s="52"/>
      <c r="E9" s="53">
        <v>25</v>
      </c>
      <c r="F9" s="54">
        <v>101970</v>
      </c>
      <c r="G9" s="55">
        <f t="shared" si="0"/>
        <v>3708</v>
      </c>
      <c r="H9" s="54">
        <v>7590</v>
      </c>
      <c r="I9" s="56">
        <f t="shared" si="27"/>
        <v>276</v>
      </c>
      <c r="J9" s="57">
        <f t="shared" si="1"/>
        <v>109560</v>
      </c>
      <c r="K9" s="58">
        <f t="shared" si="2"/>
        <v>4382.3999999999996</v>
      </c>
      <c r="L9" s="59"/>
      <c r="M9" s="60">
        <f t="shared" si="3"/>
        <v>6</v>
      </c>
      <c r="N9" s="61">
        <f t="shared" si="3"/>
        <v>78540</v>
      </c>
      <c r="O9" s="55">
        <f t="shared" si="4"/>
        <v>11900</v>
      </c>
      <c r="P9" s="61">
        <f t="shared" si="5"/>
        <v>18540</v>
      </c>
      <c r="Q9" s="56">
        <f>ROUNDDOWN(P9/1.1,0)/M9</f>
        <v>2809</v>
      </c>
      <c r="R9" s="62">
        <f t="shared" si="7"/>
        <v>97080</v>
      </c>
      <c r="S9" s="58">
        <f t="shared" si="8"/>
        <v>16180</v>
      </c>
      <c r="T9" s="82">
        <f t="shared" si="9"/>
        <v>31</v>
      </c>
      <c r="U9" s="61">
        <f t="shared" si="9"/>
        <v>180510</v>
      </c>
      <c r="V9" s="61">
        <f t="shared" si="10"/>
        <v>26130</v>
      </c>
      <c r="W9" s="64">
        <f t="shared" si="11"/>
        <v>206640</v>
      </c>
      <c r="X9" s="83"/>
      <c r="Y9" s="65"/>
      <c r="Z9" s="66">
        <v>2</v>
      </c>
      <c r="AA9" s="66"/>
      <c r="AB9" s="54">
        <v>5000</v>
      </c>
      <c r="AC9" s="55">
        <f t="shared" si="12"/>
        <v>2500</v>
      </c>
      <c r="AD9" s="54">
        <v>500</v>
      </c>
      <c r="AE9" s="56">
        <f t="shared" si="13"/>
        <v>250</v>
      </c>
      <c r="AF9" s="67">
        <f t="shared" si="14"/>
        <v>5500</v>
      </c>
      <c r="AG9" s="58">
        <f t="shared" si="15"/>
        <v>2750</v>
      </c>
      <c r="AH9" s="68"/>
      <c r="AI9" s="66"/>
      <c r="AJ9" s="54"/>
      <c r="AK9" s="55" t="e">
        <f t="shared" si="16"/>
        <v>#DIV/0!</v>
      </c>
      <c r="AL9" s="54"/>
      <c r="AM9" s="56" t="e">
        <f t="shared" si="17"/>
        <v>#DIV/0!</v>
      </c>
      <c r="AN9" s="67">
        <f t="shared" si="28"/>
        <v>0</v>
      </c>
      <c r="AO9" s="69" t="str">
        <f t="shared" si="18"/>
        <v/>
      </c>
      <c r="AP9" s="70"/>
      <c r="AQ9" s="66">
        <v>50</v>
      </c>
      <c r="AR9" s="54">
        <v>96100</v>
      </c>
      <c r="AS9" s="55">
        <f t="shared" si="19"/>
        <v>1922</v>
      </c>
      <c r="AT9" s="54">
        <v>61100</v>
      </c>
      <c r="AU9" s="56">
        <f t="shared" si="20"/>
        <v>1222</v>
      </c>
      <c r="AV9" s="56"/>
      <c r="AW9" s="56"/>
      <c r="AX9" s="71">
        <f t="shared" si="31"/>
        <v>157200</v>
      </c>
      <c r="AY9" s="69">
        <f>IF(AQ9="","",AX9/AQ9)</f>
        <v>3144</v>
      </c>
      <c r="AZ9" s="84">
        <f t="shared" si="22"/>
        <v>31</v>
      </c>
      <c r="BA9" s="61">
        <f t="shared" si="23"/>
        <v>281610</v>
      </c>
      <c r="BB9" s="61">
        <f t="shared" si="24"/>
        <v>87730</v>
      </c>
      <c r="BC9" s="73">
        <f>W9+AF9+AN9+AX9-BO9</f>
        <v>369340</v>
      </c>
      <c r="BD9" s="74">
        <f t="shared" si="30"/>
        <v>3300</v>
      </c>
      <c r="BE9" s="75">
        <v>31</v>
      </c>
      <c r="BF9" s="76">
        <v>180510</v>
      </c>
      <c r="BG9" s="76">
        <v>26130</v>
      </c>
      <c r="BH9" s="77">
        <v>3300</v>
      </c>
      <c r="BI9" s="77"/>
      <c r="BJ9" s="77"/>
      <c r="BK9" s="77"/>
      <c r="BL9" s="78">
        <f t="shared" si="29"/>
        <v>209940</v>
      </c>
      <c r="BM9" s="49">
        <v>5</v>
      </c>
      <c r="BN9" s="79">
        <f t="shared" si="25"/>
        <v>209940</v>
      </c>
    </row>
    <row r="10" spans="1:68" ht="19.5" customHeight="1">
      <c r="B10" s="80">
        <f t="shared" si="26"/>
        <v>45814</v>
      </c>
      <c r="C10" s="81"/>
      <c r="D10" s="52"/>
      <c r="E10" s="53">
        <v>25</v>
      </c>
      <c r="F10" s="54">
        <v>94820</v>
      </c>
      <c r="G10" s="55">
        <f t="shared" si="0"/>
        <v>3448</v>
      </c>
      <c r="H10" s="54">
        <v>8580</v>
      </c>
      <c r="I10" s="56">
        <f t="shared" si="27"/>
        <v>312</v>
      </c>
      <c r="J10" s="57">
        <f t="shared" si="1"/>
        <v>103400</v>
      </c>
      <c r="K10" s="58">
        <f t="shared" si="2"/>
        <v>4136</v>
      </c>
      <c r="L10" s="59"/>
      <c r="M10" s="60">
        <f t="shared" si="3"/>
        <v>26</v>
      </c>
      <c r="N10" s="61">
        <f t="shared" si="3"/>
        <v>282150</v>
      </c>
      <c r="O10" s="55">
        <f t="shared" si="4"/>
        <v>9865.3846153846152</v>
      </c>
      <c r="P10" s="61">
        <f t="shared" si="5"/>
        <v>71190</v>
      </c>
      <c r="Q10" s="56">
        <f t="shared" si="6"/>
        <v>2489.1538461538462</v>
      </c>
      <c r="R10" s="62">
        <f t="shared" si="7"/>
        <v>353340</v>
      </c>
      <c r="S10" s="58">
        <f t="shared" si="8"/>
        <v>13590</v>
      </c>
      <c r="T10" s="82">
        <f t="shared" si="9"/>
        <v>51</v>
      </c>
      <c r="U10" s="61">
        <f t="shared" si="9"/>
        <v>376970</v>
      </c>
      <c r="V10" s="61">
        <f t="shared" si="10"/>
        <v>79770</v>
      </c>
      <c r="W10" s="64">
        <f t="shared" si="11"/>
        <v>456740</v>
      </c>
      <c r="X10" s="83"/>
      <c r="Y10" s="65"/>
      <c r="Z10" s="66">
        <v>5</v>
      </c>
      <c r="AA10" s="66"/>
      <c r="AB10" s="54">
        <v>12500</v>
      </c>
      <c r="AC10" s="55">
        <f t="shared" si="12"/>
        <v>2500</v>
      </c>
      <c r="AD10" s="54">
        <v>1250</v>
      </c>
      <c r="AE10" s="56">
        <f t="shared" si="13"/>
        <v>250</v>
      </c>
      <c r="AF10" s="67">
        <f t="shared" si="14"/>
        <v>13750</v>
      </c>
      <c r="AG10" s="58">
        <f t="shared" si="15"/>
        <v>2750</v>
      </c>
      <c r="AH10" s="68"/>
      <c r="AI10" s="66">
        <v>34</v>
      </c>
      <c r="AJ10" s="54">
        <v>133110</v>
      </c>
      <c r="AK10" s="55">
        <f t="shared" si="16"/>
        <v>3915</v>
      </c>
      <c r="AL10" s="54">
        <v>44370</v>
      </c>
      <c r="AM10" s="56">
        <f t="shared" si="17"/>
        <v>1305</v>
      </c>
      <c r="AN10" s="67">
        <f t="shared" si="28"/>
        <v>177480</v>
      </c>
      <c r="AO10" s="69">
        <f t="shared" si="18"/>
        <v>5220</v>
      </c>
      <c r="AP10" s="70"/>
      <c r="AQ10" s="66">
        <v>240</v>
      </c>
      <c r="AR10" s="54">
        <v>639800</v>
      </c>
      <c r="AS10" s="55">
        <f t="shared" si="19"/>
        <v>2665.8333333333335</v>
      </c>
      <c r="AT10" s="54">
        <v>374750</v>
      </c>
      <c r="AU10" s="56">
        <f t="shared" si="20"/>
        <v>1561.4583333333333</v>
      </c>
      <c r="AV10" s="56">
        <v>3850</v>
      </c>
      <c r="AW10" s="56"/>
      <c r="AX10" s="71">
        <f t="shared" si="31"/>
        <v>1018400</v>
      </c>
      <c r="AY10" s="69">
        <f t="shared" si="21"/>
        <v>4243.333333333333</v>
      </c>
      <c r="AZ10" s="84">
        <f t="shared" si="22"/>
        <v>51</v>
      </c>
      <c r="BA10" s="61">
        <f t="shared" si="23"/>
        <v>1162380</v>
      </c>
      <c r="BB10" s="61">
        <f t="shared" si="24"/>
        <v>500140</v>
      </c>
      <c r="BC10" s="73">
        <f>W10+AF10+AN10+AX10-BO10</f>
        <v>1666370</v>
      </c>
      <c r="BD10" s="74">
        <f t="shared" si="30"/>
        <v>0</v>
      </c>
      <c r="BE10" s="75">
        <v>51</v>
      </c>
      <c r="BF10" s="76">
        <v>376970</v>
      </c>
      <c r="BG10" s="76">
        <v>79770</v>
      </c>
      <c r="BH10" s="77"/>
      <c r="BI10" s="77"/>
      <c r="BJ10" s="77"/>
      <c r="BK10" s="77"/>
      <c r="BL10" s="78">
        <f t="shared" si="29"/>
        <v>456740</v>
      </c>
      <c r="BM10" s="49">
        <v>6</v>
      </c>
      <c r="BN10" s="79">
        <f t="shared" si="25"/>
        <v>456740</v>
      </c>
    </row>
    <row r="11" spans="1:68" ht="20" customHeight="1">
      <c r="B11" s="80">
        <f t="shared" si="26"/>
        <v>45815</v>
      </c>
      <c r="C11" s="81"/>
      <c r="D11" s="52"/>
      <c r="E11" s="53">
        <v>28</v>
      </c>
      <c r="F11" s="54">
        <f>124520+7040</f>
        <v>131560</v>
      </c>
      <c r="G11" s="55">
        <f t="shared" si="0"/>
        <v>4271.4285714285716</v>
      </c>
      <c r="H11" s="54">
        <v>14860</v>
      </c>
      <c r="I11" s="56">
        <f t="shared" si="27"/>
        <v>482.46428571428572</v>
      </c>
      <c r="J11" s="57">
        <f t="shared" si="1"/>
        <v>146420</v>
      </c>
      <c r="K11" s="58">
        <f t="shared" si="2"/>
        <v>5229.2857142857147</v>
      </c>
      <c r="L11" s="59"/>
      <c r="M11" s="60">
        <f t="shared" si="3"/>
        <v>21</v>
      </c>
      <c r="N11" s="61">
        <f t="shared" si="3"/>
        <v>244970</v>
      </c>
      <c r="O11" s="55">
        <f t="shared" si="4"/>
        <v>10604.761904761905</v>
      </c>
      <c r="P11" s="61">
        <f t="shared" si="5"/>
        <v>55900</v>
      </c>
      <c r="Q11" s="56">
        <f t="shared" si="6"/>
        <v>2419.9047619047619</v>
      </c>
      <c r="R11" s="62">
        <f t="shared" si="7"/>
        <v>300870</v>
      </c>
      <c r="S11" s="58">
        <f t="shared" si="8"/>
        <v>14327.142857142857</v>
      </c>
      <c r="T11" s="82">
        <f t="shared" si="9"/>
        <v>49</v>
      </c>
      <c r="U11" s="61">
        <f t="shared" si="9"/>
        <v>376530</v>
      </c>
      <c r="V11" s="61">
        <f t="shared" si="10"/>
        <v>70760</v>
      </c>
      <c r="W11" s="64">
        <f t="shared" si="11"/>
        <v>447290</v>
      </c>
      <c r="X11" s="83"/>
      <c r="Y11" s="65"/>
      <c r="Z11" s="66">
        <v>6</v>
      </c>
      <c r="AA11" s="66"/>
      <c r="AB11" s="54">
        <v>15000</v>
      </c>
      <c r="AC11" s="55">
        <f t="shared" si="12"/>
        <v>2500</v>
      </c>
      <c r="AD11" s="54">
        <v>1500</v>
      </c>
      <c r="AE11" s="56">
        <f t="shared" si="13"/>
        <v>250</v>
      </c>
      <c r="AF11" s="67">
        <f t="shared" si="14"/>
        <v>16500</v>
      </c>
      <c r="AG11" s="58">
        <f t="shared" si="15"/>
        <v>2750</v>
      </c>
      <c r="AH11" s="68"/>
      <c r="AI11" s="66">
        <v>56</v>
      </c>
      <c r="AJ11" s="54">
        <v>199665</v>
      </c>
      <c r="AK11" s="55">
        <f t="shared" si="16"/>
        <v>3565.4464285714284</v>
      </c>
      <c r="AL11" s="54">
        <v>79953</v>
      </c>
      <c r="AM11" s="56">
        <f t="shared" si="17"/>
        <v>1427.7321428571429</v>
      </c>
      <c r="AN11" s="67">
        <f t="shared" si="28"/>
        <v>279618</v>
      </c>
      <c r="AO11" s="69">
        <f t="shared" si="18"/>
        <v>4993.1785714285716</v>
      </c>
      <c r="AP11" s="70"/>
      <c r="AQ11" s="66">
        <v>307</v>
      </c>
      <c r="AR11" s="54">
        <v>780500</v>
      </c>
      <c r="AS11" s="55">
        <f t="shared" si="19"/>
        <v>2542.345276872964</v>
      </c>
      <c r="AT11" s="54">
        <v>449850</v>
      </c>
      <c r="AU11" s="56">
        <f t="shared" si="20"/>
        <v>1465.3094462540716</v>
      </c>
      <c r="AV11" s="56">
        <v>14080</v>
      </c>
      <c r="AW11" s="56"/>
      <c r="AX11" s="71">
        <f t="shared" si="31"/>
        <v>1244430</v>
      </c>
      <c r="AY11" s="69">
        <f t="shared" si="21"/>
        <v>4053.5179153094464</v>
      </c>
      <c r="AZ11" s="84">
        <f t="shared" si="22"/>
        <v>49</v>
      </c>
      <c r="BA11" s="61">
        <f t="shared" si="23"/>
        <v>1371695</v>
      </c>
      <c r="BB11" s="61">
        <f t="shared" si="24"/>
        <v>602063</v>
      </c>
      <c r="BC11" s="73">
        <f t="shared" ref="BC11:BC30" si="32">W11+AF11+AN11+AX11</f>
        <v>1987838</v>
      </c>
      <c r="BD11" s="74">
        <f t="shared" si="30"/>
        <v>7700</v>
      </c>
      <c r="BE11" s="75">
        <v>49</v>
      </c>
      <c r="BF11" s="76">
        <v>376530</v>
      </c>
      <c r="BG11" s="76">
        <v>70760</v>
      </c>
      <c r="BH11" s="77">
        <v>7700</v>
      </c>
      <c r="BI11" s="77"/>
      <c r="BJ11" s="77"/>
      <c r="BK11" s="77"/>
      <c r="BL11" s="78">
        <f t="shared" si="29"/>
        <v>454990</v>
      </c>
      <c r="BM11" s="49">
        <v>7</v>
      </c>
      <c r="BN11" s="79">
        <f t="shared" si="25"/>
        <v>454990</v>
      </c>
    </row>
    <row r="12" spans="1:68" ht="20" customHeight="1">
      <c r="B12" s="80">
        <f t="shared" si="26"/>
        <v>45816</v>
      </c>
      <c r="C12" s="86"/>
      <c r="D12" s="52"/>
      <c r="E12" s="53">
        <v>34</v>
      </c>
      <c r="F12" s="54">
        <v>174460</v>
      </c>
      <c r="G12" s="55">
        <f t="shared" si="0"/>
        <v>4664.7058823529414</v>
      </c>
      <c r="H12" s="54">
        <v>41730</v>
      </c>
      <c r="I12" s="56">
        <f t="shared" si="27"/>
        <v>1115.7647058823529</v>
      </c>
      <c r="J12" s="57">
        <f t="shared" si="1"/>
        <v>216190</v>
      </c>
      <c r="K12" s="58">
        <f t="shared" si="2"/>
        <v>6358.5294117647063</v>
      </c>
      <c r="L12" s="59"/>
      <c r="M12" s="60">
        <f t="shared" si="3"/>
        <v>10</v>
      </c>
      <c r="N12" s="61">
        <f t="shared" si="3"/>
        <v>90090</v>
      </c>
      <c r="O12" s="55">
        <f t="shared" si="4"/>
        <v>8190</v>
      </c>
      <c r="P12" s="61">
        <f t="shared" si="5"/>
        <v>11080</v>
      </c>
      <c r="Q12" s="87">
        <f t="shared" si="6"/>
        <v>1007.2</v>
      </c>
      <c r="R12" s="62">
        <f t="shared" si="7"/>
        <v>101170</v>
      </c>
      <c r="S12" s="58">
        <f t="shared" si="8"/>
        <v>10117</v>
      </c>
      <c r="T12" s="82">
        <f t="shared" si="9"/>
        <v>44</v>
      </c>
      <c r="U12" s="61">
        <f t="shared" si="9"/>
        <v>264550</v>
      </c>
      <c r="V12" s="61">
        <f t="shared" si="10"/>
        <v>52810</v>
      </c>
      <c r="W12" s="64">
        <f t="shared" si="11"/>
        <v>317360</v>
      </c>
      <c r="X12" s="83"/>
      <c r="Y12" s="65"/>
      <c r="Z12" s="66">
        <v>7</v>
      </c>
      <c r="AA12" s="66"/>
      <c r="AB12" s="54">
        <v>17500</v>
      </c>
      <c r="AC12" s="55">
        <f t="shared" si="12"/>
        <v>2500</v>
      </c>
      <c r="AD12" s="54">
        <v>1750</v>
      </c>
      <c r="AE12" s="56">
        <f t="shared" si="13"/>
        <v>250</v>
      </c>
      <c r="AF12" s="67">
        <f t="shared" si="14"/>
        <v>19250</v>
      </c>
      <c r="AG12" s="58">
        <f t="shared" si="15"/>
        <v>2750</v>
      </c>
      <c r="AH12" s="68"/>
      <c r="AI12" s="66"/>
      <c r="AJ12" s="54"/>
      <c r="AK12" s="55" t="e">
        <f t="shared" si="16"/>
        <v>#DIV/0!</v>
      </c>
      <c r="AL12" s="54"/>
      <c r="AM12" s="56" t="e">
        <f t="shared" si="17"/>
        <v>#DIV/0!</v>
      </c>
      <c r="AN12" s="67">
        <f t="shared" si="28"/>
        <v>0</v>
      </c>
      <c r="AO12" s="69" t="str">
        <f t="shared" si="18"/>
        <v/>
      </c>
      <c r="AP12" s="70"/>
      <c r="AQ12" s="66">
        <v>212</v>
      </c>
      <c r="AR12" s="54">
        <v>561100</v>
      </c>
      <c r="AS12" s="55">
        <f t="shared" si="19"/>
        <v>2646.6981132075471</v>
      </c>
      <c r="AT12" s="54">
        <v>302750</v>
      </c>
      <c r="AU12" s="56">
        <f t="shared" si="20"/>
        <v>1428.066037735849</v>
      </c>
      <c r="AV12" s="56">
        <v>3080</v>
      </c>
      <c r="AW12" s="56"/>
      <c r="AX12" s="71">
        <f>AR12+AT12+AV12+AW12</f>
        <v>866930</v>
      </c>
      <c r="AY12" s="69">
        <f t="shared" si="21"/>
        <v>4089.2924528301887</v>
      </c>
      <c r="AZ12" s="84">
        <f t="shared" si="22"/>
        <v>44</v>
      </c>
      <c r="BA12" s="61">
        <f t="shared" si="23"/>
        <v>843150</v>
      </c>
      <c r="BB12" s="61">
        <f t="shared" si="24"/>
        <v>357310</v>
      </c>
      <c r="BC12" s="73">
        <f>W12+AF12+AN12+AX12-BO12</f>
        <v>1203340</v>
      </c>
      <c r="BD12" s="74">
        <f t="shared" si="30"/>
        <v>8250</v>
      </c>
      <c r="BE12" s="75">
        <v>44</v>
      </c>
      <c r="BF12" s="76">
        <v>264550</v>
      </c>
      <c r="BG12" s="76">
        <v>52810</v>
      </c>
      <c r="BH12" s="77">
        <v>8250</v>
      </c>
      <c r="BI12" s="77"/>
      <c r="BJ12" s="77"/>
      <c r="BK12" s="77"/>
      <c r="BL12" s="78">
        <f t="shared" si="29"/>
        <v>325610</v>
      </c>
      <c r="BM12" s="49">
        <v>8</v>
      </c>
      <c r="BN12" s="79">
        <f t="shared" si="25"/>
        <v>325610</v>
      </c>
      <c r="BO12" s="49">
        <v>200</v>
      </c>
    </row>
    <row r="13" spans="1:68" ht="20" customHeight="1">
      <c r="B13" s="80">
        <f t="shared" si="26"/>
        <v>45817</v>
      </c>
      <c r="C13" s="81"/>
      <c r="D13" s="52"/>
      <c r="E13" s="53">
        <v>27</v>
      </c>
      <c r="F13" s="54">
        <v>104390</v>
      </c>
      <c r="G13" s="55">
        <f t="shared" si="0"/>
        <v>3514.8148148148148</v>
      </c>
      <c r="H13" s="54">
        <v>9430</v>
      </c>
      <c r="I13" s="56">
        <f t="shared" si="27"/>
        <v>317.48148148148147</v>
      </c>
      <c r="J13" s="57">
        <f t="shared" si="1"/>
        <v>113820</v>
      </c>
      <c r="K13" s="58">
        <f t="shared" si="2"/>
        <v>4215.5555555555557</v>
      </c>
      <c r="L13" s="59"/>
      <c r="M13" s="60">
        <f t="shared" si="3"/>
        <v>12</v>
      </c>
      <c r="N13" s="61">
        <f t="shared" si="3"/>
        <v>118690</v>
      </c>
      <c r="O13" s="55">
        <f t="shared" si="4"/>
        <v>8991.6666666666661</v>
      </c>
      <c r="P13" s="61">
        <f t="shared" si="5"/>
        <v>24870</v>
      </c>
      <c r="Q13" s="56">
        <f t="shared" si="6"/>
        <v>1884.0833333333333</v>
      </c>
      <c r="R13" s="62">
        <f t="shared" si="7"/>
        <v>143560</v>
      </c>
      <c r="S13" s="58">
        <f t="shared" si="8"/>
        <v>11963.333333333334</v>
      </c>
      <c r="T13" s="82">
        <f t="shared" si="9"/>
        <v>39</v>
      </c>
      <c r="U13" s="61">
        <f t="shared" si="9"/>
        <v>223080</v>
      </c>
      <c r="V13" s="61">
        <f t="shared" si="10"/>
        <v>34300</v>
      </c>
      <c r="W13" s="64">
        <f t="shared" si="11"/>
        <v>257380</v>
      </c>
      <c r="X13" s="83"/>
      <c r="Y13" s="65"/>
      <c r="Z13" s="66">
        <v>4</v>
      </c>
      <c r="AA13" s="66"/>
      <c r="AB13" s="54">
        <v>10000</v>
      </c>
      <c r="AC13" s="55">
        <f t="shared" si="12"/>
        <v>2500</v>
      </c>
      <c r="AD13" s="54">
        <v>1000</v>
      </c>
      <c r="AE13" s="56">
        <f t="shared" si="13"/>
        <v>250</v>
      </c>
      <c r="AF13" s="67">
        <f t="shared" si="14"/>
        <v>11000</v>
      </c>
      <c r="AG13" s="58">
        <f t="shared" si="15"/>
        <v>2750</v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8"/>
        <v>0</v>
      </c>
      <c r="AO13" s="69" t="str">
        <f t="shared" si="18"/>
        <v/>
      </c>
      <c r="AP13" s="70"/>
      <c r="AQ13" s="66">
        <v>242</v>
      </c>
      <c r="AR13" s="54">
        <v>709000</v>
      </c>
      <c r="AS13" s="55">
        <f t="shared" si="19"/>
        <v>2929.7520661157023</v>
      </c>
      <c r="AT13" s="54">
        <v>427750</v>
      </c>
      <c r="AU13" s="56">
        <f t="shared" si="20"/>
        <v>1767.5619834710744</v>
      </c>
      <c r="AV13" s="56">
        <v>4950</v>
      </c>
      <c r="AW13" s="56"/>
      <c r="AX13" s="71">
        <f>AR13+AT13+AV13+AW13-BP13</f>
        <v>1140600</v>
      </c>
      <c r="AY13" s="69">
        <f t="shared" si="21"/>
        <v>4713.2231404958675</v>
      </c>
      <c r="AZ13" s="84">
        <f t="shared" si="22"/>
        <v>39</v>
      </c>
      <c r="BA13" s="61">
        <f t="shared" si="23"/>
        <v>942080</v>
      </c>
      <c r="BB13" s="61">
        <f t="shared" si="24"/>
        <v>463050</v>
      </c>
      <c r="BC13" s="73">
        <f t="shared" si="32"/>
        <v>1408980</v>
      </c>
      <c r="BD13" s="74">
        <f t="shared" si="30"/>
        <v>1100</v>
      </c>
      <c r="BE13" s="75">
        <v>39</v>
      </c>
      <c r="BF13" s="76">
        <v>223080</v>
      </c>
      <c r="BG13" s="76">
        <v>34300</v>
      </c>
      <c r="BH13" s="77">
        <v>1100</v>
      </c>
      <c r="BI13" s="77"/>
      <c r="BJ13" s="77"/>
      <c r="BK13" s="77"/>
      <c r="BL13" s="78">
        <f t="shared" si="29"/>
        <v>258480</v>
      </c>
      <c r="BM13" s="49">
        <v>9</v>
      </c>
      <c r="BN13" s="79">
        <f t="shared" si="25"/>
        <v>258480</v>
      </c>
      <c r="BP13" s="49">
        <v>1100</v>
      </c>
    </row>
    <row r="14" spans="1:68" ht="20" customHeight="1">
      <c r="B14" s="80">
        <f t="shared" si="26"/>
        <v>45818</v>
      </c>
      <c r="C14" s="81"/>
      <c r="D14" s="52"/>
      <c r="E14" s="53">
        <v>29</v>
      </c>
      <c r="F14" s="54">
        <v>93060</v>
      </c>
      <c r="G14" s="55">
        <f t="shared" si="0"/>
        <v>2917.2413793103447</v>
      </c>
      <c r="H14" s="54">
        <v>6690</v>
      </c>
      <c r="I14" s="56">
        <f>ROUNDDOWN(H14/1.1,0)/E14</f>
        <v>209.68965517241378</v>
      </c>
      <c r="J14" s="57">
        <f t="shared" si="1"/>
        <v>99750</v>
      </c>
      <c r="K14" s="58">
        <f t="shared" si="2"/>
        <v>3439.655172413793</v>
      </c>
      <c r="L14" s="59"/>
      <c r="M14" s="60">
        <f t="shared" si="3"/>
        <v>10</v>
      </c>
      <c r="N14" s="61">
        <f t="shared" si="3"/>
        <v>86900</v>
      </c>
      <c r="O14" s="55">
        <f t="shared" si="4"/>
        <v>7900</v>
      </c>
      <c r="P14" s="61">
        <f t="shared" si="5"/>
        <v>18770</v>
      </c>
      <c r="Q14" s="56">
        <f t="shared" si="6"/>
        <v>1706.3</v>
      </c>
      <c r="R14" s="62">
        <f t="shared" si="7"/>
        <v>105670</v>
      </c>
      <c r="S14" s="58">
        <f t="shared" si="8"/>
        <v>10567</v>
      </c>
      <c r="T14" s="82">
        <f t="shared" si="9"/>
        <v>39</v>
      </c>
      <c r="U14" s="61">
        <f t="shared" si="9"/>
        <v>179960</v>
      </c>
      <c r="V14" s="61">
        <f t="shared" si="10"/>
        <v>25460</v>
      </c>
      <c r="W14" s="64">
        <f t="shared" si="11"/>
        <v>205420</v>
      </c>
      <c r="X14" s="83"/>
      <c r="Y14" s="65"/>
      <c r="Z14" s="66">
        <v>6</v>
      </c>
      <c r="AA14" s="66"/>
      <c r="AB14" s="54">
        <v>15000</v>
      </c>
      <c r="AC14" s="55">
        <f t="shared" si="12"/>
        <v>2500</v>
      </c>
      <c r="AD14" s="54">
        <v>1500</v>
      </c>
      <c r="AE14" s="56">
        <f t="shared" si="13"/>
        <v>250</v>
      </c>
      <c r="AF14" s="67">
        <f t="shared" si="14"/>
        <v>16500</v>
      </c>
      <c r="AG14" s="58">
        <f t="shared" si="15"/>
        <v>2750</v>
      </c>
      <c r="AH14" s="68"/>
      <c r="AI14" s="66"/>
      <c r="AJ14" s="54"/>
      <c r="AK14" s="55" t="e">
        <f t="shared" si="16"/>
        <v>#DIV/0!</v>
      </c>
      <c r="AL14" s="54"/>
      <c r="AM14" s="56" t="e">
        <f t="shared" si="17"/>
        <v>#DIV/0!</v>
      </c>
      <c r="AN14" s="67">
        <f t="shared" si="28"/>
        <v>0</v>
      </c>
      <c r="AO14" s="69" t="str">
        <f t="shared" si="18"/>
        <v/>
      </c>
      <c r="AP14" s="70"/>
      <c r="AQ14" s="66">
        <v>196</v>
      </c>
      <c r="AR14" s="54">
        <v>533400</v>
      </c>
      <c r="AS14" s="55">
        <f t="shared" si="19"/>
        <v>2721.4285714285716</v>
      </c>
      <c r="AT14" s="54">
        <v>318900</v>
      </c>
      <c r="AU14" s="56">
        <f t="shared" si="20"/>
        <v>1627.0408163265306</v>
      </c>
      <c r="AV14" s="56">
        <v>4400</v>
      </c>
      <c r="AW14" s="56"/>
      <c r="AX14" s="71">
        <f t="shared" si="31"/>
        <v>856700</v>
      </c>
      <c r="AY14" s="69">
        <f t="shared" si="21"/>
        <v>4370.9183673469388</v>
      </c>
      <c r="AZ14" s="84">
        <f t="shared" si="22"/>
        <v>39</v>
      </c>
      <c r="BA14" s="61">
        <f t="shared" si="23"/>
        <v>728360</v>
      </c>
      <c r="BB14" s="61">
        <f t="shared" si="24"/>
        <v>345860</v>
      </c>
      <c r="BC14" s="73">
        <f t="shared" ref="BC14:BC19" si="33">W14+AF14+AN14+AX14-BO14</f>
        <v>1078620</v>
      </c>
      <c r="BD14" s="74">
        <f t="shared" si="30"/>
        <v>3300</v>
      </c>
      <c r="BE14" s="75">
        <v>39</v>
      </c>
      <c r="BF14" s="76">
        <v>179960</v>
      </c>
      <c r="BG14" s="76">
        <v>25460</v>
      </c>
      <c r="BH14" s="77">
        <v>3300</v>
      </c>
      <c r="BI14" s="77"/>
      <c r="BJ14" s="77"/>
      <c r="BK14" s="77">
        <v>9900</v>
      </c>
      <c r="BL14" s="78">
        <f t="shared" si="29"/>
        <v>208720</v>
      </c>
      <c r="BM14" s="49">
        <v>10</v>
      </c>
      <c r="BN14" s="79">
        <f t="shared" si="25"/>
        <v>218620</v>
      </c>
    </row>
    <row r="15" spans="1:68" ht="20" customHeight="1">
      <c r="B15" s="80">
        <f t="shared" si="26"/>
        <v>45819</v>
      </c>
      <c r="C15" s="86"/>
      <c r="D15" s="52"/>
      <c r="E15" s="53">
        <v>15</v>
      </c>
      <c r="F15" s="54">
        <v>56760</v>
      </c>
      <c r="G15" s="55">
        <f t="shared" si="0"/>
        <v>3440</v>
      </c>
      <c r="H15" s="54">
        <v>6660</v>
      </c>
      <c r="I15" s="56">
        <f t="shared" si="27"/>
        <v>403.6</v>
      </c>
      <c r="J15" s="57">
        <f t="shared" si="1"/>
        <v>63420</v>
      </c>
      <c r="K15" s="58">
        <f t="shared" si="2"/>
        <v>4228</v>
      </c>
      <c r="L15" s="59"/>
      <c r="M15" s="60">
        <f t="shared" si="3"/>
        <v>8</v>
      </c>
      <c r="N15" s="61">
        <f t="shared" si="3"/>
        <v>86240</v>
      </c>
      <c r="O15" s="55">
        <f t="shared" si="4"/>
        <v>9800</v>
      </c>
      <c r="P15" s="61">
        <f t="shared" si="5"/>
        <v>8770</v>
      </c>
      <c r="Q15" s="56">
        <f t="shared" si="6"/>
        <v>996.5</v>
      </c>
      <c r="R15" s="62">
        <f t="shared" si="7"/>
        <v>95010</v>
      </c>
      <c r="S15" s="58">
        <f t="shared" si="8"/>
        <v>11876.25</v>
      </c>
      <c r="T15" s="82">
        <f t="shared" si="9"/>
        <v>23</v>
      </c>
      <c r="U15" s="61">
        <f t="shared" si="9"/>
        <v>143000</v>
      </c>
      <c r="V15" s="61">
        <f t="shared" si="10"/>
        <v>15430</v>
      </c>
      <c r="W15" s="64">
        <f t="shared" si="11"/>
        <v>158430</v>
      </c>
      <c r="X15" s="83"/>
      <c r="Y15" s="65"/>
      <c r="Z15" s="66">
        <v>6</v>
      </c>
      <c r="AA15" s="66"/>
      <c r="AB15" s="54">
        <v>15000</v>
      </c>
      <c r="AC15" s="55">
        <f t="shared" si="12"/>
        <v>2500</v>
      </c>
      <c r="AD15" s="54">
        <v>1500</v>
      </c>
      <c r="AE15" s="56">
        <f t="shared" si="13"/>
        <v>250</v>
      </c>
      <c r="AF15" s="67">
        <f t="shared" si="14"/>
        <v>16500</v>
      </c>
      <c r="AG15" s="58">
        <f t="shared" si="15"/>
        <v>2750</v>
      </c>
      <c r="AH15" s="68"/>
      <c r="AI15" s="66">
        <v>8</v>
      </c>
      <c r="AJ15" s="54"/>
      <c r="AK15" s="55">
        <f t="shared" si="16"/>
        <v>0</v>
      </c>
      <c r="AL15" s="54">
        <v>3828</v>
      </c>
      <c r="AM15" s="56">
        <f t="shared" si="17"/>
        <v>478.5</v>
      </c>
      <c r="AN15" s="67">
        <f t="shared" si="28"/>
        <v>3828</v>
      </c>
      <c r="AO15" s="69">
        <f t="shared" si="18"/>
        <v>478.5</v>
      </c>
      <c r="AP15" s="70"/>
      <c r="AQ15" s="66">
        <v>163</v>
      </c>
      <c r="AR15" s="54">
        <v>330850</v>
      </c>
      <c r="AS15" s="55">
        <f t="shared" si="19"/>
        <v>2029.7546012269938</v>
      </c>
      <c r="AT15" s="54">
        <v>211550</v>
      </c>
      <c r="AU15" s="56">
        <f t="shared" si="20"/>
        <v>1297.8527607361964</v>
      </c>
      <c r="AV15" s="56">
        <v>10450</v>
      </c>
      <c r="AW15" s="56"/>
      <c r="AX15" s="71">
        <f t="shared" si="31"/>
        <v>552850</v>
      </c>
      <c r="AY15" s="69">
        <f t="shared" si="21"/>
        <v>3391.717791411043</v>
      </c>
      <c r="AZ15" s="84">
        <f t="shared" si="22"/>
        <v>23</v>
      </c>
      <c r="BA15" s="61">
        <f t="shared" si="23"/>
        <v>488850</v>
      </c>
      <c r="BB15" s="61">
        <f t="shared" si="24"/>
        <v>232308</v>
      </c>
      <c r="BC15" s="73">
        <f t="shared" si="33"/>
        <v>731608</v>
      </c>
      <c r="BD15" s="74">
        <f t="shared" si="30"/>
        <v>0</v>
      </c>
      <c r="BE15" s="75">
        <v>23</v>
      </c>
      <c r="BF15" s="76">
        <v>143000</v>
      </c>
      <c r="BG15" s="76">
        <v>15430</v>
      </c>
      <c r="BH15" s="77"/>
      <c r="BI15" s="77"/>
      <c r="BJ15" s="77"/>
      <c r="BK15" s="77"/>
      <c r="BL15" s="78">
        <f t="shared" si="29"/>
        <v>158430</v>
      </c>
      <c r="BM15" s="49">
        <v>11</v>
      </c>
      <c r="BN15" s="79">
        <f t="shared" si="25"/>
        <v>158430</v>
      </c>
    </row>
    <row r="16" spans="1:68" ht="20" customHeight="1">
      <c r="B16" s="80">
        <f t="shared" si="26"/>
        <v>45820</v>
      </c>
      <c r="C16" s="81"/>
      <c r="D16" s="52"/>
      <c r="E16" s="53">
        <v>24</v>
      </c>
      <c r="F16" s="54">
        <v>110000</v>
      </c>
      <c r="G16" s="55">
        <f t="shared" si="0"/>
        <v>4166.666666666667</v>
      </c>
      <c r="H16" s="54">
        <v>15910</v>
      </c>
      <c r="I16" s="56">
        <f t="shared" si="27"/>
        <v>602.625</v>
      </c>
      <c r="J16" s="57">
        <f t="shared" si="1"/>
        <v>125910</v>
      </c>
      <c r="K16" s="58">
        <f t="shared" si="2"/>
        <v>5246.25</v>
      </c>
      <c r="L16" s="59"/>
      <c r="M16" s="60">
        <f t="shared" si="3"/>
        <v>10</v>
      </c>
      <c r="N16" s="61">
        <f t="shared" si="3"/>
        <v>77330</v>
      </c>
      <c r="O16" s="55">
        <f t="shared" si="4"/>
        <v>7030</v>
      </c>
      <c r="P16" s="61">
        <f t="shared" si="5"/>
        <v>29150</v>
      </c>
      <c r="Q16" s="56">
        <f t="shared" si="6"/>
        <v>2650</v>
      </c>
      <c r="R16" s="62">
        <f t="shared" si="7"/>
        <v>106480</v>
      </c>
      <c r="S16" s="58">
        <f t="shared" si="8"/>
        <v>10648</v>
      </c>
      <c r="T16" s="82">
        <f t="shared" si="9"/>
        <v>34</v>
      </c>
      <c r="U16" s="61">
        <f t="shared" si="9"/>
        <v>187330</v>
      </c>
      <c r="V16" s="61">
        <f t="shared" si="10"/>
        <v>45060</v>
      </c>
      <c r="W16" s="64">
        <f t="shared" si="11"/>
        <v>232390</v>
      </c>
      <c r="X16" s="83"/>
      <c r="Y16" s="65"/>
      <c r="Z16" s="66">
        <v>6</v>
      </c>
      <c r="AA16" s="66"/>
      <c r="AB16" s="54">
        <v>17000</v>
      </c>
      <c r="AC16" s="55">
        <f t="shared" si="12"/>
        <v>2833.3333333333335</v>
      </c>
      <c r="AD16" s="54">
        <v>1500</v>
      </c>
      <c r="AE16" s="56">
        <f t="shared" si="13"/>
        <v>250</v>
      </c>
      <c r="AF16" s="67">
        <f t="shared" si="14"/>
        <v>18500</v>
      </c>
      <c r="AG16" s="58">
        <f t="shared" si="15"/>
        <v>3083.3333333333335</v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8"/>
        <v>0</v>
      </c>
      <c r="AO16" s="69" t="str">
        <f t="shared" si="18"/>
        <v/>
      </c>
      <c r="AP16" s="70"/>
      <c r="AQ16" s="66">
        <v>100</v>
      </c>
      <c r="AR16" s="54">
        <v>272800</v>
      </c>
      <c r="AS16" s="55">
        <f t="shared" si="19"/>
        <v>2728</v>
      </c>
      <c r="AT16" s="54">
        <v>151850</v>
      </c>
      <c r="AU16" s="56">
        <f t="shared" si="20"/>
        <v>1518.5</v>
      </c>
      <c r="AV16" s="56">
        <v>8360</v>
      </c>
      <c r="AW16" s="56"/>
      <c r="AX16" s="71">
        <f t="shared" si="31"/>
        <v>433010</v>
      </c>
      <c r="AY16" s="69">
        <f t="shared" si="21"/>
        <v>4330.1000000000004</v>
      </c>
      <c r="AZ16" s="84">
        <f t="shared" si="22"/>
        <v>34</v>
      </c>
      <c r="BA16" s="61">
        <f t="shared" si="23"/>
        <v>477130</v>
      </c>
      <c r="BB16" s="61">
        <f t="shared" si="24"/>
        <v>198410</v>
      </c>
      <c r="BC16" s="73">
        <f t="shared" si="33"/>
        <v>682800</v>
      </c>
      <c r="BD16" s="74">
        <f t="shared" si="30"/>
        <v>3850</v>
      </c>
      <c r="BE16" s="75">
        <v>34</v>
      </c>
      <c r="BF16" s="76">
        <v>187330</v>
      </c>
      <c r="BG16" s="76">
        <v>45060</v>
      </c>
      <c r="BH16" s="77">
        <v>3850</v>
      </c>
      <c r="BI16" s="77"/>
      <c r="BJ16" s="77"/>
      <c r="BK16" s="77"/>
      <c r="BL16" s="78">
        <f t="shared" si="29"/>
        <v>236240</v>
      </c>
      <c r="BM16" s="49">
        <v>12</v>
      </c>
      <c r="BN16" s="79">
        <f t="shared" si="25"/>
        <v>236240</v>
      </c>
      <c r="BO16" s="49">
        <v>1100</v>
      </c>
    </row>
    <row r="17" spans="2:68" ht="20" customHeight="1">
      <c r="B17" s="80">
        <f t="shared" si="26"/>
        <v>45821</v>
      </c>
      <c r="C17" s="86"/>
      <c r="D17" s="52"/>
      <c r="E17" s="53">
        <v>22</v>
      </c>
      <c r="F17" s="54">
        <v>79090</v>
      </c>
      <c r="G17" s="55">
        <f t="shared" si="0"/>
        <v>3268.181818181818</v>
      </c>
      <c r="H17" s="54">
        <v>11780</v>
      </c>
      <c r="I17" s="56">
        <f t="shared" si="27"/>
        <v>486.77272727272725</v>
      </c>
      <c r="J17" s="57">
        <f t="shared" si="1"/>
        <v>90870</v>
      </c>
      <c r="K17" s="58">
        <f t="shared" si="2"/>
        <v>4130.454545454545</v>
      </c>
      <c r="L17" s="59"/>
      <c r="M17" s="60">
        <f t="shared" si="3"/>
        <v>10</v>
      </c>
      <c r="N17" s="61">
        <f t="shared" si="3"/>
        <v>99440</v>
      </c>
      <c r="O17" s="55">
        <f t="shared" si="4"/>
        <v>9040</v>
      </c>
      <c r="P17" s="61">
        <f t="shared" si="5"/>
        <v>22180</v>
      </c>
      <c r="Q17" s="56">
        <f t="shared" si="6"/>
        <v>2016.3</v>
      </c>
      <c r="R17" s="62">
        <f t="shared" si="7"/>
        <v>121620</v>
      </c>
      <c r="S17" s="58">
        <f t="shared" si="8"/>
        <v>12162</v>
      </c>
      <c r="T17" s="82">
        <f>E17+M17</f>
        <v>32</v>
      </c>
      <c r="U17" s="61">
        <f t="shared" si="9"/>
        <v>178530</v>
      </c>
      <c r="V17" s="61">
        <f t="shared" si="10"/>
        <v>33960</v>
      </c>
      <c r="W17" s="64">
        <f t="shared" si="11"/>
        <v>212490</v>
      </c>
      <c r="X17" s="83"/>
      <c r="Y17" s="65"/>
      <c r="Z17" s="66">
        <v>6</v>
      </c>
      <c r="AA17" s="66"/>
      <c r="AB17" s="54">
        <v>15000</v>
      </c>
      <c r="AC17" s="55">
        <f t="shared" si="12"/>
        <v>2500</v>
      </c>
      <c r="AD17" s="54">
        <v>1500</v>
      </c>
      <c r="AE17" s="56">
        <f t="shared" si="13"/>
        <v>250</v>
      </c>
      <c r="AF17" s="67">
        <f t="shared" si="14"/>
        <v>16500</v>
      </c>
      <c r="AG17" s="58">
        <f t="shared" si="15"/>
        <v>2750</v>
      </c>
      <c r="AH17" s="68"/>
      <c r="AI17" s="66">
        <v>27</v>
      </c>
      <c r="AJ17" s="54">
        <v>105705</v>
      </c>
      <c r="AK17" s="55">
        <f>AJ17/AI17</f>
        <v>3915</v>
      </c>
      <c r="AL17" s="54">
        <v>35235</v>
      </c>
      <c r="AM17" s="56">
        <f>AL17/AI17</f>
        <v>1305</v>
      </c>
      <c r="AN17" s="67">
        <f>AJ17+AL17</f>
        <v>140940</v>
      </c>
      <c r="AO17" s="69">
        <f>IF(AI17="","",AN17/AI17)</f>
        <v>5220</v>
      </c>
      <c r="AP17" s="70"/>
      <c r="AQ17" s="66">
        <v>275</v>
      </c>
      <c r="AR17" s="54">
        <v>765600</v>
      </c>
      <c r="AS17" s="55">
        <f t="shared" si="19"/>
        <v>2784</v>
      </c>
      <c r="AT17" s="54">
        <v>432800</v>
      </c>
      <c r="AU17" s="56">
        <f t="shared" si="20"/>
        <v>1573.8181818181818</v>
      </c>
      <c r="AV17" s="56">
        <v>4290</v>
      </c>
      <c r="AW17" s="56"/>
      <c r="AX17" s="71">
        <f>AR17+AT17+AV17+AW17-BP17</f>
        <v>1202210</v>
      </c>
      <c r="AY17" s="69">
        <f t="shared" si="21"/>
        <v>4371.6727272727276</v>
      </c>
      <c r="AZ17" s="84">
        <f t="shared" si="22"/>
        <v>32</v>
      </c>
      <c r="BA17" s="61">
        <f>U17+AB17+AJ17+AR17</f>
        <v>1064835</v>
      </c>
      <c r="BB17" s="61">
        <f t="shared" si="24"/>
        <v>503495</v>
      </c>
      <c r="BC17" s="73">
        <f t="shared" si="33"/>
        <v>1572140</v>
      </c>
      <c r="BD17" s="74">
        <f t="shared" si="30"/>
        <v>5500</v>
      </c>
      <c r="BE17" s="75">
        <v>32</v>
      </c>
      <c r="BF17" s="76">
        <v>178530</v>
      </c>
      <c r="BG17" s="76">
        <v>33960</v>
      </c>
      <c r="BH17" s="77">
        <v>5500</v>
      </c>
      <c r="BI17" s="77"/>
      <c r="BJ17" s="77"/>
      <c r="BK17" s="77"/>
      <c r="BL17" s="78">
        <f t="shared" si="29"/>
        <v>217990</v>
      </c>
      <c r="BM17" s="49">
        <v>13</v>
      </c>
      <c r="BN17" s="79">
        <f t="shared" si="25"/>
        <v>217990</v>
      </c>
      <c r="BP17" s="49">
        <v>480</v>
      </c>
    </row>
    <row r="18" spans="2:68" ht="20" customHeight="1">
      <c r="B18" s="80">
        <f t="shared" si="26"/>
        <v>45822</v>
      </c>
      <c r="C18" s="81"/>
      <c r="D18" s="52"/>
      <c r="E18" s="53">
        <v>35</v>
      </c>
      <c r="F18" s="54">
        <v>150920</v>
      </c>
      <c r="G18" s="55">
        <f t="shared" si="0"/>
        <v>3920</v>
      </c>
      <c r="H18" s="54">
        <v>40140</v>
      </c>
      <c r="I18" s="56">
        <f t="shared" si="27"/>
        <v>1042.5714285714287</v>
      </c>
      <c r="J18" s="57">
        <f t="shared" si="1"/>
        <v>191060</v>
      </c>
      <c r="K18" s="58">
        <f t="shared" si="2"/>
        <v>5458.8571428571431</v>
      </c>
      <c r="L18" s="59"/>
      <c r="M18" s="60">
        <f t="shared" si="3"/>
        <v>32</v>
      </c>
      <c r="N18" s="61">
        <f t="shared" si="3"/>
        <v>308550</v>
      </c>
      <c r="O18" s="55">
        <f t="shared" si="4"/>
        <v>8765.625</v>
      </c>
      <c r="P18" s="61">
        <f t="shared" si="5"/>
        <v>56450</v>
      </c>
      <c r="Q18" s="56">
        <f t="shared" si="6"/>
        <v>1603.6875</v>
      </c>
      <c r="R18" s="62">
        <f t="shared" si="7"/>
        <v>365000</v>
      </c>
      <c r="S18" s="58">
        <f t="shared" si="8"/>
        <v>11406.25</v>
      </c>
      <c r="T18" s="82">
        <f t="shared" si="9"/>
        <v>67</v>
      </c>
      <c r="U18" s="61">
        <f t="shared" si="9"/>
        <v>459470</v>
      </c>
      <c r="V18" s="61">
        <f t="shared" si="10"/>
        <v>96590</v>
      </c>
      <c r="W18" s="64">
        <f t="shared" si="11"/>
        <v>556060</v>
      </c>
      <c r="X18" s="83"/>
      <c r="Y18" s="65"/>
      <c r="Z18" s="66">
        <v>6</v>
      </c>
      <c r="AA18" s="66"/>
      <c r="AB18" s="54">
        <v>15000</v>
      </c>
      <c r="AC18" s="55">
        <f t="shared" si="12"/>
        <v>2500</v>
      </c>
      <c r="AD18" s="54">
        <v>1500</v>
      </c>
      <c r="AE18" s="56">
        <f t="shared" si="13"/>
        <v>250</v>
      </c>
      <c r="AF18" s="67">
        <f t="shared" si="14"/>
        <v>16500</v>
      </c>
      <c r="AG18" s="58">
        <f t="shared" si="15"/>
        <v>2750</v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8"/>
        <v>0</v>
      </c>
      <c r="AO18" s="69" t="str">
        <f t="shared" si="18"/>
        <v/>
      </c>
      <c r="AP18" s="70"/>
      <c r="AQ18" s="66">
        <v>425</v>
      </c>
      <c r="AR18" s="54">
        <v>1108600</v>
      </c>
      <c r="AS18" s="55">
        <f t="shared" si="19"/>
        <v>2608.4705882352941</v>
      </c>
      <c r="AT18" s="54">
        <v>661400</v>
      </c>
      <c r="AU18" s="56">
        <f t="shared" si="20"/>
        <v>1556.2352941176471</v>
      </c>
      <c r="AV18" s="56">
        <v>13530</v>
      </c>
      <c r="AW18" s="56"/>
      <c r="AX18" s="71">
        <f t="shared" ref="AX18:AX35" si="34">AR18+AT18+AV18+AW18</f>
        <v>1783530</v>
      </c>
      <c r="AY18" s="69">
        <f t="shared" si="21"/>
        <v>4196.5411764705887</v>
      </c>
      <c r="AZ18" s="84">
        <f t="shared" si="22"/>
        <v>67</v>
      </c>
      <c r="BA18" s="61">
        <f t="shared" si="23"/>
        <v>1583070</v>
      </c>
      <c r="BB18" s="61">
        <f t="shared" si="24"/>
        <v>759490</v>
      </c>
      <c r="BC18" s="73">
        <f t="shared" si="33"/>
        <v>2356090</v>
      </c>
      <c r="BD18" s="74">
        <f t="shared" si="30"/>
        <v>13200</v>
      </c>
      <c r="BE18" s="75">
        <v>67</v>
      </c>
      <c r="BF18" s="76">
        <v>459470</v>
      </c>
      <c r="BG18" s="76">
        <v>96590</v>
      </c>
      <c r="BH18" s="77">
        <v>13200</v>
      </c>
      <c r="BI18" s="77"/>
      <c r="BJ18" s="77"/>
      <c r="BK18" s="77"/>
      <c r="BL18" s="78">
        <f t="shared" si="29"/>
        <v>569260</v>
      </c>
      <c r="BM18" s="49">
        <v>14</v>
      </c>
      <c r="BN18" s="79">
        <f t="shared" si="25"/>
        <v>569260</v>
      </c>
    </row>
    <row r="19" spans="2:68" ht="20" customHeight="1">
      <c r="B19" s="80">
        <f t="shared" si="26"/>
        <v>45823</v>
      </c>
      <c r="C19" s="81"/>
      <c r="D19" s="52"/>
      <c r="E19" s="53">
        <v>26</v>
      </c>
      <c r="F19" s="54">
        <v>120120</v>
      </c>
      <c r="G19" s="55">
        <f t="shared" si="0"/>
        <v>4200</v>
      </c>
      <c r="H19" s="54">
        <v>17070</v>
      </c>
      <c r="I19" s="56">
        <f t="shared" si="27"/>
        <v>596.84615384615381</v>
      </c>
      <c r="J19" s="57">
        <f t="shared" si="1"/>
        <v>137190</v>
      </c>
      <c r="K19" s="58">
        <f t="shared" si="2"/>
        <v>5276.5384615384619</v>
      </c>
      <c r="L19" s="59"/>
      <c r="M19" s="60">
        <f t="shared" si="3"/>
        <v>21</v>
      </c>
      <c r="N19" s="61">
        <f t="shared" si="3"/>
        <v>232870</v>
      </c>
      <c r="O19" s="55">
        <f t="shared" si="4"/>
        <v>10080.952380952382</v>
      </c>
      <c r="P19" s="61">
        <f t="shared" si="5"/>
        <v>42640</v>
      </c>
      <c r="Q19" s="87">
        <f t="shared" si="6"/>
        <v>1845.8571428571429</v>
      </c>
      <c r="R19" s="62">
        <f t="shared" si="7"/>
        <v>275510</v>
      </c>
      <c r="S19" s="58">
        <f t="shared" si="8"/>
        <v>13119.523809523809</v>
      </c>
      <c r="T19" s="82">
        <f t="shared" si="9"/>
        <v>47</v>
      </c>
      <c r="U19" s="61">
        <f t="shared" si="9"/>
        <v>352990</v>
      </c>
      <c r="V19" s="61">
        <f t="shared" si="10"/>
        <v>59710</v>
      </c>
      <c r="W19" s="64">
        <f t="shared" si="11"/>
        <v>412700</v>
      </c>
      <c r="X19" s="83"/>
      <c r="Y19" s="65"/>
      <c r="Z19" s="66">
        <v>6</v>
      </c>
      <c r="AA19" s="66"/>
      <c r="AB19" s="54">
        <v>15450</v>
      </c>
      <c r="AC19" s="55">
        <f t="shared" si="12"/>
        <v>2575</v>
      </c>
      <c r="AD19" s="54">
        <v>1500</v>
      </c>
      <c r="AE19" s="56">
        <f t="shared" si="13"/>
        <v>250</v>
      </c>
      <c r="AF19" s="67">
        <f t="shared" si="14"/>
        <v>16950</v>
      </c>
      <c r="AG19" s="58">
        <f t="shared" si="15"/>
        <v>2825</v>
      </c>
      <c r="AH19" s="68"/>
      <c r="AI19" s="66"/>
      <c r="AJ19" s="54"/>
      <c r="AK19" s="55" t="e">
        <f t="shared" si="16"/>
        <v>#DIV/0!</v>
      </c>
      <c r="AL19" s="54"/>
      <c r="AM19" s="56" t="e">
        <f t="shared" si="17"/>
        <v>#DIV/0!</v>
      </c>
      <c r="AN19" s="67">
        <f t="shared" si="28"/>
        <v>0</v>
      </c>
      <c r="AO19" s="69" t="str">
        <f t="shared" si="18"/>
        <v/>
      </c>
      <c r="AP19" s="70"/>
      <c r="AQ19" s="66">
        <v>251</v>
      </c>
      <c r="AR19" s="54">
        <v>683700</v>
      </c>
      <c r="AS19" s="55">
        <f t="shared" si="19"/>
        <v>2723.9043824701193</v>
      </c>
      <c r="AT19" s="54">
        <v>392400</v>
      </c>
      <c r="AU19" s="56">
        <f t="shared" si="20"/>
        <v>1563.3466135458168</v>
      </c>
      <c r="AV19" s="56">
        <v>23870</v>
      </c>
      <c r="AW19" s="56"/>
      <c r="AX19" s="71">
        <f>AR19+AT19+AV19+AW19-BP19</f>
        <v>1098390</v>
      </c>
      <c r="AY19" s="69">
        <f t="shared" si="21"/>
        <v>4376.05577689243</v>
      </c>
      <c r="AZ19" s="84">
        <f t="shared" si="22"/>
        <v>47</v>
      </c>
      <c r="BA19" s="61">
        <f t="shared" si="23"/>
        <v>1052140</v>
      </c>
      <c r="BB19" s="61">
        <f t="shared" si="24"/>
        <v>453610</v>
      </c>
      <c r="BC19" s="73">
        <f t="shared" si="33"/>
        <v>1528040</v>
      </c>
      <c r="BD19" s="74">
        <f t="shared" si="30"/>
        <v>3300</v>
      </c>
      <c r="BE19" s="75">
        <v>47</v>
      </c>
      <c r="BF19" s="76">
        <v>352990</v>
      </c>
      <c r="BG19" s="76">
        <v>59710</v>
      </c>
      <c r="BH19" s="77">
        <v>2200</v>
      </c>
      <c r="BI19" s="77">
        <v>1100</v>
      </c>
      <c r="BJ19" s="77">
        <v>3300</v>
      </c>
      <c r="BK19" s="77"/>
      <c r="BL19" s="78">
        <f t="shared" si="29"/>
        <v>416000</v>
      </c>
      <c r="BM19" s="49">
        <v>15</v>
      </c>
      <c r="BN19" s="79">
        <f t="shared" si="25"/>
        <v>416000</v>
      </c>
      <c r="BP19" s="49">
        <v>1580</v>
      </c>
    </row>
    <row r="20" spans="2:68" ht="20" customHeight="1">
      <c r="B20" s="80">
        <f t="shared" si="26"/>
        <v>45824</v>
      </c>
      <c r="C20" s="81"/>
      <c r="D20" s="52"/>
      <c r="E20" s="53">
        <v>27</v>
      </c>
      <c r="F20" s="54">
        <v>110200</v>
      </c>
      <c r="G20" s="55">
        <f t="shared" si="0"/>
        <v>3710.4074074074074</v>
      </c>
      <c r="H20" s="54">
        <v>25310</v>
      </c>
      <c r="I20" s="56">
        <f t="shared" si="27"/>
        <v>852.18518518518522</v>
      </c>
      <c r="J20" s="57">
        <f t="shared" si="1"/>
        <v>135510</v>
      </c>
      <c r="K20" s="58">
        <f t="shared" si="2"/>
        <v>5018.8888888888887</v>
      </c>
      <c r="L20" s="59"/>
      <c r="M20" s="60">
        <f t="shared" si="3"/>
        <v>19</v>
      </c>
      <c r="N20" s="61">
        <f t="shared" si="3"/>
        <v>178010</v>
      </c>
      <c r="O20" s="55">
        <f t="shared" si="4"/>
        <v>8517.21052631579</v>
      </c>
      <c r="P20" s="61">
        <f t="shared" si="5"/>
        <v>48930</v>
      </c>
      <c r="Q20" s="87">
        <f t="shared" si="6"/>
        <v>2341.1052631578946</v>
      </c>
      <c r="R20" s="62">
        <f t="shared" si="7"/>
        <v>226940</v>
      </c>
      <c r="S20" s="58">
        <f t="shared" si="8"/>
        <v>11944.21052631579</v>
      </c>
      <c r="T20" s="82">
        <f t="shared" si="9"/>
        <v>46</v>
      </c>
      <c r="U20" s="61">
        <f t="shared" si="9"/>
        <v>288210</v>
      </c>
      <c r="V20" s="61">
        <f t="shared" si="10"/>
        <v>74240</v>
      </c>
      <c r="W20" s="64">
        <f t="shared" si="11"/>
        <v>362450</v>
      </c>
      <c r="X20" s="83"/>
      <c r="Y20" s="65"/>
      <c r="Z20" s="66">
        <v>6</v>
      </c>
      <c r="AA20" s="66"/>
      <c r="AB20" s="54">
        <v>15000</v>
      </c>
      <c r="AC20" s="55">
        <f t="shared" si="12"/>
        <v>2500</v>
      </c>
      <c r="AD20" s="54">
        <v>1500</v>
      </c>
      <c r="AE20" s="56">
        <f t="shared" si="13"/>
        <v>250</v>
      </c>
      <c r="AF20" s="67">
        <f t="shared" si="14"/>
        <v>16500</v>
      </c>
      <c r="AG20" s="58">
        <f t="shared" si="15"/>
        <v>2750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>
        <v>281</v>
      </c>
      <c r="AR20" s="54">
        <v>668450</v>
      </c>
      <c r="AS20" s="55">
        <f t="shared" si="19"/>
        <v>2378.8256227758006</v>
      </c>
      <c r="AT20" s="54">
        <v>242750</v>
      </c>
      <c r="AU20" s="56">
        <f t="shared" si="20"/>
        <v>863.87900355871886</v>
      </c>
      <c r="AV20" s="56"/>
      <c r="AW20" s="56"/>
      <c r="AX20" s="71">
        <f t="shared" si="34"/>
        <v>911200</v>
      </c>
      <c r="AY20" s="69">
        <f t="shared" si="21"/>
        <v>3242.7046263345196</v>
      </c>
      <c r="AZ20" s="84">
        <f t="shared" si="22"/>
        <v>46</v>
      </c>
      <c r="BA20" s="61">
        <f t="shared" si="23"/>
        <v>971660</v>
      </c>
      <c r="BB20" s="61">
        <f t="shared" si="24"/>
        <v>318490</v>
      </c>
      <c r="BC20" s="73">
        <f>W20+AF20+AN20+AX20</f>
        <v>1290150</v>
      </c>
      <c r="BD20" s="74">
        <f t="shared" si="30"/>
        <v>8800</v>
      </c>
      <c r="BE20" s="75">
        <v>46</v>
      </c>
      <c r="BF20" s="76">
        <v>288210</v>
      </c>
      <c r="BG20" s="76">
        <v>74240</v>
      </c>
      <c r="BH20" s="77">
        <v>8800</v>
      </c>
      <c r="BI20" s="77"/>
      <c r="BJ20" s="77"/>
      <c r="BK20" s="77"/>
      <c r="BL20" s="78">
        <f t="shared" si="29"/>
        <v>371250</v>
      </c>
      <c r="BM20" s="49">
        <v>16</v>
      </c>
      <c r="BN20" s="79">
        <f t="shared" si="25"/>
        <v>371250</v>
      </c>
    </row>
    <row r="21" spans="2:68" ht="20" customHeight="1">
      <c r="B21" s="80">
        <f t="shared" si="26"/>
        <v>45825</v>
      </c>
      <c r="C21" s="81"/>
      <c r="D21" s="52"/>
      <c r="E21" s="53">
        <v>24</v>
      </c>
      <c r="F21" s="54">
        <v>94270</v>
      </c>
      <c r="G21" s="55">
        <f>ROUNDDOWN(F21/1.1,0)/E21</f>
        <v>3570.8333333333335</v>
      </c>
      <c r="H21" s="54">
        <v>17520</v>
      </c>
      <c r="I21" s="56">
        <f t="shared" si="27"/>
        <v>663.625</v>
      </c>
      <c r="J21" s="57">
        <f t="shared" si="1"/>
        <v>111790</v>
      </c>
      <c r="K21" s="58">
        <f t="shared" si="2"/>
        <v>4657.916666666667</v>
      </c>
      <c r="L21" s="59"/>
      <c r="M21" s="60">
        <f t="shared" si="3"/>
        <v>4</v>
      </c>
      <c r="N21" s="61">
        <f t="shared" si="3"/>
        <v>33330</v>
      </c>
      <c r="O21" s="55">
        <f t="shared" si="4"/>
        <v>7575</v>
      </c>
      <c r="P21" s="61">
        <f t="shared" si="5"/>
        <v>6450</v>
      </c>
      <c r="Q21" s="87">
        <f t="shared" si="6"/>
        <v>1465.75</v>
      </c>
      <c r="R21" s="62">
        <f>N21+P21</f>
        <v>39780</v>
      </c>
      <c r="S21" s="58">
        <f t="shared" si="8"/>
        <v>9945</v>
      </c>
      <c r="T21" s="82">
        <f t="shared" si="9"/>
        <v>28</v>
      </c>
      <c r="U21" s="61">
        <f t="shared" si="9"/>
        <v>127600</v>
      </c>
      <c r="V21" s="61">
        <f t="shared" si="10"/>
        <v>23970</v>
      </c>
      <c r="W21" s="64">
        <f t="shared" si="11"/>
        <v>151570</v>
      </c>
      <c r="X21" s="83"/>
      <c r="Y21" s="65"/>
      <c r="Z21" s="66">
        <v>4</v>
      </c>
      <c r="AA21" s="66"/>
      <c r="AB21" s="54">
        <v>10000</v>
      </c>
      <c r="AC21" s="55">
        <f t="shared" si="12"/>
        <v>2500</v>
      </c>
      <c r="AD21" s="54">
        <v>7600</v>
      </c>
      <c r="AE21" s="56">
        <f t="shared" si="13"/>
        <v>1900</v>
      </c>
      <c r="AF21" s="67">
        <f t="shared" si="14"/>
        <v>17600</v>
      </c>
      <c r="AG21" s="58">
        <f t="shared" si="15"/>
        <v>4400</v>
      </c>
      <c r="AH21" s="68"/>
      <c r="AI21" s="66">
        <v>68</v>
      </c>
      <c r="AJ21" s="54">
        <v>266220</v>
      </c>
      <c r="AK21" s="55">
        <f t="shared" si="16"/>
        <v>3915</v>
      </c>
      <c r="AL21" s="54">
        <v>88740</v>
      </c>
      <c r="AM21" s="56">
        <f t="shared" si="17"/>
        <v>1305</v>
      </c>
      <c r="AN21" s="67">
        <f t="shared" si="28"/>
        <v>354960</v>
      </c>
      <c r="AO21" s="69">
        <f t="shared" si="18"/>
        <v>5220</v>
      </c>
      <c r="AP21" s="70"/>
      <c r="AQ21" s="66">
        <v>248</v>
      </c>
      <c r="AR21" s="54">
        <v>625450</v>
      </c>
      <c r="AS21" s="55">
        <f t="shared" si="19"/>
        <v>2521.9758064516127</v>
      </c>
      <c r="AT21" s="54">
        <v>391050</v>
      </c>
      <c r="AU21" s="56">
        <f t="shared" si="20"/>
        <v>1576.8145161290322</v>
      </c>
      <c r="AV21" s="56">
        <v>5060</v>
      </c>
      <c r="AW21" s="56">
        <v>2970</v>
      </c>
      <c r="AX21" s="71">
        <f t="shared" si="34"/>
        <v>1024530</v>
      </c>
      <c r="AY21" s="69">
        <f t="shared" si="21"/>
        <v>4131.1693548387093</v>
      </c>
      <c r="AZ21" s="84">
        <f t="shared" si="22"/>
        <v>28</v>
      </c>
      <c r="BA21" s="61">
        <f t="shared" si="23"/>
        <v>1029270</v>
      </c>
      <c r="BB21" s="61">
        <f t="shared" si="24"/>
        <v>511360</v>
      </c>
      <c r="BC21" s="73">
        <f>W21+AF21+AN21+AX21-BO21</f>
        <v>1548660</v>
      </c>
      <c r="BD21" s="74">
        <f t="shared" si="30"/>
        <v>2200</v>
      </c>
      <c r="BE21" s="75">
        <v>28</v>
      </c>
      <c r="BF21" s="76">
        <v>127600</v>
      </c>
      <c r="BG21" s="76">
        <v>23970</v>
      </c>
      <c r="BH21" s="77">
        <v>2200</v>
      </c>
      <c r="BI21" s="77"/>
      <c r="BJ21" s="77"/>
      <c r="BK21" s="77"/>
      <c r="BL21" s="78">
        <f t="shared" si="29"/>
        <v>153770</v>
      </c>
      <c r="BM21" s="49">
        <v>17</v>
      </c>
      <c r="BN21" s="79">
        <f t="shared" si="25"/>
        <v>153770</v>
      </c>
    </row>
    <row r="22" spans="2:68" ht="20" customHeight="1">
      <c r="B22" s="80">
        <f t="shared" si="26"/>
        <v>45826</v>
      </c>
      <c r="C22" s="81"/>
      <c r="D22" s="52"/>
      <c r="E22" s="53">
        <v>24</v>
      </c>
      <c r="F22" s="54">
        <v>84480</v>
      </c>
      <c r="G22" s="55">
        <f t="shared" si="0"/>
        <v>3200</v>
      </c>
      <c r="H22" s="54">
        <v>11100</v>
      </c>
      <c r="I22" s="56">
        <f t="shared" si="27"/>
        <v>420.41666666666669</v>
      </c>
      <c r="J22" s="57">
        <f t="shared" si="1"/>
        <v>95580</v>
      </c>
      <c r="K22" s="58">
        <f t="shared" si="2"/>
        <v>3982.5</v>
      </c>
      <c r="L22" s="59"/>
      <c r="M22" s="60">
        <f>BE22-E22</f>
        <v>37</v>
      </c>
      <c r="N22" s="61">
        <f t="shared" si="3"/>
        <v>267080</v>
      </c>
      <c r="O22" s="55">
        <f t="shared" si="4"/>
        <v>6562.1621621621625</v>
      </c>
      <c r="P22" s="61">
        <f t="shared" si="5"/>
        <v>87010</v>
      </c>
      <c r="Q22" s="87">
        <f t="shared" si="6"/>
        <v>2137.8378378378379</v>
      </c>
      <c r="R22" s="62">
        <f t="shared" si="7"/>
        <v>354090</v>
      </c>
      <c r="S22" s="58">
        <f t="shared" si="8"/>
        <v>9570</v>
      </c>
      <c r="T22" s="82">
        <f t="shared" si="9"/>
        <v>61</v>
      </c>
      <c r="U22" s="61">
        <f t="shared" si="9"/>
        <v>351560</v>
      </c>
      <c r="V22" s="61">
        <f t="shared" si="10"/>
        <v>98110</v>
      </c>
      <c r="W22" s="64">
        <f t="shared" si="11"/>
        <v>449670</v>
      </c>
      <c r="X22" s="83"/>
      <c r="Y22" s="65"/>
      <c r="Z22" s="66">
        <v>6</v>
      </c>
      <c r="AA22" s="66"/>
      <c r="AB22" s="54">
        <v>15000</v>
      </c>
      <c r="AC22" s="55">
        <f t="shared" si="12"/>
        <v>2500</v>
      </c>
      <c r="AD22" s="54">
        <v>1500</v>
      </c>
      <c r="AE22" s="56">
        <f t="shared" si="13"/>
        <v>250</v>
      </c>
      <c r="AF22" s="67">
        <f t="shared" si="14"/>
        <v>16500</v>
      </c>
      <c r="AG22" s="58">
        <f t="shared" si="15"/>
        <v>2750</v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8"/>
        <v>0</v>
      </c>
      <c r="AO22" s="69" t="str">
        <f t="shared" si="18"/>
        <v/>
      </c>
      <c r="AP22" s="70"/>
      <c r="AQ22" s="66">
        <v>368</v>
      </c>
      <c r="AR22" s="54">
        <v>914350</v>
      </c>
      <c r="AS22" s="55">
        <f t="shared" si="19"/>
        <v>2484.646739130435</v>
      </c>
      <c r="AT22" s="54">
        <v>566500</v>
      </c>
      <c r="AU22" s="56">
        <f t="shared" si="20"/>
        <v>1539.4021739130435</v>
      </c>
      <c r="AV22" s="56">
        <v>8250</v>
      </c>
      <c r="AW22" s="56"/>
      <c r="AX22" s="71">
        <f t="shared" si="34"/>
        <v>1489100</v>
      </c>
      <c r="AY22" s="69">
        <f t="shared" si="21"/>
        <v>4046.467391304348</v>
      </c>
      <c r="AZ22" s="84">
        <f t="shared" si="22"/>
        <v>61</v>
      </c>
      <c r="BA22" s="61">
        <f>U22+AB22+AJ22+AR22</f>
        <v>1280910</v>
      </c>
      <c r="BB22" s="61">
        <f t="shared" si="24"/>
        <v>666110</v>
      </c>
      <c r="BC22" s="73">
        <f>W22+AF22+AN22+AX22-BO22</f>
        <v>1953862</v>
      </c>
      <c r="BD22" s="74">
        <f t="shared" si="30"/>
        <v>3300</v>
      </c>
      <c r="BE22" s="75">
        <v>61</v>
      </c>
      <c r="BF22" s="76">
        <v>351560</v>
      </c>
      <c r="BG22" s="76">
        <v>98110</v>
      </c>
      <c r="BH22" s="77">
        <v>3300</v>
      </c>
      <c r="BI22" s="77"/>
      <c r="BJ22" s="77"/>
      <c r="BK22" s="77"/>
      <c r="BL22" s="78">
        <f t="shared" si="29"/>
        <v>452970</v>
      </c>
      <c r="BM22" s="49">
        <v>18</v>
      </c>
      <c r="BN22" s="79">
        <f t="shared" si="25"/>
        <v>452970</v>
      </c>
      <c r="BO22" s="49">
        <v>1408</v>
      </c>
      <c r="BP22" s="85"/>
    </row>
    <row r="23" spans="2:68" ht="20" customHeight="1">
      <c r="B23" s="80">
        <f t="shared" si="26"/>
        <v>45827</v>
      </c>
      <c r="C23" s="81"/>
      <c r="D23" s="52"/>
      <c r="E23" s="53">
        <v>31</v>
      </c>
      <c r="F23" s="54">
        <v>107690</v>
      </c>
      <c r="G23" s="55">
        <f t="shared" si="0"/>
        <v>3158.0645161290322</v>
      </c>
      <c r="H23" s="54">
        <v>11180</v>
      </c>
      <c r="I23" s="56">
        <f t="shared" si="27"/>
        <v>327.83870967741933</v>
      </c>
      <c r="J23" s="57">
        <f t="shared" si="1"/>
        <v>118870</v>
      </c>
      <c r="K23" s="58">
        <f t="shared" si="2"/>
        <v>3834.516129032258</v>
      </c>
      <c r="L23" s="59"/>
      <c r="M23" s="60">
        <f t="shared" si="3"/>
        <v>12</v>
      </c>
      <c r="N23" s="61">
        <f t="shared" si="3"/>
        <v>115500</v>
      </c>
      <c r="O23" s="55">
        <f t="shared" si="4"/>
        <v>8750</v>
      </c>
      <c r="P23" s="61">
        <f t="shared" si="5"/>
        <v>35960</v>
      </c>
      <c r="Q23" s="87">
        <f t="shared" si="6"/>
        <v>2724.1666666666665</v>
      </c>
      <c r="R23" s="62">
        <f t="shared" si="7"/>
        <v>151460</v>
      </c>
      <c r="S23" s="58">
        <f t="shared" si="8"/>
        <v>12621.666666666666</v>
      </c>
      <c r="T23" s="82">
        <f t="shared" si="9"/>
        <v>43</v>
      </c>
      <c r="U23" s="61">
        <f t="shared" si="9"/>
        <v>223190</v>
      </c>
      <c r="V23" s="61">
        <f t="shared" si="10"/>
        <v>47140</v>
      </c>
      <c r="W23" s="64">
        <f t="shared" si="11"/>
        <v>270330</v>
      </c>
      <c r="X23" s="83"/>
      <c r="Y23" s="65"/>
      <c r="Z23" s="66">
        <v>4</v>
      </c>
      <c r="AA23" s="66"/>
      <c r="AB23" s="54">
        <v>10000</v>
      </c>
      <c r="AC23" s="55">
        <f t="shared" si="12"/>
        <v>2500</v>
      </c>
      <c r="AD23" s="54">
        <v>1000</v>
      </c>
      <c r="AE23" s="56">
        <f t="shared" si="13"/>
        <v>250</v>
      </c>
      <c r="AF23" s="67">
        <f t="shared" si="14"/>
        <v>11000</v>
      </c>
      <c r="AG23" s="58">
        <f t="shared" si="15"/>
        <v>2750</v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8"/>
        <v>0</v>
      </c>
      <c r="AO23" s="69" t="str">
        <f t="shared" si="18"/>
        <v/>
      </c>
      <c r="AP23" s="70"/>
      <c r="AQ23" s="66">
        <v>266</v>
      </c>
      <c r="AR23" s="54">
        <v>754550</v>
      </c>
      <c r="AS23" s="55">
        <f t="shared" si="19"/>
        <v>2836.6541353383459</v>
      </c>
      <c r="AT23" s="54">
        <v>429050</v>
      </c>
      <c r="AU23" s="56">
        <f t="shared" si="20"/>
        <v>1612.9699248120301</v>
      </c>
      <c r="AV23" s="56">
        <v>13200</v>
      </c>
      <c r="AW23" s="56"/>
      <c r="AX23" s="71">
        <f t="shared" si="34"/>
        <v>1196800</v>
      </c>
      <c r="AY23" s="69">
        <f>IF(AQ23="","",AX23/AQ23)</f>
        <v>4499.2481203007519</v>
      </c>
      <c r="AZ23" s="84">
        <f t="shared" si="22"/>
        <v>43</v>
      </c>
      <c r="BA23" s="61">
        <f t="shared" si="23"/>
        <v>987740</v>
      </c>
      <c r="BB23" s="61">
        <f t="shared" si="24"/>
        <v>477190</v>
      </c>
      <c r="BC23" s="73">
        <f>W23+AF23+AN23+AX23</f>
        <v>1478130</v>
      </c>
      <c r="BD23" s="74">
        <f t="shared" si="30"/>
        <v>2200</v>
      </c>
      <c r="BE23" s="75">
        <v>43</v>
      </c>
      <c r="BF23" s="76">
        <v>223190</v>
      </c>
      <c r="BG23" s="76">
        <v>47140</v>
      </c>
      <c r="BH23" s="77">
        <v>1100</v>
      </c>
      <c r="BI23" s="77">
        <v>1100</v>
      </c>
      <c r="BJ23" s="77"/>
      <c r="BK23" s="77"/>
      <c r="BL23" s="78">
        <f>SUM(BF23:BI23)</f>
        <v>272530</v>
      </c>
      <c r="BM23" s="49">
        <v>19</v>
      </c>
      <c r="BN23" s="79">
        <f t="shared" si="25"/>
        <v>272530</v>
      </c>
    </row>
    <row r="24" spans="2:68" ht="20" customHeight="1">
      <c r="B24" s="80">
        <f t="shared" si="26"/>
        <v>45828</v>
      </c>
      <c r="C24" s="81"/>
      <c r="D24" s="52"/>
      <c r="E24" s="53">
        <v>18</v>
      </c>
      <c r="F24" s="54">
        <v>63580</v>
      </c>
      <c r="G24" s="55">
        <f t="shared" si="0"/>
        <v>3211.1111111111113</v>
      </c>
      <c r="H24" s="54">
        <v>11130</v>
      </c>
      <c r="I24" s="56">
        <f t="shared" si="27"/>
        <v>562.11111111111109</v>
      </c>
      <c r="J24" s="57">
        <f t="shared" si="1"/>
        <v>74710</v>
      </c>
      <c r="K24" s="58">
        <f t="shared" si="2"/>
        <v>4150.5555555555557</v>
      </c>
      <c r="L24" s="59"/>
      <c r="M24" s="60">
        <f t="shared" si="3"/>
        <v>28</v>
      </c>
      <c r="N24" s="61">
        <f t="shared" si="3"/>
        <v>202400</v>
      </c>
      <c r="O24" s="55">
        <f t="shared" si="4"/>
        <v>6571.4285714285716</v>
      </c>
      <c r="P24" s="61">
        <f t="shared" si="5"/>
        <v>67620</v>
      </c>
      <c r="Q24" s="87">
        <f t="shared" si="6"/>
        <v>2195.4285714285716</v>
      </c>
      <c r="R24" s="62">
        <f t="shared" si="7"/>
        <v>270020</v>
      </c>
      <c r="S24" s="58">
        <f t="shared" si="8"/>
        <v>9643.5714285714294</v>
      </c>
      <c r="T24" s="82">
        <f t="shared" si="9"/>
        <v>46</v>
      </c>
      <c r="U24" s="61">
        <f t="shared" si="9"/>
        <v>265980</v>
      </c>
      <c r="V24" s="61">
        <f t="shared" si="10"/>
        <v>78750</v>
      </c>
      <c r="W24" s="64">
        <f t="shared" si="11"/>
        <v>344730</v>
      </c>
      <c r="X24" s="83"/>
      <c r="Y24" s="65"/>
      <c r="Z24" s="66">
        <v>5</v>
      </c>
      <c r="AA24" s="66"/>
      <c r="AB24" s="54">
        <v>12500</v>
      </c>
      <c r="AC24" s="55">
        <f t="shared" si="12"/>
        <v>2500</v>
      </c>
      <c r="AD24" s="54">
        <v>1250</v>
      </c>
      <c r="AE24" s="56">
        <f t="shared" si="13"/>
        <v>250</v>
      </c>
      <c r="AF24" s="67">
        <f t="shared" si="14"/>
        <v>13750</v>
      </c>
      <c r="AG24" s="58">
        <f t="shared" si="15"/>
        <v>2750</v>
      </c>
      <c r="AH24" s="68"/>
      <c r="AI24" s="66">
        <v>38</v>
      </c>
      <c r="AJ24" s="54">
        <v>235770</v>
      </c>
      <c r="AK24" s="55">
        <f t="shared" si="16"/>
        <v>6204.4736842105267</v>
      </c>
      <c r="AL24" s="54">
        <v>49590</v>
      </c>
      <c r="AM24" s="56">
        <f t="shared" si="17"/>
        <v>1305</v>
      </c>
      <c r="AN24" s="67">
        <f t="shared" si="28"/>
        <v>285360</v>
      </c>
      <c r="AO24" s="69">
        <f t="shared" si="18"/>
        <v>7509.4736842105267</v>
      </c>
      <c r="AP24" s="70"/>
      <c r="AQ24" s="66">
        <v>405</v>
      </c>
      <c r="AR24" s="54">
        <v>1158350</v>
      </c>
      <c r="AS24" s="55">
        <f t="shared" si="19"/>
        <v>2860.1234567901233</v>
      </c>
      <c r="AT24" s="54">
        <v>689800</v>
      </c>
      <c r="AU24" s="56">
        <f t="shared" si="20"/>
        <v>1703.2098765432099</v>
      </c>
      <c r="AV24" s="56">
        <v>18480</v>
      </c>
      <c r="AW24" s="56"/>
      <c r="AX24" s="71">
        <f t="shared" si="34"/>
        <v>1866630</v>
      </c>
      <c r="AY24" s="69">
        <f t="shared" si="21"/>
        <v>4608.9629629629626</v>
      </c>
      <c r="AZ24" s="84">
        <f t="shared" si="22"/>
        <v>46</v>
      </c>
      <c r="BA24" s="61">
        <f t="shared" si="23"/>
        <v>1672600</v>
      </c>
      <c r="BB24" s="61">
        <f t="shared" si="24"/>
        <v>819390</v>
      </c>
      <c r="BC24" s="73">
        <f>W24+AF24+AN24+AX24-BO24</f>
        <v>2510450</v>
      </c>
      <c r="BD24" s="74">
        <f t="shared" si="30"/>
        <v>1100</v>
      </c>
      <c r="BE24" s="75">
        <v>46</v>
      </c>
      <c r="BF24" s="76">
        <v>265980</v>
      </c>
      <c r="BG24" s="76">
        <v>78750</v>
      </c>
      <c r="BH24" s="77">
        <v>1100</v>
      </c>
      <c r="BI24" s="77"/>
      <c r="BJ24" s="77"/>
      <c r="BK24" s="77"/>
      <c r="BL24" s="78">
        <f t="shared" si="29"/>
        <v>345830</v>
      </c>
      <c r="BM24" s="49">
        <v>20</v>
      </c>
      <c r="BN24" s="79">
        <f t="shared" si="25"/>
        <v>345830</v>
      </c>
      <c r="BO24" s="49">
        <v>20</v>
      </c>
    </row>
    <row r="25" spans="2:68" ht="20" customHeight="1">
      <c r="B25" s="80">
        <f t="shared" si="26"/>
        <v>45829</v>
      </c>
      <c r="C25" s="81"/>
      <c r="D25" s="52"/>
      <c r="E25" s="53">
        <v>38</v>
      </c>
      <c r="F25" s="54">
        <v>150920</v>
      </c>
      <c r="G25" s="55">
        <f t="shared" si="0"/>
        <v>3610.5263157894738</v>
      </c>
      <c r="H25" s="54">
        <v>40250</v>
      </c>
      <c r="I25" s="56">
        <f t="shared" si="27"/>
        <v>962.89473684210532</v>
      </c>
      <c r="J25" s="57">
        <f t="shared" si="1"/>
        <v>191170</v>
      </c>
      <c r="K25" s="58">
        <f t="shared" si="2"/>
        <v>5030.7894736842109</v>
      </c>
      <c r="L25" s="59"/>
      <c r="M25" s="60">
        <f t="shared" si="3"/>
        <v>11</v>
      </c>
      <c r="N25" s="61">
        <f t="shared" si="3"/>
        <v>140360</v>
      </c>
      <c r="O25" s="55">
        <f t="shared" si="4"/>
        <v>11600</v>
      </c>
      <c r="P25" s="61">
        <f t="shared" si="5"/>
        <v>33180</v>
      </c>
      <c r="Q25" s="87">
        <f t="shared" si="6"/>
        <v>2742.090909090909</v>
      </c>
      <c r="R25" s="62">
        <f t="shared" si="7"/>
        <v>173540</v>
      </c>
      <c r="S25" s="58">
        <f t="shared" si="8"/>
        <v>15776.363636363636</v>
      </c>
      <c r="T25" s="82">
        <f t="shared" si="9"/>
        <v>49</v>
      </c>
      <c r="U25" s="61">
        <f t="shared" si="9"/>
        <v>291280</v>
      </c>
      <c r="V25" s="61">
        <f t="shared" si="10"/>
        <v>73430</v>
      </c>
      <c r="W25" s="64">
        <f t="shared" si="11"/>
        <v>364710</v>
      </c>
      <c r="X25" s="83"/>
      <c r="Y25" s="65"/>
      <c r="Z25" s="66">
        <v>6</v>
      </c>
      <c r="AA25" s="66"/>
      <c r="AB25" s="54">
        <v>15000</v>
      </c>
      <c r="AC25" s="55">
        <f t="shared" si="12"/>
        <v>2500</v>
      </c>
      <c r="AD25" s="54">
        <v>1500</v>
      </c>
      <c r="AE25" s="56">
        <f t="shared" si="13"/>
        <v>250</v>
      </c>
      <c r="AF25" s="67">
        <f t="shared" si="14"/>
        <v>16500</v>
      </c>
      <c r="AG25" s="58">
        <f t="shared" si="15"/>
        <v>2750</v>
      </c>
      <c r="AH25" s="68"/>
      <c r="AI25" s="66">
        <v>49</v>
      </c>
      <c r="AJ25" s="54">
        <v>113535</v>
      </c>
      <c r="AK25" s="55">
        <f t="shared" si="16"/>
        <v>2317.0408163265306</v>
      </c>
      <c r="AL25" s="54">
        <v>44370</v>
      </c>
      <c r="AM25" s="56">
        <f t="shared" si="17"/>
        <v>905.51020408163265</v>
      </c>
      <c r="AN25" s="67">
        <f t="shared" si="28"/>
        <v>157905</v>
      </c>
      <c r="AO25" s="69">
        <f t="shared" si="18"/>
        <v>3222.5510204081634</v>
      </c>
      <c r="AP25" s="70"/>
      <c r="AQ25" s="66">
        <v>296</v>
      </c>
      <c r="AR25" s="54">
        <v>855350</v>
      </c>
      <c r="AS25" s="55">
        <f t="shared" si="19"/>
        <v>2889.6959459459458</v>
      </c>
      <c r="AT25" s="54">
        <v>449850</v>
      </c>
      <c r="AU25" s="56">
        <f t="shared" si="20"/>
        <v>1519.7635135135135</v>
      </c>
      <c r="AV25" s="56">
        <v>35970</v>
      </c>
      <c r="AW25" s="56"/>
      <c r="AX25" s="71">
        <f t="shared" si="34"/>
        <v>1341170</v>
      </c>
      <c r="AY25" s="69">
        <f t="shared" si="21"/>
        <v>4530.97972972973</v>
      </c>
      <c r="AZ25" s="84">
        <f t="shared" si="22"/>
        <v>49</v>
      </c>
      <c r="BA25" s="61">
        <f t="shared" si="23"/>
        <v>1275165</v>
      </c>
      <c r="BB25" s="61">
        <f t="shared" si="24"/>
        <v>569150</v>
      </c>
      <c r="BC25" s="73">
        <f>W25+AF25+AN25+AX25-BO25</f>
        <v>1880285</v>
      </c>
      <c r="BD25" s="74">
        <f t="shared" si="30"/>
        <v>5500</v>
      </c>
      <c r="BE25" s="75">
        <v>49</v>
      </c>
      <c r="BF25" s="76">
        <v>291280</v>
      </c>
      <c r="BG25" s="76">
        <v>73430</v>
      </c>
      <c r="BH25" s="77">
        <v>3300</v>
      </c>
      <c r="BI25" s="77">
        <v>2200</v>
      </c>
      <c r="BJ25" s="77"/>
      <c r="BK25" s="77"/>
      <c r="BL25" s="78">
        <f t="shared" si="29"/>
        <v>370210</v>
      </c>
      <c r="BM25" s="49">
        <v>21</v>
      </c>
      <c r="BN25" s="79">
        <f t="shared" si="25"/>
        <v>370210</v>
      </c>
    </row>
    <row r="26" spans="2:68" ht="20" customHeight="1">
      <c r="B26" s="80">
        <f t="shared" si="26"/>
        <v>45830</v>
      </c>
      <c r="C26" s="81"/>
      <c r="D26" s="52"/>
      <c r="E26" s="53">
        <v>39</v>
      </c>
      <c r="F26" s="54">
        <v>151360</v>
      </c>
      <c r="G26" s="55">
        <f t="shared" si="0"/>
        <v>3528.2051282051284</v>
      </c>
      <c r="H26" s="54">
        <v>17770</v>
      </c>
      <c r="I26" s="56">
        <f t="shared" si="27"/>
        <v>414.20512820512823</v>
      </c>
      <c r="J26" s="57">
        <f t="shared" si="1"/>
        <v>169130</v>
      </c>
      <c r="K26" s="58">
        <f t="shared" si="2"/>
        <v>4336.666666666667</v>
      </c>
      <c r="L26" s="59"/>
      <c r="M26" s="60">
        <f t="shared" si="3"/>
        <v>23</v>
      </c>
      <c r="N26" s="61">
        <f t="shared" si="3"/>
        <v>215820</v>
      </c>
      <c r="O26" s="55">
        <f t="shared" si="4"/>
        <v>8530.434782608696</v>
      </c>
      <c r="P26" s="61">
        <f t="shared" si="5"/>
        <v>36310</v>
      </c>
      <c r="Q26" s="87">
        <f t="shared" si="6"/>
        <v>1435.1739130434783</v>
      </c>
      <c r="R26" s="62">
        <f t="shared" si="7"/>
        <v>252130</v>
      </c>
      <c r="S26" s="58">
        <f t="shared" si="8"/>
        <v>10962.173913043478</v>
      </c>
      <c r="T26" s="82">
        <f t="shared" si="9"/>
        <v>62</v>
      </c>
      <c r="U26" s="61">
        <f t="shared" si="9"/>
        <v>367180</v>
      </c>
      <c r="V26" s="61">
        <f t="shared" si="10"/>
        <v>54080</v>
      </c>
      <c r="W26" s="64">
        <f t="shared" si="11"/>
        <v>421260</v>
      </c>
      <c r="X26" s="83"/>
      <c r="Y26" s="65"/>
      <c r="Z26" s="66">
        <v>6</v>
      </c>
      <c r="AA26" s="66"/>
      <c r="AB26" s="54">
        <v>15000</v>
      </c>
      <c r="AC26" s="55">
        <f t="shared" si="12"/>
        <v>2500</v>
      </c>
      <c r="AD26" s="54">
        <v>1500</v>
      </c>
      <c r="AE26" s="56">
        <f t="shared" si="13"/>
        <v>250</v>
      </c>
      <c r="AF26" s="67">
        <f t="shared" si="14"/>
        <v>16500</v>
      </c>
      <c r="AG26" s="58">
        <f t="shared" si="15"/>
        <v>2750</v>
      </c>
      <c r="AH26" s="68"/>
      <c r="AI26" s="66"/>
      <c r="AJ26" s="54"/>
      <c r="AK26" s="55" t="e">
        <f t="shared" si="16"/>
        <v>#DIV/0!</v>
      </c>
      <c r="AL26" s="54"/>
      <c r="AM26" s="56" t="e">
        <f t="shared" si="17"/>
        <v>#DIV/0!</v>
      </c>
      <c r="AN26" s="67">
        <f t="shared" si="28"/>
        <v>0</v>
      </c>
      <c r="AO26" s="69" t="str">
        <f t="shared" si="18"/>
        <v/>
      </c>
      <c r="AP26" s="70"/>
      <c r="AQ26" s="66">
        <v>276</v>
      </c>
      <c r="AR26" s="54">
        <v>867690</v>
      </c>
      <c r="AS26" s="55">
        <f t="shared" si="19"/>
        <v>3143.804347826087</v>
      </c>
      <c r="AT26" s="54">
        <v>470650</v>
      </c>
      <c r="AU26" s="56">
        <f t="shared" si="20"/>
        <v>1705.2536231884058</v>
      </c>
      <c r="AV26" s="56">
        <v>17820</v>
      </c>
      <c r="AW26" s="56"/>
      <c r="AX26" s="71">
        <f t="shared" si="34"/>
        <v>1356160</v>
      </c>
      <c r="AY26" s="69">
        <f>IF(AQ26="","",AX26/AQ26)</f>
        <v>4913.623188405797</v>
      </c>
      <c r="AZ26" s="84">
        <f t="shared" si="22"/>
        <v>62</v>
      </c>
      <c r="BA26" s="61">
        <f t="shared" si="23"/>
        <v>1249870</v>
      </c>
      <c r="BB26" s="61">
        <f t="shared" si="24"/>
        <v>526230</v>
      </c>
      <c r="BC26" s="73">
        <f>W26+AF26+AN26+AX26-BO26</f>
        <v>1787364</v>
      </c>
      <c r="BD26" s="74">
        <f>BH26+BI26</f>
        <v>3300</v>
      </c>
      <c r="BE26" s="75">
        <v>62</v>
      </c>
      <c r="BF26" s="76">
        <v>367180</v>
      </c>
      <c r="BG26" s="76">
        <v>54080</v>
      </c>
      <c r="BH26" s="77">
        <v>2200</v>
      </c>
      <c r="BI26" s="77">
        <v>1100</v>
      </c>
      <c r="BJ26" s="77"/>
      <c r="BK26" s="77"/>
      <c r="BL26" s="78">
        <f t="shared" si="29"/>
        <v>424560</v>
      </c>
      <c r="BM26" s="49">
        <v>22</v>
      </c>
      <c r="BN26" s="79">
        <f t="shared" si="25"/>
        <v>424560</v>
      </c>
      <c r="BO26" s="49">
        <v>6556</v>
      </c>
    </row>
    <row r="27" spans="2:68" ht="20" customHeight="1">
      <c r="B27" s="80">
        <f t="shared" si="26"/>
        <v>45831</v>
      </c>
      <c r="C27" s="81"/>
      <c r="D27" s="52"/>
      <c r="E27" s="53">
        <v>22</v>
      </c>
      <c r="F27" s="54">
        <v>71280</v>
      </c>
      <c r="G27" s="55">
        <f t="shared" si="0"/>
        <v>2945.4545454545455</v>
      </c>
      <c r="H27" s="54">
        <v>9000</v>
      </c>
      <c r="I27" s="56">
        <f t="shared" si="27"/>
        <v>371.86363636363637</v>
      </c>
      <c r="J27" s="57">
        <f t="shared" si="1"/>
        <v>80280</v>
      </c>
      <c r="K27" s="58">
        <f t="shared" si="2"/>
        <v>3649.090909090909</v>
      </c>
      <c r="L27" s="59"/>
      <c r="M27" s="60">
        <f t="shared" si="3"/>
        <v>9</v>
      </c>
      <c r="N27" s="61">
        <f t="shared" si="3"/>
        <v>105600</v>
      </c>
      <c r="O27" s="55">
        <f t="shared" si="4"/>
        <v>10666.666666666666</v>
      </c>
      <c r="P27" s="61">
        <f t="shared" si="5"/>
        <v>18690</v>
      </c>
      <c r="Q27" s="56">
        <f t="shared" si="6"/>
        <v>1887.7777777777778</v>
      </c>
      <c r="R27" s="62">
        <f t="shared" si="7"/>
        <v>124290</v>
      </c>
      <c r="S27" s="58">
        <f t="shared" si="8"/>
        <v>13810</v>
      </c>
      <c r="T27" s="82">
        <f t="shared" si="9"/>
        <v>31</v>
      </c>
      <c r="U27" s="61">
        <f t="shared" si="9"/>
        <v>176880</v>
      </c>
      <c r="V27" s="61">
        <f t="shared" si="10"/>
        <v>27690</v>
      </c>
      <c r="W27" s="64">
        <f t="shared" si="11"/>
        <v>204570</v>
      </c>
      <c r="X27" s="83"/>
      <c r="Y27" s="65"/>
      <c r="Z27" s="66">
        <v>2</v>
      </c>
      <c r="AA27" s="66"/>
      <c r="AB27" s="54">
        <v>9000</v>
      </c>
      <c r="AC27" s="55">
        <f t="shared" si="12"/>
        <v>4500</v>
      </c>
      <c r="AD27" s="54">
        <v>500</v>
      </c>
      <c r="AE27" s="56">
        <f t="shared" si="13"/>
        <v>250</v>
      </c>
      <c r="AF27" s="67">
        <f t="shared" si="14"/>
        <v>9500</v>
      </c>
      <c r="AG27" s="58">
        <f t="shared" si="15"/>
        <v>4750</v>
      </c>
      <c r="AH27" s="68"/>
      <c r="AI27" s="66"/>
      <c r="AJ27" s="54"/>
      <c r="AK27" s="55" t="e">
        <f t="shared" si="16"/>
        <v>#DIV/0!</v>
      </c>
      <c r="AL27" s="54"/>
      <c r="AM27" s="56" t="e">
        <f t="shared" si="17"/>
        <v>#DIV/0!</v>
      </c>
      <c r="AN27" s="67">
        <f t="shared" si="28"/>
        <v>0</v>
      </c>
      <c r="AO27" s="69" t="str">
        <f t="shared" si="18"/>
        <v/>
      </c>
      <c r="AP27" s="70"/>
      <c r="AQ27" s="66">
        <v>285</v>
      </c>
      <c r="AR27" s="54">
        <v>813350</v>
      </c>
      <c r="AS27" s="55">
        <f t="shared" si="19"/>
        <v>2853.8596491228072</v>
      </c>
      <c r="AT27" s="54">
        <v>462750</v>
      </c>
      <c r="AU27" s="56">
        <f t="shared" si="20"/>
        <v>1623.6842105263158</v>
      </c>
      <c r="AV27" s="56">
        <v>9020</v>
      </c>
      <c r="AW27" s="56"/>
      <c r="AX27" s="71">
        <f>AR27+AT27+AV27+AW27-BP26</f>
        <v>1285120</v>
      </c>
      <c r="AY27" s="69">
        <f t="shared" si="21"/>
        <v>4509.1929824561403</v>
      </c>
      <c r="AZ27" s="84">
        <f t="shared" si="22"/>
        <v>31</v>
      </c>
      <c r="BA27" s="61">
        <f t="shared" si="23"/>
        <v>999230</v>
      </c>
      <c r="BB27" s="61">
        <f t="shared" si="24"/>
        <v>490940</v>
      </c>
      <c r="BC27" s="73">
        <f>W27+AF27+AN27+AX27-BO27</f>
        <v>1499190</v>
      </c>
      <c r="BD27" s="74">
        <f t="shared" si="30"/>
        <v>1100</v>
      </c>
      <c r="BE27" s="75">
        <v>31</v>
      </c>
      <c r="BF27" s="76">
        <v>176880</v>
      </c>
      <c r="BG27" s="76">
        <v>27690</v>
      </c>
      <c r="BH27" s="77">
        <v>1100</v>
      </c>
      <c r="BI27" s="77"/>
      <c r="BJ27" s="77"/>
      <c r="BK27" s="77">
        <v>110000</v>
      </c>
      <c r="BL27" s="78">
        <f t="shared" si="29"/>
        <v>205670</v>
      </c>
      <c r="BM27" s="49">
        <v>23</v>
      </c>
      <c r="BN27" s="79">
        <f t="shared" si="25"/>
        <v>315670</v>
      </c>
    </row>
    <row r="28" spans="2:68" ht="20" customHeight="1">
      <c r="B28" s="80">
        <f>B27+1</f>
        <v>45832</v>
      </c>
      <c r="C28" s="81"/>
      <c r="D28" s="52"/>
      <c r="E28" s="53">
        <v>27</v>
      </c>
      <c r="F28" s="54">
        <v>117700</v>
      </c>
      <c r="G28" s="55">
        <f t="shared" si="0"/>
        <v>3962.962962962963</v>
      </c>
      <c r="H28" s="54">
        <v>24470</v>
      </c>
      <c r="I28" s="56">
        <f t="shared" si="27"/>
        <v>823.88888888888891</v>
      </c>
      <c r="J28" s="57">
        <f t="shared" si="1"/>
        <v>142170</v>
      </c>
      <c r="K28" s="58">
        <f t="shared" si="2"/>
        <v>5265.5555555555557</v>
      </c>
      <c r="L28" s="59"/>
      <c r="M28" s="60">
        <f t="shared" si="3"/>
        <v>16</v>
      </c>
      <c r="N28" s="61">
        <f t="shared" si="3"/>
        <v>168700</v>
      </c>
      <c r="O28" s="55">
        <f t="shared" si="4"/>
        <v>9585.1875</v>
      </c>
      <c r="P28" s="61">
        <f t="shared" si="5"/>
        <v>41620</v>
      </c>
      <c r="Q28" s="56">
        <f>ROUNDDOWN(P28/1.1,0)/M28</f>
        <v>2364.75</v>
      </c>
      <c r="R28" s="62">
        <f t="shared" si="7"/>
        <v>210320</v>
      </c>
      <c r="S28" s="58">
        <f t="shared" si="8"/>
        <v>13145</v>
      </c>
      <c r="T28" s="82">
        <f t="shared" si="9"/>
        <v>43</v>
      </c>
      <c r="U28" s="61">
        <f t="shared" si="9"/>
        <v>286400</v>
      </c>
      <c r="V28" s="61">
        <f t="shared" si="10"/>
        <v>66090</v>
      </c>
      <c r="W28" s="64">
        <f t="shared" si="11"/>
        <v>352490</v>
      </c>
      <c r="X28" s="83"/>
      <c r="Y28" s="65"/>
      <c r="Z28" s="66">
        <v>4</v>
      </c>
      <c r="AA28" s="66"/>
      <c r="AB28" s="54">
        <v>10000</v>
      </c>
      <c r="AC28" s="55">
        <f t="shared" si="12"/>
        <v>2500</v>
      </c>
      <c r="AD28" s="54">
        <v>1000</v>
      </c>
      <c r="AE28" s="56">
        <f t="shared" si="13"/>
        <v>250</v>
      </c>
      <c r="AF28" s="67">
        <f t="shared" si="14"/>
        <v>11000</v>
      </c>
      <c r="AG28" s="58">
        <f t="shared" si="15"/>
        <v>2750</v>
      </c>
      <c r="AH28" s="68"/>
      <c r="AI28" s="66">
        <v>11</v>
      </c>
      <c r="AJ28" s="54">
        <v>43065</v>
      </c>
      <c r="AK28" s="55">
        <f t="shared" si="16"/>
        <v>3915</v>
      </c>
      <c r="AL28" s="54">
        <v>14355</v>
      </c>
      <c r="AM28" s="56">
        <f t="shared" si="17"/>
        <v>1305</v>
      </c>
      <c r="AN28" s="67">
        <f t="shared" si="28"/>
        <v>57420</v>
      </c>
      <c r="AO28" s="69">
        <f t="shared" si="18"/>
        <v>5220</v>
      </c>
      <c r="AP28" s="70"/>
      <c r="AQ28" s="66">
        <v>346</v>
      </c>
      <c r="AR28" s="54">
        <v>976250</v>
      </c>
      <c r="AS28" s="55">
        <f t="shared" si="19"/>
        <v>2821.5317919075146</v>
      </c>
      <c r="AT28" s="54">
        <v>576800</v>
      </c>
      <c r="AU28" s="56">
        <f t="shared" si="20"/>
        <v>1667.0520231213873</v>
      </c>
      <c r="AV28" s="56"/>
      <c r="AW28" s="56"/>
      <c r="AX28" s="71">
        <f>AR28+AT28+AV28+AW28</f>
        <v>1553050</v>
      </c>
      <c r="AY28" s="69">
        <f t="shared" si="21"/>
        <v>4488.5838150289019</v>
      </c>
      <c r="AZ28" s="84">
        <f t="shared" si="22"/>
        <v>43</v>
      </c>
      <c r="BA28" s="61">
        <f t="shared" si="23"/>
        <v>1315715</v>
      </c>
      <c r="BB28" s="61">
        <f t="shared" si="24"/>
        <v>658245</v>
      </c>
      <c r="BC28" s="73">
        <f>W28+AF28+AN28+AX28</f>
        <v>1973960</v>
      </c>
      <c r="BD28" s="74">
        <f t="shared" si="30"/>
        <v>4950</v>
      </c>
      <c r="BE28" s="75">
        <v>43</v>
      </c>
      <c r="BF28" s="76">
        <v>286400</v>
      </c>
      <c r="BG28" s="76">
        <v>66090</v>
      </c>
      <c r="BH28" s="77">
        <v>4950</v>
      </c>
      <c r="BI28" s="77"/>
      <c r="BJ28" s="77"/>
      <c r="BK28" s="77"/>
      <c r="BL28" s="78">
        <f t="shared" si="29"/>
        <v>357440</v>
      </c>
      <c r="BM28" s="49">
        <v>24</v>
      </c>
      <c r="BN28" s="79">
        <f t="shared" si="25"/>
        <v>357440</v>
      </c>
    </row>
    <row r="29" spans="2:68" ht="20" customHeight="1">
      <c r="B29" s="80">
        <f t="shared" si="26"/>
        <v>45833</v>
      </c>
      <c r="C29" s="81"/>
      <c r="D29" s="52"/>
      <c r="E29" s="53">
        <v>26</v>
      </c>
      <c r="F29" s="54">
        <v>104060</v>
      </c>
      <c r="G29" s="55">
        <f t="shared" si="0"/>
        <v>3638.4615384615386</v>
      </c>
      <c r="H29" s="54">
        <v>19230</v>
      </c>
      <c r="I29" s="55">
        <f t="shared" si="27"/>
        <v>672.34615384615381</v>
      </c>
      <c r="J29" s="57">
        <f t="shared" si="1"/>
        <v>123290</v>
      </c>
      <c r="K29" s="58">
        <f t="shared" si="2"/>
        <v>4741.9230769230771</v>
      </c>
      <c r="L29" s="59"/>
      <c r="M29" s="60">
        <f t="shared" si="3"/>
        <v>16</v>
      </c>
      <c r="N29" s="61">
        <f t="shared" si="3"/>
        <v>158730</v>
      </c>
      <c r="O29" s="55">
        <f t="shared" si="4"/>
        <v>9018.75</v>
      </c>
      <c r="P29" s="61">
        <f t="shared" si="5"/>
        <v>27260</v>
      </c>
      <c r="Q29" s="56">
        <f t="shared" si="6"/>
        <v>1548.8125</v>
      </c>
      <c r="R29" s="62">
        <f t="shared" si="7"/>
        <v>185990</v>
      </c>
      <c r="S29" s="58">
        <f t="shared" si="8"/>
        <v>11624.375</v>
      </c>
      <c r="T29" s="82">
        <f t="shared" si="9"/>
        <v>42</v>
      </c>
      <c r="U29" s="61">
        <f t="shared" si="9"/>
        <v>262790</v>
      </c>
      <c r="V29" s="61">
        <f t="shared" si="10"/>
        <v>46490</v>
      </c>
      <c r="W29" s="64">
        <f t="shared" si="11"/>
        <v>309280</v>
      </c>
      <c r="X29" s="83"/>
      <c r="Y29" s="65"/>
      <c r="Z29" s="66">
        <v>4</v>
      </c>
      <c r="AA29" s="66"/>
      <c r="AB29" s="54">
        <v>11000</v>
      </c>
      <c r="AC29" s="55">
        <f t="shared" si="12"/>
        <v>2750</v>
      </c>
      <c r="AD29" s="54">
        <v>1000</v>
      </c>
      <c r="AE29" s="56">
        <f t="shared" si="13"/>
        <v>250</v>
      </c>
      <c r="AF29" s="67">
        <f t="shared" si="14"/>
        <v>12000</v>
      </c>
      <c r="AG29" s="58">
        <f t="shared" si="15"/>
        <v>3000</v>
      </c>
      <c r="AH29" s="68"/>
      <c r="AI29" s="66">
        <v>73</v>
      </c>
      <c r="AJ29" s="54">
        <v>412815</v>
      </c>
      <c r="AK29" s="55">
        <f t="shared" si="16"/>
        <v>5655</v>
      </c>
      <c r="AL29" s="54">
        <v>95265</v>
      </c>
      <c r="AM29" s="56">
        <f t="shared" si="17"/>
        <v>1305</v>
      </c>
      <c r="AN29" s="67">
        <f t="shared" si="28"/>
        <v>508080</v>
      </c>
      <c r="AO29" s="69">
        <f t="shared" si="18"/>
        <v>6960</v>
      </c>
      <c r="AP29" s="70"/>
      <c r="AQ29" s="66">
        <v>412</v>
      </c>
      <c r="AR29" s="54">
        <v>1275800</v>
      </c>
      <c r="AS29" s="55">
        <f t="shared" si="19"/>
        <v>3096.6019417475727</v>
      </c>
      <c r="AT29" s="54">
        <v>719350</v>
      </c>
      <c r="AU29" s="56">
        <f t="shared" si="20"/>
        <v>1745.995145631068</v>
      </c>
      <c r="AV29" s="56">
        <v>25630</v>
      </c>
      <c r="AW29" s="56"/>
      <c r="AX29" s="71">
        <f>AR29+AT29+AV29+AW29-BP29</f>
        <v>2019020</v>
      </c>
      <c r="AY29" s="69">
        <f t="shared" si="21"/>
        <v>4900.5339805825242</v>
      </c>
      <c r="AZ29" s="84">
        <f t="shared" si="22"/>
        <v>42</v>
      </c>
      <c r="BA29" s="61">
        <f t="shared" si="23"/>
        <v>1962405</v>
      </c>
      <c r="BB29" s="61">
        <f t="shared" si="24"/>
        <v>862105</v>
      </c>
      <c r="BC29" s="73">
        <f>W29+AF29+AN29+AX29</f>
        <v>2848380</v>
      </c>
      <c r="BD29" s="74">
        <f t="shared" si="30"/>
        <v>6600</v>
      </c>
      <c r="BE29" s="75">
        <v>42</v>
      </c>
      <c r="BF29" s="76">
        <v>262790</v>
      </c>
      <c r="BG29" s="76">
        <v>46490</v>
      </c>
      <c r="BH29" s="77">
        <v>5500</v>
      </c>
      <c r="BI29" s="77">
        <v>1100</v>
      </c>
      <c r="BJ29" s="77"/>
      <c r="BK29" s="77"/>
      <c r="BL29" s="78">
        <f t="shared" si="29"/>
        <v>315880</v>
      </c>
      <c r="BM29" s="49">
        <v>25</v>
      </c>
      <c r="BN29" s="79">
        <f t="shared" si="25"/>
        <v>315880</v>
      </c>
      <c r="BP29" s="49">
        <v>1760</v>
      </c>
    </row>
    <row r="30" spans="2:68" ht="20" customHeight="1">
      <c r="B30" s="80">
        <f t="shared" si="26"/>
        <v>45834</v>
      </c>
      <c r="C30" s="81"/>
      <c r="D30" s="52"/>
      <c r="E30" s="53">
        <v>24</v>
      </c>
      <c r="F30" s="54">
        <v>87450</v>
      </c>
      <c r="G30" s="55">
        <f t="shared" si="0"/>
        <v>3312.5</v>
      </c>
      <c r="H30" s="54">
        <v>13210</v>
      </c>
      <c r="I30" s="55">
        <f t="shared" si="27"/>
        <v>500.375</v>
      </c>
      <c r="J30" s="57">
        <f t="shared" si="1"/>
        <v>100660</v>
      </c>
      <c r="K30" s="58">
        <f t="shared" si="2"/>
        <v>4194.166666666667</v>
      </c>
      <c r="L30" s="59"/>
      <c r="M30" s="60">
        <f t="shared" si="3"/>
        <v>21</v>
      </c>
      <c r="N30" s="61">
        <f t="shared" si="3"/>
        <v>163460</v>
      </c>
      <c r="O30" s="55">
        <f t="shared" si="4"/>
        <v>7076.1904761904761</v>
      </c>
      <c r="P30" s="61">
        <f t="shared" si="5"/>
        <v>62300</v>
      </c>
      <c r="Q30" s="55">
        <f t="shared" si="6"/>
        <v>2696.9523809523807</v>
      </c>
      <c r="R30" s="62">
        <f t="shared" si="7"/>
        <v>225760</v>
      </c>
      <c r="S30" s="58">
        <f t="shared" si="8"/>
        <v>10750.476190476191</v>
      </c>
      <c r="T30" s="82">
        <f t="shared" si="9"/>
        <v>45</v>
      </c>
      <c r="U30" s="61">
        <f t="shared" si="9"/>
        <v>250910</v>
      </c>
      <c r="V30" s="61">
        <f t="shared" si="10"/>
        <v>75510</v>
      </c>
      <c r="W30" s="64">
        <f t="shared" si="11"/>
        <v>326420</v>
      </c>
      <c r="X30" s="83"/>
      <c r="Y30" s="65"/>
      <c r="Z30" s="66">
        <v>2</v>
      </c>
      <c r="AA30" s="66"/>
      <c r="AB30" s="54">
        <v>5000</v>
      </c>
      <c r="AC30" s="55">
        <f t="shared" si="12"/>
        <v>2500</v>
      </c>
      <c r="AD30" s="54">
        <v>500</v>
      </c>
      <c r="AE30" s="56">
        <f t="shared" si="13"/>
        <v>250</v>
      </c>
      <c r="AF30" s="67">
        <f t="shared" si="14"/>
        <v>5500</v>
      </c>
      <c r="AG30" s="58">
        <f t="shared" si="15"/>
        <v>2750</v>
      </c>
      <c r="AH30" s="68"/>
      <c r="AI30" s="66"/>
      <c r="AJ30" s="54"/>
      <c r="AK30" s="55" t="e">
        <f t="shared" si="16"/>
        <v>#DIV/0!</v>
      </c>
      <c r="AL30" s="54"/>
      <c r="AM30" s="56" t="e">
        <f t="shared" si="17"/>
        <v>#DIV/0!</v>
      </c>
      <c r="AN30" s="67">
        <f t="shared" si="28"/>
        <v>0</v>
      </c>
      <c r="AO30" s="69" t="str">
        <f t="shared" si="18"/>
        <v/>
      </c>
      <c r="AP30" s="70"/>
      <c r="AQ30" s="66">
        <v>425</v>
      </c>
      <c r="AR30" s="54">
        <v>1182700</v>
      </c>
      <c r="AS30" s="55">
        <f t="shared" si="19"/>
        <v>2782.8235294117649</v>
      </c>
      <c r="AT30" s="54">
        <v>642200</v>
      </c>
      <c r="AU30" s="56">
        <f t="shared" si="20"/>
        <v>1511.0588235294117</v>
      </c>
      <c r="AV30" s="56">
        <v>10780</v>
      </c>
      <c r="AW30" s="56"/>
      <c r="AX30" s="71">
        <f>AR30+AT30+AV30+AW30-BP30</f>
        <v>1835680</v>
      </c>
      <c r="AY30" s="69">
        <f t="shared" si="21"/>
        <v>4319.2470588235292</v>
      </c>
      <c r="AZ30" s="84">
        <f t="shared" si="22"/>
        <v>45</v>
      </c>
      <c r="BA30" s="61">
        <f t="shared" si="23"/>
        <v>1438610</v>
      </c>
      <c r="BB30" s="61">
        <f t="shared" si="24"/>
        <v>718210</v>
      </c>
      <c r="BC30" s="73">
        <f t="shared" si="32"/>
        <v>2167600</v>
      </c>
      <c r="BD30" s="74">
        <f>BH30+BI30</f>
        <v>16500</v>
      </c>
      <c r="BE30" s="75">
        <v>45</v>
      </c>
      <c r="BF30" s="76">
        <v>250910</v>
      </c>
      <c r="BG30" s="76">
        <v>75510</v>
      </c>
      <c r="BH30" s="77">
        <v>16500</v>
      </c>
      <c r="BI30" s="77"/>
      <c r="BJ30" s="77"/>
      <c r="BK30" s="77"/>
      <c r="BL30" s="78">
        <f t="shared" si="29"/>
        <v>342920</v>
      </c>
      <c r="BM30" s="49">
        <v>26</v>
      </c>
      <c r="BN30" s="79">
        <f t="shared" si="25"/>
        <v>342920</v>
      </c>
    </row>
    <row r="31" spans="2:68" ht="20" customHeight="1">
      <c r="B31" s="80">
        <f t="shared" si="26"/>
        <v>45835</v>
      </c>
      <c r="C31" s="81"/>
      <c r="D31" s="52"/>
      <c r="E31" s="53">
        <v>29</v>
      </c>
      <c r="F31" s="54">
        <v>121770</v>
      </c>
      <c r="G31" s="55">
        <f t="shared" si="0"/>
        <v>3817.2413793103447</v>
      </c>
      <c r="H31" s="54">
        <v>13650</v>
      </c>
      <c r="I31" s="55">
        <f t="shared" si="27"/>
        <v>427.89655172413791</v>
      </c>
      <c r="J31" s="57">
        <f t="shared" si="1"/>
        <v>135420</v>
      </c>
      <c r="K31" s="58">
        <f t="shared" si="2"/>
        <v>4669.6551724137935</v>
      </c>
      <c r="L31" s="59"/>
      <c r="M31" s="60">
        <f t="shared" si="3"/>
        <v>17</v>
      </c>
      <c r="N31" s="61">
        <f t="shared" si="3"/>
        <v>195140</v>
      </c>
      <c r="O31" s="55">
        <f t="shared" si="4"/>
        <v>10435.294117647059</v>
      </c>
      <c r="P31" s="61">
        <f t="shared" si="5"/>
        <v>33750</v>
      </c>
      <c r="Q31" s="55">
        <f t="shared" si="6"/>
        <v>1804.7647058823529</v>
      </c>
      <c r="R31" s="62">
        <f t="shared" si="7"/>
        <v>228890</v>
      </c>
      <c r="S31" s="58">
        <f t="shared" si="8"/>
        <v>13464.117647058823</v>
      </c>
      <c r="T31" s="82">
        <f t="shared" si="9"/>
        <v>46</v>
      </c>
      <c r="U31" s="61">
        <f t="shared" si="9"/>
        <v>316910</v>
      </c>
      <c r="V31" s="61">
        <f t="shared" si="10"/>
        <v>47400</v>
      </c>
      <c r="W31" s="64">
        <f t="shared" si="11"/>
        <v>364310</v>
      </c>
      <c r="X31" s="83"/>
      <c r="Y31" s="65"/>
      <c r="Z31" s="66">
        <v>4</v>
      </c>
      <c r="AA31" s="66"/>
      <c r="AB31" s="54">
        <v>11000</v>
      </c>
      <c r="AC31" s="55">
        <f t="shared" si="12"/>
        <v>2750</v>
      </c>
      <c r="AD31" s="54">
        <v>1000</v>
      </c>
      <c r="AE31" s="56">
        <f t="shared" si="13"/>
        <v>250</v>
      </c>
      <c r="AF31" s="67">
        <f t="shared" si="14"/>
        <v>12000</v>
      </c>
      <c r="AG31" s="58">
        <f t="shared" si="15"/>
        <v>3000</v>
      </c>
      <c r="AH31" s="68"/>
      <c r="AI31" s="66">
        <v>35</v>
      </c>
      <c r="AJ31" s="54">
        <v>197925</v>
      </c>
      <c r="AK31" s="55">
        <f t="shared" si="16"/>
        <v>5655</v>
      </c>
      <c r="AL31" s="54">
        <v>45675</v>
      </c>
      <c r="AM31" s="56">
        <f t="shared" si="17"/>
        <v>1305</v>
      </c>
      <c r="AN31" s="67">
        <f t="shared" si="28"/>
        <v>243600</v>
      </c>
      <c r="AO31" s="69">
        <f t="shared" si="18"/>
        <v>6960</v>
      </c>
      <c r="AP31" s="70"/>
      <c r="AQ31" s="66">
        <v>303</v>
      </c>
      <c r="AR31" s="54">
        <v>1087900</v>
      </c>
      <c r="AS31" s="55">
        <f t="shared" si="19"/>
        <v>3590.4290429042903</v>
      </c>
      <c r="AT31" s="54">
        <v>577150</v>
      </c>
      <c r="AU31" s="56">
        <f t="shared" si="20"/>
        <v>1904.7854785478548</v>
      </c>
      <c r="AV31" s="56">
        <v>23430</v>
      </c>
      <c r="AW31" s="56"/>
      <c r="AX31" s="71">
        <f>AR31+AT31+AV31+AW31-BP31</f>
        <v>1688480</v>
      </c>
      <c r="AY31" s="69">
        <f t="shared" si="21"/>
        <v>5572.5412541254127</v>
      </c>
      <c r="AZ31" s="84">
        <f t="shared" si="22"/>
        <v>46</v>
      </c>
      <c r="BA31" s="61">
        <f t="shared" si="23"/>
        <v>1613735</v>
      </c>
      <c r="BB31" s="61">
        <f t="shared" si="24"/>
        <v>671225</v>
      </c>
      <c r="BC31" s="73">
        <f>W31+AF31+AN31+AX31-BO31</f>
        <v>2308390</v>
      </c>
      <c r="BD31" s="74">
        <f t="shared" ref="BD31:BD34" si="35">BH31+BI31</f>
        <v>5500</v>
      </c>
      <c r="BE31" s="75">
        <v>46</v>
      </c>
      <c r="BF31" s="76">
        <v>316910</v>
      </c>
      <c r="BG31" s="76">
        <v>47400</v>
      </c>
      <c r="BH31" s="77">
        <v>2200</v>
      </c>
      <c r="BI31" s="77">
        <v>3300</v>
      </c>
      <c r="BJ31" s="77"/>
      <c r="BK31" s="77"/>
      <c r="BL31" s="78">
        <f t="shared" si="29"/>
        <v>369810</v>
      </c>
      <c r="BM31" s="49">
        <v>27</v>
      </c>
      <c r="BN31" s="79">
        <f t="shared" si="25"/>
        <v>369810</v>
      </c>
    </row>
    <row r="32" spans="2:68" ht="20" customHeight="1">
      <c r="B32" s="80">
        <f t="shared" si="26"/>
        <v>45836</v>
      </c>
      <c r="C32" s="81"/>
      <c r="D32" s="52"/>
      <c r="E32" s="53">
        <v>43</v>
      </c>
      <c r="F32" s="54">
        <f>45100+109120</f>
        <v>154220</v>
      </c>
      <c r="G32" s="55">
        <f t="shared" si="0"/>
        <v>3260.4651162790697</v>
      </c>
      <c r="H32" s="54">
        <v>23470</v>
      </c>
      <c r="I32" s="55">
        <f t="shared" si="27"/>
        <v>496.18604651162792</v>
      </c>
      <c r="J32" s="57">
        <f t="shared" si="1"/>
        <v>177690</v>
      </c>
      <c r="K32" s="58">
        <f t="shared" si="2"/>
        <v>4132.3255813953492</v>
      </c>
      <c r="L32" s="59"/>
      <c r="M32" s="60">
        <f t="shared" si="3"/>
        <v>25</v>
      </c>
      <c r="N32" s="61">
        <f t="shared" si="3"/>
        <v>299200</v>
      </c>
      <c r="O32" s="55">
        <f t="shared" si="4"/>
        <v>10880</v>
      </c>
      <c r="P32" s="61">
        <f t="shared" si="5"/>
        <v>67230</v>
      </c>
      <c r="Q32" s="55">
        <f t="shared" si="6"/>
        <v>2444.7199999999998</v>
      </c>
      <c r="R32" s="62">
        <f t="shared" si="7"/>
        <v>366430</v>
      </c>
      <c r="S32" s="58">
        <f t="shared" si="8"/>
        <v>14657.2</v>
      </c>
      <c r="T32" s="82">
        <f t="shared" si="9"/>
        <v>68</v>
      </c>
      <c r="U32" s="61">
        <f t="shared" si="9"/>
        <v>453420</v>
      </c>
      <c r="V32" s="61">
        <f t="shared" si="10"/>
        <v>90700</v>
      </c>
      <c r="W32" s="64">
        <f t="shared" si="11"/>
        <v>544120</v>
      </c>
      <c r="X32" s="83"/>
      <c r="Y32" s="65"/>
      <c r="Z32" s="66">
        <v>6</v>
      </c>
      <c r="AA32" s="66"/>
      <c r="AB32" s="54">
        <v>15000</v>
      </c>
      <c r="AC32" s="55">
        <f t="shared" si="12"/>
        <v>2500</v>
      </c>
      <c r="AD32" s="54">
        <v>1500</v>
      </c>
      <c r="AE32" s="56">
        <f t="shared" si="13"/>
        <v>250</v>
      </c>
      <c r="AF32" s="67">
        <f t="shared" si="14"/>
        <v>16500</v>
      </c>
      <c r="AG32" s="58">
        <f t="shared" si="15"/>
        <v>2750</v>
      </c>
      <c r="AH32" s="68"/>
      <c r="AI32" s="66">
        <v>35</v>
      </c>
      <c r="AJ32" s="54">
        <v>137025</v>
      </c>
      <c r="AK32" s="55">
        <f t="shared" si="16"/>
        <v>3915</v>
      </c>
      <c r="AL32" s="54">
        <v>45675</v>
      </c>
      <c r="AM32" s="56">
        <f t="shared" si="17"/>
        <v>1305</v>
      </c>
      <c r="AN32" s="67">
        <f t="shared" si="28"/>
        <v>182700</v>
      </c>
      <c r="AO32" s="69">
        <f t="shared" si="18"/>
        <v>5220</v>
      </c>
      <c r="AP32" s="70"/>
      <c r="AQ32" s="66">
        <v>559</v>
      </c>
      <c r="AR32" s="54">
        <v>1729450</v>
      </c>
      <c r="AS32" s="55">
        <f t="shared" si="19"/>
        <v>3093.8282647584974</v>
      </c>
      <c r="AT32" s="54">
        <v>922050</v>
      </c>
      <c r="AU32" s="56">
        <f t="shared" si="20"/>
        <v>1649.4633273703041</v>
      </c>
      <c r="AV32" s="56">
        <v>55880</v>
      </c>
      <c r="AW32" s="56"/>
      <c r="AX32" s="71">
        <f t="shared" ref="AX32" si="36">AR32+AT32+AV32+AW32</f>
        <v>2707380</v>
      </c>
      <c r="AY32" s="69">
        <f t="shared" si="21"/>
        <v>4843.2558139534885</v>
      </c>
      <c r="AZ32" s="84">
        <f t="shared" si="22"/>
        <v>68</v>
      </c>
      <c r="BA32" s="61">
        <f>U32+AB32+AJ32+AR32</f>
        <v>2334895</v>
      </c>
      <c r="BB32" s="61">
        <f t="shared" si="24"/>
        <v>1059925</v>
      </c>
      <c r="BC32" s="73">
        <f>W32+AF32+AN32+AX32-BO32</f>
        <v>3450700</v>
      </c>
      <c r="BD32" s="74">
        <f>BH32+BI32</f>
        <v>4400</v>
      </c>
      <c r="BE32" s="75">
        <v>68</v>
      </c>
      <c r="BF32" s="76">
        <f>453420</f>
        <v>453420</v>
      </c>
      <c r="BG32" s="76">
        <v>90700</v>
      </c>
      <c r="BH32" s="77">
        <v>3300</v>
      </c>
      <c r="BI32" s="77">
        <v>1100</v>
      </c>
      <c r="BJ32" s="77">
        <v>13300</v>
      </c>
      <c r="BK32" s="77"/>
      <c r="BL32" s="78">
        <f>SUM(BF32:BI32)</f>
        <v>548520</v>
      </c>
      <c r="BM32" s="49">
        <v>28</v>
      </c>
    </row>
    <row r="33" spans="2:68" ht="20" customHeight="1">
      <c r="B33" s="80">
        <f t="shared" si="26"/>
        <v>45837</v>
      </c>
      <c r="C33" s="81"/>
      <c r="D33" s="52"/>
      <c r="E33" s="53">
        <v>23</v>
      </c>
      <c r="F33" s="54">
        <v>102410</v>
      </c>
      <c r="G33" s="55">
        <f t="shared" si="0"/>
        <v>4047.8260869565215</v>
      </c>
      <c r="H33" s="54">
        <v>19100</v>
      </c>
      <c r="I33" s="55">
        <f t="shared" si="27"/>
        <v>754.91304347826087</v>
      </c>
      <c r="J33" s="57">
        <f t="shared" si="1"/>
        <v>121510</v>
      </c>
      <c r="K33" s="58">
        <f t="shared" si="2"/>
        <v>5283.04347826087</v>
      </c>
      <c r="L33" s="59"/>
      <c r="M33" s="60">
        <f t="shared" si="3"/>
        <v>20</v>
      </c>
      <c r="N33" s="61">
        <f t="shared" si="3"/>
        <v>203830</v>
      </c>
      <c r="O33" s="55">
        <f t="shared" si="4"/>
        <v>9265</v>
      </c>
      <c r="P33" s="61">
        <f t="shared" si="5"/>
        <v>28100</v>
      </c>
      <c r="Q33" s="55">
        <f t="shared" si="6"/>
        <v>1277.25</v>
      </c>
      <c r="R33" s="62">
        <f t="shared" si="7"/>
        <v>231930</v>
      </c>
      <c r="S33" s="58">
        <f t="shared" si="8"/>
        <v>11596.5</v>
      </c>
      <c r="T33" s="82">
        <f t="shared" si="9"/>
        <v>43</v>
      </c>
      <c r="U33" s="61">
        <f t="shared" si="9"/>
        <v>306240</v>
      </c>
      <c r="V33" s="61">
        <f t="shared" si="10"/>
        <v>47200</v>
      </c>
      <c r="W33" s="64">
        <f>J33+R33</f>
        <v>353440</v>
      </c>
      <c r="X33" s="83"/>
      <c r="Y33" s="65"/>
      <c r="Z33" s="66">
        <v>8</v>
      </c>
      <c r="AA33" s="66"/>
      <c r="AB33" s="54">
        <v>20000</v>
      </c>
      <c r="AC33" s="55">
        <f t="shared" si="12"/>
        <v>2500</v>
      </c>
      <c r="AD33" s="54">
        <v>2000</v>
      </c>
      <c r="AE33" s="56">
        <f t="shared" si="13"/>
        <v>250</v>
      </c>
      <c r="AF33" s="67">
        <f t="shared" si="14"/>
        <v>22000</v>
      </c>
      <c r="AG33" s="58">
        <f t="shared" si="15"/>
        <v>2750</v>
      </c>
      <c r="AH33" s="68"/>
      <c r="AI33" s="66"/>
      <c r="AJ33" s="54"/>
      <c r="AK33" s="55" t="e">
        <f t="shared" si="16"/>
        <v>#DIV/0!</v>
      </c>
      <c r="AL33" s="54"/>
      <c r="AM33" s="56" t="e">
        <f t="shared" si="17"/>
        <v>#DIV/0!</v>
      </c>
      <c r="AN33" s="67">
        <f t="shared" si="28"/>
        <v>0</v>
      </c>
      <c r="AO33" s="69" t="str">
        <f t="shared" si="18"/>
        <v/>
      </c>
      <c r="AP33" s="70"/>
      <c r="AQ33" s="66">
        <v>452</v>
      </c>
      <c r="AR33" s="54">
        <v>1285640</v>
      </c>
      <c r="AS33" s="55">
        <f t="shared" si="19"/>
        <v>2844.3362831858408</v>
      </c>
      <c r="AT33" s="54">
        <v>700200</v>
      </c>
      <c r="AU33" s="56">
        <f t="shared" si="20"/>
        <v>1549.1150442477876</v>
      </c>
      <c r="AV33" s="56">
        <v>16390</v>
      </c>
      <c r="AW33" s="56">
        <v>14850</v>
      </c>
      <c r="AX33" s="71">
        <f>AR33+AT33+AV33+AW33-BP33</f>
        <v>2013922</v>
      </c>
      <c r="AY33" s="69">
        <f t="shared" si="21"/>
        <v>4455.5796460176989</v>
      </c>
      <c r="AZ33" s="84">
        <f t="shared" si="22"/>
        <v>43</v>
      </c>
      <c r="BA33" s="61">
        <f t="shared" si="23"/>
        <v>1611880</v>
      </c>
      <c r="BB33" s="61">
        <f t="shared" si="24"/>
        <v>749400</v>
      </c>
      <c r="BC33" s="73">
        <f>W33+AF33+AN33+AX33-BO33</f>
        <v>2389362</v>
      </c>
      <c r="BD33" s="74">
        <f t="shared" si="35"/>
        <v>8800</v>
      </c>
      <c r="BE33" s="75">
        <v>43</v>
      </c>
      <c r="BF33" s="76">
        <v>306240</v>
      </c>
      <c r="BG33" s="76">
        <v>47200</v>
      </c>
      <c r="BH33" s="77">
        <v>5500</v>
      </c>
      <c r="BI33" s="77">
        <v>3300</v>
      </c>
      <c r="BJ33" s="77"/>
      <c r="BK33" s="77"/>
      <c r="BL33" s="78">
        <f t="shared" si="29"/>
        <v>362240</v>
      </c>
      <c r="BM33" s="49">
        <v>29</v>
      </c>
      <c r="BN33" s="79">
        <f t="shared" si="25"/>
        <v>362240</v>
      </c>
      <c r="BP33" s="49">
        <v>3158</v>
      </c>
    </row>
    <row r="34" spans="2:68" ht="20" customHeight="1">
      <c r="B34" s="80">
        <f t="shared" si="26"/>
        <v>45838</v>
      </c>
      <c r="C34" s="81"/>
      <c r="D34" s="52"/>
      <c r="E34" s="53">
        <v>25</v>
      </c>
      <c r="F34" s="54">
        <v>106590</v>
      </c>
      <c r="G34" s="55">
        <f t="shared" si="0"/>
        <v>3876</v>
      </c>
      <c r="H34" s="54">
        <v>16020</v>
      </c>
      <c r="I34" s="55">
        <f t="shared" si="27"/>
        <v>582.52</v>
      </c>
      <c r="J34" s="57">
        <f t="shared" si="1"/>
        <v>122610</v>
      </c>
      <c r="K34" s="58">
        <f t="shared" si="2"/>
        <v>4904.3999999999996</v>
      </c>
      <c r="L34" s="59"/>
      <c r="M34" s="60">
        <f t="shared" si="3"/>
        <v>5</v>
      </c>
      <c r="N34" s="61">
        <f t="shared" si="3"/>
        <v>39160</v>
      </c>
      <c r="O34" s="55">
        <f t="shared" si="4"/>
        <v>7120</v>
      </c>
      <c r="P34" s="61">
        <f t="shared" si="5"/>
        <v>30370</v>
      </c>
      <c r="Q34" s="55">
        <f t="shared" si="6"/>
        <v>5521.8</v>
      </c>
      <c r="R34" s="62">
        <f t="shared" si="7"/>
        <v>69530</v>
      </c>
      <c r="S34" s="58">
        <f t="shared" si="8"/>
        <v>13906</v>
      </c>
      <c r="T34" s="82">
        <f t="shared" si="9"/>
        <v>30</v>
      </c>
      <c r="U34" s="61">
        <f t="shared" si="9"/>
        <v>145750</v>
      </c>
      <c r="V34" s="61">
        <f t="shared" si="10"/>
        <v>46390</v>
      </c>
      <c r="W34" s="64">
        <f t="shared" si="11"/>
        <v>192140</v>
      </c>
      <c r="X34" s="83"/>
      <c r="Y34" s="88"/>
      <c r="Z34" s="89">
        <v>0</v>
      </c>
      <c r="AA34" s="89"/>
      <c r="AB34" s="90"/>
      <c r="AC34" s="55" t="e">
        <f t="shared" si="12"/>
        <v>#DIV/0!</v>
      </c>
      <c r="AD34" s="90"/>
      <c r="AE34" s="56" t="e">
        <f t="shared" si="13"/>
        <v>#DIV/0!</v>
      </c>
      <c r="AF34" s="67">
        <f t="shared" si="14"/>
        <v>0</v>
      </c>
      <c r="AG34" s="58" t="e">
        <f t="shared" si="15"/>
        <v>#DIV/0!</v>
      </c>
      <c r="AH34" s="68"/>
      <c r="AI34" s="89"/>
      <c r="AJ34" s="90"/>
      <c r="AK34" s="55" t="e">
        <f t="shared" si="16"/>
        <v>#DIV/0!</v>
      </c>
      <c r="AL34" s="90"/>
      <c r="AM34" s="56" t="e">
        <f t="shared" si="17"/>
        <v>#DIV/0!</v>
      </c>
      <c r="AN34" s="67">
        <f t="shared" si="28"/>
        <v>0</v>
      </c>
      <c r="AO34" s="69" t="str">
        <f t="shared" si="18"/>
        <v/>
      </c>
      <c r="AP34" s="70"/>
      <c r="AQ34" s="89">
        <v>259</v>
      </c>
      <c r="AR34" s="90">
        <v>674300</v>
      </c>
      <c r="AS34" s="55">
        <f t="shared" si="19"/>
        <v>2603.4749034749034</v>
      </c>
      <c r="AT34" s="90">
        <v>374450</v>
      </c>
      <c r="AU34" s="56">
        <f t="shared" si="20"/>
        <v>1445.7528957528957</v>
      </c>
      <c r="AV34" s="56">
        <v>17710</v>
      </c>
      <c r="AW34" s="56"/>
      <c r="AX34" s="71">
        <f>AR34+AT34+AV34+AW34</f>
        <v>1066460</v>
      </c>
      <c r="AY34" s="69">
        <f t="shared" si="21"/>
        <v>4117.6061776061779</v>
      </c>
      <c r="AZ34" s="84">
        <f t="shared" si="22"/>
        <v>30</v>
      </c>
      <c r="BA34" s="61">
        <f t="shared" si="23"/>
        <v>820050</v>
      </c>
      <c r="BB34" s="61">
        <f t="shared" si="24"/>
        <v>420840</v>
      </c>
      <c r="BC34" s="73">
        <f>W34+AF34+AN34+AX34</f>
        <v>1258600</v>
      </c>
      <c r="BD34" s="74">
        <f t="shared" si="35"/>
        <v>1100</v>
      </c>
      <c r="BE34" s="75">
        <v>30</v>
      </c>
      <c r="BF34" s="76">
        <v>145750</v>
      </c>
      <c r="BG34" s="76">
        <v>46390</v>
      </c>
      <c r="BH34" s="77">
        <v>1100</v>
      </c>
      <c r="BI34" s="77"/>
      <c r="BJ34" s="77"/>
      <c r="BK34" s="77"/>
      <c r="BL34" s="78">
        <f t="shared" si="29"/>
        <v>193240</v>
      </c>
      <c r="BM34" s="49">
        <v>30</v>
      </c>
      <c r="BN34" s="79">
        <f t="shared" si="25"/>
        <v>193240</v>
      </c>
    </row>
    <row r="35" spans="2:68" ht="20" customHeight="1" thickBot="1">
      <c r="B35" s="80">
        <f t="shared" si="26"/>
        <v>45839</v>
      </c>
      <c r="C35" s="81"/>
      <c r="D35" s="52"/>
      <c r="E35" s="53"/>
      <c r="F35" s="54"/>
      <c r="G35" s="55" t="e">
        <f t="shared" si="0"/>
        <v>#DIV/0!</v>
      </c>
      <c r="H35" s="54"/>
      <c r="I35" s="55" t="e">
        <f t="shared" si="27"/>
        <v>#DIV/0!</v>
      </c>
      <c r="J35" s="57">
        <f t="shared" si="1"/>
        <v>0</v>
      </c>
      <c r="K35" s="58" t="str">
        <f t="shared" si="2"/>
        <v/>
      </c>
      <c r="L35" s="59"/>
      <c r="M35" s="91">
        <f t="shared" si="3"/>
        <v>0</v>
      </c>
      <c r="N35" s="61">
        <f t="shared" si="3"/>
        <v>0</v>
      </c>
      <c r="O35" s="55" t="e">
        <f t="shared" si="4"/>
        <v>#DIV/0!</v>
      </c>
      <c r="P35" s="61">
        <f t="shared" si="5"/>
        <v>0</v>
      </c>
      <c r="Q35" s="55" t="e">
        <f t="shared" si="6"/>
        <v>#DIV/0!</v>
      </c>
      <c r="R35" s="62">
        <f t="shared" si="7"/>
        <v>0</v>
      </c>
      <c r="S35" s="58" t="e">
        <f t="shared" si="8"/>
        <v>#DIV/0!</v>
      </c>
      <c r="T35" s="92">
        <f t="shared" si="9"/>
        <v>0</v>
      </c>
      <c r="U35" s="93">
        <f t="shared" si="9"/>
        <v>0</v>
      </c>
      <c r="V35" s="93">
        <f t="shared" si="10"/>
        <v>0</v>
      </c>
      <c r="W35" s="94">
        <f t="shared" si="11"/>
        <v>0</v>
      </c>
      <c r="X35" s="93"/>
      <c r="Y35" s="95"/>
      <c r="Z35" s="96"/>
      <c r="AA35" s="96"/>
      <c r="AB35" s="97"/>
      <c r="AC35" s="98" t="e">
        <f t="shared" si="12"/>
        <v>#DIV/0!</v>
      </c>
      <c r="AD35" s="97"/>
      <c r="AE35" s="99" t="e">
        <f t="shared" si="13"/>
        <v>#DIV/0!</v>
      </c>
      <c r="AF35" s="100">
        <f t="shared" si="14"/>
        <v>0</v>
      </c>
      <c r="AG35" s="58" t="str">
        <f t="shared" si="15"/>
        <v/>
      </c>
      <c r="AH35" s="101"/>
      <c r="AI35" s="96"/>
      <c r="AJ35" s="97"/>
      <c r="AK35" s="98" t="e">
        <f t="shared" si="16"/>
        <v>#DIV/0!</v>
      </c>
      <c r="AL35" s="97"/>
      <c r="AM35" s="99" t="e">
        <f t="shared" si="17"/>
        <v>#DIV/0!</v>
      </c>
      <c r="AN35" s="67">
        <f t="shared" si="28"/>
        <v>0</v>
      </c>
      <c r="AO35" s="69" t="str">
        <f t="shared" si="18"/>
        <v/>
      </c>
      <c r="AP35" s="102"/>
      <c r="AQ35" s="96"/>
      <c r="AR35" s="97"/>
      <c r="AS35" s="98" t="e">
        <f t="shared" si="19"/>
        <v>#DIV/0!</v>
      </c>
      <c r="AT35" s="97"/>
      <c r="AU35" s="99" t="e">
        <f t="shared" si="20"/>
        <v>#DIV/0!</v>
      </c>
      <c r="AV35" s="99"/>
      <c r="AW35" s="56"/>
      <c r="AX35" s="71">
        <f t="shared" si="34"/>
        <v>0</v>
      </c>
      <c r="AY35" s="69" t="str">
        <f t="shared" si="21"/>
        <v/>
      </c>
      <c r="AZ35" s="103">
        <f t="shared" si="22"/>
        <v>0</v>
      </c>
      <c r="BA35" s="61">
        <f t="shared" si="23"/>
        <v>0</v>
      </c>
      <c r="BB35" s="61">
        <f t="shared" si="24"/>
        <v>0</v>
      </c>
      <c r="BC35" s="73">
        <f>W35+AF35+AN35+AX35-BO35</f>
        <v>0</v>
      </c>
      <c r="BD35" s="74">
        <f t="shared" si="30"/>
        <v>0</v>
      </c>
      <c r="BE35" s="104"/>
      <c r="BF35" s="105"/>
      <c r="BG35" s="105"/>
      <c r="BH35" s="106"/>
      <c r="BI35" s="106"/>
      <c r="BJ35" s="106"/>
      <c r="BK35" s="106"/>
      <c r="BL35" s="78">
        <f t="shared" si="29"/>
        <v>0</v>
      </c>
      <c r="BM35" s="49">
        <v>31</v>
      </c>
      <c r="BN35" s="79">
        <f t="shared" si="25"/>
        <v>0</v>
      </c>
    </row>
    <row r="36" spans="2:68" s="129" customFormat="1" ht="20" customHeight="1" thickTop="1">
      <c r="B36" s="107" t="s">
        <v>29</v>
      </c>
      <c r="C36" s="108">
        <f>SUM(C5:C35)</f>
        <v>0</v>
      </c>
      <c r="D36" s="109">
        <f>SUM(D5:D35)</f>
        <v>0</v>
      </c>
      <c r="E36" s="110">
        <f>SUM(E5:E35)</f>
        <v>831</v>
      </c>
      <c r="F36" s="111">
        <f>SUM(F5:F35)</f>
        <v>3336280</v>
      </c>
      <c r="G36" s="112">
        <f>F36/E36</f>
        <v>4014.7773766546329</v>
      </c>
      <c r="H36" s="108">
        <f>SUM(H5:H35)</f>
        <v>516250</v>
      </c>
      <c r="I36" s="113">
        <f>H36/E36</f>
        <v>621.23947051744881</v>
      </c>
      <c r="J36" s="114">
        <f>SUM(J5:J35)</f>
        <v>3852530</v>
      </c>
      <c r="K36" s="115">
        <f>J36/E36</f>
        <v>4636.0168471720817</v>
      </c>
      <c r="L36" s="116">
        <f>SUM(L5:L35)</f>
        <v>0</v>
      </c>
      <c r="M36" s="110">
        <f>SUM(M5:M35)</f>
        <v>492</v>
      </c>
      <c r="N36" s="111">
        <f>SUM(N5:N35)</f>
        <v>4811970</v>
      </c>
      <c r="O36" s="112">
        <f>N36/M36</f>
        <v>9780.4268292682918</v>
      </c>
      <c r="P36" s="117">
        <f>SUM(P5:P35)</f>
        <v>1143500</v>
      </c>
      <c r="Q36" s="113">
        <f>P36/M36</f>
        <v>2324.1869918699185</v>
      </c>
      <c r="R36" s="118">
        <f>SUM(R5:R35)</f>
        <v>5955470</v>
      </c>
      <c r="S36" s="119">
        <f>R36/M36</f>
        <v>12104.613821138211</v>
      </c>
      <c r="T36" s="110">
        <f t="shared" ref="T36:AB36" si="37">SUM(T5:T35)</f>
        <v>1323</v>
      </c>
      <c r="U36" s="117">
        <f t="shared" si="37"/>
        <v>8148250</v>
      </c>
      <c r="V36" s="117">
        <f t="shared" si="37"/>
        <v>1659750</v>
      </c>
      <c r="W36" s="114">
        <f>SUM(W5:W35)</f>
        <v>9808000</v>
      </c>
      <c r="X36" s="120">
        <f t="shared" si="37"/>
        <v>0</v>
      </c>
      <c r="Y36" s="109">
        <f t="shared" si="37"/>
        <v>0</v>
      </c>
      <c r="Z36" s="110">
        <f t="shared" si="37"/>
        <v>152</v>
      </c>
      <c r="AA36" s="121"/>
      <c r="AB36" s="112">
        <f t="shared" si="37"/>
        <v>388450</v>
      </c>
      <c r="AC36" s="112">
        <f>AB36/Z36</f>
        <v>2555.5921052631579</v>
      </c>
      <c r="AD36" s="108">
        <f>SUM(AD5:AD35)</f>
        <v>44600</v>
      </c>
      <c r="AE36" s="113">
        <f>AD36/Z36</f>
        <v>293.42105263157896</v>
      </c>
      <c r="AF36" s="118">
        <f>SUM(AF5:AF35)</f>
        <v>433050</v>
      </c>
      <c r="AG36" s="122">
        <f>AF36/Z36</f>
        <v>2849.0131578947367</v>
      </c>
      <c r="AH36" s="123">
        <f t="shared" ref="AH36:AJ36" si="38">SUM(AH5:AH35)</f>
        <v>0</v>
      </c>
      <c r="AI36" s="110">
        <f t="shared" si="38"/>
        <v>541</v>
      </c>
      <c r="AJ36" s="112">
        <f t="shared" si="38"/>
        <v>2275050</v>
      </c>
      <c r="AK36" s="112"/>
      <c r="AL36" s="108">
        <f>SUM(AL5:AL35)</f>
        <v>686691</v>
      </c>
      <c r="AM36" s="113"/>
      <c r="AN36" s="118">
        <f>SUM(AN5:AN35)</f>
        <v>2961741</v>
      </c>
      <c r="AO36" s="124">
        <f>AN36/AI36</f>
        <v>5474.567467652495</v>
      </c>
      <c r="AP36" s="125">
        <f t="shared" ref="AP36:AR36" si="39">SUM(AP5:AP35)</f>
        <v>0</v>
      </c>
      <c r="AQ36" s="110">
        <f t="shared" si="39"/>
        <v>8280</v>
      </c>
      <c r="AR36" s="112">
        <f t="shared" si="39"/>
        <v>23097780</v>
      </c>
      <c r="AS36" s="112"/>
      <c r="AT36" s="108">
        <f>SUM(AT5:AT35)</f>
        <v>12976950</v>
      </c>
      <c r="AU36" s="113"/>
      <c r="AV36" s="108">
        <f>SUM(AV5:AV35)</f>
        <v>362230</v>
      </c>
      <c r="AW36" s="108">
        <f>SUM(AW5:AW35)</f>
        <v>17820</v>
      </c>
      <c r="AX36" s="118">
        <f>SUM(AX5:AX35)</f>
        <v>36445602</v>
      </c>
      <c r="AY36" s="124">
        <f>AX36/AQ36</f>
        <v>4401.6427536231886</v>
      </c>
      <c r="AZ36" s="121">
        <f t="shared" ref="AZ36:BL36" si="40">SUM(AZ5:AZ35)</f>
        <v>1323</v>
      </c>
      <c r="BA36" s="117">
        <f t="shared" si="40"/>
        <v>33909530</v>
      </c>
      <c r="BB36" s="117">
        <f t="shared" si="40"/>
        <v>15367991</v>
      </c>
      <c r="BC36" s="118">
        <f>SUM(BC5:BC35)</f>
        <v>49639109</v>
      </c>
      <c r="BD36" s="126">
        <f t="shared" si="40"/>
        <v>158950</v>
      </c>
      <c r="BE36" s="127">
        <f t="shared" si="40"/>
        <v>1323</v>
      </c>
      <c r="BF36" s="127">
        <f t="shared" si="40"/>
        <v>8148250</v>
      </c>
      <c r="BG36" s="127">
        <f t="shared" si="40"/>
        <v>1659750</v>
      </c>
      <c r="BH36" s="127">
        <f t="shared" si="40"/>
        <v>144650</v>
      </c>
      <c r="BI36" s="127">
        <f t="shared" si="40"/>
        <v>14300</v>
      </c>
      <c r="BJ36" s="127">
        <f t="shared" si="40"/>
        <v>16600</v>
      </c>
      <c r="BK36" s="127">
        <f t="shared" si="40"/>
        <v>119900</v>
      </c>
      <c r="BL36" s="128">
        <f t="shared" si="40"/>
        <v>9966950</v>
      </c>
      <c r="BN36" s="130">
        <f>SUM(BN5:BN35)</f>
        <v>9538330</v>
      </c>
    </row>
    <row r="37" spans="2:68" s="129" customFormat="1" ht="18">
      <c r="B37" s="131"/>
      <c r="E37" s="132" t="s">
        <v>42</v>
      </c>
      <c r="F37" s="133">
        <f>F36/1.1</f>
        <v>3032981.8181818179</v>
      </c>
      <c r="G37" s="134">
        <f>F37/E36</f>
        <v>3649.7976151405751</v>
      </c>
      <c r="H37" s="135">
        <f>H36/1.1</f>
        <v>469318.18181818177</v>
      </c>
      <c r="I37" s="134">
        <f>H37/E36</f>
        <v>564.76315501586248</v>
      </c>
      <c r="J37" s="136">
        <f>J36/1.1</f>
        <v>3502299.9999999995</v>
      </c>
      <c r="K37" s="137">
        <f>G37+I37</f>
        <v>4214.5607701564377</v>
      </c>
      <c r="L37" s="138"/>
      <c r="M37" s="132" t="s">
        <v>42</v>
      </c>
      <c r="N37" s="133">
        <f>N36/1.1</f>
        <v>4374518.1818181816</v>
      </c>
      <c r="O37" s="134">
        <f>N37/M36</f>
        <v>8891.2971175166294</v>
      </c>
      <c r="P37" s="135">
        <f>P36/1.1</f>
        <v>1039545.4545454545</v>
      </c>
      <c r="Q37" s="134">
        <f>P37/M36</f>
        <v>2112.8972653362894</v>
      </c>
      <c r="R37" s="134">
        <f>R36/1.1</f>
        <v>5414063.6363636358</v>
      </c>
      <c r="S37" s="139">
        <f>R37/M36</f>
        <v>11004.194382852918</v>
      </c>
      <c r="T37" s="132" t="s">
        <v>42</v>
      </c>
      <c r="U37" s="133">
        <f>U36/1.1</f>
        <v>7407499.9999999991</v>
      </c>
      <c r="V37" s="133">
        <f>V36/1.1</f>
        <v>1508863.6363636362</v>
      </c>
      <c r="W37" s="136">
        <f>W36/1.1</f>
        <v>8916363.6363636348</v>
      </c>
      <c r="X37" s="140"/>
      <c r="Y37" s="138"/>
      <c r="Z37" s="132" t="s">
        <v>42</v>
      </c>
      <c r="AA37" s="132"/>
      <c r="AB37" s="133">
        <f>AB36/1.1</f>
        <v>353136.36363636359</v>
      </c>
      <c r="AC37" s="135">
        <f>AB37/Z36</f>
        <v>2323.265550239234</v>
      </c>
      <c r="AD37" s="135">
        <f>AD36/1.1</f>
        <v>40545.454545454544</v>
      </c>
      <c r="AE37" s="135">
        <f>AD37/Z36</f>
        <v>266.74641148325355</v>
      </c>
      <c r="AF37" s="134">
        <f>AF36/1.1</f>
        <v>393681.81818181818</v>
      </c>
      <c r="AG37" s="141">
        <f>AF37/Z36</f>
        <v>2590.0119617224882</v>
      </c>
      <c r="AH37" s="138"/>
      <c r="AI37" s="132" t="s">
        <v>42</v>
      </c>
      <c r="AJ37" s="133">
        <f>AJ36/1.1</f>
        <v>2068227.2727272725</v>
      </c>
      <c r="AK37" s="135">
        <f>AJ37/AI36</f>
        <v>3822.9709292555867</v>
      </c>
      <c r="AL37" s="135">
        <f>AL36/1.1</f>
        <v>624264.54545454541</v>
      </c>
      <c r="AM37" s="135">
        <f>AL37/AI36</f>
        <v>1153.9085867921358</v>
      </c>
      <c r="AN37" s="134">
        <f>AN36/1.1</f>
        <v>2692491.8181818179</v>
      </c>
      <c r="AO37" s="142" t="e">
        <f>AN37/AH36</f>
        <v>#DIV/0!</v>
      </c>
      <c r="AP37" s="138"/>
      <c r="AQ37" s="132" t="s">
        <v>42</v>
      </c>
      <c r="AR37" s="133">
        <f>AR36/1.1</f>
        <v>20997981.818181816</v>
      </c>
      <c r="AS37" s="135">
        <f>AR37/AQ36</f>
        <v>2535.98814229249</v>
      </c>
      <c r="AT37" s="135">
        <f>AT36/1.1</f>
        <v>11797227.272727272</v>
      </c>
      <c r="AU37" s="135">
        <f>AT37/AQ36</f>
        <v>1424.7859025032938</v>
      </c>
      <c r="AV37" s="135">
        <f>AV36/1.1</f>
        <v>329300</v>
      </c>
      <c r="AW37" s="135">
        <f>AW36/1.1</f>
        <v>16199.999999999998</v>
      </c>
      <c r="AX37" s="134">
        <f>AX36/1.1</f>
        <v>33132365.454545453</v>
      </c>
      <c r="AY37" s="142">
        <f>AX37/AQ36</f>
        <v>4001.4934123847165</v>
      </c>
      <c r="AZ37" s="143" t="s">
        <v>42</v>
      </c>
      <c r="BA37" s="133">
        <f>BA36/1.1</f>
        <v>30826845.454545453</v>
      </c>
      <c r="BB37" s="133">
        <f>BB36/1.1</f>
        <v>13970900.909090908</v>
      </c>
      <c r="BC37" s="134">
        <f>BC36/1.1</f>
        <v>45126462.727272727</v>
      </c>
      <c r="BD37" s="144">
        <f>BD36/1.1</f>
        <v>144500</v>
      </c>
      <c r="BH37" s="129">
        <f>BH36/1.1</f>
        <v>131500</v>
      </c>
      <c r="BI37" s="145"/>
      <c r="BL37" s="146">
        <f>BL36/1.1</f>
        <v>9060863.6363636348</v>
      </c>
      <c r="BN37" s="146"/>
    </row>
    <row r="38" spans="2:68">
      <c r="C38" s="49">
        <v>30</v>
      </c>
      <c r="E38" s="147" t="s">
        <v>43</v>
      </c>
      <c r="F38" s="148">
        <f>E36/G38</f>
        <v>27.7</v>
      </c>
      <c r="G38" s="149">
        <v>30</v>
      </c>
      <c r="H38" s="148"/>
      <c r="I38" s="148"/>
      <c r="J38" s="150" t="s">
        <v>44</v>
      </c>
      <c r="K38" s="151">
        <f>J37/G38</f>
        <v>116743.33333333331</v>
      </c>
      <c r="M38" s="147" t="s">
        <v>43</v>
      </c>
      <c r="N38" s="148">
        <f>M36/O38</f>
        <v>16.399999999999999</v>
      </c>
      <c r="O38" s="149">
        <f>G38</f>
        <v>30</v>
      </c>
      <c r="P38" s="148"/>
      <c r="Q38" s="148"/>
      <c r="R38" s="150" t="s">
        <v>44</v>
      </c>
      <c r="S38" s="152">
        <f>R37/O38</f>
        <v>180468.78787878787</v>
      </c>
      <c r="U38" s="153">
        <f>O38</f>
        <v>30</v>
      </c>
      <c r="W38" s="85">
        <f>W37/U38</f>
        <v>297212.12121212116</v>
      </c>
      <c r="X38" s="79"/>
      <c r="AB38" s="154">
        <f>G38</f>
        <v>30</v>
      </c>
      <c r="AC38" s="148"/>
      <c r="AD38" s="148"/>
      <c r="AE38" s="148"/>
      <c r="AF38" s="148"/>
      <c r="AG38" s="151">
        <f>AF37/AB38</f>
        <v>13122.727272727272</v>
      </c>
      <c r="AJ38" s="154">
        <f>AB38</f>
        <v>30</v>
      </c>
      <c r="AK38" s="148"/>
      <c r="AL38" s="148"/>
      <c r="AM38" s="148"/>
      <c r="AN38" s="148"/>
      <c r="AO38" s="151">
        <f>AN37/AJ38</f>
        <v>89749.727272727265</v>
      </c>
      <c r="AR38" s="154">
        <f>G38</f>
        <v>30</v>
      </c>
      <c r="AS38" s="148"/>
      <c r="AT38" s="148"/>
      <c r="AU38" s="148"/>
      <c r="AV38" s="148"/>
      <c r="AW38" s="148"/>
      <c r="AX38" s="148"/>
      <c r="AY38" s="151">
        <f>AX37/AR38</f>
        <v>1104412.1818181819</v>
      </c>
      <c r="BC38" s="85"/>
      <c r="BD38" s="79" t="e">
        <f>BC37/BE37</f>
        <v>#DIV/0!</v>
      </c>
      <c r="BE38" s="155">
        <f>AZ36+T36</f>
        <v>2646</v>
      </c>
      <c r="BI38" s="85"/>
    </row>
    <row r="39" spans="2:68">
      <c r="D39" s="156" t="s">
        <v>45</v>
      </c>
      <c r="E39" s="157"/>
      <c r="F39" s="148"/>
      <c r="G39" s="158"/>
      <c r="H39" s="148"/>
      <c r="I39" s="148"/>
      <c r="J39" s="150"/>
      <c r="K39" s="151"/>
      <c r="L39" s="159" t="s">
        <v>46</v>
      </c>
      <c r="M39" s="147"/>
      <c r="N39" s="148"/>
      <c r="O39" s="148"/>
      <c r="P39" s="148"/>
      <c r="Q39" s="148"/>
      <c r="R39" s="150"/>
      <c r="S39" s="151"/>
      <c r="V39" s="85">
        <f>V37/T36</f>
        <v>1140.4864976293547</v>
      </c>
      <c r="W39" s="85"/>
      <c r="X39" s="79"/>
      <c r="Y39" s="159" t="s">
        <v>47</v>
      </c>
      <c r="AB39" s="148"/>
      <c r="AC39" s="148"/>
      <c r="AD39" s="148"/>
      <c r="AE39" s="148"/>
      <c r="AF39" s="148"/>
      <c r="AG39" s="151"/>
      <c r="AH39" s="159" t="s">
        <v>48</v>
      </c>
      <c r="AJ39" s="148"/>
      <c r="AK39" s="148"/>
      <c r="AL39" s="148"/>
      <c r="AM39" s="148"/>
      <c r="AN39" s="148"/>
      <c r="AO39" s="151"/>
      <c r="AP39" s="159" t="s">
        <v>49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49798059</v>
      </c>
      <c r="BD39" s="160">
        <f>BC39/G38</f>
        <v>1659935.3</v>
      </c>
      <c r="BE39" s="49" t="s">
        <v>50</v>
      </c>
      <c r="BI39" s="85"/>
    </row>
    <row r="40" spans="2:68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45270962.727272727</v>
      </c>
    </row>
    <row r="41" spans="2:68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1509032.0909090908</v>
      </c>
      <c r="BE41" s="49" t="s">
        <v>51</v>
      </c>
      <c r="BF41" s="49">
        <v>9</v>
      </c>
    </row>
    <row r="42" spans="2:68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11797227.272727272</v>
      </c>
    </row>
    <row r="43" spans="2:68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45270962.727272727</v>
      </c>
      <c r="BD43" s="163" t="s">
        <v>52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8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53</v>
      </c>
      <c r="BC44" s="146">
        <f>J45+R45+AF45+BD44+AN45+AX45</f>
        <v>34787102</v>
      </c>
      <c r="BD44" s="167">
        <v>90000</v>
      </c>
      <c r="BE44" s="129"/>
      <c r="BF44" s="49">
        <v>6</v>
      </c>
      <c r="BG44" s="164">
        <v>7119727</v>
      </c>
      <c r="BH44" s="164">
        <v>2680643</v>
      </c>
      <c r="BI44" s="165">
        <f t="shared" ref="BI44:BI45" si="41">BH44/BG44</f>
        <v>0.37650923975034434</v>
      </c>
      <c r="BJ44" s="49" t="s">
        <v>54</v>
      </c>
    </row>
    <row r="45" spans="2:68" ht="21" customHeight="1">
      <c r="H45" s="168"/>
      <c r="I45" s="169" t="s">
        <v>55</v>
      </c>
      <c r="J45" s="146">
        <v>3570000</v>
      </c>
      <c r="K45" s="170" t="s">
        <v>56</v>
      </c>
      <c r="L45" s="129"/>
      <c r="M45" s="129"/>
      <c r="N45" s="129"/>
      <c r="O45" s="129"/>
      <c r="P45" s="129"/>
      <c r="Q45" s="169" t="s">
        <v>57</v>
      </c>
      <c r="R45" s="146">
        <v>5992000</v>
      </c>
      <c r="S45" s="170" t="s">
        <v>56</v>
      </c>
      <c r="T45" s="129">
        <v>10</v>
      </c>
      <c r="U45" s="129"/>
      <c r="V45" s="169" t="s">
        <v>58</v>
      </c>
      <c r="W45" s="146">
        <f>J45+R45</f>
        <v>9562000</v>
      </c>
      <c r="X45" s="170" t="s">
        <v>56</v>
      </c>
      <c r="Y45" s="129"/>
      <c r="Z45" s="129"/>
      <c r="AA45" s="129"/>
      <c r="AB45" s="129"/>
      <c r="AC45" s="129"/>
      <c r="AD45" s="129"/>
      <c r="AE45" s="168" t="s">
        <v>104</v>
      </c>
      <c r="AF45" s="146">
        <v>345400</v>
      </c>
      <c r="AG45" s="170" t="s">
        <v>56</v>
      </c>
      <c r="AH45" s="170"/>
      <c r="AI45" s="170"/>
      <c r="AJ45" s="170"/>
      <c r="AK45" s="170"/>
      <c r="AL45" s="129"/>
      <c r="AM45" s="169" t="s">
        <v>60</v>
      </c>
      <c r="AN45" s="146">
        <v>2109702</v>
      </c>
      <c r="AO45" s="170" t="s">
        <v>56</v>
      </c>
      <c r="AP45" s="170"/>
      <c r="AQ45" s="170"/>
      <c r="AR45" s="170"/>
      <c r="AS45" s="170"/>
      <c r="AT45" s="129"/>
      <c r="AU45" s="169" t="s">
        <v>61</v>
      </c>
      <c r="AV45" s="169"/>
      <c r="AW45" s="169"/>
      <c r="AX45" s="146">
        <v>22680000</v>
      </c>
      <c r="AY45" s="170" t="s">
        <v>56</v>
      </c>
      <c r="AZ45" s="129"/>
      <c r="BA45" s="129"/>
      <c r="BB45" s="166" t="s">
        <v>62</v>
      </c>
      <c r="BC45" s="145">
        <f>BC44-BC37-BD37</f>
        <v>-10483860.727272727</v>
      </c>
      <c r="BD45" s="145">
        <f>BD44-BD37</f>
        <v>-54500</v>
      </c>
      <c r="BE45" s="171">
        <f>BD37/BD44</f>
        <v>1.6055555555555556</v>
      </c>
      <c r="BF45" s="49">
        <v>5</v>
      </c>
      <c r="BG45" s="164">
        <v>637682</v>
      </c>
      <c r="BH45" s="164"/>
      <c r="BI45" s="165">
        <f t="shared" si="41"/>
        <v>0</v>
      </c>
      <c r="BJ45" s="79" t="s">
        <v>63</v>
      </c>
      <c r="BN45" s="49"/>
    </row>
    <row r="46" spans="2:68" ht="21" customHeight="1">
      <c r="H46" s="168"/>
      <c r="I46" s="168" t="s">
        <v>62</v>
      </c>
      <c r="J46" s="145">
        <f>J45-J37</f>
        <v>67700.000000000466</v>
      </c>
      <c r="K46" s="172">
        <f>C38-G38</f>
        <v>0</v>
      </c>
      <c r="L46" s="129"/>
      <c r="M46" s="129"/>
      <c r="N46" s="129"/>
      <c r="O46" s="129"/>
      <c r="P46" s="129"/>
      <c r="Q46" s="168" t="s">
        <v>62</v>
      </c>
      <c r="R46" s="145">
        <f>R45-R37</f>
        <v>577936.36363636423</v>
      </c>
      <c r="S46" s="129">
        <f>K46</f>
        <v>0</v>
      </c>
      <c r="T46" s="129"/>
      <c r="U46" s="129"/>
      <c r="V46" s="168" t="s">
        <v>62</v>
      </c>
      <c r="W46" s="145">
        <f>W45-W37</f>
        <v>645636.36363636516</v>
      </c>
      <c r="X46" s="129">
        <f>S46</f>
        <v>0</v>
      </c>
      <c r="Y46" s="129"/>
      <c r="Z46" s="129"/>
      <c r="AA46" s="129"/>
      <c r="AB46" s="129"/>
      <c r="AC46" s="129"/>
      <c r="AD46" s="129"/>
      <c r="AE46" s="168" t="s">
        <v>62</v>
      </c>
      <c r="AF46" s="145">
        <f>AF45-AF37</f>
        <v>-48281.818181818177</v>
      </c>
      <c r="AG46" s="129">
        <f>K46</f>
        <v>0</v>
      </c>
      <c r="AH46" s="129"/>
      <c r="AI46" s="129"/>
      <c r="AJ46" s="129"/>
      <c r="AK46" s="129"/>
      <c r="AL46" s="129"/>
      <c r="AM46" s="168" t="s">
        <v>62</v>
      </c>
      <c r="AN46" s="145">
        <f>AN45-AN37</f>
        <v>-582789.81818181789</v>
      </c>
      <c r="AO46" s="129">
        <f>AG46</f>
        <v>0</v>
      </c>
      <c r="AP46" s="129"/>
      <c r="AQ46" s="129"/>
      <c r="AR46" s="129"/>
      <c r="AS46" s="129"/>
      <c r="AT46" s="129"/>
      <c r="AU46" s="168" t="s">
        <v>62</v>
      </c>
      <c r="AV46" s="168"/>
      <c r="AW46" s="173"/>
      <c r="AX46" s="145">
        <f>AX45-AX37</f>
        <v>-10452365.454545453</v>
      </c>
      <c r="AY46" s="129">
        <f>AO46</f>
        <v>0</v>
      </c>
      <c r="AZ46" s="129"/>
      <c r="BA46" s="174"/>
      <c r="BB46" s="175" t="s">
        <v>64</v>
      </c>
      <c r="BC46" s="176" t="e">
        <f>BC45/K46</f>
        <v>#DIV/0!</v>
      </c>
      <c r="BD46" s="177">
        <f>(BC37+BD37)/BC44</f>
        <v>1.3013720639124444</v>
      </c>
      <c r="BE46" s="174"/>
      <c r="BF46" s="178"/>
      <c r="BG46" s="179">
        <f>SUM(BG41:BG45)</f>
        <v>35398272.636363633</v>
      </c>
      <c r="BH46" s="180">
        <f>BL71</f>
        <v>9138052</v>
      </c>
      <c r="BI46" s="181">
        <f>BH46/BG46</f>
        <v>0.2581496587099773</v>
      </c>
      <c r="BJ46" s="182">
        <f>BG46-BH46</f>
        <v>26260220.636363633</v>
      </c>
      <c r="BN46" s="49"/>
    </row>
    <row r="47" spans="2:68" s="178" customFormat="1" ht="26" customHeight="1">
      <c r="B47" s="183"/>
      <c r="H47" s="184"/>
      <c r="I47" s="175" t="s">
        <v>64</v>
      </c>
      <c r="J47" s="185" t="e">
        <f>J46/K46</f>
        <v>#DIV/0!</v>
      </c>
      <c r="K47" s="186">
        <f>J37/J45</f>
        <v>0.98103641456582624</v>
      </c>
      <c r="L47" s="174"/>
      <c r="M47" s="174"/>
      <c r="N47" s="174"/>
      <c r="O47" s="174"/>
      <c r="P47" s="174"/>
      <c r="Q47" s="175" t="s">
        <v>64</v>
      </c>
      <c r="R47" s="176" t="e">
        <f>R46/S46</f>
        <v>#DIV/0!</v>
      </c>
      <c r="S47" s="186">
        <f>R37/R45</f>
        <v>0.90354867095521296</v>
      </c>
      <c r="T47" s="174"/>
      <c r="U47" s="174"/>
      <c r="V47" s="175" t="s">
        <v>64</v>
      </c>
      <c r="W47" s="176" t="e">
        <f>W46/X46</f>
        <v>#DIV/0!</v>
      </c>
      <c r="X47" s="186">
        <f>W37/W45</f>
        <v>0.93247894126371411</v>
      </c>
      <c r="Y47" s="174"/>
      <c r="Z47" s="174"/>
      <c r="AA47" s="174"/>
      <c r="AB47" s="174"/>
      <c r="AC47" s="174"/>
      <c r="AD47" s="174"/>
      <c r="AE47" s="175" t="s">
        <v>64</v>
      </c>
      <c r="AF47" s="185" t="e">
        <f>AF46/AG46</f>
        <v>#DIV/0!</v>
      </c>
      <c r="AG47" s="186">
        <f>AF37/AF45</f>
        <v>1.1397852292467232</v>
      </c>
      <c r="AH47" s="186"/>
      <c r="AI47" s="186"/>
      <c r="AJ47" s="186"/>
      <c r="AK47" s="186"/>
      <c r="AL47" s="174"/>
      <c r="AM47" s="175" t="s">
        <v>64</v>
      </c>
      <c r="AN47" s="176" t="e">
        <f>AN46/AO46</f>
        <v>#DIV/0!</v>
      </c>
      <c r="AO47" s="186">
        <f>AN37/AN45</f>
        <v>1.2762427196740667</v>
      </c>
      <c r="AP47" s="186"/>
      <c r="AQ47" s="186"/>
      <c r="AR47" s="186"/>
      <c r="AS47" s="186"/>
      <c r="AT47" s="174"/>
      <c r="AU47" s="175" t="s">
        <v>64</v>
      </c>
      <c r="AV47" s="175"/>
      <c r="AW47" s="175" t="e">
        <f>AW46/AY46</f>
        <v>#DIV/0!</v>
      </c>
      <c r="AX47" s="176" t="e">
        <f>AX46/AY46</f>
        <v>#DIV/0!</v>
      </c>
      <c r="AY47" s="186">
        <f>AX37/AX45</f>
        <v>1.4608626743626743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8">
      <c r="H48" s="49">
        <v>931</v>
      </c>
      <c r="I48" s="49">
        <f>H48/31</f>
        <v>30.032258064516128</v>
      </c>
      <c r="K48" s="49">
        <f>J45/31</f>
        <v>115161.29032258065</v>
      </c>
      <c r="P48" s="49">
        <v>557</v>
      </c>
      <c r="Q48" s="49">
        <f>P48/31</f>
        <v>17.967741935483872</v>
      </c>
      <c r="S48" s="49">
        <f>R45/31</f>
        <v>193290.32258064515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I49" s="188" t="s">
        <v>65</v>
      </c>
      <c r="J49" s="190">
        <f>(I5+I8+I9+I10+I11+I12+I15+I16+I17+I18+I19+I22+I23+I24+I25+I26)/16</f>
        <v>563.51162016291153</v>
      </c>
      <c r="K49" s="188">
        <v>800000</v>
      </c>
      <c r="L49" s="191"/>
      <c r="M49" s="49"/>
      <c r="N49" s="49"/>
      <c r="O49" s="49"/>
      <c r="P49" s="49"/>
      <c r="Q49" s="49"/>
      <c r="R49" s="191">
        <v>400000</v>
      </c>
      <c r="AF49" s="188">
        <f>AF45/30</f>
        <v>11513.333333333334</v>
      </c>
      <c r="AR49" s="192">
        <f>AQ14+AQ21</f>
        <v>444</v>
      </c>
      <c r="AS49" s="193">
        <f>AS14+AS21</f>
        <v>5243.4043778801843</v>
      </c>
      <c r="AT49" s="193">
        <f>AU14+AU21</f>
        <v>3203.8553324555628</v>
      </c>
      <c r="AX49" s="188">
        <f>AX45/30</f>
        <v>756000</v>
      </c>
      <c r="BA49" s="1"/>
      <c r="BB49" s="1"/>
      <c r="BC49" s="1"/>
      <c r="BD49" s="1"/>
      <c r="BE49" s="194" t="s">
        <v>66</v>
      </c>
      <c r="BF49" s="1" t="s">
        <v>67</v>
      </c>
      <c r="BG49" s="1" t="s">
        <v>68</v>
      </c>
      <c r="BH49" s="1" t="s">
        <v>69</v>
      </c>
      <c r="BI49" s="1" t="s">
        <v>70</v>
      </c>
      <c r="BJ49" s="195" t="s">
        <v>71</v>
      </c>
      <c r="BK49" s="195" t="s">
        <v>72</v>
      </c>
      <c r="BL49" s="195" t="s">
        <v>73</v>
      </c>
    </row>
    <row r="50" spans="2:64" s="1" customFormat="1" ht="24" customHeight="1">
      <c r="B50" s="189"/>
      <c r="I50" s="1" t="s">
        <v>74</v>
      </c>
      <c r="J50" s="190">
        <f>(I6+I7+I13+I14+I20+I21+I27)/7</f>
        <v>458.29570831467385</v>
      </c>
      <c r="L50" s="196"/>
      <c r="M50" s="49"/>
      <c r="N50" s="49"/>
      <c r="O50" s="49"/>
      <c r="P50" s="49"/>
      <c r="Q50" s="49"/>
      <c r="R50" s="196"/>
      <c r="S50" s="196"/>
      <c r="Z50" s="197"/>
      <c r="AA50" s="197"/>
      <c r="AR50" s="1">
        <f>AR49/2</f>
        <v>222</v>
      </c>
      <c r="AS50" s="198">
        <f t="shared" ref="AS50:AT50" si="42">AS49/2</f>
        <v>2621.7021889400921</v>
      </c>
      <c r="AT50" s="198">
        <f t="shared" si="42"/>
        <v>1601.9276662277814</v>
      </c>
      <c r="AX50" s="1">
        <v>54000000</v>
      </c>
      <c r="AY50" s="199">
        <f>AX50-AX37</f>
        <v>20867634.545454547</v>
      </c>
      <c r="BA50" s="188"/>
      <c r="BB50" s="188"/>
      <c r="BC50" s="188"/>
      <c r="BD50" s="188"/>
      <c r="BE50" s="194" t="s">
        <v>75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K51" s="1"/>
      <c r="L51" s="196"/>
      <c r="M51" s="49"/>
      <c r="N51" s="49"/>
      <c r="O51" s="49"/>
      <c r="P51" s="49"/>
      <c r="Q51" s="49"/>
      <c r="R51" s="203"/>
      <c r="S51" s="204"/>
      <c r="T51" s="204"/>
      <c r="U51" s="204" t="s">
        <v>76</v>
      </c>
      <c r="V51" s="204"/>
      <c r="W51" s="205"/>
      <c r="X51" s="206"/>
      <c r="Y51" s="194"/>
      <c r="Z51" s="202"/>
      <c r="AA51" s="202"/>
      <c r="AY51" s="188" t="e">
        <f>AY50/AY46</f>
        <v>#DIV/0!</v>
      </c>
      <c r="BE51" s="194" t="s">
        <v>77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3">BF51*BG51</f>
        <v>6912000</v>
      </c>
      <c r="BK51" s="202">
        <f t="shared" ref="BK51:BK70" si="44">BF51*BH51</f>
        <v>216000</v>
      </c>
      <c r="BL51" s="202">
        <f t="shared" ref="BL51:BL70" si="45">BJ51-BK51</f>
        <v>6696000</v>
      </c>
    </row>
    <row r="52" spans="2:64" s="188" customFormat="1" ht="24" customHeight="1">
      <c r="B52" s="189"/>
      <c r="K52" s="1"/>
      <c r="L52" s="196"/>
      <c r="M52" s="49"/>
      <c r="N52" s="49"/>
      <c r="O52" s="49"/>
      <c r="P52" s="49"/>
      <c r="Q52" s="49"/>
      <c r="R52" s="205"/>
      <c r="S52" s="204"/>
      <c r="T52" s="204"/>
      <c r="U52" s="207" t="s">
        <v>78</v>
      </c>
      <c r="V52" s="208" t="s">
        <v>79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80</v>
      </c>
      <c r="BF52" s="200">
        <v>6120</v>
      </c>
      <c r="BG52" s="200">
        <v>40</v>
      </c>
      <c r="BH52" s="200">
        <v>4</v>
      </c>
      <c r="BI52" s="200"/>
      <c r="BJ52" s="202">
        <f t="shared" si="43"/>
        <v>244800</v>
      </c>
      <c r="BK52" s="202">
        <f t="shared" si="44"/>
        <v>24480</v>
      </c>
      <c r="BL52" s="202">
        <f t="shared" si="45"/>
        <v>220320</v>
      </c>
    </row>
    <row r="53" spans="2:64" s="188" customFormat="1" ht="24" customHeight="1">
      <c r="B53" s="189"/>
      <c r="K53" s="1"/>
      <c r="L53" s="196"/>
      <c r="M53" s="49"/>
      <c r="N53" s="49"/>
      <c r="O53" s="49"/>
      <c r="P53" s="49"/>
      <c r="Q53" s="49"/>
      <c r="R53" s="205"/>
      <c r="S53" s="204"/>
      <c r="T53" s="204"/>
      <c r="U53" s="207"/>
      <c r="V53" s="208" t="s">
        <v>81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82</v>
      </c>
      <c r="BE53" s="194" t="s">
        <v>83</v>
      </c>
      <c r="BF53" s="200">
        <v>1780</v>
      </c>
      <c r="BG53" s="200">
        <v>24</v>
      </c>
      <c r="BH53" s="200">
        <v>4</v>
      </c>
      <c r="BI53" s="200"/>
      <c r="BJ53" s="202">
        <f t="shared" si="43"/>
        <v>42720</v>
      </c>
      <c r="BK53" s="202">
        <f t="shared" si="44"/>
        <v>7120</v>
      </c>
      <c r="BL53" s="202">
        <f t="shared" si="45"/>
        <v>35600</v>
      </c>
    </row>
    <row r="54" spans="2:64" s="188" customFormat="1" ht="24" customHeight="1">
      <c r="B54" s="189"/>
      <c r="K54" s="1"/>
      <c r="L54" s="196"/>
      <c r="M54" s="49"/>
      <c r="N54" s="49"/>
      <c r="O54" s="49"/>
      <c r="P54" s="49"/>
      <c r="Q54" s="49"/>
      <c r="R54" s="205"/>
      <c r="S54" s="204"/>
      <c r="T54" s="204"/>
      <c r="U54" s="213" t="s">
        <v>84</v>
      </c>
      <c r="V54" s="208" t="s">
        <v>79</v>
      </c>
      <c r="W54" s="209"/>
      <c r="X54" s="210" t="e">
        <f t="shared" ref="X54" si="46">W54/Y54</f>
        <v>#DIV/0!</v>
      </c>
      <c r="Y54" s="211">
        <f t="shared" ref="Y54" si="47">W54+W55</f>
        <v>0</v>
      </c>
      <c r="Z54" s="212"/>
      <c r="AA54" s="212"/>
      <c r="AB54" s="212"/>
      <c r="BE54" s="194" t="s">
        <v>85</v>
      </c>
      <c r="BF54" s="200">
        <v>1780</v>
      </c>
      <c r="BG54" s="200">
        <v>24</v>
      </c>
      <c r="BH54" s="200">
        <v>20</v>
      </c>
      <c r="BI54" s="200"/>
      <c r="BJ54" s="202">
        <f t="shared" si="43"/>
        <v>42720</v>
      </c>
      <c r="BK54" s="202">
        <f t="shared" si="44"/>
        <v>35600</v>
      </c>
      <c r="BL54" s="202">
        <f t="shared" si="45"/>
        <v>7120</v>
      </c>
    </row>
    <row r="55" spans="2:64" s="188" customFormat="1" ht="24" customHeight="1">
      <c r="B55" s="189"/>
      <c r="L55" s="191"/>
      <c r="M55" s="49"/>
      <c r="N55" s="49"/>
      <c r="O55" s="49"/>
      <c r="P55" s="49"/>
      <c r="Q55" s="49"/>
      <c r="R55" s="214"/>
      <c r="S55" s="204"/>
      <c r="T55" s="204"/>
      <c r="U55" s="213"/>
      <c r="V55" s="208" t="s">
        <v>81</v>
      </c>
      <c r="W55" s="209"/>
      <c r="X55" s="210" t="e">
        <f t="shared" ref="X55" si="48">W55/Y54</f>
        <v>#DIV/0!</v>
      </c>
      <c r="Y55" s="212"/>
      <c r="Z55" s="212"/>
      <c r="AA55" s="212"/>
      <c r="AB55" s="212"/>
      <c r="AX55" s="200">
        <f>AX36 +1000</f>
        <v>36446602</v>
      </c>
      <c r="AY55" s="190">
        <f>'[1]2025(5)'!AX34+'[1]2025(5)'!AX35</f>
        <v>2847290</v>
      </c>
      <c r="BA55" s="85">
        <f>AX55+AY55</f>
        <v>39293892</v>
      </c>
      <c r="BB55" s="49"/>
      <c r="BC55" s="49"/>
      <c r="BD55" s="49"/>
      <c r="BE55" s="194" t="s">
        <v>86</v>
      </c>
      <c r="BF55" s="215">
        <v>8190</v>
      </c>
      <c r="BG55" s="200">
        <v>13</v>
      </c>
      <c r="BH55" s="200">
        <v>4</v>
      </c>
      <c r="BI55" s="200"/>
      <c r="BJ55" s="202">
        <f t="shared" si="43"/>
        <v>106470</v>
      </c>
      <c r="BK55" s="202">
        <f t="shared" si="44"/>
        <v>32760</v>
      </c>
      <c r="BL55" s="202">
        <f t="shared" si="45"/>
        <v>73710</v>
      </c>
    </row>
    <row r="56" spans="2:64" ht="24" customHeight="1">
      <c r="U56" s="216" t="s">
        <v>2</v>
      </c>
      <c r="V56" s="217" t="s">
        <v>79</v>
      </c>
      <c r="W56" s="209"/>
      <c r="X56" s="210" t="e">
        <f t="shared" ref="X56:X58" si="49">W56/Y56</f>
        <v>#DIV/0!</v>
      </c>
      <c r="Y56" s="211">
        <f t="shared" ref="Y56" si="50">W56+W57</f>
        <v>0</v>
      </c>
      <c r="Z56" s="212"/>
      <c r="AA56" s="212"/>
      <c r="AB56" s="212"/>
      <c r="AX56" s="215"/>
      <c r="AY56" s="163"/>
      <c r="BA56" s="85">
        <f>BA55-BA57</f>
        <v>28252252</v>
      </c>
      <c r="BE56" s="194" t="s">
        <v>87</v>
      </c>
      <c r="BF56" s="215">
        <v>5784</v>
      </c>
      <c r="BG56" s="215">
        <v>36</v>
      </c>
      <c r="BH56" s="215">
        <v>28</v>
      </c>
      <c r="BI56" s="215"/>
      <c r="BJ56" s="202">
        <f t="shared" si="43"/>
        <v>208224</v>
      </c>
      <c r="BK56" s="202">
        <f t="shared" si="44"/>
        <v>161952</v>
      </c>
      <c r="BL56" s="202">
        <f t="shared" si="45"/>
        <v>46272</v>
      </c>
    </row>
    <row r="57" spans="2:64" ht="24" customHeight="1">
      <c r="U57" s="216"/>
      <c r="V57" s="217" t="s">
        <v>81</v>
      </c>
      <c r="W57" s="209"/>
      <c r="X57" s="210" t="e">
        <f t="shared" ref="X57:X59" si="51">W57/Y56</f>
        <v>#DIV/0!</v>
      </c>
      <c r="Y57" s="212"/>
      <c r="Z57" s="212"/>
      <c r="AA57" s="212"/>
      <c r="AB57" s="212"/>
      <c r="AX57" s="215">
        <v>10513690</v>
      </c>
      <c r="AY57" s="163">
        <v>527950</v>
      </c>
      <c r="BA57" s="85">
        <f t="shared" ref="BA57" si="52">AX57+AY57</f>
        <v>11041640</v>
      </c>
      <c r="BE57" s="194" t="s">
        <v>88</v>
      </c>
      <c r="BF57" s="215">
        <v>6775</v>
      </c>
      <c r="BG57" s="215">
        <v>12</v>
      </c>
      <c r="BH57" s="215">
        <v>11</v>
      </c>
      <c r="BI57" s="215"/>
      <c r="BJ57" s="202">
        <f t="shared" si="43"/>
        <v>81300</v>
      </c>
      <c r="BK57" s="202">
        <f t="shared" si="44"/>
        <v>74525</v>
      </c>
      <c r="BL57" s="202">
        <f t="shared" si="45"/>
        <v>6775</v>
      </c>
    </row>
    <row r="58" spans="2:64" ht="24" customHeight="1">
      <c r="U58" s="218" t="s">
        <v>89</v>
      </c>
      <c r="V58" s="217" t="s">
        <v>79</v>
      </c>
      <c r="W58" s="209"/>
      <c r="X58" s="210" t="e">
        <f t="shared" si="49"/>
        <v>#DIV/0!</v>
      </c>
      <c r="Y58" s="219">
        <f>SUM(Y52:AB56)</f>
        <v>0</v>
      </c>
      <c r="Z58" s="220"/>
      <c r="AA58" s="220"/>
      <c r="AB58" s="220"/>
      <c r="AX58" s="215"/>
      <c r="BA58" s="49">
        <f>BA55/BA57</f>
        <v>3.5587007002582949</v>
      </c>
      <c r="BE58" s="194" t="s">
        <v>90</v>
      </c>
      <c r="BF58" s="215">
        <v>1755</v>
      </c>
      <c r="BG58" s="215">
        <v>14</v>
      </c>
      <c r="BH58" s="215">
        <v>2</v>
      </c>
      <c r="BI58" s="215"/>
      <c r="BJ58" s="202">
        <f t="shared" si="43"/>
        <v>24570</v>
      </c>
      <c r="BK58" s="202">
        <f t="shared" si="44"/>
        <v>3510</v>
      </c>
      <c r="BL58" s="202">
        <f t="shared" si="45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81</v>
      </c>
      <c r="W59" s="209"/>
      <c r="X59" s="210" t="e">
        <f t="shared" si="51"/>
        <v>#DIV/0!</v>
      </c>
      <c r="Y59" s="220"/>
      <c r="Z59" s="220"/>
      <c r="AA59" s="220"/>
      <c r="AB59" s="220"/>
      <c r="AX59" s="215"/>
      <c r="BE59" s="194" t="s">
        <v>91</v>
      </c>
      <c r="BF59" s="215">
        <v>1755</v>
      </c>
      <c r="BG59" s="215">
        <v>10</v>
      </c>
      <c r="BH59" s="215">
        <v>0</v>
      </c>
      <c r="BI59" s="215"/>
      <c r="BJ59" s="202">
        <f t="shared" si="43"/>
        <v>17550</v>
      </c>
      <c r="BK59" s="202">
        <f t="shared" si="44"/>
        <v>0</v>
      </c>
      <c r="BL59" s="202">
        <f t="shared" si="45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92</v>
      </c>
      <c r="BF60" s="215">
        <v>1075</v>
      </c>
      <c r="BG60" s="215">
        <v>96</v>
      </c>
      <c r="BH60" s="215">
        <v>38</v>
      </c>
      <c r="BI60" s="215"/>
      <c r="BJ60" s="202">
        <f t="shared" si="43"/>
        <v>103200</v>
      </c>
      <c r="BK60" s="202">
        <f t="shared" si="44"/>
        <v>40850</v>
      </c>
      <c r="BL60" s="202">
        <f t="shared" si="45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93</v>
      </c>
      <c r="BF61" s="215">
        <v>3860</v>
      </c>
      <c r="BG61" s="215">
        <v>166</v>
      </c>
      <c r="BH61" s="215">
        <v>13</v>
      </c>
      <c r="BI61" s="215"/>
      <c r="BJ61" s="202">
        <f t="shared" si="43"/>
        <v>640760</v>
      </c>
      <c r="BK61" s="202">
        <f t="shared" si="44"/>
        <v>50180</v>
      </c>
      <c r="BL61" s="202">
        <f t="shared" si="45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94</v>
      </c>
      <c r="BF62" s="215">
        <v>6450</v>
      </c>
      <c r="BG62" s="215">
        <v>137</v>
      </c>
      <c r="BH62" s="215">
        <v>12</v>
      </c>
      <c r="BI62" s="215"/>
      <c r="BJ62" s="202">
        <f t="shared" si="43"/>
        <v>883650</v>
      </c>
      <c r="BK62" s="202">
        <f t="shared" si="44"/>
        <v>77400</v>
      </c>
      <c r="BL62" s="202">
        <f t="shared" si="45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95</v>
      </c>
      <c r="BF63" s="215">
        <v>1380</v>
      </c>
      <c r="BG63" s="215">
        <v>35</v>
      </c>
      <c r="BH63" s="215">
        <v>5</v>
      </c>
      <c r="BI63" s="215"/>
      <c r="BJ63" s="202">
        <f t="shared" si="43"/>
        <v>48300</v>
      </c>
      <c r="BK63" s="202">
        <f t="shared" si="44"/>
        <v>6900</v>
      </c>
      <c r="BL63" s="202">
        <f t="shared" si="45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96</v>
      </c>
      <c r="BF64" s="215">
        <v>1380</v>
      </c>
      <c r="BG64" s="215">
        <v>39</v>
      </c>
      <c r="BH64" s="215">
        <v>6</v>
      </c>
      <c r="BI64" s="215"/>
      <c r="BJ64" s="202">
        <f t="shared" si="43"/>
        <v>53820</v>
      </c>
      <c r="BK64" s="202">
        <f t="shared" si="44"/>
        <v>8280</v>
      </c>
      <c r="BL64" s="202">
        <f t="shared" si="45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97</v>
      </c>
      <c r="BF65" s="215">
        <v>160</v>
      </c>
      <c r="BG65" s="215">
        <v>594</v>
      </c>
      <c r="BH65" s="215">
        <v>53</v>
      </c>
      <c r="BI65" s="215"/>
      <c r="BJ65" s="202">
        <f t="shared" si="43"/>
        <v>95040</v>
      </c>
      <c r="BK65" s="202">
        <f t="shared" si="44"/>
        <v>8480</v>
      </c>
      <c r="BL65" s="202">
        <f t="shared" si="45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98</v>
      </c>
      <c r="BF66" s="215">
        <v>160</v>
      </c>
      <c r="BG66" s="215">
        <v>300</v>
      </c>
      <c r="BH66" s="215">
        <v>47</v>
      </c>
      <c r="BI66" s="215"/>
      <c r="BJ66" s="202">
        <f t="shared" si="43"/>
        <v>48000</v>
      </c>
      <c r="BK66" s="202">
        <f t="shared" si="44"/>
        <v>7520</v>
      </c>
      <c r="BL66" s="202">
        <f t="shared" si="45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99</v>
      </c>
      <c r="BF67" s="215">
        <v>205</v>
      </c>
      <c r="BG67" s="215">
        <v>366</v>
      </c>
      <c r="BH67" s="215">
        <v>49</v>
      </c>
      <c r="BI67" s="215"/>
      <c r="BJ67" s="202">
        <f t="shared" si="43"/>
        <v>75030</v>
      </c>
      <c r="BK67" s="202">
        <f t="shared" si="44"/>
        <v>10045</v>
      </c>
      <c r="BL67" s="202">
        <f t="shared" si="45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100</v>
      </c>
      <c r="BF68" s="215">
        <v>295</v>
      </c>
      <c r="BG68" s="215">
        <v>612</v>
      </c>
      <c r="BH68" s="215">
        <v>86</v>
      </c>
      <c r="BI68" s="215"/>
      <c r="BJ68" s="202">
        <f t="shared" si="43"/>
        <v>180540</v>
      </c>
      <c r="BK68" s="202">
        <f t="shared" si="44"/>
        <v>25370</v>
      </c>
      <c r="BL68" s="202">
        <f t="shared" si="45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101</v>
      </c>
      <c r="BF69" s="215">
        <v>70</v>
      </c>
      <c r="BG69" s="215">
        <v>480</v>
      </c>
      <c r="BH69" s="215">
        <v>71</v>
      </c>
      <c r="BI69" s="215"/>
      <c r="BJ69" s="202">
        <f t="shared" si="43"/>
        <v>33600</v>
      </c>
      <c r="BK69" s="202">
        <f t="shared" si="44"/>
        <v>4970</v>
      </c>
      <c r="BL69" s="202">
        <f t="shared" si="45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102</v>
      </c>
      <c r="BF70" s="215">
        <v>2450</v>
      </c>
      <c r="BG70" s="215">
        <v>31</v>
      </c>
      <c r="BH70" s="215">
        <v>9</v>
      </c>
      <c r="BI70" s="215"/>
      <c r="BJ70" s="202">
        <f t="shared" si="43"/>
        <v>75950</v>
      </c>
      <c r="BK70" s="202">
        <f t="shared" si="44"/>
        <v>22050</v>
      </c>
      <c r="BL70" s="202">
        <f t="shared" si="45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3">SUM(BK50:BK70)</f>
        <v>817992</v>
      </c>
      <c r="BL71" s="221">
        <f t="shared" si="53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2025.04</vt:lpstr>
      <vt:lpstr>2025.05</vt:lpstr>
      <vt:lpstr>2025.06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2026-02-11T11:17:29Z</dcterms:created>
  <dcterms:modified xsi:type="dcterms:W3CDTF">2026-02-11T11:21:51Z</dcterms:modified>
</cp:coreProperties>
</file>