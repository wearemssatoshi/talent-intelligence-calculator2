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BD3F0953-F486-064E-A5DB-8ED0EA16FC5D}" xr6:coauthVersionLast="47" xr6:coauthVersionMax="47" xr10:uidLastSave="{00000000-0000-0000-0000-000000000000}"/>
  <bookViews>
    <workbookView xWindow="0" yWindow="660" windowWidth="30240" windowHeight="18980" activeTab="1" xr2:uid="{BD4C9608-8D1C-7342-80E5-67F463CF7BCF}"/>
  </bookViews>
  <sheets>
    <sheet name="202６.０１" sheetId="1" r:id="rId1"/>
    <sheet name="202６.０２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" i="2" l="1"/>
  <c r="N74" i="2"/>
  <c r="I74" i="2"/>
  <c r="H74" i="2"/>
  <c r="G74" i="2"/>
  <c r="Q73" i="2"/>
  <c r="Q74" i="2" s="1"/>
  <c r="P73" i="2"/>
  <c r="P74" i="2" s="1"/>
  <c r="O73" i="2"/>
  <c r="N73" i="2"/>
  <c r="I73" i="2"/>
  <c r="H73" i="2"/>
  <c r="G73" i="2"/>
  <c r="F73" i="2"/>
  <c r="F74" i="2" s="1"/>
  <c r="BL67" i="2"/>
  <c r="BK67" i="2"/>
  <c r="BJ67" i="2"/>
  <c r="BK66" i="2"/>
  <c r="BJ66" i="2"/>
  <c r="BL66" i="2" s="1"/>
  <c r="BK65" i="2"/>
  <c r="BJ65" i="2"/>
  <c r="BK64" i="2"/>
  <c r="BL64" i="2" s="1"/>
  <c r="BJ64" i="2"/>
  <c r="BK63" i="2"/>
  <c r="BJ63" i="2"/>
  <c r="BL63" i="2" s="1"/>
  <c r="BK62" i="2"/>
  <c r="BJ62" i="2"/>
  <c r="BL62" i="2" s="1"/>
  <c r="BK61" i="2"/>
  <c r="BL61" i="2" s="1"/>
  <c r="BJ61" i="2"/>
  <c r="BK60" i="2"/>
  <c r="BJ60" i="2"/>
  <c r="BL60" i="2" s="1"/>
  <c r="BK59" i="2"/>
  <c r="BJ59" i="2"/>
  <c r="BL59" i="2" s="1"/>
  <c r="BK58" i="2"/>
  <c r="BJ58" i="2"/>
  <c r="BL58" i="2" s="1"/>
  <c r="BL57" i="2"/>
  <c r="BK57" i="2"/>
  <c r="BJ57" i="2"/>
  <c r="BK56" i="2"/>
  <c r="BJ56" i="2"/>
  <c r="BK55" i="2"/>
  <c r="BL55" i="2" s="1"/>
  <c r="BJ55" i="2"/>
  <c r="BL54" i="2"/>
  <c r="BK54" i="2"/>
  <c r="BJ54" i="2"/>
  <c r="BA54" i="2"/>
  <c r="BL53" i="2"/>
  <c r="BK53" i="2"/>
  <c r="BM53" i="2" s="1"/>
  <c r="AE53" i="2"/>
  <c r="AD53" i="2"/>
  <c r="AB53" i="2"/>
  <c r="AC53" i="2" s="1"/>
  <c r="Z53" i="2"/>
  <c r="P53" i="2"/>
  <c r="H53" i="2"/>
  <c r="F53" i="2"/>
  <c r="E53" i="2"/>
  <c r="BL52" i="2"/>
  <c r="BM52" i="2" s="1"/>
  <c r="BK52" i="2"/>
  <c r="AZ52" i="2"/>
  <c r="AD52" i="2"/>
  <c r="AE52" i="2" s="1"/>
  <c r="AB52" i="2"/>
  <c r="AC52" i="2" s="1"/>
  <c r="Z52" i="2"/>
  <c r="H52" i="2"/>
  <c r="F52" i="2"/>
  <c r="G52" i="2" s="1"/>
  <c r="E52" i="2"/>
  <c r="I52" i="2" s="1"/>
  <c r="BL51" i="2"/>
  <c r="BK51" i="2"/>
  <c r="BM51" i="2" s="1"/>
  <c r="AF51" i="2"/>
  <c r="AG51" i="2" s="1"/>
  <c r="AE51" i="2"/>
  <c r="AD51" i="2"/>
  <c r="AB51" i="2"/>
  <c r="AC51" i="2" s="1"/>
  <c r="Z51" i="2"/>
  <c r="I51" i="2"/>
  <c r="H51" i="2"/>
  <c r="F51" i="2"/>
  <c r="G51" i="2" s="1"/>
  <c r="E51" i="2"/>
  <c r="BM50" i="2"/>
  <c r="BL50" i="2"/>
  <c r="BK50" i="2"/>
  <c r="AE50" i="2"/>
  <c r="AD50" i="2"/>
  <c r="AC50" i="2"/>
  <c r="AB50" i="2"/>
  <c r="Z50" i="2"/>
  <c r="N50" i="2"/>
  <c r="H50" i="2"/>
  <c r="I50" i="2" s="1"/>
  <c r="F50" i="2"/>
  <c r="E50" i="2"/>
  <c r="G50" i="2" s="1"/>
  <c r="BL49" i="2"/>
  <c r="BK49" i="2"/>
  <c r="BM49" i="2" s="1"/>
  <c r="AF49" i="2"/>
  <c r="AG49" i="2" s="1"/>
  <c r="AD49" i="2"/>
  <c r="AE49" i="2" s="1"/>
  <c r="AC49" i="2"/>
  <c r="AB49" i="2"/>
  <c r="Z49" i="2"/>
  <c r="N49" i="2"/>
  <c r="F49" i="2"/>
  <c r="E49" i="2"/>
  <c r="BM48" i="2"/>
  <c r="BL48" i="2"/>
  <c r="BK48" i="2"/>
  <c r="AD48" i="2"/>
  <c r="AE48" i="2" s="1"/>
  <c r="AB48" i="2"/>
  <c r="AC48" i="2" s="1"/>
  <c r="Z48" i="2"/>
  <c r="H48" i="2"/>
  <c r="I48" i="2" s="1"/>
  <c r="G48" i="2"/>
  <c r="F48" i="2"/>
  <c r="E48" i="2"/>
  <c r="BL47" i="2"/>
  <c r="BK47" i="2"/>
  <c r="AU47" i="2"/>
  <c r="AS47" i="2"/>
  <c r="AD47" i="2"/>
  <c r="AE47" i="2" s="1"/>
  <c r="AB47" i="2"/>
  <c r="AC47" i="2" s="1"/>
  <c r="Z47" i="2"/>
  <c r="H47" i="2"/>
  <c r="I47" i="2" s="1"/>
  <c r="F47" i="2"/>
  <c r="G47" i="2" s="1"/>
  <c r="E47" i="2"/>
  <c r="AY46" i="2"/>
  <c r="AS46" i="2"/>
  <c r="AG43" i="2"/>
  <c r="AO43" i="2" s="1"/>
  <c r="AY43" i="2" s="1"/>
  <c r="AW44" i="2" s="1"/>
  <c r="K43" i="2"/>
  <c r="S43" i="2" s="1"/>
  <c r="X43" i="2" s="1"/>
  <c r="BI42" i="2"/>
  <c r="W42" i="2"/>
  <c r="BI41" i="2"/>
  <c r="BC41" i="2"/>
  <c r="BG40" i="2"/>
  <c r="BI40" i="2" s="1"/>
  <c r="V38" i="2"/>
  <c r="AR35" i="2"/>
  <c r="AJ35" i="2"/>
  <c r="AB35" i="2"/>
  <c r="O35" i="2"/>
  <c r="U35" i="2" s="1"/>
  <c r="F35" i="2"/>
  <c r="AT34" i="2"/>
  <c r="AS34" i="2"/>
  <c r="AR34" i="2"/>
  <c r="AL34" i="2"/>
  <c r="AJ34" i="2"/>
  <c r="AD34" i="2"/>
  <c r="AE34" i="2" s="1"/>
  <c r="BK33" i="2"/>
  <c r="BJ33" i="2"/>
  <c r="BI33" i="2"/>
  <c r="BH33" i="2"/>
  <c r="BE33" i="2"/>
  <c r="AW33" i="2"/>
  <c r="AW34" i="2" s="1"/>
  <c r="AV33" i="2"/>
  <c r="AV34" i="2" s="1"/>
  <c r="AT33" i="2"/>
  <c r="AR33" i="2"/>
  <c r="AQ33" i="2"/>
  <c r="AP33" i="2"/>
  <c r="AL33" i="2"/>
  <c r="AJ33" i="2"/>
  <c r="AI33" i="2"/>
  <c r="AH33" i="2"/>
  <c r="AD33" i="2"/>
  <c r="AE33" i="2" s="1"/>
  <c r="AC33" i="2"/>
  <c r="AB33" i="2"/>
  <c r="AB34" i="2" s="1"/>
  <c r="AC34" i="2" s="1"/>
  <c r="Z33" i="2"/>
  <c r="Y33" i="2"/>
  <c r="X33" i="2"/>
  <c r="L33" i="2"/>
  <c r="E33" i="2"/>
  <c r="D33" i="2"/>
  <c r="C33" i="2"/>
  <c r="BN32" i="2"/>
  <c r="BL32" i="2"/>
  <c r="BD32" i="2"/>
  <c r="BB32" i="2"/>
  <c r="AY32" i="2"/>
  <c r="AX32" i="2"/>
  <c r="AU32" i="2"/>
  <c r="AS32" i="2"/>
  <c r="AO32" i="2"/>
  <c r="AN32" i="2"/>
  <c r="AM32" i="2"/>
  <c r="AK32" i="2"/>
  <c r="AG32" i="2"/>
  <c r="AF32" i="2"/>
  <c r="AE32" i="2"/>
  <c r="AC32" i="2"/>
  <c r="V32" i="2"/>
  <c r="T32" i="2"/>
  <c r="P32" i="2"/>
  <c r="Q32" i="2" s="1"/>
  <c r="N32" i="2"/>
  <c r="U32" i="2" s="1"/>
  <c r="BA32" i="2" s="1"/>
  <c r="M32" i="2"/>
  <c r="K32" i="2"/>
  <c r="J32" i="2"/>
  <c r="I32" i="2"/>
  <c r="G32" i="2"/>
  <c r="BL31" i="2"/>
  <c r="BN31" i="2" s="1"/>
  <c r="BD31" i="2"/>
  <c r="AY31" i="2"/>
  <c r="AX31" i="2"/>
  <c r="AU31" i="2"/>
  <c r="AS31" i="2"/>
  <c r="AO31" i="2"/>
  <c r="AN31" i="2"/>
  <c r="AM31" i="2"/>
  <c r="AK31" i="2"/>
  <c r="AG31" i="2"/>
  <c r="AF31" i="2"/>
  <c r="AE31" i="2"/>
  <c r="AC31" i="2"/>
  <c r="P31" i="2"/>
  <c r="N31" i="2"/>
  <c r="M31" i="2"/>
  <c r="T31" i="2" s="1"/>
  <c r="K31" i="2"/>
  <c r="J31" i="2"/>
  <c r="I31" i="2"/>
  <c r="G31" i="2"/>
  <c r="BL30" i="2"/>
  <c r="BN30" i="2" s="1"/>
  <c r="BD30" i="2"/>
  <c r="AY30" i="2"/>
  <c r="AX30" i="2"/>
  <c r="AU30" i="2"/>
  <c r="AS30" i="2"/>
  <c r="AO30" i="2"/>
  <c r="AN30" i="2"/>
  <c r="AM30" i="2"/>
  <c r="AK30" i="2"/>
  <c r="AG30" i="2"/>
  <c r="AF30" i="2"/>
  <c r="AE30" i="2"/>
  <c r="AC30" i="2"/>
  <c r="V30" i="2"/>
  <c r="BB30" i="2" s="1"/>
  <c r="U30" i="2"/>
  <c r="BA30" i="2" s="1"/>
  <c r="T30" i="2"/>
  <c r="R30" i="2"/>
  <c r="S30" i="2" s="1"/>
  <c r="P30" i="2"/>
  <c r="Q30" i="2" s="1"/>
  <c r="N30" i="2"/>
  <c r="M30" i="2"/>
  <c r="AZ30" i="2" s="1"/>
  <c r="K30" i="2"/>
  <c r="J30" i="2"/>
  <c r="W30" i="2" s="1"/>
  <c r="BC30" i="2" s="1"/>
  <c r="I30" i="2"/>
  <c r="G30" i="2"/>
  <c r="BL29" i="2"/>
  <c r="BN29" i="2" s="1"/>
  <c r="BD29" i="2"/>
  <c r="AY29" i="2"/>
  <c r="AX29" i="2"/>
  <c r="AU29" i="2"/>
  <c r="AS29" i="2"/>
  <c r="AO29" i="2"/>
  <c r="AN29" i="2"/>
  <c r="AM29" i="2"/>
  <c r="AK29" i="2"/>
  <c r="AG29" i="2"/>
  <c r="AF29" i="2"/>
  <c r="AE29" i="2"/>
  <c r="AC29" i="2"/>
  <c r="P29" i="2"/>
  <c r="V29" i="2" s="1"/>
  <c r="BB29" i="2" s="1"/>
  <c r="N29" i="2"/>
  <c r="U29" i="2" s="1"/>
  <c r="BA29" i="2" s="1"/>
  <c r="M29" i="2"/>
  <c r="T29" i="2" s="1"/>
  <c r="K29" i="2"/>
  <c r="J29" i="2"/>
  <c r="I29" i="2"/>
  <c r="G29" i="2"/>
  <c r="BL28" i="2"/>
  <c r="BN28" i="2" s="1"/>
  <c r="BD28" i="2"/>
  <c r="AY28" i="2"/>
  <c r="AX28" i="2"/>
  <c r="AU28" i="2"/>
  <c r="AS28" i="2"/>
  <c r="AO28" i="2"/>
  <c r="AN28" i="2"/>
  <c r="AM28" i="2"/>
  <c r="AK28" i="2"/>
  <c r="AG28" i="2"/>
  <c r="AF28" i="2"/>
  <c r="AE28" i="2"/>
  <c r="AC28" i="2"/>
  <c r="V28" i="2"/>
  <c r="BB28" i="2" s="1"/>
  <c r="U28" i="2"/>
  <c r="BA28" i="2" s="1"/>
  <c r="P28" i="2"/>
  <c r="N28" i="2"/>
  <c r="M28" i="2"/>
  <c r="AZ28" i="2" s="1"/>
  <c r="K28" i="2"/>
  <c r="J28" i="2"/>
  <c r="I28" i="2"/>
  <c r="G28" i="2"/>
  <c r="BL27" i="2"/>
  <c r="BN27" i="2" s="1"/>
  <c r="BD27" i="2"/>
  <c r="BB27" i="2"/>
  <c r="AZ27" i="2"/>
  <c r="AY27" i="2"/>
  <c r="AX27" i="2"/>
  <c r="AU27" i="2"/>
  <c r="AS27" i="2"/>
  <c r="AO27" i="2"/>
  <c r="AN27" i="2"/>
  <c r="AM27" i="2"/>
  <c r="AK27" i="2"/>
  <c r="AG27" i="2"/>
  <c r="AF27" i="2"/>
  <c r="AE27" i="2"/>
  <c r="AC27" i="2"/>
  <c r="P27" i="2"/>
  <c r="V27" i="2" s="1"/>
  <c r="N27" i="2"/>
  <c r="M27" i="2"/>
  <c r="T27" i="2" s="1"/>
  <c r="K27" i="2"/>
  <c r="J27" i="2"/>
  <c r="I27" i="2"/>
  <c r="G27" i="2"/>
  <c r="BL26" i="2"/>
  <c r="BN26" i="2" s="1"/>
  <c r="BD26" i="2"/>
  <c r="AY26" i="2"/>
  <c r="AX26" i="2"/>
  <c r="AU26" i="2"/>
  <c r="AS26" i="2"/>
  <c r="AO26" i="2"/>
  <c r="AN26" i="2"/>
  <c r="AM26" i="2"/>
  <c r="AK26" i="2"/>
  <c r="AG26" i="2"/>
  <c r="AF26" i="2"/>
  <c r="AE26" i="2"/>
  <c r="AC26" i="2"/>
  <c r="V26" i="2"/>
  <c r="BB26" i="2" s="1"/>
  <c r="U26" i="2"/>
  <c r="BA26" i="2" s="1"/>
  <c r="P26" i="2"/>
  <c r="Q26" i="2" s="1"/>
  <c r="N26" i="2"/>
  <c r="M26" i="2"/>
  <c r="AZ26" i="2" s="1"/>
  <c r="K26" i="2"/>
  <c r="J26" i="2"/>
  <c r="I26" i="2"/>
  <c r="G26" i="2"/>
  <c r="BL25" i="2"/>
  <c r="BN25" i="2" s="1"/>
  <c r="BD25" i="2"/>
  <c r="AY25" i="2"/>
  <c r="AX25" i="2"/>
  <c r="AU25" i="2"/>
  <c r="AS25" i="2"/>
  <c r="AO25" i="2"/>
  <c r="AN25" i="2"/>
  <c r="AM25" i="2"/>
  <c r="AK25" i="2"/>
  <c r="AG25" i="2"/>
  <c r="AF25" i="2"/>
  <c r="AE25" i="2"/>
  <c r="AC25" i="2"/>
  <c r="P25" i="2"/>
  <c r="O25" i="2"/>
  <c r="N25" i="2"/>
  <c r="U25" i="2" s="1"/>
  <c r="BA25" i="2" s="1"/>
  <c r="M25" i="2"/>
  <c r="T25" i="2" s="1"/>
  <c r="K25" i="2"/>
  <c r="J25" i="2"/>
  <c r="I25" i="2"/>
  <c r="G25" i="2"/>
  <c r="BL24" i="2"/>
  <c r="BN24" i="2" s="1"/>
  <c r="BD24" i="2"/>
  <c r="BB24" i="2"/>
  <c r="AY24" i="2"/>
  <c r="AX24" i="2"/>
  <c r="AU24" i="2"/>
  <c r="AS24" i="2"/>
  <c r="AO24" i="2"/>
  <c r="AN24" i="2"/>
  <c r="AM24" i="2"/>
  <c r="AK24" i="2"/>
  <c r="AG24" i="2"/>
  <c r="AF24" i="2"/>
  <c r="AE24" i="2"/>
  <c r="AC24" i="2"/>
  <c r="W24" i="2"/>
  <c r="BC24" i="2" s="1"/>
  <c r="V24" i="2"/>
  <c r="S24" i="2"/>
  <c r="R24" i="2"/>
  <c r="P24" i="2"/>
  <c r="N24" i="2"/>
  <c r="M24" i="2"/>
  <c r="K24" i="2"/>
  <c r="J24" i="2"/>
  <c r="I24" i="2"/>
  <c r="G24" i="2"/>
  <c r="BL23" i="2"/>
  <c r="BN23" i="2" s="1"/>
  <c r="BD23" i="2"/>
  <c r="BB23" i="2"/>
  <c r="AY23" i="2"/>
  <c r="AX23" i="2"/>
  <c r="AU23" i="2"/>
  <c r="AS23" i="2"/>
  <c r="AO23" i="2"/>
  <c r="AN23" i="2"/>
  <c r="AM23" i="2"/>
  <c r="AK23" i="2"/>
  <c r="AG23" i="2"/>
  <c r="AF23" i="2"/>
  <c r="AE23" i="2"/>
  <c r="AC23" i="2"/>
  <c r="P23" i="2"/>
  <c r="V23" i="2" s="1"/>
  <c r="N23" i="2"/>
  <c r="M23" i="2"/>
  <c r="Q23" i="2" s="1"/>
  <c r="K23" i="2"/>
  <c r="J23" i="2"/>
  <c r="I23" i="2"/>
  <c r="G23" i="2"/>
  <c r="BN22" i="2"/>
  <c r="BL22" i="2"/>
  <c r="BD22" i="2"/>
  <c r="BB22" i="2"/>
  <c r="AY22" i="2"/>
  <c r="AX22" i="2"/>
  <c r="AU22" i="2"/>
  <c r="AS22" i="2"/>
  <c r="AO22" i="2"/>
  <c r="AN22" i="2"/>
  <c r="AM22" i="2"/>
  <c r="AK22" i="2"/>
  <c r="AG22" i="2"/>
  <c r="AF22" i="2"/>
  <c r="AE22" i="2"/>
  <c r="AC22" i="2"/>
  <c r="V22" i="2"/>
  <c r="U22" i="2"/>
  <c r="BA22" i="2" s="1"/>
  <c r="T22" i="2"/>
  <c r="P22" i="2"/>
  <c r="N22" i="2"/>
  <c r="M22" i="2"/>
  <c r="K22" i="2"/>
  <c r="J22" i="2"/>
  <c r="I22" i="2"/>
  <c r="G22" i="2"/>
  <c r="BL21" i="2"/>
  <c r="BN21" i="2" s="1"/>
  <c r="BD21" i="2"/>
  <c r="AY21" i="2"/>
  <c r="AX21" i="2"/>
  <c r="AU21" i="2"/>
  <c r="AS21" i="2"/>
  <c r="AO21" i="2"/>
  <c r="AN21" i="2"/>
  <c r="AM21" i="2"/>
  <c r="AK21" i="2"/>
  <c r="AG21" i="2"/>
  <c r="AF21" i="2"/>
  <c r="AE21" i="2"/>
  <c r="AC21" i="2"/>
  <c r="P21" i="2"/>
  <c r="N21" i="2"/>
  <c r="M21" i="2"/>
  <c r="T21" i="2" s="1"/>
  <c r="K21" i="2"/>
  <c r="J21" i="2"/>
  <c r="I21" i="2"/>
  <c r="G21" i="2"/>
  <c r="BL20" i="2"/>
  <c r="BN20" i="2" s="1"/>
  <c r="BD20" i="2"/>
  <c r="AY20" i="2"/>
  <c r="AX20" i="2"/>
  <c r="AU20" i="2"/>
  <c r="AS20" i="2"/>
  <c r="AO20" i="2"/>
  <c r="AN20" i="2"/>
  <c r="AM20" i="2"/>
  <c r="AK20" i="2"/>
  <c r="AG20" i="2"/>
  <c r="AF20" i="2"/>
  <c r="AE20" i="2"/>
  <c r="AC20" i="2"/>
  <c r="V20" i="2"/>
  <c r="BB20" i="2" s="1"/>
  <c r="U20" i="2"/>
  <c r="BA20" i="2" s="1"/>
  <c r="T20" i="2"/>
  <c r="S20" i="2"/>
  <c r="R20" i="2"/>
  <c r="P20" i="2"/>
  <c r="Q20" i="2" s="1"/>
  <c r="N20" i="2"/>
  <c r="M20" i="2"/>
  <c r="AZ20" i="2" s="1"/>
  <c r="K20" i="2"/>
  <c r="J20" i="2"/>
  <c r="W20" i="2" s="1"/>
  <c r="BC20" i="2" s="1"/>
  <c r="I20" i="2"/>
  <c r="G20" i="2"/>
  <c r="BL19" i="2"/>
  <c r="BN19" i="2" s="1"/>
  <c r="BD19" i="2"/>
  <c r="AY19" i="2"/>
  <c r="AX19" i="2"/>
  <c r="AU19" i="2"/>
  <c r="AS19" i="2"/>
  <c r="AO19" i="2"/>
  <c r="AN19" i="2"/>
  <c r="AM19" i="2"/>
  <c r="AK19" i="2"/>
  <c r="AG19" i="2"/>
  <c r="AF19" i="2"/>
  <c r="AE19" i="2"/>
  <c r="AC19" i="2"/>
  <c r="R19" i="2"/>
  <c r="Q19" i="2"/>
  <c r="P19" i="2"/>
  <c r="V19" i="2" s="1"/>
  <c r="BB19" i="2" s="1"/>
  <c r="N19" i="2"/>
  <c r="U19" i="2" s="1"/>
  <c r="BA19" i="2" s="1"/>
  <c r="M19" i="2"/>
  <c r="T19" i="2" s="1"/>
  <c r="K19" i="2"/>
  <c r="J19" i="2"/>
  <c r="I19" i="2"/>
  <c r="G19" i="2"/>
  <c r="BL18" i="2"/>
  <c r="BN18" i="2" s="1"/>
  <c r="BD18" i="2"/>
  <c r="AY18" i="2"/>
  <c r="AX18" i="2"/>
  <c r="AU18" i="2"/>
  <c r="AS18" i="2"/>
  <c r="AO18" i="2"/>
  <c r="AN18" i="2"/>
  <c r="AM18" i="2"/>
  <c r="AK18" i="2"/>
  <c r="AG18" i="2"/>
  <c r="AF18" i="2"/>
  <c r="AE18" i="2"/>
  <c r="AC18" i="2"/>
  <c r="V18" i="2"/>
  <c r="BB18" i="2" s="1"/>
  <c r="U18" i="2"/>
  <c r="BA18" i="2" s="1"/>
  <c r="P18" i="2"/>
  <c r="N18" i="2"/>
  <c r="M18" i="2"/>
  <c r="AZ18" i="2" s="1"/>
  <c r="K18" i="2"/>
  <c r="J18" i="2"/>
  <c r="I18" i="2"/>
  <c r="G18" i="2"/>
  <c r="BL17" i="2"/>
  <c r="BN17" i="2" s="1"/>
  <c r="BD17" i="2"/>
  <c r="BB17" i="2"/>
  <c r="AZ17" i="2"/>
  <c r="AY17" i="2"/>
  <c r="AX17" i="2"/>
  <c r="AU17" i="2"/>
  <c r="AS17" i="2"/>
  <c r="AO17" i="2"/>
  <c r="AN17" i="2"/>
  <c r="AM17" i="2"/>
  <c r="AK17" i="2"/>
  <c r="AG17" i="2"/>
  <c r="AF17" i="2"/>
  <c r="AE17" i="2"/>
  <c r="AC17" i="2"/>
  <c r="R17" i="2"/>
  <c r="W17" i="2" s="1"/>
  <c r="BC17" i="2" s="1"/>
  <c r="P17" i="2"/>
  <c r="V17" i="2" s="1"/>
  <c r="N17" i="2"/>
  <c r="M17" i="2"/>
  <c r="T17" i="2" s="1"/>
  <c r="K17" i="2"/>
  <c r="J17" i="2"/>
  <c r="I17" i="2"/>
  <c r="G17" i="2"/>
  <c r="BL16" i="2"/>
  <c r="BN16" i="2" s="1"/>
  <c r="BD16" i="2"/>
  <c r="AY16" i="2"/>
  <c r="AX16" i="2"/>
  <c r="AU16" i="2"/>
  <c r="AS16" i="2"/>
  <c r="AO16" i="2"/>
  <c r="AN16" i="2"/>
  <c r="AM16" i="2"/>
  <c r="AK16" i="2"/>
  <c r="AG16" i="2"/>
  <c r="AF16" i="2"/>
  <c r="AE16" i="2"/>
  <c r="AC16" i="2"/>
  <c r="V16" i="2"/>
  <c r="BB16" i="2" s="1"/>
  <c r="P16" i="2"/>
  <c r="Q16" i="2" s="1"/>
  <c r="N16" i="2"/>
  <c r="M16" i="2"/>
  <c r="AZ16" i="2" s="1"/>
  <c r="K16" i="2"/>
  <c r="J16" i="2"/>
  <c r="I16" i="2"/>
  <c r="G16" i="2"/>
  <c r="BL15" i="2"/>
  <c r="BN15" i="2" s="1"/>
  <c r="BD15" i="2"/>
  <c r="AY15" i="2"/>
  <c r="AX15" i="2"/>
  <c r="AU15" i="2"/>
  <c r="AS15" i="2"/>
  <c r="AO15" i="2"/>
  <c r="AN15" i="2"/>
  <c r="AM15" i="2"/>
  <c r="AK15" i="2"/>
  <c r="AG15" i="2"/>
  <c r="AF15" i="2"/>
  <c r="AE15" i="2"/>
  <c r="AC15" i="2"/>
  <c r="P15" i="2"/>
  <c r="O15" i="2"/>
  <c r="N15" i="2"/>
  <c r="U15" i="2" s="1"/>
  <c r="BA15" i="2" s="1"/>
  <c r="M15" i="2"/>
  <c r="T15" i="2" s="1"/>
  <c r="K15" i="2"/>
  <c r="J15" i="2"/>
  <c r="I15" i="2"/>
  <c r="G15" i="2"/>
  <c r="BL14" i="2"/>
  <c r="BN14" i="2" s="1"/>
  <c r="BD14" i="2"/>
  <c r="AY14" i="2"/>
  <c r="AX14" i="2"/>
  <c r="AU14" i="2"/>
  <c r="AU46" i="2" s="1"/>
  <c r="AS14" i="2"/>
  <c r="AT46" i="2" s="1"/>
  <c r="AT47" i="2" s="1"/>
  <c r="AO14" i="2"/>
  <c r="AN14" i="2"/>
  <c r="AM14" i="2"/>
  <c r="AK14" i="2"/>
  <c r="AF14" i="2"/>
  <c r="AG14" i="2" s="1"/>
  <c r="AE14" i="2"/>
  <c r="AC14" i="2"/>
  <c r="V14" i="2"/>
  <c r="BB14" i="2" s="1"/>
  <c r="R14" i="2"/>
  <c r="P14" i="2"/>
  <c r="Q14" i="2" s="1"/>
  <c r="N14" i="2"/>
  <c r="M14" i="2"/>
  <c r="AZ14" i="2" s="1"/>
  <c r="J14" i="2"/>
  <c r="W14" i="2" s="1"/>
  <c r="BC14" i="2" s="1"/>
  <c r="I14" i="2"/>
  <c r="G14" i="2"/>
  <c r="BL13" i="2"/>
  <c r="BN13" i="2" s="1"/>
  <c r="BD13" i="2"/>
  <c r="AZ13" i="2"/>
  <c r="AY13" i="2"/>
  <c r="AX13" i="2"/>
  <c r="AU13" i="2"/>
  <c r="AS13" i="2"/>
  <c r="AO13" i="2"/>
  <c r="AN13" i="2"/>
  <c r="AM13" i="2"/>
  <c r="AK13" i="2"/>
  <c r="AF13" i="2"/>
  <c r="AG13" i="2" s="1"/>
  <c r="AE13" i="2"/>
  <c r="AC13" i="2"/>
  <c r="P13" i="2"/>
  <c r="V13" i="2" s="1"/>
  <c r="BB13" i="2" s="1"/>
  <c r="N13" i="2"/>
  <c r="U13" i="2" s="1"/>
  <c r="BA13" i="2" s="1"/>
  <c r="M13" i="2"/>
  <c r="J13" i="2"/>
  <c r="K13" i="2" s="1"/>
  <c r="I13" i="2"/>
  <c r="G13" i="2"/>
  <c r="BL12" i="2"/>
  <c r="BN12" i="2" s="1"/>
  <c r="BF12" i="2"/>
  <c r="BE12" i="2"/>
  <c r="BD12" i="2"/>
  <c r="AZ12" i="2"/>
  <c r="AY12" i="2"/>
  <c r="AX12" i="2"/>
  <c r="AU12" i="2"/>
  <c r="AS12" i="2"/>
  <c r="AN12" i="2"/>
  <c r="AO12" i="2" s="1"/>
  <c r="AM12" i="2"/>
  <c r="AK12" i="2"/>
  <c r="AF12" i="2"/>
  <c r="AG12" i="2" s="1"/>
  <c r="AE12" i="2"/>
  <c r="AC12" i="2"/>
  <c r="P12" i="2"/>
  <c r="M12" i="2"/>
  <c r="J12" i="2"/>
  <c r="K12" i="2" s="1"/>
  <c r="I12" i="2"/>
  <c r="G12" i="2"/>
  <c r="BL11" i="2"/>
  <c r="BN11" i="2" s="1"/>
  <c r="BD11" i="2"/>
  <c r="AZ11" i="2"/>
  <c r="AY11" i="2"/>
  <c r="AX11" i="2"/>
  <c r="AU11" i="2"/>
  <c r="AS11" i="2"/>
  <c r="AN11" i="2"/>
  <c r="AO11" i="2" s="1"/>
  <c r="AM11" i="2"/>
  <c r="AK11" i="2"/>
  <c r="AF11" i="2"/>
  <c r="AF52" i="2" s="1"/>
  <c r="AG52" i="2" s="1"/>
  <c r="AE11" i="2"/>
  <c r="AC11" i="2"/>
  <c r="U11" i="2"/>
  <c r="BA11" i="2" s="1"/>
  <c r="T11" i="2"/>
  <c r="Q11" i="2"/>
  <c r="P11" i="2"/>
  <c r="O11" i="2"/>
  <c r="N11" i="2"/>
  <c r="M11" i="2"/>
  <c r="J11" i="2"/>
  <c r="I11" i="2"/>
  <c r="G11" i="2"/>
  <c r="BL10" i="2"/>
  <c r="BN10" i="2" s="1"/>
  <c r="BD10" i="2"/>
  <c r="AY10" i="2"/>
  <c r="AX10" i="2"/>
  <c r="AU10" i="2"/>
  <c r="AS10" i="2"/>
  <c r="AN10" i="2"/>
  <c r="AO10" i="2" s="1"/>
  <c r="AM10" i="2"/>
  <c r="AK10" i="2"/>
  <c r="AF10" i="2"/>
  <c r="AG10" i="2" s="1"/>
  <c r="AE10" i="2"/>
  <c r="AC10" i="2"/>
  <c r="V10" i="2"/>
  <c r="BB10" i="2" s="1"/>
  <c r="P10" i="2"/>
  <c r="N10" i="2"/>
  <c r="U10" i="2" s="1"/>
  <c r="BA10" i="2" s="1"/>
  <c r="M10" i="2"/>
  <c r="J10" i="2"/>
  <c r="I10" i="2"/>
  <c r="G10" i="2"/>
  <c r="BL9" i="2"/>
  <c r="BN9" i="2" s="1"/>
  <c r="BD9" i="2"/>
  <c r="AZ9" i="2"/>
  <c r="AY9" i="2"/>
  <c r="AX9" i="2"/>
  <c r="AU9" i="2"/>
  <c r="AS9" i="2"/>
  <c r="AO9" i="2"/>
  <c r="AN9" i="2"/>
  <c r="AM9" i="2"/>
  <c r="AK9" i="2"/>
  <c r="AF9" i="2"/>
  <c r="AF50" i="2" s="1"/>
  <c r="AG50" i="2" s="1"/>
  <c r="AE9" i="2"/>
  <c r="AC9" i="2"/>
  <c r="U9" i="2"/>
  <c r="BA9" i="2" s="1"/>
  <c r="T9" i="2"/>
  <c r="P9" i="2"/>
  <c r="Q9" i="2" s="1"/>
  <c r="O9" i="2"/>
  <c r="N9" i="2"/>
  <c r="M9" i="2"/>
  <c r="J9" i="2"/>
  <c r="I9" i="2"/>
  <c r="G9" i="2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G8" i="2"/>
  <c r="BG33" i="2" s="1"/>
  <c r="BF8" i="2"/>
  <c r="BE8" i="2"/>
  <c r="BD8" i="2"/>
  <c r="AY8" i="2"/>
  <c r="AX8" i="2"/>
  <c r="AU8" i="2"/>
  <c r="AS8" i="2"/>
  <c r="AO8" i="2"/>
  <c r="AN8" i="2"/>
  <c r="AM8" i="2"/>
  <c r="AK8" i="2"/>
  <c r="AF8" i="2"/>
  <c r="AG8" i="2" s="1"/>
  <c r="AE8" i="2"/>
  <c r="AC8" i="2"/>
  <c r="P8" i="2"/>
  <c r="N8" i="2"/>
  <c r="R8" i="2" s="1"/>
  <c r="M8" i="2"/>
  <c r="AZ8" i="2" s="1"/>
  <c r="H8" i="2"/>
  <c r="F8" i="2"/>
  <c r="B8" i="2"/>
  <c r="BN7" i="2"/>
  <c r="BL7" i="2"/>
  <c r="BD7" i="2"/>
  <c r="AZ7" i="2"/>
  <c r="AY7" i="2"/>
  <c r="AX7" i="2"/>
  <c r="AU7" i="2"/>
  <c r="AS7" i="2"/>
  <c r="AO7" i="2"/>
  <c r="AN7" i="2"/>
  <c r="AM7" i="2"/>
  <c r="AK7" i="2"/>
  <c r="AF7" i="2"/>
  <c r="AE7" i="2"/>
  <c r="AC7" i="2"/>
  <c r="P7" i="2"/>
  <c r="O7" i="2"/>
  <c r="N7" i="2"/>
  <c r="M7" i="2"/>
  <c r="J7" i="2"/>
  <c r="J48" i="2" s="1"/>
  <c r="K48" i="2" s="1"/>
  <c r="I7" i="2"/>
  <c r="G7" i="2"/>
  <c r="BL6" i="2"/>
  <c r="BN6" i="2" s="1"/>
  <c r="BD6" i="2"/>
  <c r="AZ6" i="2"/>
  <c r="AY6" i="2"/>
  <c r="AX6" i="2"/>
  <c r="AU6" i="2"/>
  <c r="AS6" i="2"/>
  <c r="AN6" i="2"/>
  <c r="AO6" i="2" s="1"/>
  <c r="AM6" i="2"/>
  <c r="AK6" i="2"/>
  <c r="AF6" i="2"/>
  <c r="AE6" i="2"/>
  <c r="AC6" i="2"/>
  <c r="U6" i="2"/>
  <c r="BA6" i="2" s="1"/>
  <c r="T6" i="2"/>
  <c r="Q6" i="2"/>
  <c r="P6" i="2"/>
  <c r="P47" i="2" s="1"/>
  <c r="Q47" i="2" s="1"/>
  <c r="O6" i="2"/>
  <c r="N6" i="2"/>
  <c r="M6" i="2"/>
  <c r="M47" i="2" s="1"/>
  <c r="J6" i="2"/>
  <c r="I6" i="2"/>
  <c r="G6" i="2"/>
  <c r="B6" i="2"/>
  <c r="B7" i="2" s="1"/>
  <c r="BL5" i="2"/>
  <c r="BN5" i="2" s="1"/>
  <c r="BD5" i="2"/>
  <c r="BD33" i="2" s="1"/>
  <c r="BD34" i="2" s="1"/>
  <c r="BE42" i="2" s="1"/>
  <c r="AY5" i="2"/>
  <c r="AX5" i="2"/>
  <c r="AU5" i="2"/>
  <c r="AS5" i="2"/>
  <c r="AO5" i="2"/>
  <c r="AN5" i="2"/>
  <c r="AM5" i="2"/>
  <c r="AK5" i="2"/>
  <c r="AF5" i="2"/>
  <c r="AE5" i="2"/>
  <c r="AC5" i="2"/>
  <c r="V5" i="2"/>
  <c r="BB5" i="2" s="1"/>
  <c r="U5" i="2"/>
  <c r="P5" i="2"/>
  <c r="N5" i="2"/>
  <c r="M5" i="2"/>
  <c r="J5" i="2"/>
  <c r="I5" i="2"/>
  <c r="G5" i="2"/>
  <c r="B5" i="2"/>
  <c r="O77" i="1"/>
  <c r="I77" i="1"/>
  <c r="H77" i="1"/>
  <c r="Q76" i="1"/>
  <c r="Q77" i="1" s="1"/>
  <c r="P76" i="1"/>
  <c r="P77" i="1" s="1"/>
  <c r="O76" i="1"/>
  <c r="N76" i="1"/>
  <c r="N77" i="1" s="1"/>
  <c r="I76" i="1"/>
  <c r="H76" i="1"/>
  <c r="G76" i="1"/>
  <c r="G77" i="1" s="1"/>
  <c r="F76" i="1"/>
  <c r="F77" i="1" s="1"/>
  <c r="BL70" i="1"/>
  <c r="BK70" i="1"/>
  <c r="BJ70" i="1"/>
  <c r="BK69" i="1"/>
  <c r="BJ69" i="1"/>
  <c r="BL69" i="1" s="1"/>
  <c r="BK68" i="1"/>
  <c r="BJ68" i="1"/>
  <c r="BL68" i="1" s="1"/>
  <c r="BK67" i="1"/>
  <c r="BL67" i="1" s="1"/>
  <c r="BJ67" i="1"/>
  <c r="BL66" i="1"/>
  <c r="BK66" i="1"/>
  <c r="BJ66" i="1"/>
  <c r="BK65" i="1"/>
  <c r="BL65" i="1" s="1"/>
  <c r="BJ65" i="1"/>
  <c r="BK64" i="1"/>
  <c r="BJ64" i="1"/>
  <c r="BL64" i="1" s="1"/>
  <c r="BK63" i="1"/>
  <c r="BJ63" i="1"/>
  <c r="BL63" i="1" s="1"/>
  <c r="BK62" i="1"/>
  <c r="BJ62" i="1"/>
  <c r="BL62" i="1" s="1"/>
  <c r="BK61" i="1"/>
  <c r="BJ61" i="1"/>
  <c r="BL61" i="1" s="1"/>
  <c r="BL60" i="1"/>
  <c r="BK60" i="1"/>
  <c r="BJ60" i="1"/>
  <c r="BK59" i="1"/>
  <c r="BJ59" i="1"/>
  <c r="BL59" i="1" s="1"/>
  <c r="BK58" i="1"/>
  <c r="BJ58" i="1"/>
  <c r="BL58" i="1" s="1"/>
  <c r="BK57" i="1"/>
  <c r="BJ57" i="1"/>
  <c r="BL57" i="1" s="1"/>
  <c r="BA57" i="1"/>
  <c r="BK56" i="1"/>
  <c r="BJ56" i="1"/>
  <c r="BL56" i="1" s="1"/>
  <c r="Y56" i="1"/>
  <c r="X56" i="1" s="1"/>
  <c r="G56" i="1"/>
  <c r="F56" i="1"/>
  <c r="E56" i="1"/>
  <c r="BL55" i="1"/>
  <c r="BK55" i="1"/>
  <c r="BJ55" i="1"/>
  <c r="AY55" i="1"/>
  <c r="G55" i="1"/>
  <c r="F55" i="1"/>
  <c r="E55" i="1"/>
  <c r="BK54" i="1"/>
  <c r="BJ54" i="1"/>
  <c r="BL54" i="1" s="1"/>
  <c r="Y54" i="1"/>
  <c r="X55" i="1" s="1"/>
  <c r="G54" i="1"/>
  <c r="F54" i="1"/>
  <c r="E54" i="1"/>
  <c r="BK53" i="1"/>
  <c r="BJ53" i="1"/>
  <c r="BL53" i="1" s="1"/>
  <c r="G53" i="1"/>
  <c r="F53" i="1"/>
  <c r="E53" i="1"/>
  <c r="BK52" i="1"/>
  <c r="BJ52" i="1"/>
  <c r="BL52" i="1" s="1"/>
  <c r="Y52" i="1"/>
  <c r="Y58" i="1" s="1"/>
  <c r="X52" i="1"/>
  <c r="G52" i="1"/>
  <c r="F52" i="1"/>
  <c r="E52" i="1"/>
  <c r="BK51" i="1"/>
  <c r="BL51" i="1" s="1"/>
  <c r="BJ51" i="1"/>
  <c r="G51" i="1"/>
  <c r="F51" i="1"/>
  <c r="E51" i="1"/>
  <c r="BK50" i="1"/>
  <c r="BL50" i="1" s="1"/>
  <c r="BL71" i="1" s="1"/>
  <c r="BH46" i="1" s="1"/>
  <c r="BJ50" i="1"/>
  <c r="E50" i="1"/>
  <c r="AX49" i="1"/>
  <c r="AR49" i="1"/>
  <c r="AR50" i="1" s="1"/>
  <c r="AF49" i="1"/>
  <c r="S48" i="1"/>
  <c r="Q48" i="1"/>
  <c r="K48" i="1"/>
  <c r="I48" i="1"/>
  <c r="S46" i="1"/>
  <c r="X46" i="1" s="1"/>
  <c r="K46" i="1"/>
  <c r="AG46" i="1" s="1"/>
  <c r="AO46" i="1" s="1"/>
  <c r="AY46" i="1" s="1"/>
  <c r="AW47" i="1" s="1"/>
  <c r="BI45" i="1"/>
  <c r="W45" i="1"/>
  <c r="BI44" i="1"/>
  <c r="BC44" i="1"/>
  <c r="BG43" i="1"/>
  <c r="BI43" i="1" s="1"/>
  <c r="V41" i="1"/>
  <c r="AR38" i="1"/>
  <c r="AJ38" i="1"/>
  <c r="AB38" i="1"/>
  <c r="O38" i="1"/>
  <c r="U38" i="1" s="1"/>
  <c r="F38" i="1"/>
  <c r="AW37" i="1"/>
  <c r="AV37" i="1"/>
  <c r="AJ37" i="1"/>
  <c r="AK37" i="1" s="1"/>
  <c r="AB37" i="1"/>
  <c r="AC37" i="1" s="1"/>
  <c r="BK36" i="1"/>
  <c r="BJ36" i="1"/>
  <c r="BI36" i="1"/>
  <c r="BH36" i="1"/>
  <c r="BH37" i="1" s="1"/>
  <c r="BE36" i="1"/>
  <c r="AW36" i="1"/>
  <c r="AV36" i="1"/>
  <c r="AT36" i="1"/>
  <c r="AT37" i="1" s="1"/>
  <c r="AR36" i="1"/>
  <c r="AR37" i="1" s="1"/>
  <c r="AS37" i="1" s="1"/>
  <c r="AQ36" i="1"/>
  <c r="AP36" i="1"/>
  <c r="AL36" i="1"/>
  <c r="AL37" i="1" s="1"/>
  <c r="AM37" i="1" s="1"/>
  <c r="AJ36" i="1"/>
  <c r="AI36" i="1"/>
  <c r="AH36" i="1"/>
  <c r="AD36" i="1"/>
  <c r="AE36" i="1" s="1"/>
  <c r="AB36" i="1"/>
  <c r="AC36" i="1" s="1"/>
  <c r="Z36" i="1"/>
  <c r="Y36" i="1"/>
  <c r="X36" i="1"/>
  <c r="L36" i="1"/>
  <c r="E36" i="1"/>
  <c r="D36" i="1"/>
  <c r="C36" i="1"/>
  <c r="BL35" i="1"/>
  <c r="BN35" i="1" s="1"/>
  <c r="BD35" i="1"/>
  <c r="AY35" i="1"/>
  <c r="AX35" i="1"/>
  <c r="AU35" i="1"/>
  <c r="AS35" i="1"/>
  <c r="AO35" i="1"/>
  <c r="AN35" i="1"/>
  <c r="AM35" i="1"/>
  <c r="AK35" i="1"/>
  <c r="AF35" i="1"/>
  <c r="AG35" i="1" s="1"/>
  <c r="AE35" i="1"/>
  <c r="AC35" i="1"/>
  <c r="V35" i="1"/>
  <c r="BB35" i="1" s="1"/>
  <c r="U35" i="1"/>
  <c r="BA35" i="1" s="1"/>
  <c r="P35" i="1"/>
  <c r="R35" i="1" s="1"/>
  <c r="O35" i="1"/>
  <c r="N35" i="1"/>
  <c r="M35" i="1"/>
  <c r="T35" i="1" s="1"/>
  <c r="J35" i="1"/>
  <c r="W35" i="1" s="1"/>
  <c r="BC35" i="1" s="1"/>
  <c r="I35" i="1"/>
  <c r="G35" i="1"/>
  <c r="BL34" i="1"/>
  <c r="BN34" i="1" s="1"/>
  <c r="BD34" i="1"/>
  <c r="AZ34" i="1"/>
  <c r="AY34" i="1"/>
  <c r="AX34" i="1"/>
  <c r="AU34" i="1"/>
  <c r="AS34" i="1"/>
  <c r="AN34" i="1"/>
  <c r="AO34" i="1" s="1"/>
  <c r="AM34" i="1"/>
  <c r="AK34" i="1"/>
  <c r="AF34" i="1"/>
  <c r="AG34" i="1" s="1"/>
  <c r="AE34" i="1"/>
  <c r="AC34" i="1"/>
  <c r="U34" i="1"/>
  <c r="BA34" i="1" s="1"/>
  <c r="T34" i="1"/>
  <c r="P34" i="1"/>
  <c r="V34" i="1" s="1"/>
  <c r="BB34" i="1" s="1"/>
  <c r="N34" i="1"/>
  <c r="O34" i="1" s="1"/>
  <c r="M34" i="1"/>
  <c r="J34" i="1"/>
  <c r="I34" i="1"/>
  <c r="G34" i="1"/>
  <c r="BL33" i="1"/>
  <c r="BN33" i="1" s="1"/>
  <c r="BD33" i="1"/>
  <c r="AZ33" i="1"/>
  <c r="AY33" i="1"/>
  <c r="AX33" i="1"/>
  <c r="AU33" i="1"/>
  <c r="AS33" i="1"/>
  <c r="AO33" i="1"/>
  <c r="AN33" i="1"/>
  <c r="AM33" i="1"/>
  <c r="AK33" i="1"/>
  <c r="AF33" i="1"/>
  <c r="AG33" i="1" s="1"/>
  <c r="AE33" i="1"/>
  <c r="AC33" i="1"/>
  <c r="U33" i="1"/>
  <c r="BA33" i="1" s="1"/>
  <c r="P33" i="1"/>
  <c r="R33" i="1" s="1"/>
  <c r="O33" i="1"/>
  <c r="N33" i="1"/>
  <c r="M33" i="1"/>
  <c r="T33" i="1" s="1"/>
  <c r="J33" i="1"/>
  <c r="I33" i="1"/>
  <c r="G33" i="1"/>
  <c r="BL32" i="1"/>
  <c r="BN32" i="1" s="1"/>
  <c r="BD32" i="1"/>
  <c r="AZ32" i="1"/>
  <c r="AY32" i="1"/>
  <c r="AX32" i="1"/>
  <c r="AU32" i="1"/>
  <c r="AS32" i="1"/>
  <c r="AN32" i="1"/>
  <c r="AO32" i="1" s="1"/>
  <c r="AM32" i="1"/>
  <c r="AK32" i="1"/>
  <c r="AF32" i="1"/>
  <c r="AG32" i="1" s="1"/>
  <c r="AE32" i="1"/>
  <c r="AC32" i="1"/>
  <c r="U32" i="1"/>
  <c r="BA32" i="1" s="1"/>
  <c r="T32" i="1"/>
  <c r="P32" i="1"/>
  <c r="V32" i="1" s="1"/>
  <c r="BB32" i="1" s="1"/>
  <c r="N32" i="1"/>
  <c r="O32" i="1" s="1"/>
  <c r="M32" i="1"/>
  <c r="J32" i="1"/>
  <c r="I32" i="1"/>
  <c r="G32" i="1"/>
  <c r="BL31" i="1"/>
  <c r="BN31" i="1" s="1"/>
  <c r="BD31" i="1"/>
  <c r="AY31" i="1"/>
  <c r="AX31" i="1"/>
  <c r="AU31" i="1"/>
  <c r="AS31" i="1"/>
  <c r="AO31" i="1"/>
  <c r="AN31" i="1"/>
  <c r="AM31" i="1"/>
  <c r="AK31" i="1"/>
  <c r="AF31" i="1"/>
  <c r="AG31" i="1" s="1"/>
  <c r="AE31" i="1"/>
  <c r="AC31" i="1"/>
  <c r="U31" i="1"/>
  <c r="BA31" i="1" s="1"/>
  <c r="P31" i="1"/>
  <c r="R31" i="1" s="1"/>
  <c r="O31" i="1"/>
  <c r="N31" i="1"/>
  <c r="M31" i="1"/>
  <c r="T31" i="1" s="1"/>
  <c r="J31" i="1"/>
  <c r="I31" i="1"/>
  <c r="G31" i="1"/>
  <c r="BL30" i="1"/>
  <c r="BN30" i="1" s="1"/>
  <c r="BD30" i="1"/>
  <c r="AZ30" i="1"/>
  <c r="AY30" i="1"/>
  <c r="AX30" i="1"/>
  <c r="AU30" i="1"/>
  <c r="AS30" i="1"/>
  <c r="AN30" i="1"/>
  <c r="AO30" i="1" s="1"/>
  <c r="AM30" i="1"/>
  <c r="AK30" i="1"/>
  <c r="AF30" i="1"/>
  <c r="AG30" i="1" s="1"/>
  <c r="AE30" i="1"/>
  <c r="AC30" i="1"/>
  <c r="U30" i="1"/>
  <c r="BA30" i="1" s="1"/>
  <c r="T30" i="1"/>
  <c r="P30" i="1"/>
  <c r="N30" i="1"/>
  <c r="O30" i="1" s="1"/>
  <c r="M30" i="1"/>
  <c r="J30" i="1"/>
  <c r="I30" i="1"/>
  <c r="G30" i="1"/>
  <c r="BL29" i="1"/>
  <c r="BN29" i="1" s="1"/>
  <c r="BD29" i="1"/>
  <c r="AY29" i="1"/>
  <c r="AX29" i="1"/>
  <c r="AU29" i="1"/>
  <c r="AS29" i="1"/>
  <c r="AO29" i="1"/>
  <c r="AN29" i="1"/>
  <c r="AM29" i="1"/>
  <c r="AK29" i="1"/>
  <c r="AF29" i="1"/>
  <c r="AG29" i="1" s="1"/>
  <c r="AE29" i="1"/>
  <c r="AC29" i="1"/>
  <c r="V29" i="1"/>
  <c r="BB29" i="1" s="1"/>
  <c r="U29" i="1"/>
  <c r="BA29" i="1" s="1"/>
  <c r="P29" i="1"/>
  <c r="R29" i="1" s="1"/>
  <c r="O29" i="1"/>
  <c r="N29" i="1"/>
  <c r="M29" i="1"/>
  <c r="T29" i="1" s="1"/>
  <c r="J29" i="1"/>
  <c r="I29" i="1"/>
  <c r="G29" i="1"/>
  <c r="BG28" i="1"/>
  <c r="P28" i="1" s="1"/>
  <c r="BF28" i="1"/>
  <c r="BD28" i="1"/>
  <c r="AY28" i="1"/>
  <c r="AX28" i="1"/>
  <c r="AU28" i="1"/>
  <c r="AS28" i="1"/>
  <c r="AO28" i="1"/>
  <c r="AN28" i="1"/>
  <c r="AM28" i="1"/>
  <c r="AK28" i="1"/>
  <c r="AF28" i="1"/>
  <c r="AG28" i="1" s="1"/>
  <c r="AE28" i="1"/>
  <c r="AC28" i="1"/>
  <c r="T28" i="1"/>
  <c r="R28" i="1"/>
  <c r="N28" i="1"/>
  <c r="U28" i="1" s="1"/>
  <c r="BA28" i="1" s="1"/>
  <c r="M28" i="1"/>
  <c r="AZ28" i="1" s="1"/>
  <c r="I28" i="1"/>
  <c r="H28" i="1"/>
  <c r="H36" i="1" s="1"/>
  <c r="G28" i="1"/>
  <c r="F28" i="1"/>
  <c r="BO27" i="1"/>
  <c r="BL27" i="1"/>
  <c r="BN27" i="1" s="1"/>
  <c r="BD27" i="1"/>
  <c r="AZ27" i="1"/>
  <c r="AY27" i="1"/>
  <c r="AX27" i="1"/>
  <c r="AU27" i="1"/>
  <c r="AS27" i="1"/>
  <c r="AO27" i="1"/>
  <c r="AN27" i="1"/>
  <c r="AM27" i="1"/>
  <c r="AK27" i="1"/>
  <c r="AF27" i="1"/>
  <c r="AG27" i="1" s="1"/>
  <c r="AE27" i="1"/>
  <c r="AC27" i="1"/>
  <c r="U27" i="1"/>
  <c r="BA27" i="1" s="1"/>
  <c r="T27" i="1"/>
  <c r="P27" i="1"/>
  <c r="N27" i="1"/>
  <c r="O27" i="1" s="1"/>
  <c r="M27" i="1"/>
  <c r="J27" i="1"/>
  <c r="I27" i="1"/>
  <c r="G27" i="1"/>
  <c r="BL26" i="1"/>
  <c r="BN26" i="1" s="1"/>
  <c r="BD26" i="1"/>
  <c r="AZ26" i="1"/>
  <c r="AY26" i="1"/>
  <c r="AX26" i="1"/>
  <c r="AU26" i="1"/>
  <c r="AS26" i="1"/>
  <c r="AO26" i="1"/>
  <c r="AN26" i="1"/>
  <c r="AM26" i="1"/>
  <c r="AK26" i="1"/>
  <c r="AF26" i="1"/>
  <c r="AG26" i="1" s="1"/>
  <c r="AE26" i="1"/>
  <c r="AC26" i="1"/>
  <c r="U26" i="1"/>
  <c r="BA26" i="1" s="1"/>
  <c r="P26" i="1"/>
  <c r="R26" i="1" s="1"/>
  <c r="O26" i="1"/>
  <c r="N26" i="1"/>
  <c r="M26" i="1"/>
  <c r="T26" i="1" s="1"/>
  <c r="J26" i="1"/>
  <c r="I26" i="1"/>
  <c r="G26" i="1"/>
  <c r="BL25" i="1"/>
  <c r="BN25" i="1" s="1"/>
  <c r="BD25" i="1"/>
  <c r="AZ25" i="1"/>
  <c r="AY25" i="1"/>
  <c r="AX25" i="1"/>
  <c r="AU25" i="1"/>
  <c r="AS25" i="1"/>
  <c r="AN25" i="1"/>
  <c r="AO25" i="1" s="1"/>
  <c r="AM25" i="1"/>
  <c r="AK25" i="1"/>
  <c r="AF25" i="1"/>
  <c r="AG25" i="1" s="1"/>
  <c r="AE25" i="1"/>
  <c r="AC25" i="1"/>
  <c r="U25" i="1"/>
  <c r="BA25" i="1" s="1"/>
  <c r="T25" i="1"/>
  <c r="P25" i="1"/>
  <c r="N25" i="1"/>
  <c r="O25" i="1" s="1"/>
  <c r="M25" i="1"/>
  <c r="J25" i="1"/>
  <c r="I25" i="1"/>
  <c r="G25" i="1"/>
  <c r="BL24" i="1"/>
  <c r="BN24" i="1" s="1"/>
  <c r="BG24" i="1"/>
  <c r="BD24" i="1"/>
  <c r="AZ24" i="1"/>
  <c r="AY24" i="1"/>
  <c r="AX24" i="1"/>
  <c r="AU24" i="1"/>
  <c r="AS24" i="1"/>
  <c r="AN24" i="1"/>
  <c r="AO24" i="1" s="1"/>
  <c r="AM24" i="1"/>
  <c r="AK24" i="1"/>
  <c r="AF24" i="1"/>
  <c r="AG24" i="1" s="1"/>
  <c r="AE24" i="1"/>
  <c r="AC24" i="1"/>
  <c r="P24" i="1"/>
  <c r="V24" i="1" s="1"/>
  <c r="BB24" i="1" s="1"/>
  <c r="N24" i="1"/>
  <c r="U24" i="1" s="1"/>
  <c r="BA24" i="1" s="1"/>
  <c r="M24" i="1"/>
  <c r="T24" i="1" s="1"/>
  <c r="K24" i="1"/>
  <c r="J24" i="1"/>
  <c r="I24" i="1"/>
  <c r="G24" i="1"/>
  <c r="BL23" i="1"/>
  <c r="BN23" i="1" s="1"/>
  <c r="BD23" i="1"/>
  <c r="AY23" i="1"/>
  <c r="AX23" i="1"/>
  <c r="AU23" i="1"/>
  <c r="AS23" i="1"/>
  <c r="AO23" i="1"/>
  <c r="AN23" i="1"/>
  <c r="AM23" i="1"/>
  <c r="AK23" i="1"/>
  <c r="AG23" i="1"/>
  <c r="AF23" i="1"/>
  <c r="AE23" i="1"/>
  <c r="AC23" i="1"/>
  <c r="V23" i="1"/>
  <c r="BB23" i="1" s="1"/>
  <c r="U23" i="1"/>
  <c r="BA23" i="1" s="1"/>
  <c r="S23" i="1"/>
  <c r="R23" i="1"/>
  <c r="Q23" i="1"/>
  <c r="P23" i="1"/>
  <c r="N23" i="1"/>
  <c r="O23" i="1" s="1"/>
  <c r="M23" i="1"/>
  <c r="AZ23" i="1" s="1"/>
  <c r="J23" i="1"/>
  <c r="W23" i="1" s="1"/>
  <c r="BC23" i="1" s="1"/>
  <c r="I23" i="1"/>
  <c r="G23" i="1"/>
  <c r="BN22" i="1"/>
  <c r="BL22" i="1"/>
  <c r="BD22" i="1"/>
  <c r="AZ22" i="1"/>
  <c r="AY22" i="1"/>
  <c r="AX22" i="1"/>
  <c r="AU22" i="1"/>
  <c r="AS22" i="1"/>
  <c r="AO22" i="1"/>
  <c r="AN22" i="1"/>
  <c r="AM22" i="1"/>
  <c r="AK22" i="1"/>
  <c r="AF22" i="1"/>
  <c r="AG22" i="1" s="1"/>
  <c r="AE22" i="1"/>
  <c r="AC22" i="1"/>
  <c r="P22" i="1"/>
  <c r="V22" i="1" s="1"/>
  <c r="BB22" i="1" s="1"/>
  <c r="N22" i="1"/>
  <c r="M22" i="1"/>
  <c r="T22" i="1" s="1"/>
  <c r="K22" i="1"/>
  <c r="J22" i="1"/>
  <c r="I22" i="1"/>
  <c r="G22" i="1"/>
  <c r="BL21" i="1"/>
  <c r="BN21" i="1" s="1"/>
  <c r="BD21" i="1"/>
  <c r="AY21" i="1"/>
  <c r="AX21" i="1"/>
  <c r="AU21" i="1"/>
  <c r="AT49" i="1" s="1"/>
  <c r="AT50" i="1" s="1"/>
  <c r="AS21" i="1"/>
  <c r="AO21" i="1"/>
  <c r="AN21" i="1"/>
  <c r="AM21" i="1"/>
  <c r="AK21" i="1"/>
  <c r="AG21" i="1"/>
  <c r="AF21" i="1"/>
  <c r="AE21" i="1"/>
  <c r="AC21" i="1"/>
  <c r="V21" i="1"/>
  <c r="BB21" i="1" s="1"/>
  <c r="Q21" i="1"/>
  <c r="P21" i="1"/>
  <c r="N21" i="1"/>
  <c r="M21" i="1"/>
  <c r="AZ21" i="1" s="1"/>
  <c r="J21" i="1"/>
  <c r="I21" i="1"/>
  <c r="G21" i="1"/>
  <c r="BG20" i="1"/>
  <c r="BG36" i="1" s="1"/>
  <c r="BF20" i="1"/>
  <c r="BD20" i="1"/>
  <c r="AZ20" i="1"/>
  <c r="AY20" i="1"/>
  <c r="AX20" i="1"/>
  <c r="AU20" i="1"/>
  <c r="AS20" i="1"/>
  <c r="AO20" i="1"/>
  <c r="AN20" i="1"/>
  <c r="AM20" i="1"/>
  <c r="AK20" i="1"/>
  <c r="AF20" i="1"/>
  <c r="AG20" i="1" s="1"/>
  <c r="AE20" i="1"/>
  <c r="AC20" i="1"/>
  <c r="T20" i="1"/>
  <c r="R20" i="1"/>
  <c r="S20" i="1" s="1"/>
  <c r="P20" i="1"/>
  <c r="O20" i="1"/>
  <c r="N20" i="1"/>
  <c r="U20" i="1" s="1"/>
  <c r="BA20" i="1" s="1"/>
  <c r="M20" i="1"/>
  <c r="J20" i="1"/>
  <c r="I20" i="1"/>
  <c r="G20" i="1"/>
  <c r="BL19" i="1"/>
  <c r="BN19" i="1" s="1"/>
  <c r="BD19" i="1"/>
  <c r="AZ19" i="1"/>
  <c r="AY19" i="1"/>
  <c r="AX19" i="1"/>
  <c r="AU19" i="1"/>
  <c r="AS19" i="1"/>
  <c r="AN19" i="1"/>
  <c r="AO19" i="1" s="1"/>
  <c r="AM19" i="1"/>
  <c r="AK19" i="1"/>
  <c r="AF19" i="1"/>
  <c r="AG19" i="1" s="1"/>
  <c r="AE19" i="1"/>
  <c r="AC19" i="1"/>
  <c r="P19" i="1"/>
  <c r="N19" i="1"/>
  <c r="M19" i="1"/>
  <c r="T19" i="1" s="1"/>
  <c r="J19" i="1"/>
  <c r="K19" i="1" s="1"/>
  <c r="I19" i="1"/>
  <c r="G19" i="1"/>
  <c r="BL18" i="1"/>
  <c r="BN18" i="1" s="1"/>
  <c r="BD18" i="1"/>
  <c r="AZ18" i="1"/>
  <c r="AY18" i="1"/>
  <c r="AX18" i="1"/>
  <c r="AU18" i="1"/>
  <c r="AS18" i="1"/>
  <c r="AO18" i="1"/>
  <c r="AN18" i="1"/>
  <c r="AM18" i="1"/>
  <c r="AK18" i="1"/>
  <c r="AF18" i="1"/>
  <c r="AG18" i="1" s="1"/>
  <c r="AE18" i="1"/>
  <c r="AC18" i="1"/>
  <c r="U18" i="1"/>
  <c r="BA18" i="1" s="1"/>
  <c r="T18" i="1"/>
  <c r="R18" i="1"/>
  <c r="S18" i="1" s="1"/>
  <c r="P18" i="1"/>
  <c r="N18" i="1"/>
  <c r="O18" i="1" s="1"/>
  <c r="M18" i="1"/>
  <c r="J18" i="1"/>
  <c r="I18" i="1"/>
  <c r="G18" i="1"/>
  <c r="BL17" i="1"/>
  <c r="BN17" i="1" s="1"/>
  <c r="BD17" i="1"/>
  <c r="AY17" i="1"/>
  <c r="AX17" i="1"/>
  <c r="AU17" i="1"/>
  <c r="AS17" i="1"/>
  <c r="AN17" i="1"/>
  <c r="AO17" i="1" s="1"/>
  <c r="AM17" i="1"/>
  <c r="AK17" i="1"/>
  <c r="AF17" i="1"/>
  <c r="AG17" i="1" s="1"/>
  <c r="AE17" i="1"/>
  <c r="AC17" i="1"/>
  <c r="P17" i="1"/>
  <c r="N17" i="1"/>
  <c r="M17" i="1"/>
  <c r="AZ17" i="1" s="1"/>
  <c r="J17" i="1"/>
  <c r="K17" i="1" s="1"/>
  <c r="I17" i="1"/>
  <c r="G17" i="1"/>
  <c r="BL16" i="1"/>
  <c r="BN16" i="1" s="1"/>
  <c r="BD16" i="1"/>
  <c r="AZ16" i="1"/>
  <c r="AY16" i="1"/>
  <c r="AX16" i="1"/>
  <c r="AU16" i="1"/>
  <c r="AS16" i="1"/>
  <c r="AO16" i="1"/>
  <c r="AN16" i="1"/>
  <c r="AM16" i="1"/>
  <c r="AK16" i="1"/>
  <c r="AF16" i="1"/>
  <c r="AG16" i="1" s="1"/>
  <c r="AE16" i="1"/>
  <c r="AC16" i="1"/>
  <c r="U16" i="1"/>
  <c r="BA16" i="1" s="1"/>
  <c r="T16" i="1"/>
  <c r="P16" i="1"/>
  <c r="O16" i="1"/>
  <c r="N16" i="1"/>
  <c r="R16" i="1" s="1"/>
  <c r="S16" i="1" s="1"/>
  <c r="M16" i="1"/>
  <c r="J16" i="1"/>
  <c r="I16" i="1"/>
  <c r="G16" i="1"/>
  <c r="BL15" i="1"/>
  <c r="BN15" i="1" s="1"/>
  <c r="BD15" i="1"/>
  <c r="AZ15" i="1"/>
  <c r="AY15" i="1"/>
  <c r="AX15" i="1"/>
  <c r="AU15" i="1"/>
  <c r="AS15" i="1"/>
  <c r="AO15" i="1"/>
  <c r="AN15" i="1"/>
  <c r="AM15" i="1"/>
  <c r="AK15" i="1"/>
  <c r="AF15" i="1"/>
  <c r="AG15" i="1" s="1"/>
  <c r="AE15" i="1"/>
  <c r="AC15" i="1"/>
  <c r="U15" i="1"/>
  <c r="BA15" i="1" s="1"/>
  <c r="T15" i="1"/>
  <c r="P15" i="1"/>
  <c r="N15" i="1"/>
  <c r="M15" i="1"/>
  <c r="J15" i="1"/>
  <c r="K15" i="1" s="1"/>
  <c r="I15" i="1"/>
  <c r="G15" i="1"/>
  <c r="BL14" i="1"/>
  <c r="BN14" i="1" s="1"/>
  <c r="BD14" i="1"/>
  <c r="AZ14" i="1"/>
  <c r="AY14" i="1"/>
  <c r="AX14" i="1"/>
  <c r="AU14" i="1"/>
  <c r="AS14" i="1"/>
  <c r="AS49" i="1" s="1"/>
  <c r="AS50" i="1" s="1"/>
  <c r="AO14" i="1"/>
  <c r="AN14" i="1"/>
  <c r="AM14" i="1"/>
  <c r="AK14" i="1"/>
  <c r="AF14" i="1"/>
  <c r="AG14" i="1" s="1"/>
  <c r="AE14" i="1"/>
  <c r="AC14" i="1"/>
  <c r="T14" i="1"/>
  <c r="P14" i="1"/>
  <c r="O14" i="1"/>
  <c r="N14" i="1"/>
  <c r="R14" i="1" s="1"/>
  <c r="S14" i="1" s="1"/>
  <c r="M14" i="1"/>
  <c r="I14" i="1"/>
  <c r="G14" i="1"/>
  <c r="F14" i="1"/>
  <c r="BN13" i="1"/>
  <c r="BL13" i="1"/>
  <c r="BD13" i="1"/>
  <c r="AZ13" i="1"/>
  <c r="AY13" i="1"/>
  <c r="AX13" i="1"/>
  <c r="AU13" i="1"/>
  <c r="AS13" i="1"/>
  <c r="AO13" i="1"/>
  <c r="AN13" i="1"/>
  <c r="AM13" i="1"/>
  <c r="AK13" i="1"/>
  <c r="AF13" i="1"/>
  <c r="AG13" i="1" s="1"/>
  <c r="AE13" i="1"/>
  <c r="AC13" i="1"/>
  <c r="U13" i="1"/>
  <c r="BA13" i="1" s="1"/>
  <c r="T13" i="1"/>
  <c r="Q13" i="1"/>
  <c r="P13" i="1"/>
  <c r="O56" i="1" s="1"/>
  <c r="N13" i="1"/>
  <c r="M13" i="1"/>
  <c r="J13" i="1"/>
  <c r="K13" i="1" s="1"/>
  <c r="I13" i="1"/>
  <c r="G13" i="1"/>
  <c r="BN12" i="1"/>
  <c r="BL12" i="1"/>
  <c r="BD12" i="1"/>
  <c r="AY12" i="1"/>
  <c r="AX12" i="1"/>
  <c r="AU12" i="1"/>
  <c r="AS12" i="1"/>
  <c r="AO12" i="1"/>
  <c r="AN12" i="1"/>
  <c r="AM12" i="1"/>
  <c r="AK12" i="1"/>
  <c r="AF12" i="1"/>
  <c r="AG12" i="1" s="1"/>
  <c r="AE12" i="1"/>
  <c r="AC12" i="1"/>
  <c r="V12" i="1"/>
  <c r="BB12" i="1" s="1"/>
  <c r="U12" i="1"/>
  <c r="BA12" i="1" s="1"/>
  <c r="T12" i="1"/>
  <c r="P12" i="1"/>
  <c r="N12" i="1"/>
  <c r="M12" i="1"/>
  <c r="M55" i="1" s="1"/>
  <c r="K12" i="1"/>
  <c r="J12" i="1"/>
  <c r="I12" i="1"/>
  <c r="G12" i="1"/>
  <c r="BL11" i="1"/>
  <c r="BN11" i="1" s="1"/>
  <c r="BD11" i="1"/>
  <c r="AZ11" i="1"/>
  <c r="AY11" i="1"/>
  <c r="AX11" i="1"/>
  <c r="AU11" i="1"/>
  <c r="AS11" i="1"/>
  <c r="AO11" i="1"/>
  <c r="AN11" i="1"/>
  <c r="AM11" i="1"/>
  <c r="AK11" i="1"/>
  <c r="AG11" i="1"/>
  <c r="AF11" i="1"/>
  <c r="AE11" i="1"/>
  <c r="AC11" i="1"/>
  <c r="V11" i="1"/>
  <c r="BB11" i="1" s="1"/>
  <c r="U11" i="1"/>
  <c r="BA11" i="1" s="1"/>
  <c r="T11" i="1"/>
  <c r="Q11" i="1"/>
  <c r="P11" i="1"/>
  <c r="O54" i="1" s="1"/>
  <c r="O11" i="1"/>
  <c r="N11" i="1"/>
  <c r="N54" i="1" s="1"/>
  <c r="M11" i="1"/>
  <c r="J11" i="1"/>
  <c r="K11" i="1" s="1"/>
  <c r="I11" i="1"/>
  <c r="G11" i="1"/>
  <c r="BN10" i="1"/>
  <c r="BL10" i="1"/>
  <c r="BD10" i="1"/>
  <c r="BA10" i="1"/>
  <c r="AY10" i="1"/>
  <c r="AX10" i="1"/>
  <c r="AU10" i="1"/>
  <c r="AS10" i="1"/>
  <c r="AO10" i="1"/>
  <c r="AN10" i="1"/>
  <c r="AM10" i="1"/>
  <c r="AK10" i="1"/>
  <c r="AG10" i="1"/>
  <c r="AF10" i="1"/>
  <c r="AE10" i="1"/>
  <c r="AC10" i="1"/>
  <c r="U10" i="1"/>
  <c r="P10" i="1"/>
  <c r="N10" i="1"/>
  <c r="M10" i="1"/>
  <c r="M53" i="1" s="1"/>
  <c r="J10" i="1"/>
  <c r="I10" i="1"/>
  <c r="G10" i="1"/>
  <c r="BN9" i="1"/>
  <c r="BL9" i="1"/>
  <c r="BD9" i="1"/>
  <c r="AZ9" i="1"/>
  <c r="AY9" i="1"/>
  <c r="AX9" i="1"/>
  <c r="AU9" i="1"/>
  <c r="AS9" i="1"/>
  <c r="AO9" i="1"/>
  <c r="AN9" i="1"/>
  <c r="AM9" i="1"/>
  <c r="AK9" i="1"/>
  <c r="AG9" i="1"/>
  <c r="AF9" i="1"/>
  <c r="AE9" i="1"/>
  <c r="AC9" i="1"/>
  <c r="T9" i="1"/>
  <c r="Q9" i="1"/>
  <c r="P9" i="1"/>
  <c r="O52" i="1" s="1"/>
  <c r="O9" i="1"/>
  <c r="N9" i="1"/>
  <c r="N52" i="1" s="1"/>
  <c r="M9" i="1"/>
  <c r="M52" i="1" s="1"/>
  <c r="J9" i="1"/>
  <c r="I9" i="1"/>
  <c r="G9" i="1"/>
  <c r="BN8" i="1"/>
  <c r="BL8" i="1"/>
  <c r="BD8" i="1"/>
  <c r="AY8" i="1"/>
  <c r="AX8" i="1"/>
  <c r="AU8" i="1"/>
  <c r="AS8" i="1"/>
  <c r="AO8" i="1"/>
  <c r="AN8" i="1"/>
  <c r="AM8" i="1"/>
  <c r="AK8" i="1"/>
  <c r="AF8" i="1"/>
  <c r="AG8" i="1" s="1"/>
  <c r="AE8" i="1"/>
  <c r="AC8" i="1"/>
  <c r="V8" i="1"/>
  <c r="BB8" i="1" s="1"/>
  <c r="U8" i="1"/>
  <c r="BA8" i="1" s="1"/>
  <c r="T8" i="1"/>
  <c r="Q8" i="1"/>
  <c r="P8" i="1"/>
  <c r="N8" i="1"/>
  <c r="M8" i="1"/>
  <c r="M51" i="1" s="1"/>
  <c r="K8" i="1"/>
  <c r="J8" i="1"/>
  <c r="I8" i="1"/>
  <c r="G8" i="1"/>
  <c r="BL7" i="1"/>
  <c r="BN7" i="1" s="1"/>
  <c r="BD7" i="1"/>
  <c r="AZ7" i="1"/>
  <c r="AY7" i="1"/>
  <c r="AX7" i="1"/>
  <c r="AU7" i="1"/>
  <c r="AS7" i="1"/>
  <c r="AO7" i="1"/>
  <c r="AN7" i="1"/>
  <c r="AM7" i="1"/>
  <c r="AK7" i="1"/>
  <c r="AF7" i="1"/>
  <c r="AG7" i="1" s="1"/>
  <c r="AE7" i="1"/>
  <c r="AC7" i="1"/>
  <c r="V7" i="1"/>
  <c r="BB7" i="1" s="1"/>
  <c r="U7" i="1"/>
  <c r="BA7" i="1" s="1"/>
  <c r="T7" i="1"/>
  <c r="R7" i="1"/>
  <c r="P7" i="1"/>
  <c r="N7" i="1"/>
  <c r="M7" i="1"/>
  <c r="J7" i="1"/>
  <c r="I7" i="1"/>
  <c r="G7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L6" i="1"/>
  <c r="BN6" i="1" s="1"/>
  <c r="BD6" i="1"/>
  <c r="BA6" i="1"/>
  <c r="AZ6" i="1"/>
  <c r="AY6" i="1"/>
  <c r="AX6" i="1"/>
  <c r="AU6" i="1"/>
  <c r="AS6" i="1"/>
  <c r="AO6" i="1"/>
  <c r="AN6" i="1"/>
  <c r="AM6" i="1"/>
  <c r="AK6" i="1"/>
  <c r="AG6" i="1"/>
  <c r="AF6" i="1"/>
  <c r="AE6" i="1"/>
  <c r="AC6" i="1"/>
  <c r="V6" i="1"/>
  <c r="BB6" i="1" s="1"/>
  <c r="U6" i="1"/>
  <c r="P6" i="1"/>
  <c r="R6" i="1" s="1"/>
  <c r="O6" i="1"/>
  <c r="N6" i="1"/>
  <c r="M6" i="1"/>
  <c r="T6" i="1" s="1"/>
  <c r="J6" i="1"/>
  <c r="K6" i="1" s="1"/>
  <c r="I6" i="1"/>
  <c r="G6" i="1"/>
  <c r="BL5" i="1"/>
  <c r="BD5" i="1"/>
  <c r="AZ5" i="1"/>
  <c r="AY5" i="1"/>
  <c r="AX5" i="1"/>
  <c r="AX36" i="1" s="1"/>
  <c r="AU5" i="1"/>
  <c r="AS5" i="1"/>
  <c r="AO5" i="1"/>
  <c r="AN5" i="1"/>
  <c r="AM5" i="1"/>
  <c r="AK5" i="1"/>
  <c r="AG5" i="1"/>
  <c r="AF5" i="1"/>
  <c r="AE5" i="1"/>
  <c r="AC5" i="1"/>
  <c r="T5" i="1"/>
  <c r="Q5" i="1"/>
  <c r="P5" i="1"/>
  <c r="O5" i="1"/>
  <c r="N5" i="1"/>
  <c r="M5" i="1"/>
  <c r="K5" i="1"/>
  <c r="J5" i="1"/>
  <c r="I5" i="1"/>
  <c r="G5" i="1"/>
  <c r="B5" i="1"/>
  <c r="B6" i="1" s="1"/>
  <c r="S8" i="2" l="1"/>
  <c r="W26" i="2"/>
  <c r="BC26" i="2" s="1"/>
  <c r="M51" i="2"/>
  <c r="T10" i="2"/>
  <c r="AZ10" i="2"/>
  <c r="K11" i="2"/>
  <c r="J52" i="2"/>
  <c r="K52" i="2" s="1"/>
  <c r="K14" i="2"/>
  <c r="O16" i="2"/>
  <c r="R16" i="2"/>
  <c r="W16" i="2" s="1"/>
  <c r="BC16" i="2" s="1"/>
  <c r="S17" i="2"/>
  <c r="U23" i="2"/>
  <c r="BA23" i="2" s="1"/>
  <c r="O23" i="2"/>
  <c r="BG39" i="2"/>
  <c r="BG43" i="2" s="1"/>
  <c r="AU34" i="2"/>
  <c r="J53" i="2"/>
  <c r="K53" i="2" s="1"/>
  <c r="K5" i="2"/>
  <c r="Q13" i="2"/>
  <c r="AZ22" i="2"/>
  <c r="Q29" i="2"/>
  <c r="U31" i="2"/>
  <c r="BA31" i="2" s="1"/>
  <c r="R31" i="2"/>
  <c r="M53" i="2"/>
  <c r="Q53" i="2" s="1"/>
  <c r="T5" i="2"/>
  <c r="M33" i="2"/>
  <c r="N35" i="2" s="1"/>
  <c r="AZ5" i="2"/>
  <c r="U16" i="2"/>
  <c r="BA16" i="2" s="1"/>
  <c r="O22" i="2"/>
  <c r="R22" i="2"/>
  <c r="S22" i="2" s="1"/>
  <c r="R29" i="2"/>
  <c r="O31" i="2"/>
  <c r="R5" i="2"/>
  <c r="O5" i="2"/>
  <c r="AG9" i="2"/>
  <c r="V11" i="2"/>
  <c r="BB11" i="2" s="1"/>
  <c r="R11" i="2"/>
  <c r="P52" i="2"/>
  <c r="BF33" i="2"/>
  <c r="N12" i="2"/>
  <c r="Q22" i="2"/>
  <c r="R23" i="2"/>
  <c r="W23" i="2" s="1"/>
  <c r="BC23" i="2" s="1"/>
  <c r="V31" i="2"/>
  <c r="BB31" i="2" s="1"/>
  <c r="Q31" i="2"/>
  <c r="M48" i="2"/>
  <c r="G49" i="2"/>
  <c r="P51" i="2"/>
  <c r="T23" i="2"/>
  <c r="S23" i="2"/>
  <c r="W28" i="2"/>
  <c r="BC28" i="2" s="1"/>
  <c r="O32" i="2"/>
  <c r="R32" i="2"/>
  <c r="AG5" i="2"/>
  <c r="AF53" i="2"/>
  <c r="AG53" i="2" s="1"/>
  <c r="AF33" i="2"/>
  <c r="K7" i="2"/>
  <c r="U27" i="2"/>
  <c r="BA27" i="2" s="1"/>
  <c r="O27" i="2"/>
  <c r="BA5" i="2"/>
  <c r="O8" i="2"/>
  <c r="V21" i="2"/>
  <c r="BB21" i="2" s="1"/>
  <c r="Q21" i="2"/>
  <c r="R27" i="2"/>
  <c r="W27" i="2" s="1"/>
  <c r="BC27" i="2" s="1"/>
  <c r="AX33" i="2"/>
  <c r="P49" i="2"/>
  <c r="V15" i="2"/>
  <c r="BB15" i="2" s="1"/>
  <c r="Q15" i="2"/>
  <c r="U17" i="2"/>
  <c r="BA17" i="2" s="1"/>
  <c r="O17" i="2"/>
  <c r="O26" i="2"/>
  <c r="R26" i="2"/>
  <c r="S26" i="2" s="1"/>
  <c r="S27" i="2"/>
  <c r="N52" i="2"/>
  <c r="N51" i="2"/>
  <c r="O51" i="2" s="1"/>
  <c r="R10" i="2"/>
  <c r="S10" i="2" s="1"/>
  <c r="O10" i="2"/>
  <c r="W6" i="2"/>
  <c r="BC6" i="2" s="1"/>
  <c r="K6" i="2"/>
  <c r="J47" i="2"/>
  <c r="K47" i="2" s="1"/>
  <c r="P48" i="2"/>
  <c r="Q48" i="2" s="1"/>
  <c r="Q7" i="2"/>
  <c r="V7" i="2"/>
  <c r="BB7" i="2" s="1"/>
  <c r="T8" i="2"/>
  <c r="M49" i="2"/>
  <c r="O49" i="2" s="1"/>
  <c r="U21" i="2"/>
  <c r="BA21" i="2" s="1"/>
  <c r="R21" i="2"/>
  <c r="V25" i="2"/>
  <c r="BB25" i="2" s="1"/>
  <c r="Q25" i="2"/>
  <c r="W19" i="2"/>
  <c r="BC19" i="2" s="1"/>
  <c r="S19" i="2"/>
  <c r="O21" i="2"/>
  <c r="AZ24" i="2"/>
  <c r="T24" i="2"/>
  <c r="T28" i="2"/>
  <c r="AZ23" i="2"/>
  <c r="W32" i="2"/>
  <c r="BC32" i="2" s="1"/>
  <c r="AK34" i="2"/>
  <c r="BM47" i="2"/>
  <c r="BK68" i="2"/>
  <c r="M52" i="2"/>
  <c r="W5" i="2"/>
  <c r="V6" i="2"/>
  <c r="R6" i="2"/>
  <c r="Q12" i="2"/>
  <c r="V12" i="2"/>
  <c r="BB12" i="2" s="1"/>
  <c r="T13" i="2"/>
  <c r="S13" i="2"/>
  <c r="T18" i="2"/>
  <c r="AZ32" i="2"/>
  <c r="S32" i="2"/>
  <c r="N33" i="2"/>
  <c r="M50" i="2"/>
  <c r="O50" i="2" s="1"/>
  <c r="G53" i="2"/>
  <c r="BL56" i="2"/>
  <c r="BJ68" i="2"/>
  <c r="BL65" i="2"/>
  <c r="BL68" i="2" s="1"/>
  <c r="BH43" i="2" s="1"/>
  <c r="BI43" i="2" s="1"/>
  <c r="N47" i="2"/>
  <c r="O47" i="2" s="1"/>
  <c r="AF47" i="2"/>
  <c r="AG47" i="2" s="1"/>
  <c r="AF48" i="2"/>
  <c r="AG48" i="2" s="1"/>
  <c r="AG7" i="2"/>
  <c r="K9" i="2"/>
  <c r="J51" i="2"/>
  <c r="K51" i="2" s="1"/>
  <c r="AZ15" i="2"/>
  <c r="O24" i="2"/>
  <c r="AZ25" i="2"/>
  <c r="J50" i="2"/>
  <c r="K50" i="2" s="1"/>
  <c r="AG6" i="2"/>
  <c r="R7" i="2"/>
  <c r="R48" i="2" s="1"/>
  <c r="S48" i="2" s="1"/>
  <c r="N48" i="2"/>
  <c r="O48" i="2" s="1"/>
  <c r="Q8" i="2"/>
  <c r="K10" i="2"/>
  <c r="AG11" i="2"/>
  <c r="O13" i="2"/>
  <c r="O14" i="2"/>
  <c r="Q24" i="2"/>
  <c r="T7" i="2"/>
  <c r="F33" i="2"/>
  <c r="U8" i="2"/>
  <c r="BA8" i="2" s="1"/>
  <c r="J8" i="2"/>
  <c r="S14" i="2"/>
  <c r="O18" i="2"/>
  <c r="P33" i="2"/>
  <c r="Q5" i="2"/>
  <c r="AN33" i="2"/>
  <c r="U7" i="2"/>
  <c r="BA7" i="2" s="1"/>
  <c r="G8" i="2"/>
  <c r="BL8" i="2"/>
  <c r="BN8" i="2" s="1"/>
  <c r="BN33" i="2" s="1"/>
  <c r="Q10" i="2"/>
  <c r="T14" i="2"/>
  <c r="R15" i="2"/>
  <c r="W15" i="2" s="1"/>
  <c r="BC15" i="2" s="1"/>
  <c r="S16" i="2"/>
  <c r="Q18" i="2"/>
  <c r="U24" i="2"/>
  <c r="BA24" i="2" s="1"/>
  <c r="R25" i="2"/>
  <c r="W25" i="2" s="1"/>
  <c r="BC25" i="2" s="1"/>
  <c r="Q28" i="2"/>
  <c r="I53" i="2"/>
  <c r="P50" i="2"/>
  <c r="Q50" i="2" s="1"/>
  <c r="V9" i="2"/>
  <c r="BB9" i="2" s="1"/>
  <c r="T12" i="2"/>
  <c r="R13" i="2"/>
  <c r="W13" i="2" s="1"/>
  <c r="BC13" i="2" s="1"/>
  <c r="AZ19" i="2"/>
  <c r="O28" i="2"/>
  <c r="AZ29" i="2"/>
  <c r="V8" i="2"/>
  <c r="BB8" i="2" s="1"/>
  <c r="I8" i="2"/>
  <c r="H49" i="2"/>
  <c r="I49" i="2" s="1"/>
  <c r="R9" i="2"/>
  <c r="W9" i="2" s="1"/>
  <c r="BC9" i="2" s="1"/>
  <c r="U14" i="2"/>
  <c r="BA14" i="2" s="1"/>
  <c r="S15" i="2"/>
  <c r="T16" i="2"/>
  <c r="Q17" i="2"/>
  <c r="R18" i="2"/>
  <c r="S18" i="2" s="1"/>
  <c r="O19" i="2"/>
  <c r="O20" i="2"/>
  <c r="AZ21" i="2"/>
  <c r="S25" i="2"/>
  <c r="T26" i="2"/>
  <c r="Q27" i="2"/>
  <c r="R28" i="2"/>
  <c r="S28" i="2" s="1"/>
  <c r="O29" i="2"/>
  <c r="O30" i="2"/>
  <c r="AZ31" i="2"/>
  <c r="H33" i="2"/>
  <c r="AM34" i="2"/>
  <c r="W6" i="1"/>
  <c r="BC6" i="1" s="1"/>
  <c r="R17" i="1"/>
  <c r="W17" i="1" s="1"/>
  <c r="BC17" i="1" s="1"/>
  <c r="N53" i="1"/>
  <c r="X58" i="1"/>
  <c r="X59" i="1"/>
  <c r="N36" i="1"/>
  <c r="AF36" i="1"/>
  <c r="O10" i="1"/>
  <c r="AZ10" i="1"/>
  <c r="R13" i="1"/>
  <c r="V14" i="1"/>
  <c r="BB14" i="1" s="1"/>
  <c r="Q14" i="1"/>
  <c r="W16" i="1"/>
  <c r="BC16" i="1" s="1"/>
  <c r="K16" i="1"/>
  <c r="O17" i="1"/>
  <c r="O21" i="1"/>
  <c r="R21" i="1"/>
  <c r="S21" i="1" s="1"/>
  <c r="Q22" i="1"/>
  <c r="W7" i="1"/>
  <c r="BC7" i="1" s="1"/>
  <c r="R10" i="1"/>
  <c r="W10" i="1" s="1"/>
  <c r="BC10" i="1" s="1"/>
  <c r="O53" i="1"/>
  <c r="Q17" i="1"/>
  <c r="V17" i="1"/>
  <c r="BB17" i="1" s="1"/>
  <c r="W29" i="1"/>
  <c r="BC29" i="1" s="1"/>
  <c r="K29" i="1"/>
  <c r="P36" i="1"/>
  <c r="K7" i="1"/>
  <c r="R9" i="1"/>
  <c r="W9" i="1" s="1"/>
  <c r="BC9" i="1" s="1"/>
  <c r="Q10" i="1"/>
  <c r="F36" i="1"/>
  <c r="F50" i="1"/>
  <c r="S17" i="1"/>
  <c r="V20" i="1"/>
  <c r="BB20" i="1" s="1"/>
  <c r="Q20" i="1"/>
  <c r="BL20" i="1"/>
  <c r="BN20" i="1" s="1"/>
  <c r="BF36" i="1"/>
  <c r="K23" i="1"/>
  <c r="W25" i="1"/>
  <c r="BC25" i="1" s="1"/>
  <c r="BD36" i="1"/>
  <c r="BD37" i="1" s="1"/>
  <c r="BE45" i="1" s="1"/>
  <c r="R19" i="1"/>
  <c r="W19" i="1" s="1"/>
  <c r="BC19" i="1" s="1"/>
  <c r="N55" i="1"/>
  <c r="S25" i="1"/>
  <c r="W26" i="1"/>
  <c r="BC26" i="1" s="1"/>
  <c r="K26" i="1"/>
  <c r="S7" i="1"/>
  <c r="V13" i="1"/>
  <c r="BB13" i="1" s="1"/>
  <c r="T17" i="1"/>
  <c r="R5" i="1"/>
  <c r="AN36" i="1"/>
  <c r="BL36" i="1"/>
  <c r="BL37" i="1" s="1"/>
  <c r="Q6" i="1"/>
  <c r="N50" i="1"/>
  <c r="U9" i="1"/>
  <c r="BA9" i="1" s="1"/>
  <c r="T10" i="1"/>
  <c r="O12" i="1"/>
  <c r="AZ12" i="1"/>
  <c r="U14" i="1"/>
  <c r="BA14" i="1" s="1"/>
  <c r="V16" i="1"/>
  <c r="BB16" i="1" s="1"/>
  <c r="Q16" i="1"/>
  <c r="U17" i="1"/>
  <c r="BA17" i="1" s="1"/>
  <c r="W18" i="1"/>
  <c r="BC18" i="1" s="1"/>
  <c r="K18" i="1"/>
  <c r="O19" i="1"/>
  <c r="U21" i="1"/>
  <c r="BA21" i="1" s="1"/>
  <c r="Q24" i="1"/>
  <c r="S30" i="1"/>
  <c r="W31" i="1"/>
  <c r="BC31" i="1" s="1"/>
  <c r="K31" i="1"/>
  <c r="W13" i="1"/>
  <c r="BC13" i="1" s="1"/>
  <c r="BN5" i="1"/>
  <c r="BN36" i="1" s="1"/>
  <c r="S6" i="1"/>
  <c r="O7" i="1"/>
  <c r="V9" i="1"/>
  <c r="BB9" i="1" s="1"/>
  <c r="O55" i="1"/>
  <c r="R12" i="1"/>
  <c r="W12" i="1" s="1"/>
  <c r="BC12" i="1" s="1"/>
  <c r="S13" i="1"/>
  <c r="J14" i="1"/>
  <c r="R15" i="1"/>
  <c r="S15" i="1" s="1"/>
  <c r="N51" i="1"/>
  <c r="Q19" i="1"/>
  <c r="V19" i="1"/>
  <c r="BB19" i="1" s="1"/>
  <c r="V25" i="1"/>
  <c r="BB25" i="1" s="1"/>
  <c r="R25" i="1"/>
  <c r="Q25" i="1"/>
  <c r="W27" i="1"/>
  <c r="BC27" i="1" s="1"/>
  <c r="W32" i="1"/>
  <c r="BC32" i="1" s="1"/>
  <c r="BG42" i="1"/>
  <c r="BG46" i="1" s="1"/>
  <c r="BJ46" i="1" s="1"/>
  <c r="AU37" i="1"/>
  <c r="T36" i="1"/>
  <c r="U5" i="1"/>
  <c r="O50" i="1"/>
  <c r="O8" i="1"/>
  <c r="AZ8" i="1"/>
  <c r="AZ36" i="1" s="1"/>
  <c r="BE38" i="1" s="1"/>
  <c r="K9" i="1"/>
  <c r="V10" i="1"/>
  <c r="BB10" i="1" s="1"/>
  <c r="R11" i="1"/>
  <c r="S11" i="1" s="1"/>
  <c r="Q12" i="1"/>
  <c r="N56" i="1"/>
  <c r="O15" i="1"/>
  <c r="V30" i="1"/>
  <c r="BB30" i="1" s="1"/>
  <c r="R30" i="1"/>
  <c r="W30" i="1" s="1"/>
  <c r="BC30" i="1" s="1"/>
  <c r="Q30" i="1"/>
  <c r="S32" i="1"/>
  <c r="W33" i="1"/>
  <c r="BC33" i="1" s="1"/>
  <c r="W11" i="1"/>
  <c r="BC11" i="1" s="1"/>
  <c r="J36" i="1"/>
  <c r="V5" i="1"/>
  <c r="Q7" i="1"/>
  <c r="R8" i="1"/>
  <c r="O51" i="1"/>
  <c r="K10" i="1"/>
  <c r="S12" i="1"/>
  <c r="O13" i="1"/>
  <c r="Q15" i="1"/>
  <c r="V15" i="1"/>
  <c r="BB15" i="1" s="1"/>
  <c r="W21" i="1"/>
  <c r="BC21" i="1" s="1"/>
  <c r="AX55" i="1"/>
  <c r="BA55" i="1" s="1"/>
  <c r="AY36" i="1"/>
  <c r="AX37" i="1"/>
  <c r="V18" i="1"/>
  <c r="BB18" i="1" s="1"/>
  <c r="Q18" i="1"/>
  <c r="U19" i="1"/>
  <c r="BA19" i="1" s="1"/>
  <c r="W20" i="1"/>
  <c r="BC20" i="1" s="1"/>
  <c r="K20" i="1"/>
  <c r="K21" i="1"/>
  <c r="U22" i="1"/>
  <c r="BA22" i="1" s="1"/>
  <c r="R22" i="1"/>
  <c r="W22" i="1" s="1"/>
  <c r="BC22" i="1" s="1"/>
  <c r="O22" i="1"/>
  <c r="V27" i="1"/>
  <c r="BB27" i="1" s="1"/>
  <c r="R27" i="1"/>
  <c r="S27" i="1" s="1"/>
  <c r="Q27" i="1"/>
  <c r="I36" i="1"/>
  <c r="H37" i="1"/>
  <c r="I37" i="1" s="1"/>
  <c r="Q28" i="1"/>
  <c r="V28" i="1"/>
  <c r="BB28" i="1" s="1"/>
  <c r="M54" i="1"/>
  <c r="V26" i="1"/>
  <c r="BB26" i="1" s="1"/>
  <c r="S28" i="1"/>
  <c r="V31" i="1"/>
  <c r="BB31" i="1" s="1"/>
  <c r="Q32" i="1"/>
  <c r="K33" i="1"/>
  <c r="V33" i="1"/>
  <c r="BB33" i="1" s="1"/>
  <c r="Q34" i="1"/>
  <c r="K35" i="1"/>
  <c r="BJ71" i="1"/>
  <c r="R32" i="1"/>
  <c r="R34" i="1"/>
  <c r="W34" i="1" s="1"/>
  <c r="BC34" i="1" s="1"/>
  <c r="M36" i="1"/>
  <c r="N38" i="1" s="1"/>
  <c r="BK71" i="1"/>
  <c r="T21" i="1"/>
  <c r="T23" i="1"/>
  <c r="O24" i="1"/>
  <c r="J28" i="1"/>
  <c r="X53" i="1"/>
  <c r="X54" i="1"/>
  <c r="X57" i="1"/>
  <c r="M56" i="1"/>
  <c r="BL28" i="1"/>
  <c r="BN28" i="1" s="1"/>
  <c r="AZ29" i="1"/>
  <c r="AZ31" i="1"/>
  <c r="AZ35" i="1"/>
  <c r="G50" i="1"/>
  <c r="R24" i="1"/>
  <c r="W24" i="1" s="1"/>
  <c r="BC24" i="1" s="1"/>
  <c r="K25" i="1"/>
  <c r="Q26" i="1"/>
  <c r="K27" i="1"/>
  <c r="Q29" i="1"/>
  <c r="K30" i="1"/>
  <c r="Q31" i="1"/>
  <c r="K32" i="1"/>
  <c r="Q33" i="1"/>
  <c r="K34" i="1"/>
  <c r="Q35" i="1"/>
  <c r="M50" i="1"/>
  <c r="O28" i="1"/>
  <c r="AD37" i="1"/>
  <c r="AE37" i="1" s="1"/>
  <c r="S26" i="1"/>
  <c r="S31" i="1"/>
  <c r="S29" i="1"/>
  <c r="S33" i="1"/>
  <c r="S35" i="1"/>
  <c r="S9" i="1"/>
  <c r="R12" i="2" l="1"/>
  <c r="U12" i="2"/>
  <c r="BA12" i="2" s="1"/>
  <c r="O12" i="2"/>
  <c r="S7" i="2"/>
  <c r="O52" i="2"/>
  <c r="Q49" i="2"/>
  <c r="W22" i="2"/>
  <c r="BC22" i="2" s="1"/>
  <c r="Q52" i="2"/>
  <c r="I33" i="2"/>
  <c r="H34" i="2"/>
  <c r="I34" i="2" s="1"/>
  <c r="BL33" i="2"/>
  <c r="BL34" i="2" s="1"/>
  <c r="AY33" i="2"/>
  <c r="AY52" i="2"/>
  <c r="BB52" i="2" s="1"/>
  <c r="AX34" i="2"/>
  <c r="AG33" i="2"/>
  <c r="AF34" i="2"/>
  <c r="Q51" i="2"/>
  <c r="R52" i="2"/>
  <c r="S52" i="2" s="1"/>
  <c r="S11" i="2"/>
  <c r="W18" i="2"/>
  <c r="BC18" i="2" s="1"/>
  <c r="K8" i="2"/>
  <c r="J49" i="2"/>
  <c r="K49" i="2" s="1"/>
  <c r="W8" i="2"/>
  <c r="BC8" i="2" s="1"/>
  <c r="BA33" i="2"/>
  <c r="BA34" i="2" s="1"/>
  <c r="N34" i="2"/>
  <c r="O34" i="2" s="1"/>
  <c r="O33" i="2"/>
  <c r="W29" i="2"/>
  <c r="BC29" i="2" s="1"/>
  <c r="S29" i="2"/>
  <c r="W31" i="2"/>
  <c r="BC31" i="2" s="1"/>
  <c r="S31" i="2"/>
  <c r="G33" i="2"/>
  <c r="F34" i="2"/>
  <c r="G34" i="2" s="1"/>
  <c r="W7" i="2"/>
  <c r="BC7" i="2" s="1"/>
  <c r="AZ33" i="2"/>
  <c r="BE35" i="2" s="1"/>
  <c r="N53" i="2"/>
  <c r="O53" i="2" s="1"/>
  <c r="T33" i="2"/>
  <c r="R50" i="2"/>
  <c r="S50" i="2" s="1"/>
  <c r="S9" i="2"/>
  <c r="BB6" i="2"/>
  <c r="BB33" i="2" s="1"/>
  <c r="BB34" i="2" s="1"/>
  <c r="V33" i="2"/>
  <c r="V34" i="2" s="1"/>
  <c r="V36" i="2" s="1"/>
  <c r="R51" i="2"/>
  <c r="S51" i="2" s="1"/>
  <c r="W10" i="2"/>
  <c r="BC10" i="2" s="1"/>
  <c r="BJ43" i="2"/>
  <c r="BC5" i="2"/>
  <c r="AN34" i="2"/>
  <c r="AO33" i="2"/>
  <c r="Q33" i="2"/>
  <c r="P34" i="2"/>
  <c r="Q34" i="2" s="1"/>
  <c r="S6" i="2"/>
  <c r="R47" i="2"/>
  <c r="S47" i="2" s="1"/>
  <c r="J33" i="2"/>
  <c r="W21" i="2"/>
  <c r="BC21" i="2" s="1"/>
  <c r="S21" i="2"/>
  <c r="U33" i="2"/>
  <c r="U34" i="2" s="1"/>
  <c r="R53" i="2"/>
  <c r="S53" i="2" s="1"/>
  <c r="R33" i="2"/>
  <c r="S5" i="2"/>
  <c r="W11" i="2"/>
  <c r="BC11" i="2" s="1"/>
  <c r="R49" i="2"/>
  <c r="S49" i="2" s="1"/>
  <c r="J37" i="1"/>
  <c r="K36" i="1"/>
  <c r="AF37" i="1"/>
  <c r="AG36" i="1"/>
  <c r="N37" i="1"/>
  <c r="O37" i="1" s="1"/>
  <c r="O36" i="1"/>
  <c r="W15" i="1"/>
  <c r="BC15" i="1" s="1"/>
  <c r="G36" i="1"/>
  <c r="F37" i="1"/>
  <c r="G37" i="1" s="1"/>
  <c r="K37" i="1" s="1"/>
  <c r="AO36" i="1"/>
  <c r="AN37" i="1"/>
  <c r="R36" i="1"/>
  <c r="S34" i="1"/>
  <c r="W14" i="1"/>
  <c r="BC14" i="1" s="1"/>
  <c r="K14" i="1"/>
  <c r="BI46" i="1"/>
  <c r="W8" i="1"/>
  <c r="BC8" i="1" s="1"/>
  <c r="S8" i="1"/>
  <c r="S10" i="1"/>
  <c r="W28" i="1"/>
  <c r="BC28" i="1" s="1"/>
  <c r="K28" i="1"/>
  <c r="P37" i="1"/>
  <c r="Q37" i="1" s="1"/>
  <c r="Q36" i="1"/>
  <c r="S5" i="1"/>
  <c r="AY48" i="1"/>
  <c r="AY37" i="1"/>
  <c r="AY38" i="1"/>
  <c r="AY50" i="1"/>
  <c r="AY51" i="1" s="1"/>
  <c r="AY47" i="1"/>
  <c r="AX46" i="1"/>
  <c r="AX47" i="1" s="1"/>
  <c r="BA56" i="1"/>
  <c r="BA58" i="1"/>
  <c r="V36" i="1"/>
  <c r="V37" i="1" s="1"/>
  <c r="V39" i="1" s="1"/>
  <c r="BB5" i="1"/>
  <c r="BB36" i="1" s="1"/>
  <c r="BB37" i="1" s="1"/>
  <c r="S24" i="1"/>
  <c r="S22" i="1"/>
  <c r="W5" i="1"/>
  <c r="S19" i="1"/>
  <c r="U36" i="1"/>
  <c r="U37" i="1" s="1"/>
  <c r="BA5" i="1"/>
  <c r="BA36" i="1" s="1"/>
  <c r="BA37" i="1" s="1"/>
  <c r="S33" i="2" l="1"/>
  <c r="R34" i="2"/>
  <c r="AO34" i="2"/>
  <c r="AO44" i="2"/>
  <c r="AO35" i="2"/>
  <c r="AN43" i="2"/>
  <c r="AN44" i="2" s="1"/>
  <c r="AG44" i="2"/>
  <c r="AF43" i="2"/>
  <c r="AF44" i="2" s="1"/>
  <c r="AG35" i="2"/>
  <c r="AG34" i="2"/>
  <c r="BA55" i="2"/>
  <c r="BB53" i="2"/>
  <c r="BC33" i="2"/>
  <c r="J34" i="2"/>
  <c r="K33" i="2"/>
  <c r="K34" i="2"/>
  <c r="AY34" i="2"/>
  <c r="AX43" i="2"/>
  <c r="AX44" i="2" s="1"/>
  <c r="AY35" i="2"/>
  <c r="AY44" i="2"/>
  <c r="AZ47" i="2"/>
  <c r="AZ48" i="2" s="1"/>
  <c r="AY45" i="2"/>
  <c r="W12" i="2"/>
  <c r="BC12" i="2" s="1"/>
  <c r="S12" i="2"/>
  <c r="BC5" i="1"/>
  <c r="BC36" i="1" s="1"/>
  <c r="W36" i="1"/>
  <c r="W37" i="1" s="1"/>
  <c r="AG38" i="1"/>
  <c r="AF46" i="1"/>
  <c r="AF47" i="1" s="1"/>
  <c r="AG47" i="1"/>
  <c r="AG37" i="1"/>
  <c r="S36" i="1"/>
  <c r="R37" i="1"/>
  <c r="AO47" i="1"/>
  <c r="AO37" i="1"/>
  <c r="AO38" i="1"/>
  <c r="AN46" i="1"/>
  <c r="AN47" i="1" s="1"/>
  <c r="J46" i="1"/>
  <c r="J47" i="1" s="1"/>
  <c r="K38" i="1"/>
  <c r="K47" i="1"/>
  <c r="K44" i="2" l="1"/>
  <c r="K35" i="2"/>
  <c r="J43" i="2"/>
  <c r="J44" i="2" s="1"/>
  <c r="BC36" i="2"/>
  <c r="BD36" i="2" s="1"/>
  <c r="BC34" i="2"/>
  <c r="S35" i="2"/>
  <c r="R43" i="2"/>
  <c r="R44" i="2" s="1"/>
  <c r="S44" i="2"/>
  <c r="S34" i="2"/>
  <c r="W33" i="2"/>
  <c r="W34" i="2" s="1"/>
  <c r="S38" i="1"/>
  <c r="R46" i="1"/>
  <c r="R47" i="1" s="1"/>
  <c r="S47" i="1"/>
  <c r="S37" i="1"/>
  <c r="W38" i="1"/>
  <c r="X47" i="1"/>
  <c r="W46" i="1"/>
  <c r="W47" i="1" s="1"/>
  <c r="BC39" i="1"/>
  <c r="BD39" i="1" s="1"/>
  <c r="BC37" i="1"/>
  <c r="BD43" i="2" l="1"/>
  <c r="BD35" i="2"/>
  <c r="BC42" i="2"/>
  <c r="BC43" i="2" s="1"/>
  <c r="BC40" i="2"/>
  <c r="BC37" i="2"/>
  <c r="BD38" i="2" s="1"/>
  <c r="W35" i="2"/>
  <c r="X44" i="2"/>
  <c r="W43" i="2"/>
  <c r="W44" i="2" s="1"/>
  <c r="BC40" i="1"/>
  <c r="BD41" i="1" s="1"/>
  <c r="BD46" i="1"/>
  <c r="BD38" i="1"/>
  <c r="BC43" i="1"/>
  <c r="BC45" i="1"/>
  <c r="BC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61FB6BC9-F354-0247-9DB2-7AA3679221AB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EA97143B-1595-D24A-9B3E-BF607E3C2EA9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<sst xmlns="http://schemas.openxmlformats.org/spreadsheetml/2006/main" count="387" uniqueCount="129">
  <si>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</si>
  <si>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</si>
  <si>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</si>
  <si>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</si>
  <si>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</si>
  <si>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</si>
  <si>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</si>
  <si>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</si>
  <si>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</si>
  <si>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</si>
  <si>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</si>
  <si>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</si>
  <si>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</si>
  <si>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</si>
  <si>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</si>
  <si>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</si>
  <si>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</si>
  <si>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</si>
  <si>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</si>
  <si>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</si>
  <si>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</si>
  <si>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</si>
  <si>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r>
      <rPr>
        <b/>
        <sz val="6"/>
        <color rgb="FF000000"/>
        <rFont val="游ゴシック"/>
        <family val="3"/>
        <charset val="128"/>
        <scheme val="minor"/>
      </rPr>
      <t>アフタヌーンティー</t>
    </r>
    <r>
      <rPr>
        <b/>
        <sz val="9"/>
        <color indexed="8"/>
        <rFont val="游ゴシック"/>
        <family val="3"/>
        <charset val="128"/>
        <scheme val="minor"/>
      </rPr>
      <t>実績</t>
    </r>
    <rPh sb="9" eb="11">
      <t>ジッセキ</t>
    </rPh>
    <phoneticPr fontId="11"/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</si>
  <si>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</si>
  <si>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</si>
  <si>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</si>
  <si>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</si>
  <si>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</si>
  <si>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物販</t>
    <rPh sb="0" eb="2">
      <t>ブッパン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</si>
  <si>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</si>
  <si>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</si>
  <si>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</si>
  <si>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</si>
  <si>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</si>
  <si>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</si>
  <si>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</si>
  <si>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</si>
  <si>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</si>
  <si>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</si>
  <si>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</si>
  <si>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</si>
  <si>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</si>
  <si>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</si>
  <si>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</si>
  <si>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</si>
  <si>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</si>
  <si>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</si>
  <si>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</si>
  <si>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</si>
  <si>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</si>
  <si>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ランチ予算</t>
  </si>
  <si>
    <t>当月残り日数</t>
  </si>
  <si>
    <t>ディナー予算</t>
  </si>
  <si>
    <t>レストラン予算</t>
    <phoneticPr fontId="8"/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</si>
  <si>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</si>
  <si>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</si>
  <si>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</si>
  <si>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</si>
  <si>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</si>
  <si>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</si>
  <si>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</si>
  <si>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</si>
  <si>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</si>
  <si>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</si>
  <si>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</si>
  <si>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</si>
  <si>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</si>
  <si>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</si>
  <si>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</si>
  <si>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</si>
  <si>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</si>
  <si>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</si>
  <si>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</si>
  <si>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</si>
  <si>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</si>
  <si>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</si>
  <si>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</si>
  <si>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</si>
  <si>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</si>
  <si>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</si>
  <si>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</si>
  <si>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</si>
  <si>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</si>
  <si>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</si>
  <si>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</si>
  <si>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</si>
  <si>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</si>
  <si>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</si>
  <si>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</si>
  <si>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</si>
  <si>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</si>
  <si>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</si>
  <si>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</si>
  <si>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</si>
  <si>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</si>
  <si>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レストラン営業終了後トータル売上（アフターランチ除く・入力用税込）</t>
    <rPh sb="24" eb="25">
      <t>ノゾ</t>
    </rPh>
    <phoneticPr fontId="11"/>
  </si>
  <si>
    <t>TEAタイム予算</t>
    <phoneticPr fontId="11"/>
  </si>
  <si>
    <t>ビアガーデン 9/15まで　ピコレ9/20~10/5まで</t>
    <phoneticPr fontId="8"/>
  </si>
  <si>
    <t>日</t>
  </si>
  <si>
    <t>火</t>
  </si>
  <si>
    <t>水</t>
  </si>
  <si>
    <t>木</t>
  </si>
  <si>
    <t>金</t>
  </si>
  <si>
    <t>ランチ</t>
    <phoneticPr fontId="24"/>
  </si>
  <si>
    <t>ディナー</t>
    <phoneticPr fontId="24"/>
  </si>
  <si>
    <t>入客</t>
    <rPh sb="0" eb="2">
      <t>ニュウ</t>
    </rPh>
    <phoneticPr fontId="24"/>
  </si>
  <si>
    <t>料理売上</t>
    <rPh sb="0" eb="2">
      <t>リョウリ</t>
    </rPh>
    <rPh sb="2" eb="4">
      <t>ウリアゲ</t>
    </rPh>
    <phoneticPr fontId="24"/>
  </si>
  <si>
    <t>ドリンク</t>
    <phoneticPr fontId="24"/>
  </si>
  <si>
    <t>月</t>
    <rPh sb="0" eb="1">
      <t>ゲテゥ</t>
    </rPh>
    <phoneticPr fontId="24"/>
  </si>
  <si>
    <t>土</t>
  </si>
  <si>
    <t>アフターランチ・T/O（税込）→1/15~Bar営業</t>
    <rPh sb="24" eb="26">
      <t>エイギョウ</t>
    </rPh>
    <phoneticPr fontId="8"/>
  </si>
  <si>
    <t>L+D＋Bar＋宴会場+BG（人数は含まず）TOTAL</t>
    <rPh sb="19" eb="22">
      <t xml:space="preserve">エンカイジョウ </t>
    </rPh>
    <phoneticPr fontId="8"/>
  </si>
  <si>
    <t>職業体験10名２万円</t>
    <rPh sb="0" eb="2">
      <t>ショクギョウ</t>
    </rPh>
    <rPh sb="2" eb="4">
      <t>タイケn</t>
    </rPh>
    <rPh sb="6" eb="7">
      <t>メイ</t>
    </rPh>
    <rPh sb="9" eb="10">
      <t>エn</t>
    </rPh>
    <phoneticPr fontId="24"/>
  </si>
  <si>
    <t>社割　浅川さん</t>
    <rPh sb="0" eb="2">
      <t>シャワリ</t>
    </rPh>
    <rPh sb="3" eb="5">
      <t>アサカワ</t>
    </rPh>
    <phoneticPr fontId="24"/>
  </si>
  <si>
    <t>社割 毛利、下田</t>
    <rPh sb="0" eb="2">
      <t>シャワリ</t>
    </rPh>
    <rPh sb="3" eb="5">
      <t>モウリ</t>
    </rPh>
    <rPh sb="6" eb="8">
      <t>シモダ</t>
    </rPh>
    <phoneticPr fontId="24"/>
  </si>
  <si>
    <t>TV塔宇佐美様</t>
    <rPh sb="2" eb="3">
      <t>トウ</t>
    </rPh>
    <rPh sb="3" eb="7">
      <t>ウサミサマ</t>
    </rPh>
    <phoneticPr fontId="24"/>
  </si>
  <si>
    <t>Wine Bar</t>
    <phoneticPr fontId="8"/>
  </si>
  <si>
    <t>Barタイム予算</t>
    <phoneticPr fontId="11"/>
  </si>
  <si>
    <t>ランチ</t>
    <phoneticPr fontId="28"/>
  </si>
  <si>
    <t>ディナー</t>
    <phoneticPr fontId="28"/>
  </si>
  <si>
    <t>AT</t>
    <phoneticPr fontId="28"/>
  </si>
  <si>
    <t>客数</t>
    <rPh sb="0" eb="2">
      <t>キャクスウ</t>
    </rPh>
    <phoneticPr fontId="28"/>
  </si>
  <si>
    <t>料理売上</t>
    <rPh sb="0" eb="2">
      <t>リョウリ</t>
    </rPh>
    <rPh sb="2" eb="4">
      <t>ウリアゲ</t>
    </rPh>
    <phoneticPr fontId="28"/>
  </si>
  <si>
    <t>料理単価</t>
    <rPh sb="0" eb="2">
      <t>リョウリ</t>
    </rPh>
    <rPh sb="2" eb="4">
      <t>タンカ</t>
    </rPh>
    <phoneticPr fontId="28"/>
  </si>
  <si>
    <t>飲料売上</t>
    <rPh sb="0" eb="2">
      <t>インリョウ</t>
    </rPh>
    <rPh sb="2" eb="4">
      <t>ウリアゲ</t>
    </rPh>
    <phoneticPr fontId="28"/>
  </si>
  <si>
    <t>飲料単価</t>
    <rPh sb="0" eb="2">
      <t>インリョウ</t>
    </rPh>
    <rPh sb="2" eb="4">
      <t>タンカ</t>
    </rPh>
    <phoneticPr fontId="28"/>
  </si>
  <si>
    <t>合計</t>
    <rPh sb="0" eb="2">
      <t>ゴウケイ</t>
    </rPh>
    <phoneticPr fontId="28"/>
  </si>
  <si>
    <t>客単価</t>
    <rPh sb="0" eb="3">
      <t>キャクタンカ</t>
    </rPh>
    <phoneticPr fontId="28"/>
  </si>
  <si>
    <t>月</t>
    <rPh sb="0" eb="1">
      <t>ゲツ</t>
    </rPh>
    <phoneticPr fontId="2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</si>
</sst>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3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6"/>
      <color rgb="FF000000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4"/>
      <color indexed="8"/>
      <name val="Meiryo UI"/>
      <family val="2"/>
    </font>
    <font>
      <sz val="6"/>
      <name val="Tsukushi A Round Gothic Bold"/>
      <family val="3"/>
      <charset val="128"/>
    </font>
    <font>
      <b/>
      <sz val="8"/>
      <color rgb="FFFF0000"/>
      <name val="游ゴシック"/>
      <family val="3"/>
      <charset val="128"/>
      <scheme val="minor"/>
    </font>
    <font>
      <b/>
      <sz val="8"/>
      <color rgb="FF00B0F0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6"/>
      <name val="游ゴシック"/>
      <family val="3"/>
      <charset val="128"/>
      <scheme val="minor"/>
    </font>
    <font>
      <sz val="10"/>
      <color rgb="FF000000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55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9" fillId="6" borderId="9" xfId="3" applyFont="1" applyFill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0" fontId="9" fillId="7" borderId="12" xfId="3" applyFont="1" applyFill="1" applyBorder="1" applyAlignment="1">
      <alignment horizontal="center" vertical="center" wrapText="1"/>
    </xf>
    <xf numFmtId="0" fontId="9" fillId="7" borderId="13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4" xfId="3" applyNumberFormat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5" fillId="0" borderId="21" xfId="3" applyFont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5" fillId="6" borderId="15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38" fontId="5" fillId="0" borderId="23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2" fillId="0" borderId="24" xfId="3" applyNumberFormat="1" applyFont="1" applyBorder="1" applyAlignment="1">
      <alignment horizontal="left"/>
    </xf>
    <xf numFmtId="38" fontId="3" fillId="0" borderId="24" xfId="3" applyNumberFormat="1" applyFont="1" applyBorder="1"/>
    <xf numFmtId="179" fontId="3" fillId="0" borderId="25" xfId="3" applyNumberFormat="1" applyFont="1" applyBorder="1"/>
    <xf numFmtId="180" fontId="3" fillId="2" borderId="25" xfId="4" applyNumberFormat="1" applyFont="1" applyFill="1" applyBorder="1"/>
    <xf numFmtId="38" fontId="3" fillId="8" borderId="25" xfId="4" applyFont="1" applyFill="1" applyBorder="1"/>
    <xf numFmtId="38" fontId="5" fillId="0" borderId="26" xfId="4" applyFont="1" applyBorder="1"/>
    <xf numFmtId="38" fontId="5" fillId="0" borderId="24" xfId="4" applyFont="1" applyBorder="1"/>
    <xf numFmtId="38" fontId="9" fillId="2" borderId="25" xfId="4" applyFont="1" applyFill="1" applyBorder="1"/>
    <xf numFmtId="40" fontId="3" fillId="0" borderId="27" xfId="3" applyNumberFormat="1" applyFont="1" applyBorder="1"/>
    <xf numFmtId="181" fontId="3" fillId="0" borderId="25" xfId="3" applyNumberFormat="1" applyFont="1" applyBorder="1"/>
    <xf numFmtId="180" fontId="3" fillId="3" borderId="25" xfId="4" applyNumberFormat="1" applyFont="1" applyFill="1" applyBorder="1"/>
    <xf numFmtId="38" fontId="3" fillId="0" borderId="25" xfId="4" applyFont="1" applyBorder="1"/>
    <xf numFmtId="38" fontId="9" fillId="0" borderId="22" xfId="4" applyFont="1" applyBorder="1"/>
    <xf numFmtId="180" fontId="3" fillId="0" borderId="28" xfId="4" applyNumberFormat="1" applyFont="1" applyBorder="1"/>
    <xf numFmtId="38" fontId="3" fillId="9" borderId="24" xfId="4" applyFont="1" applyFill="1" applyBorder="1"/>
    <xf numFmtId="179" fontId="3" fillId="4" borderId="25" xfId="3" applyNumberFormat="1" applyFont="1" applyFill="1" applyBorder="1"/>
    <xf numFmtId="180" fontId="3" fillId="10" borderId="25" xfId="4" applyNumberFormat="1" applyFont="1" applyFill="1" applyBorder="1"/>
    <xf numFmtId="38" fontId="3" fillId="3" borderId="22" xfId="4" applyFont="1" applyFill="1" applyBorder="1"/>
    <xf numFmtId="40" fontId="3" fillId="11" borderId="22" xfId="3" applyNumberFormat="1" applyFont="1" applyFill="1" applyBorder="1"/>
    <xf numFmtId="40" fontId="3" fillId="0" borderId="26" xfId="3" applyNumberFormat="1" applyFont="1" applyBorder="1"/>
    <xf numFmtId="38" fontId="3" fillId="12" borderId="22" xfId="3" applyNumberFormat="1" applyFont="1" applyFill="1" applyBorder="1"/>
    <xf numFmtId="38" fontId="5" fillId="3" borderId="22" xfId="4" applyFont="1" applyFill="1" applyBorder="1"/>
    <xf numFmtId="180" fontId="3" fillId="0" borderId="26" xfId="4" applyNumberFormat="1" applyFont="1" applyBorder="1"/>
    <xf numFmtId="38" fontId="9" fillId="0" borderId="24" xfId="4" applyFont="1" applyBorder="1"/>
    <xf numFmtId="38" fontId="3" fillId="0" borderId="24" xfId="4" applyFont="1" applyBorder="1"/>
    <xf numFmtId="38" fontId="3" fillId="13" borderId="4" xfId="4" applyFont="1" applyFill="1" applyBorder="1"/>
    <xf numFmtId="38" fontId="3" fillId="13" borderId="22" xfId="4" applyFont="1" applyFill="1" applyBorder="1"/>
    <xf numFmtId="38" fontId="5" fillId="13" borderId="22" xfId="4" applyFont="1" applyFill="1" applyBorder="1"/>
    <xf numFmtId="38" fontId="9" fillId="9" borderId="23" xfId="4" applyFont="1" applyFill="1" applyBorder="1"/>
    <xf numFmtId="38" fontId="3" fillId="0" borderId="0" xfId="4" applyFont="1"/>
    <xf numFmtId="178" fontId="12" fillId="0" borderId="7" xfId="3" applyNumberFormat="1" applyFont="1" applyBorder="1" applyAlignment="1">
      <alignment horizontal="left"/>
    </xf>
    <xf numFmtId="38" fontId="3" fillId="0" borderId="7" xfId="3" applyNumberFormat="1" applyFont="1" applyBorder="1"/>
    <xf numFmtId="180" fontId="3" fillId="0" borderId="4" xfId="4" applyNumberFormat="1" applyFont="1" applyBorder="1"/>
    <xf numFmtId="38" fontId="3" fillId="0" borderId="22" xfId="4" applyFont="1" applyBorder="1"/>
    <xf numFmtId="180" fontId="3" fillId="0" borderId="9" xfId="4" applyNumberFormat="1" applyFont="1" applyBorder="1"/>
    <xf numFmtId="38" fontId="3" fillId="0" borderId="0" xfId="3" applyNumberFormat="1" applyFont="1"/>
    <xf numFmtId="38" fontId="6" fillId="0" borderId="7" xfId="3" applyNumberFormat="1" applyFont="1" applyBorder="1"/>
    <xf numFmtId="38" fontId="5" fillId="14" borderId="24" xfId="4" applyFont="1" applyFill="1" applyBorder="1"/>
    <xf numFmtId="179" fontId="3" fillId="4" borderId="22" xfId="3" applyNumberFormat="1" applyFont="1" applyFill="1" applyBorder="1"/>
    <xf numFmtId="180" fontId="3" fillId="10" borderId="22" xfId="4" applyNumberFormat="1" applyFont="1" applyFill="1" applyBorder="1"/>
    <xf numFmtId="38" fontId="3" fillId="8" borderId="22" xfId="4" applyFont="1" applyFill="1" applyBorder="1"/>
    <xf numFmtId="180" fontId="3" fillId="3" borderId="2" xfId="4" applyNumberFormat="1" applyFont="1" applyFill="1" applyBorder="1"/>
    <xf numFmtId="180" fontId="3" fillId="0" borderId="29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30" xfId="4" applyFont="1" applyBorder="1"/>
    <xf numFmtId="38" fontId="5" fillId="0" borderId="31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30" xfId="4" applyNumberFormat="1" applyFont="1" applyBorder="1"/>
    <xf numFmtId="38" fontId="3" fillId="13" borderId="32" xfId="4" applyFont="1" applyFill="1" applyBorder="1"/>
    <xf numFmtId="38" fontId="3" fillId="13" borderId="15" xfId="4" applyFont="1" applyFill="1" applyBorder="1"/>
    <xf numFmtId="38" fontId="5" fillId="13" borderId="15" xfId="4" applyFont="1" applyFill="1" applyBorder="1"/>
    <xf numFmtId="0" fontId="5" fillId="0" borderId="33" xfId="3" applyFont="1" applyBorder="1" applyAlignment="1">
      <alignment horizontal="left"/>
    </xf>
    <xf numFmtId="38" fontId="5" fillId="0" borderId="12" xfId="3" applyNumberFormat="1" applyFont="1" applyBorder="1"/>
    <xf numFmtId="179" fontId="5" fillId="0" borderId="34" xfId="3" applyNumberFormat="1" applyFont="1" applyBorder="1"/>
    <xf numFmtId="180" fontId="5" fillId="0" borderId="12" xfId="3" applyNumberFormat="1" applyFont="1" applyBorder="1"/>
    <xf numFmtId="38" fontId="13" fillId="0" borderId="34" xfId="3" applyNumberFormat="1" applyFont="1" applyBorder="1"/>
    <xf numFmtId="38" fontId="5" fillId="0" borderId="34" xfId="3" applyNumberFormat="1" applyFont="1" applyBorder="1"/>
    <xf numFmtId="38" fontId="5" fillId="0" borderId="33" xfId="3" applyNumberFormat="1" applyFont="1" applyBorder="1"/>
    <xf numFmtId="38" fontId="5" fillId="7" borderId="12" xfId="3" applyNumberFormat="1" applyFont="1" applyFill="1" applyBorder="1"/>
    <xf numFmtId="182" fontId="5" fillId="0" borderId="12" xfId="3" applyNumberFormat="1" applyFont="1" applyBorder="1" applyAlignment="1">
      <alignment shrinkToFit="1"/>
    </xf>
    <xf numFmtId="181" fontId="5" fillId="0" borderId="34" xfId="3" applyNumberFormat="1" applyFont="1" applyBorder="1"/>
    <xf numFmtId="38" fontId="13" fillId="0" borderId="12" xfId="3" applyNumberFormat="1" applyFont="1" applyBorder="1"/>
    <xf numFmtId="38" fontId="9" fillId="7" borderId="12" xfId="3" applyNumberFormat="1" applyFont="1" applyFill="1" applyBorder="1"/>
    <xf numFmtId="182" fontId="14" fillId="0" borderId="34" xfId="3" applyNumberFormat="1" applyFont="1" applyBorder="1" applyAlignment="1">
      <alignment shrinkToFit="1"/>
    </xf>
    <xf numFmtId="0" fontId="5" fillId="0" borderId="12" xfId="3" applyFont="1" applyBorder="1"/>
    <xf numFmtId="180" fontId="5" fillId="0" borderId="34" xfId="3" applyNumberFormat="1" applyFont="1" applyBorder="1"/>
    <xf numFmtId="182" fontId="5" fillId="0" borderId="35" xfId="3" applyNumberFormat="1" applyFont="1" applyBorder="1"/>
    <xf numFmtId="179" fontId="5" fillId="11" borderId="34" xfId="3" applyNumberFormat="1" applyFont="1" applyFill="1" applyBorder="1"/>
    <xf numFmtId="182" fontId="5" fillId="0" borderId="34" xfId="3" applyNumberFormat="1" applyFont="1" applyBorder="1"/>
    <xf numFmtId="179" fontId="15" fillId="12" borderId="34" xfId="3" applyNumberFormat="1" applyFont="1" applyFill="1" applyBorder="1"/>
    <xf numFmtId="38" fontId="5" fillId="0" borderId="12" xfId="4" applyFont="1" applyBorder="1"/>
    <xf numFmtId="38" fontId="5" fillId="7" borderId="25" xfId="4" applyFont="1" applyFill="1" applyBorder="1"/>
    <xf numFmtId="38" fontId="9" fillId="7" borderId="25" xfId="4" applyFont="1" applyFill="1" applyBorder="1"/>
    <xf numFmtId="0" fontId="5" fillId="0" borderId="0" xfId="3" applyFont="1"/>
    <xf numFmtId="38" fontId="5" fillId="14" borderId="22" xfId="4" applyFont="1" applyFill="1" applyBorder="1"/>
    <xf numFmtId="0" fontId="5" fillId="0" borderId="0" xfId="3" applyFont="1" applyAlignment="1">
      <alignment horizontal="left"/>
    </xf>
    <xf numFmtId="0" fontId="5" fillId="0" borderId="7" xfId="3" applyFont="1" applyBorder="1"/>
    <xf numFmtId="38" fontId="13" fillId="0" borderId="22" xfId="4" applyFont="1" applyBorder="1"/>
    <xf numFmtId="38" fontId="9" fillId="7" borderId="22" xfId="4" applyFont="1" applyFill="1" applyBorder="1"/>
    <xf numFmtId="38" fontId="5" fillId="0" borderId="22" xfId="4" applyFont="1" applyBorder="1"/>
    <xf numFmtId="38" fontId="5" fillId="7" borderId="22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3" fillId="0" borderId="0" xfId="3" applyNumberFormat="1" applyFont="1"/>
    <xf numFmtId="0" fontId="5" fillId="0" borderId="9" xfId="3" applyFont="1" applyBorder="1"/>
    <xf numFmtId="182" fontId="5" fillId="0" borderId="0" xfId="3" applyNumberFormat="1" applyFont="1"/>
    <xf numFmtId="182" fontId="5" fillId="0" borderId="36" xfId="3" applyNumberFormat="1" applyFont="1" applyBorder="1"/>
    <xf numFmtId="0" fontId="5" fillId="0" borderId="8" xfId="3" applyFont="1" applyBorder="1"/>
    <xf numFmtId="38" fontId="5" fillId="0" borderId="9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6" xfId="3" applyFont="1" applyBorder="1"/>
    <xf numFmtId="0" fontId="3" fillId="0" borderId="31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6" xfId="3" applyFont="1" applyBorder="1"/>
    <xf numFmtId="185" fontId="3" fillId="0" borderId="0" xfId="4" applyNumberFormat="1" applyFont="1"/>
    <xf numFmtId="0" fontId="16" fillId="0" borderId="22" xfId="3" applyFont="1" applyBorder="1" applyAlignment="1">
      <alignment horizontal="left" vertical="top" wrapText="1"/>
    </xf>
    <xf numFmtId="38" fontId="17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38" fontId="5" fillId="0" borderId="0" xfId="3" applyNumberFormat="1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8" fillId="0" borderId="0" xfId="3" applyFont="1" applyAlignment="1">
      <alignment vertical="center"/>
    </xf>
    <xf numFmtId="38" fontId="19" fillId="0" borderId="0" xfId="3" applyNumberFormat="1" applyFont="1"/>
    <xf numFmtId="38" fontId="19" fillId="0" borderId="0" xfId="1" applyFont="1" applyAlignment="1"/>
    <xf numFmtId="10" fontId="19" fillId="0" borderId="0" xfId="2" applyNumberFormat="1" applyFont="1" applyAlignment="1"/>
    <xf numFmtId="38" fontId="19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20" fillId="0" borderId="0" xfId="5" applyFont="1" applyAlignment="1">
      <alignment vertical="center"/>
    </xf>
    <xf numFmtId="10" fontId="20" fillId="0" borderId="0" xfId="2" applyNumberFormat="1" applyFont="1" applyAlignment="1">
      <alignment vertical="center"/>
    </xf>
    <xf numFmtId="38" fontId="18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3" fillId="0" borderId="0" xfId="3" applyNumberFormat="1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180" fontId="3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88" fontId="3" fillId="0" borderId="0" xfId="3" applyNumberFormat="1" applyFont="1" applyAlignment="1">
      <alignment horizontal="center" vertical="center"/>
    </xf>
    <xf numFmtId="38" fontId="6" fillId="0" borderId="0" xfId="3" applyNumberFormat="1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1" fillId="0" borderId="0" xfId="4" applyFont="1" applyAlignment="1">
      <alignment vertical="center"/>
    </xf>
    <xf numFmtId="0" fontId="21" fillId="0" borderId="0" xfId="3" applyFont="1" applyAlignment="1">
      <alignment vertical="center"/>
    </xf>
    <xf numFmtId="38" fontId="5" fillId="15" borderId="37" xfId="4" applyFont="1" applyFill="1" applyBorder="1" applyAlignment="1">
      <alignment horizontal="center" vertical="center"/>
    </xf>
    <xf numFmtId="38" fontId="5" fillId="0" borderId="37" xfId="4" applyFont="1" applyBorder="1" applyAlignment="1">
      <alignment horizontal="center" vertical="center"/>
    </xf>
    <xf numFmtId="38" fontId="21" fillId="0" borderId="37" xfId="1" applyFont="1" applyBorder="1" applyAlignment="1">
      <alignment horizontal="right" vertical="center"/>
    </xf>
    <xf numFmtId="186" fontId="1" fillId="0" borderId="37" xfId="2" applyNumberFormat="1" applyBorder="1" applyAlignment="1">
      <alignment horizontal="right" vertical="center"/>
    </xf>
    <xf numFmtId="38" fontId="7" fillId="0" borderId="37" xfId="3" applyNumberFormat="1" applyFont="1" applyBorder="1" applyAlignment="1">
      <alignment horizontal="right" vertical="center"/>
    </xf>
    <xf numFmtId="0" fontId="7" fillId="0" borderId="37" xfId="3" applyFont="1" applyBorder="1" applyAlignment="1">
      <alignment horizontal="right" vertical="center"/>
    </xf>
    <xf numFmtId="38" fontId="5" fillId="16" borderId="37" xfId="4" applyFont="1" applyFill="1" applyBorder="1" applyAlignment="1">
      <alignment horizontal="center" vertical="center"/>
    </xf>
    <xf numFmtId="38" fontId="21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17" borderId="37" xfId="3" applyFont="1" applyFill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38" fontId="22" fillId="0" borderId="37" xfId="3" applyNumberFormat="1" applyFont="1" applyBorder="1" applyAlignment="1">
      <alignment horizontal="right" vertical="center"/>
    </xf>
    <xf numFmtId="0" fontId="22" fillId="0" borderId="37" xfId="3" applyFont="1" applyBorder="1" applyAlignment="1">
      <alignment horizontal="right" vertical="center"/>
    </xf>
    <xf numFmtId="38" fontId="9" fillId="0" borderId="0" xfId="3" applyNumberFormat="1" applyFont="1"/>
    <xf numFmtId="180" fontId="3" fillId="0" borderId="0" xfId="3" applyNumberFormat="1" applyFont="1" applyAlignment="1">
      <alignment horizontal="center" vertical="center"/>
    </xf>
    <xf numFmtId="38" fontId="3" fillId="13" borderId="38" xfId="4" applyFont="1" applyFill="1" applyBorder="1"/>
    <xf numFmtId="38" fontId="3" fillId="13" borderId="9" xfId="4" applyFont="1" applyFill="1" applyBorder="1"/>
    <xf numFmtId="1" fontId="5" fillId="0" borderId="0" xfId="3" applyNumberFormat="1" applyFont="1"/>
    <xf numFmtId="178" fontId="25" fillId="0" borderId="24" xfId="3" applyNumberFormat="1" applyFont="1" applyBorder="1" applyAlignment="1">
      <alignment horizontal="left"/>
    </xf>
    <xf numFmtId="178" fontId="26" fillId="0" borderId="7" xfId="3" applyNumberFormat="1" applyFont="1" applyBorder="1" applyAlignment="1">
      <alignment horizontal="left"/>
    </xf>
    <xf numFmtId="178" fontId="25" fillId="0" borderId="7" xfId="3" applyNumberFormat="1" applyFont="1" applyBorder="1" applyAlignment="1">
      <alignment horizontal="left"/>
    </xf>
    <xf numFmtId="0" fontId="27" fillId="0" borderId="0" xfId="0" applyFont="1" applyAlignment="1"/>
    <xf numFmtId="0" fontId="27" fillId="0" borderId="39" xfId="0" applyFont="1" applyBorder="1" applyAlignment="1">
      <alignment horizontal="center"/>
    </xf>
    <xf numFmtId="0" fontId="27" fillId="0" borderId="40" xfId="0" applyFont="1" applyBorder="1" applyAlignment="1">
      <alignment horizontal="center"/>
    </xf>
    <xf numFmtId="0" fontId="29" fillId="0" borderId="40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42" xfId="0" applyFont="1" applyBorder="1" applyAlignment="1">
      <alignment horizontal="center"/>
    </xf>
    <xf numFmtId="180" fontId="27" fillId="0" borderId="0" xfId="0" applyNumberFormat="1" applyFont="1" applyAlignment="1"/>
    <xf numFmtId="38" fontId="27" fillId="0" borderId="0" xfId="0" applyNumberFormat="1" applyFont="1" applyAlignment="1"/>
    <xf numFmtId="38" fontId="30" fillId="0" borderId="0" xfId="1" applyFont="1" applyBorder="1" applyAlignment="1"/>
    <xf numFmtId="38" fontId="31" fillId="0" borderId="0" xfId="1" applyFont="1" applyBorder="1" applyAlignment="1"/>
    <xf numFmtId="38" fontId="31" fillId="0" borderId="43" xfId="1" applyFont="1" applyBorder="1" applyAlignment="1"/>
    <xf numFmtId="180" fontId="27" fillId="0" borderId="42" xfId="0" applyNumberFormat="1" applyFont="1" applyBorder="1" applyAlignment="1"/>
    <xf numFmtId="38" fontId="5" fillId="0" borderId="0" xfId="4" applyFont="1" applyAlignment="1">
      <alignment horizontal="center" vertical="center"/>
    </xf>
    <xf numFmtId="38" fontId="5" fillId="0" borderId="0" xfId="4" applyFont="1" applyAlignment="1">
      <alignment horizontal="center" vertical="center"/>
    </xf>
    <xf numFmtId="38" fontId="21" fillId="0" borderId="0" xfId="1" applyFont="1" applyFill="1" applyBorder="1" applyAlignment="1">
      <alignment horizontal="right" vertical="center"/>
    </xf>
    <xf numFmtId="186" fontId="1" fillId="0" borderId="0" xfId="2" applyNumberFormat="1" applyAlignment="1">
      <alignment horizontal="right" vertical="center"/>
    </xf>
    <xf numFmtId="0" fontId="27" fillId="0" borderId="44" xfId="0" applyFont="1" applyBorder="1" applyAlignment="1">
      <alignment horizontal="center"/>
    </xf>
    <xf numFmtId="180" fontId="27" fillId="0" borderId="45" xfId="0" applyNumberFormat="1" applyFont="1" applyBorder="1" applyAlignment="1"/>
    <xf numFmtId="38" fontId="27" fillId="0" borderId="45" xfId="0" applyNumberFormat="1" applyFont="1" applyBorder="1" applyAlignment="1"/>
    <xf numFmtId="38" fontId="30" fillId="0" borderId="45" xfId="1" applyFont="1" applyBorder="1" applyAlignment="1"/>
    <xf numFmtId="38" fontId="31" fillId="0" borderId="45" xfId="1" applyFont="1" applyBorder="1" applyAlignment="1"/>
    <xf numFmtId="38" fontId="31" fillId="0" borderId="46" xfId="1" applyFont="1" applyBorder="1" applyAlignment="1"/>
    <xf numFmtId="180" fontId="27" fillId="0" borderId="44" xfId="0" applyNumberFormat="1" applyFont="1" applyBorder="1" applyAlignment="1"/>
    <xf numFmtId="0" fontId="5" fillId="0" borderId="0" xfId="3" applyFont="1" applyAlignment="1">
      <alignment horizontal="center" vertical="center"/>
    </xf>
    <xf numFmtId="38" fontId="7" fillId="0" borderId="0" xfId="3" applyNumberFormat="1" applyFont="1" applyAlignment="1">
      <alignment vertical="center"/>
    </xf>
    <xf numFmtId="38" fontId="22" fillId="0" borderId="0" xfId="3" applyNumberFormat="1" applyFont="1" applyAlignment="1">
      <alignment horizontal="right" vertical="center"/>
    </xf>
  </cellXfs>
  <cellStyles count="6">
    <cellStyle name="Excel Built-in Comma [0]" xfId="4" xr:uid="{16763EBF-6B82-B74A-B44B-406D207FE96F}"/>
    <cellStyle name="Excel Built-in Currency [0]" xfId="5" xr:uid="{CDF7C23D-3DD2-4949-9303-F2C7C2CD1B5E}"/>
    <cellStyle name="Excel Built-in Normal 1" xfId="3" xr:uid="{0FC61FC9-1748-CD4A-B2A0-D0B27A81813E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pporoshinkoukousha77/Downloads/GA&#22770;&#19978;&#26085;&#22577;.xlsx" TargetMode="External"/><Relationship Id="rId1" Type="http://schemas.openxmlformats.org/officeDocument/2006/relationships/externalLinkPath" Target="/Users/sapporoshinkoukousha77/Downloads/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>
        <row r="34">
          <cell r="AX34">
            <v>971270</v>
          </cell>
        </row>
        <row r="35">
          <cell r="AX35">
            <v>1876020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C993-60E1-0243-93D2-76D4B1C31B2E}">
  <dimension ref="A1:BP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3" width="7.5703125" style="49" customWidth="1"/>
    <col min="44" max="44" width="15.85546875" style="49" customWidth="1"/>
    <col min="45" max="47" width="7.5703125" style="49" customWidth="1"/>
    <col min="48" max="49" width="9.140625" style="49" customWidth="1"/>
    <col min="50" max="50" width="11.28515625" style="49" customWidth="1"/>
    <col min="51" max="51" width="9.85546875" style="49" customWidth="1"/>
    <col min="52" max="52" width="5.710937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2026</v>
      </c>
      <c r="B2" s="6">
        <v>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110</v>
      </c>
      <c r="Z3" s="15"/>
      <c r="AA3" s="15"/>
      <c r="AB3" s="15"/>
      <c r="AC3" s="15"/>
      <c r="AD3" s="15"/>
      <c r="AE3" s="15"/>
      <c r="AF3" s="15"/>
      <c r="AG3" s="16"/>
      <c r="AH3" s="17" t="s">
        <v>6</v>
      </c>
      <c r="AI3" s="18"/>
      <c r="AJ3" s="18"/>
      <c r="AK3" s="18"/>
      <c r="AL3" s="18"/>
      <c r="AM3" s="18"/>
      <c r="AN3" s="18"/>
      <c r="AO3" s="19"/>
      <c r="AP3" s="20" t="s">
        <v>97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111</v>
      </c>
      <c r="BA3" s="14"/>
      <c r="BB3" s="14"/>
      <c r="BC3" s="14"/>
      <c r="BD3" s="24"/>
      <c r="BE3" s="25" t="s">
        <v>95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7</v>
      </c>
      <c r="D4" s="30" t="s">
        <v>8</v>
      </c>
      <c r="E4" s="31" t="s">
        <v>9</v>
      </c>
      <c r="F4" s="30" t="s">
        <v>10</v>
      </c>
      <c r="G4" s="32" t="s">
        <v>11</v>
      </c>
      <c r="H4" s="30" t="s">
        <v>12</v>
      </c>
      <c r="I4" s="33" t="s">
        <v>13</v>
      </c>
      <c r="J4" s="31" t="s">
        <v>14</v>
      </c>
      <c r="K4" s="30" t="s">
        <v>15</v>
      </c>
      <c r="L4" s="30" t="s">
        <v>16</v>
      </c>
      <c r="M4" s="34" t="s">
        <v>9</v>
      </c>
      <c r="N4" s="30" t="s">
        <v>10</v>
      </c>
      <c r="O4" s="32" t="s">
        <v>11</v>
      </c>
      <c r="P4" s="30" t="s">
        <v>12</v>
      </c>
      <c r="Q4" s="33" t="s">
        <v>13</v>
      </c>
      <c r="R4" s="31" t="s">
        <v>14</v>
      </c>
      <c r="S4" s="35" t="s">
        <v>15</v>
      </c>
      <c r="T4" s="36" t="s">
        <v>17</v>
      </c>
      <c r="U4" s="37" t="s">
        <v>18</v>
      </c>
      <c r="V4" s="37" t="s">
        <v>19</v>
      </c>
      <c r="W4" s="38" t="s">
        <v>20</v>
      </c>
      <c r="X4" s="37"/>
      <c r="Y4" s="39" t="s">
        <v>21</v>
      </c>
      <c r="Z4" s="37" t="s">
        <v>9</v>
      </c>
      <c r="AA4" s="37" t="s">
        <v>22</v>
      </c>
      <c r="AB4" s="37" t="s">
        <v>18</v>
      </c>
      <c r="AC4" s="40" t="s">
        <v>23</v>
      </c>
      <c r="AD4" s="37" t="s">
        <v>19</v>
      </c>
      <c r="AE4" s="38" t="s">
        <v>24</v>
      </c>
      <c r="AF4" s="41" t="s">
        <v>25</v>
      </c>
      <c r="AG4" s="42" t="s">
        <v>15</v>
      </c>
      <c r="AH4" s="43" t="s">
        <v>26</v>
      </c>
      <c r="AI4" s="30" t="s">
        <v>9</v>
      </c>
      <c r="AJ4" s="30" t="s">
        <v>18</v>
      </c>
      <c r="AK4" s="32" t="s">
        <v>23</v>
      </c>
      <c r="AL4" s="30" t="s">
        <v>19</v>
      </c>
      <c r="AM4" s="33" t="s">
        <v>24</v>
      </c>
      <c r="AN4" s="34" t="s">
        <v>25</v>
      </c>
      <c r="AO4" s="40" t="s">
        <v>15</v>
      </c>
      <c r="AP4" s="44" t="s">
        <v>26</v>
      </c>
      <c r="AQ4" s="30" t="s">
        <v>9</v>
      </c>
      <c r="AR4" s="30" t="s">
        <v>18</v>
      </c>
      <c r="AS4" s="32" t="s">
        <v>23</v>
      </c>
      <c r="AT4" s="30" t="s">
        <v>19</v>
      </c>
      <c r="AU4" s="33" t="s">
        <v>24</v>
      </c>
      <c r="AV4" s="33" t="s">
        <v>27</v>
      </c>
      <c r="AW4" s="33" t="s">
        <v>28</v>
      </c>
      <c r="AX4" s="34" t="s">
        <v>25</v>
      </c>
      <c r="AY4" s="40" t="s">
        <v>15</v>
      </c>
      <c r="AZ4" s="40" t="s">
        <v>17</v>
      </c>
      <c r="BA4" s="37" t="s">
        <v>18</v>
      </c>
      <c r="BB4" s="37" t="s">
        <v>19</v>
      </c>
      <c r="BC4" s="38" t="s">
        <v>20</v>
      </c>
      <c r="BD4" s="38" t="s">
        <v>29</v>
      </c>
      <c r="BE4" s="45" t="s">
        <v>30</v>
      </c>
      <c r="BF4" s="46" t="s">
        <v>31</v>
      </c>
      <c r="BG4" s="46" t="s">
        <v>32</v>
      </c>
      <c r="BH4" s="46" t="s">
        <v>33</v>
      </c>
      <c r="BI4" s="46" t="s">
        <v>34</v>
      </c>
      <c r="BJ4" s="46" t="s">
        <v>35</v>
      </c>
      <c r="BK4" s="46" t="s">
        <v>36</v>
      </c>
      <c r="BL4" s="47" t="s">
        <v>37</v>
      </c>
      <c r="BN4" s="48"/>
    </row>
    <row r="5" spans="1:68" ht="20" customHeight="1" thickTop="1">
      <c r="B5" s="50">
        <f>DATE($A$2,$B$2,1)</f>
        <v>46023</v>
      </c>
      <c r="C5" s="51"/>
      <c r="D5" s="52"/>
      <c r="E5" s="53"/>
      <c r="F5" s="54"/>
      <c r="G5" s="55" t="e">
        <f t="shared" ref="G5:G35" si="0">ROUNDDOWN(F5/1.1,0)/E5</f>
        <v>#DIV/0!</v>
      </c>
      <c r="H5" s="54"/>
      <c r="I5" s="56" t="e">
        <f>ROUNDDOWN(H5/1.1,0)/E5</f>
        <v>#DIV/0!</v>
      </c>
      <c r="J5" s="57">
        <f t="shared" ref="J5:J35" si="1">F5+H5</f>
        <v>0</v>
      </c>
      <c r="K5" s="58" t="str">
        <f t="shared" ref="K5:K35" si="2">IF(E5="","",J5/E5)</f>
        <v/>
      </c>
      <c r="L5" s="59"/>
      <c r="M5" s="60">
        <f t="shared" ref="M5:N35" si="3">BE5-E5</f>
        <v>0</v>
      </c>
      <c r="N5" s="61">
        <f t="shared" si="3"/>
        <v>0</v>
      </c>
      <c r="O5" s="55" t="e">
        <f t="shared" ref="O5:O35" si="4">ROUNDDOWN(N5/1.1,0)/M5</f>
        <v>#DIV/0!</v>
      </c>
      <c r="P5" s="61">
        <f t="shared" ref="P5:P35" si="5">BG5-H5</f>
        <v>0</v>
      </c>
      <c r="Q5" s="56" t="e">
        <f t="shared" ref="Q5:Q35" si="6">ROUNDDOWN(P5/1.1,0)/M5</f>
        <v>#DIV/0!</v>
      </c>
      <c r="R5" s="62">
        <f t="shared" ref="R5:R35" si="7">N5+P5</f>
        <v>0</v>
      </c>
      <c r="S5" s="58" t="e">
        <f t="shared" ref="S5:S35" si="8">IF(M5="","",R5/M5)</f>
        <v>#DIV/0!</v>
      </c>
      <c r="T5" s="63">
        <f t="shared" ref="T5:U35" si="9">E5+M5</f>
        <v>0</v>
      </c>
      <c r="U5" s="61">
        <f t="shared" si="9"/>
        <v>0</v>
      </c>
      <c r="V5" s="61">
        <f t="shared" ref="V5:V35" si="10">H5+P5</f>
        <v>0</v>
      </c>
      <c r="W5" s="64">
        <f t="shared" ref="W5:W35" si="11">J5+R5</f>
        <v>0</v>
      </c>
      <c r="X5" s="61"/>
      <c r="Y5" s="65"/>
      <c r="Z5" s="66"/>
      <c r="AA5" s="66"/>
      <c r="AB5" s="54"/>
      <c r="AC5" s="55" t="e">
        <f t="shared" ref="AC5:AC35" si="12">AB5/Z5</f>
        <v>#DIV/0!</v>
      </c>
      <c r="AD5" s="54"/>
      <c r="AE5" s="56" t="e">
        <f t="shared" ref="AE5:AE35" si="13">AD5/Z5</f>
        <v>#DIV/0!</v>
      </c>
      <c r="AF5" s="67">
        <f t="shared" ref="AF5:AF35" si="14">AB5+AD5</f>
        <v>0</v>
      </c>
      <c r="AG5" s="58" t="str">
        <f t="shared" ref="AG5:AG35" si="15">IF(Z5="","",AF5/Z5)</f>
        <v/>
      </c>
      <c r="AH5" s="68"/>
      <c r="AI5" s="66"/>
      <c r="AJ5" s="54"/>
      <c r="AK5" s="55" t="e">
        <f t="shared" ref="AK5:AK35" si="16">AJ5/AI5</f>
        <v>#DIV/0!</v>
      </c>
      <c r="AL5" s="54"/>
      <c r="AM5" s="56" t="e">
        <f t="shared" ref="AM5:AM35" si="17">AL5/AI5</f>
        <v>#DIV/0!</v>
      </c>
      <c r="AN5" s="67">
        <f>AJ5+AL5</f>
        <v>0</v>
      </c>
      <c r="AO5" s="69" t="str">
        <f t="shared" ref="AO5:AO35" si="18">IF(AI5="","",AN5/AI5)</f>
        <v/>
      </c>
      <c r="AP5" s="70"/>
      <c r="AQ5" s="66"/>
      <c r="AR5" s="54"/>
      <c r="AS5" s="55" t="e">
        <f t="shared" ref="AS5:AS35" si="19">AR5/AQ5</f>
        <v>#DIV/0!</v>
      </c>
      <c r="AT5" s="54"/>
      <c r="AU5" s="56" t="e">
        <f t="shared" ref="AU5:AU35" si="20">AT5/AQ5</f>
        <v>#DIV/0!</v>
      </c>
      <c r="AV5" s="56"/>
      <c r="AW5" s="56"/>
      <c r="AX5" s="71">
        <f>AR5+AT5+AV5+AW5</f>
        <v>0</v>
      </c>
      <c r="AY5" s="69" t="str">
        <f t="shared" ref="AY5:AY35" si="21">IF(AQ5="","",AX5/AQ5)</f>
        <v/>
      </c>
      <c r="AZ5" s="72">
        <f t="shared" ref="AZ5:AZ35" si="22">SUM(E5,M5)</f>
        <v>0</v>
      </c>
      <c r="BA5" s="61">
        <f t="shared" ref="BA5:BA35" si="23">U5+AB5+AJ5+AR5</f>
        <v>0</v>
      </c>
      <c r="BB5" s="61">
        <f t="shared" ref="BB5:BB35" si="24">V5+AD5+AL5+AT5</f>
        <v>0</v>
      </c>
      <c r="BC5" s="73">
        <f>W5+AF5+AN5+AX5</f>
        <v>0</v>
      </c>
      <c r="BD5" s="74">
        <f>BH5+BI5</f>
        <v>0</v>
      </c>
      <c r="BE5" s="75"/>
      <c r="BF5" s="76"/>
      <c r="BG5" s="76"/>
      <c r="BH5" s="77"/>
      <c r="BI5" s="77"/>
      <c r="BJ5" s="77"/>
      <c r="BK5" s="77"/>
      <c r="BL5" s="78">
        <f>SUM(BF5:BI5)</f>
        <v>0</v>
      </c>
      <c r="BM5" s="49">
        <v>1</v>
      </c>
      <c r="BN5" s="79">
        <f t="shared" ref="BN5:BN35" si="25">BK5+BL5</f>
        <v>0</v>
      </c>
    </row>
    <row r="6" spans="1:68" ht="20" customHeight="1">
      <c r="B6" s="80">
        <f t="shared" ref="B6:B35" si="26">B5+1</f>
        <v>46024</v>
      </c>
      <c r="C6" s="81"/>
      <c r="D6" s="52"/>
      <c r="E6" s="53">
        <v>41</v>
      </c>
      <c r="F6" s="54">
        <v>165550</v>
      </c>
      <c r="G6" s="55">
        <f t="shared" si="0"/>
        <v>3670.731707317073</v>
      </c>
      <c r="H6" s="54">
        <v>25510</v>
      </c>
      <c r="I6" s="56">
        <f t="shared" ref="I6:I35" si="27">ROUNDDOWN(H6/1.1,0)/E6</f>
        <v>565.60975609756099</v>
      </c>
      <c r="J6" s="57">
        <f t="shared" si="1"/>
        <v>191060</v>
      </c>
      <c r="K6" s="58">
        <f t="shared" si="2"/>
        <v>4660</v>
      </c>
      <c r="L6" s="59"/>
      <c r="M6" s="60">
        <f t="shared" si="3"/>
        <v>37</v>
      </c>
      <c r="N6" s="61">
        <f t="shared" si="3"/>
        <v>342310</v>
      </c>
      <c r="O6" s="55">
        <f t="shared" si="4"/>
        <v>8410.54054054054</v>
      </c>
      <c r="P6" s="61">
        <f t="shared" si="5"/>
        <v>99760</v>
      </c>
      <c r="Q6" s="56">
        <f t="shared" si="6"/>
        <v>2451.0810810810813</v>
      </c>
      <c r="R6" s="62">
        <f t="shared" si="7"/>
        <v>442070</v>
      </c>
      <c r="S6" s="58">
        <f t="shared" si="8"/>
        <v>11947.837837837838</v>
      </c>
      <c r="T6" s="82">
        <f t="shared" si="9"/>
        <v>78</v>
      </c>
      <c r="U6" s="61">
        <f t="shared" si="9"/>
        <v>507860</v>
      </c>
      <c r="V6" s="61">
        <f t="shared" si="10"/>
        <v>125270</v>
      </c>
      <c r="W6" s="64">
        <f t="shared" si="11"/>
        <v>633130</v>
      </c>
      <c r="X6" s="83"/>
      <c r="Y6" s="65"/>
      <c r="Z6" s="66">
        <v>0</v>
      </c>
      <c r="AA6" s="66"/>
      <c r="AB6" s="54"/>
      <c r="AC6" s="55" t="e">
        <f t="shared" si="12"/>
        <v>#DIV/0!</v>
      </c>
      <c r="AD6" s="54"/>
      <c r="AE6" s="56" t="e">
        <f t="shared" si="13"/>
        <v>#DIV/0!</v>
      </c>
      <c r="AF6" s="67">
        <f>AB6+AD6</f>
        <v>0</v>
      </c>
      <c r="AG6" s="58" t="e">
        <f t="shared" si="15"/>
        <v>#DIV/0!</v>
      </c>
      <c r="AH6" s="68"/>
      <c r="AI6" s="66"/>
      <c r="AJ6" s="54"/>
      <c r="AK6" s="55" t="e">
        <f t="shared" si="16"/>
        <v>#DIV/0!</v>
      </c>
      <c r="AL6" s="54"/>
      <c r="AM6" s="56" t="e">
        <f t="shared" si="17"/>
        <v>#DIV/0!</v>
      </c>
      <c r="AN6" s="67">
        <f t="shared" ref="AN6:AN35" si="28">AJ6+AL6</f>
        <v>0</v>
      </c>
      <c r="AO6" s="69" t="str">
        <f t="shared" si="18"/>
        <v/>
      </c>
      <c r="AP6" s="70"/>
      <c r="AQ6" s="66"/>
      <c r="AR6" s="54"/>
      <c r="AS6" s="55" t="e">
        <f t="shared" si="19"/>
        <v>#DIV/0!</v>
      </c>
      <c r="AT6" s="54"/>
      <c r="AU6" s="56" t="e">
        <f t="shared" si="20"/>
        <v>#DIV/0!</v>
      </c>
      <c r="AV6" s="56"/>
      <c r="AW6" s="56"/>
      <c r="AX6" s="71">
        <f>AR6+AT6+AV6+AW6-BP6</f>
        <v>0</v>
      </c>
      <c r="AY6" s="69" t="str">
        <f t="shared" si="21"/>
        <v/>
      </c>
      <c r="AZ6" s="84">
        <f t="shared" si="22"/>
        <v>78</v>
      </c>
      <c r="BA6" s="61">
        <f t="shared" si="23"/>
        <v>507860</v>
      </c>
      <c r="BB6" s="61">
        <f t="shared" si="24"/>
        <v>125270</v>
      </c>
      <c r="BC6" s="73">
        <f>W6+AF6+AN6+AX6</f>
        <v>633130</v>
      </c>
      <c r="BD6" s="74">
        <f>BH6+BI6</f>
        <v>8800</v>
      </c>
      <c r="BE6" s="75">
        <v>78</v>
      </c>
      <c r="BF6" s="76">
        <v>507860</v>
      </c>
      <c r="BG6" s="76">
        <v>125270</v>
      </c>
      <c r="BH6" s="77">
        <v>8800</v>
      </c>
      <c r="BI6" s="77"/>
      <c r="BJ6" s="77">
        <v>3300</v>
      </c>
      <c r="BK6" s="77"/>
      <c r="BL6" s="78">
        <f t="shared" ref="BL6:BL35" si="29">SUM(BF6:BI6)</f>
        <v>641930</v>
      </c>
      <c r="BM6" s="49">
        <v>2</v>
      </c>
      <c r="BN6" s="79">
        <f t="shared" si="25"/>
        <v>641930</v>
      </c>
    </row>
    <row r="7" spans="1:68" ht="20" customHeight="1">
      <c r="B7" s="80">
        <f>B6+1</f>
        <v>46025</v>
      </c>
      <c r="C7" s="81"/>
      <c r="D7" s="52"/>
      <c r="E7" s="53">
        <v>44</v>
      </c>
      <c r="F7" s="54">
        <v>162030</v>
      </c>
      <c r="G7" s="55">
        <f t="shared" si="0"/>
        <v>3347.7272727272725</v>
      </c>
      <c r="H7" s="54">
        <v>24550</v>
      </c>
      <c r="I7" s="56">
        <f t="shared" si="27"/>
        <v>507.22727272727275</v>
      </c>
      <c r="J7" s="57">
        <f t="shared" si="1"/>
        <v>186580</v>
      </c>
      <c r="K7" s="58">
        <f t="shared" si="2"/>
        <v>4240.454545454545</v>
      </c>
      <c r="L7" s="59"/>
      <c r="M7" s="60">
        <f>BE7-E7</f>
        <v>36</v>
      </c>
      <c r="N7" s="61">
        <f t="shared" si="3"/>
        <v>329780</v>
      </c>
      <c r="O7" s="55">
        <f t="shared" si="4"/>
        <v>8327.7777777777774</v>
      </c>
      <c r="P7" s="61">
        <f t="shared" si="5"/>
        <v>62140</v>
      </c>
      <c r="Q7" s="56">
        <f t="shared" si="6"/>
        <v>1569.1666666666667</v>
      </c>
      <c r="R7" s="62">
        <f t="shared" si="7"/>
        <v>391920</v>
      </c>
      <c r="S7" s="58">
        <f t="shared" si="8"/>
        <v>10886.666666666666</v>
      </c>
      <c r="T7" s="82">
        <f t="shared" si="9"/>
        <v>80</v>
      </c>
      <c r="U7" s="61">
        <f t="shared" si="9"/>
        <v>491810</v>
      </c>
      <c r="V7" s="61">
        <f t="shared" si="10"/>
        <v>86690</v>
      </c>
      <c r="W7" s="64">
        <f t="shared" si="11"/>
        <v>578500</v>
      </c>
      <c r="X7" s="83"/>
      <c r="Y7" s="65"/>
      <c r="Z7" s="66">
        <v>0</v>
      </c>
      <c r="AA7" s="66"/>
      <c r="AB7" s="54"/>
      <c r="AC7" s="55" t="e">
        <f t="shared" si="12"/>
        <v>#DIV/0!</v>
      </c>
      <c r="AD7" s="54"/>
      <c r="AE7" s="56" t="e">
        <f t="shared" si="13"/>
        <v>#DIV/0!</v>
      </c>
      <c r="AF7" s="67">
        <f t="shared" si="14"/>
        <v>0</v>
      </c>
      <c r="AG7" s="58" t="e">
        <f t="shared" si="15"/>
        <v>#DIV/0!</v>
      </c>
      <c r="AH7" s="68"/>
      <c r="AI7" s="66"/>
      <c r="AJ7" s="54"/>
      <c r="AK7" s="55" t="e">
        <f t="shared" si="16"/>
        <v>#DIV/0!</v>
      </c>
      <c r="AL7" s="54"/>
      <c r="AM7" s="56" t="e">
        <f t="shared" si="17"/>
        <v>#DIV/0!</v>
      </c>
      <c r="AN7" s="67">
        <f t="shared" si="28"/>
        <v>0</v>
      </c>
      <c r="AO7" s="69" t="str">
        <f t="shared" si="18"/>
        <v/>
      </c>
      <c r="AP7" s="70"/>
      <c r="AQ7" s="66"/>
      <c r="AR7" s="54"/>
      <c r="AS7" s="55" t="e">
        <f t="shared" si="19"/>
        <v>#DIV/0!</v>
      </c>
      <c r="AT7" s="54"/>
      <c r="AU7" s="56" t="e">
        <f t="shared" si="20"/>
        <v>#DIV/0!</v>
      </c>
      <c r="AV7" s="56"/>
      <c r="AW7" s="56"/>
      <c r="AX7" s="71">
        <f>AR7+AT7+AV7+AW7</f>
        <v>0</v>
      </c>
      <c r="AY7" s="69" t="str">
        <f t="shared" si="21"/>
        <v/>
      </c>
      <c r="AZ7" s="84">
        <f t="shared" si="22"/>
        <v>80</v>
      </c>
      <c r="BA7" s="61">
        <f t="shared" si="23"/>
        <v>491810</v>
      </c>
      <c r="BB7" s="61">
        <f t="shared" si="24"/>
        <v>86690</v>
      </c>
      <c r="BC7" s="73">
        <f>W7+AF7+AN7+AX7-BO7</f>
        <v>578500</v>
      </c>
      <c r="BD7" s="74">
        <f t="shared" ref="BD7:BD35" si="30">BH7+BI7</f>
        <v>17050</v>
      </c>
      <c r="BE7" s="75">
        <v>80</v>
      </c>
      <c r="BF7" s="76">
        <v>491810</v>
      </c>
      <c r="BG7" s="76">
        <v>86690</v>
      </c>
      <c r="BH7" s="77">
        <v>17050</v>
      </c>
      <c r="BI7" s="77"/>
      <c r="BJ7" s="77"/>
      <c r="BK7" s="77"/>
      <c r="BL7" s="78">
        <f>SUM(BF7:BI7)</f>
        <v>595550</v>
      </c>
      <c r="BM7" s="49">
        <v>3</v>
      </c>
      <c r="BN7" s="79">
        <f>BK7+BL7</f>
        <v>595550</v>
      </c>
    </row>
    <row r="8" spans="1:68" ht="20" customHeight="1">
      <c r="B8" s="80">
        <f t="shared" si="26"/>
        <v>46026</v>
      </c>
      <c r="C8" s="81"/>
      <c r="D8" s="52"/>
      <c r="E8" s="53">
        <v>44</v>
      </c>
      <c r="F8" s="54">
        <v>169290</v>
      </c>
      <c r="G8" s="55">
        <f t="shared" si="0"/>
        <v>3497.7272727272725</v>
      </c>
      <c r="H8" s="54">
        <v>22740</v>
      </c>
      <c r="I8" s="56">
        <f t="shared" si="27"/>
        <v>469.81818181818181</v>
      </c>
      <c r="J8" s="57">
        <f t="shared" si="1"/>
        <v>192030</v>
      </c>
      <c r="K8" s="58">
        <f t="shared" si="2"/>
        <v>4364.318181818182</v>
      </c>
      <c r="L8" s="59"/>
      <c r="M8" s="60">
        <f>BE8-E8</f>
        <v>21</v>
      </c>
      <c r="N8" s="61">
        <f t="shared" si="3"/>
        <v>180490</v>
      </c>
      <c r="O8" s="55">
        <f t="shared" si="4"/>
        <v>7813.3809523809523</v>
      </c>
      <c r="P8" s="61">
        <f t="shared" si="5"/>
        <v>35470</v>
      </c>
      <c r="Q8" s="56">
        <f t="shared" si="6"/>
        <v>1535.4761904761904</v>
      </c>
      <c r="R8" s="62">
        <f t="shared" si="7"/>
        <v>215960</v>
      </c>
      <c r="S8" s="58">
        <f t="shared" si="8"/>
        <v>10283.809523809523</v>
      </c>
      <c r="T8" s="82">
        <f t="shared" si="9"/>
        <v>65</v>
      </c>
      <c r="U8" s="61">
        <f t="shared" si="9"/>
        <v>349780</v>
      </c>
      <c r="V8" s="61">
        <f t="shared" si="10"/>
        <v>58210</v>
      </c>
      <c r="W8" s="64">
        <f t="shared" si="11"/>
        <v>407990</v>
      </c>
      <c r="X8" s="83"/>
      <c r="Y8" s="65"/>
      <c r="Z8" s="66">
        <v>0</v>
      </c>
      <c r="AA8" s="66"/>
      <c r="AB8" s="54"/>
      <c r="AC8" s="55" t="e">
        <f t="shared" si="12"/>
        <v>#DIV/0!</v>
      </c>
      <c r="AD8" s="54"/>
      <c r="AE8" s="56" t="e">
        <f t="shared" si="13"/>
        <v>#DIV/0!</v>
      </c>
      <c r="AF8" s="67">
        <f t="shared" si="14"/>
        <v>0</v>
      </c>
      <c r="AG8" s="58" t="e">
        <f t="shared" si="15"/>
        <v>#DIV/0!</v>
      </c>
      <c r="AH8" s="68"/>
      <c r="AI8" s="66"/>
      <c r="AJ8" s="54"/>
      <c r="AK8" s="55" t="e">
        <f t="shared" si="16"/>
        <v>#DIV/0!</v>
      </c>
      <c r="AL8" s="54"/>
      <c r="AM8" s="56" t="e">
        <f t="shared" si="17"/>
        <v>#DIV/0!</v>
      </c>
      <c r="AN8" s="67">
        <f t="shared" si="28"/>
        <v>0</v>
      </c>
      <c r="AO8" s="69" t="str">
        <f t="shared" si="18"/>
        <v/>
      </c>
      <c r="AP8" s="70"/>
      <c r="AQ8" s="66"/>
      <c r="AR8" s="54"/>
      <c r="AS8" s="55" t="e">
        <f t="shared" si="19"/>
        <v>#DIV/0!</v>
      </c>
      <c r="AT8" s="54"/>
      <c r="AU8" s="56" t="e">
        <f t="shared" si="20"/>
        <v>#DIV/0!</v>
      </c>
      <c r="AV8" s="56"/>
      <c r="AW8" s="56"/>
      <c r="AX8" s="71">
        <f t="shared" ref="AX8:AX16" si="31">AR8+AT8+AV8+AW8</f>
        <v>0</v>
      </c>
      <c r="AY8" s="69" t="str">
        <f t="shared" si="21"/>
        <v/>
      </c>
      <c r="AZ8" s="84">
        <f t="shared" si="22"/>
        <v>65</v>
      </c>
      <c r="BA8" s="61">
        <f t="shared" si="23"/>
        <v>349780</v>
      </c>
      <c r="BB8" s="61">
        <f t="shared" si="24"/>
        <v>58210</v>
      </c>
      <c r="BC8" s="73">
        <f>W8+AF8+AN8+AX8</f>
        <v>407990</v>
      </c>
      <c r="BD8" s="74">
        <f t="shared" si="30"/>
        <v>4950</v>
      </c>
      <c r="BE8" s="75">
        <v>65</v>
      </c>
      <c r="BF8" s="76">
        <v>349780</v>
      </c>
      <c r="BG8" s="76">
        <v>58210</v>
      </c>
      <c r="BH8" s="77">
        <v>4950</v>
      </c>
      <c r="BI8" s="77"/>
      <c r="BJ8" s="77"/>
      <c r="BK8" s="77"/>
      <c r="BL8" s="78">
        <f>SUM(BF8:BI8)</f>
        <v>412940</v>
      </c>
      <c r="BM8" s="49">
        <v>4</v>
      </c>
      <c r="BN8" s="79">
        <f t="shared" si="25"/>
        <v>412940</v>
      </c>
      <c r="BO8" s="85"/>
      <c r="BP8" s="85"/>
    </row>
    <row r="9" spans="1:68" ht="20" customHeight="1">
      <c r="B9" s="80">
        <f t="shared" si="26"/>
        <v>46027</v>
      </c>
      <c r="C9" s="81"/>
      <c r="D9" s="52"/>
      <c r="E9" s="53">
        <v>27</v>
      </c>
      <c r="F9" s="54">
        <v>124960</v>
      </c>
      <c r="G9" s="55">
        <f t="shared" si="0"/>
        <v>4207.4074074074078</v>
      </c>
      <c r="H9" s="54">
        <v>16500</v>
      </c>
      <c r="I9" s="56">
        <f t="shared" si="27"/>
        <v>555.55555555555554</v>
      </c>
      <c r="J9" s="57">
        <f t="shared" si="1"/>
        <v>141460</v>
      </c>
      <c r="K9" s="58">
        <f t="shared" si="2"/>
        <v>5239.2592592592591</v>
      </c>
      <c r="L9" s="59"/>
      <c r="M9" s="60">
        <f t="shared" si="3"/>
        <v>2</v>
      </c>
      <c r="N9" s="61">
        <f t="shared" si="3"/>
        <v>20570</v>
      </c>
      <c r="O9" s="55">
        <f t="shared" si="4"/>
        <v>9350</v>
      </c>
      <c r="P9" s="61">
        <f t="shared" si="5"/>
        <v>1830</v>
      </c>
      <c r="Q9" s="56">
        <f>ROUNDDOWN(P9/1.1,0)/M9</f>
        <v>831.5</v>
      </c>
      <c r="R9" s="62">
        <f t="shared" si="7"/>
        <v>22400</v>
      </c>
      <c r="S9" s="58">
        <f t="shared" si="8"/>
        <v>11200</v>
      </c>
      <c r="T9" s="82">
        <f t="shared" si="9"/>
        <v>29</v>
      </c>
      <c r="U9" s="61">
        <f t="shared" si="9"/>
        <v>145530</v>
      </c>
      <c r="V9" s="61">
        <f t="shared" si="10"/>
        <v>18330</v>
      </c>
      <c r="W9" s="64">
        <f t="shared" si="11"/>
        <v>163860</v>
      </c>
      <c r="X9" s="83"/>
      <c r="Y9" s="65"/>
      <c r="Z9" s="66">
        <v>0</v>
      </c>
      <c r="AA9" s="66"/>
      <c r="AB9" s="54"/>
      <c r="AC9" s="55" t="e">
        <f t="shared" si="12"/>
        <v>#DIV/0!</v>
      </c>
      <c r="AD9" s="54"/>
      <c r="AE9" s="56" t="e">
        <f t="shared" si="13"/>
        <v>#DIV/0!</v>
      </c>
      <c r="AF9" s="67">
        <f t="shared" si="14"/>
        <v>0</v>
      </c>
      <c r="AG9" s="58" t="e">
        <f t="shared" si="15"/>
        <v>#DIV/0!</v>
      </c>
      <c r="AH9" s="68"/>
      <c r="AI9" s="66"/>
      <c r="AJ9" s="54"/>
      <c r="AK9" s="55" t="e">
        <f t="shared" si="16"/>
        <v>#DIV/0!</v>
      </c>
      <c r="AL9" s="54"/>
      <c r="AM9" s="56" t="e">
        <f t="shared" si="17"/>
        <v>#DIV/0!</v>
      </c>
      <c r="AN9" s="67">
        <f t="shared" si="28"/>
        <v>0</v>
      </c>
      <c r="AO9" s="69" t="str">
        <f t="shared" si="18"/>
        <v/>
      </c>
      <c r="AP9" s="70"/>
      <c r="AQ9" s="66"/>
      <c r="AR9" s="54"/>
      <c r="AS9" s="55" t="e">
        <f t="shared" si="19"/>
        <v>#DIV/0!</v>
      </c>
      <c r="AT9" s="54"/>
      <c r="AU9" s="56" t="e">
        <f t="shared" si="20"/>
        <v>#DIV/0!</v>
      </c>
      <c r="AV9" s="56"/>
      <c r="AW9" s="56"/>
      <c r="AX9" s="71">
        <f t="shared" si="31"/>
        <v>0</v>
      </c>
      <c r="AY9" s="69" t="str">
        <f>IF(AQ9="","",AX9/AQ9)</f>
        <v/>
      </c>
      <c r="AZ9" s="84">
        <f t="shared" si="22"/>
        <v>29</v>
      </c>
      <c r="BA9" s="61">
        <f t="shared" si="23"/>
        <v>145530</v>
      </c>
      <c r="BB9" s="61">
        <f t="shared" si="24"/>
        <v>18330</v>
      </c>
      <c r="BC9" s="73">
        <f>W9+AF9+AN9+AX9-BO9</f>
        <v>163860</v>
      </c>
      <c r="BD9" s="74">
        <f>BH9+BI9</f>
        <v>4950</v>
      </c>
      <c r="BE9" s="75">
        <v>29</v>
      </c>
      <c r="BF9" s="76">
        <v>145530</v>
      </c>
      <c r="BG9" s="76">
        <v>18330</v>
      </c>
      <c r="BH9" s="77">
        <v>4950</v>
      </c>
      <c r="BI9" s="77"/>
      <c r="BJ9" s="77"/>
      <c r="BK9" s="77"/>
      <c r="BL9" s="78">
        <f t="shared" si="29"/>
        <v>168810</v>
      </c>
      <c r="BM9" s="49">
        <v>5</v>
      </c>
      <c r="BN9" s="79">
        <f t="shared" si="25"/>
        <v>168810</v>
      </c>
    </row>
    <row r="10" spans="1:68" ht="19.5" customHeight="1">
      <c r="B10" s="80">
        <f t="shared" si="26"/>
        <v>46028</v>
      </c>
      <c r="C10" s="81"/>
      <c r="D10" s="52"/>
      <c r="E10" s="53">
        <v>21</v>
      </c>
      <c r="F10" s="54">
        <v>88000</v>
      </c>
      <c r="G10" s="55">
        <f t="shared" si="0"/>
        <v>3809.5238095238096</v>
      </c>
      <c r="H10" s="54">
        <v>9240</v>
      </c>
      <c r="I10" s="56">
        <f t="shared" si="27"/>
        <v>400</v>
      </c>
      <c r="J10" s="57">
        <f t="shared" si="1"/>
        <v>97240</v>
      </c>
      <c r="K10" s="58">
        <f t="shared" si="2"/>
        <v>4630.4761904761908</v>
      </c>
      <c r="L10" s="59"/>
      <c r="M10" s="60">
        <f t="shared" si="3"/>
        <v>6</v>
      </c>
      <c r="N10" s="61">
        <f t="shared" si="3"/>
        <v>51840</v>
      </c>
      <c r="O10" s="55">
        <f t="shared" si="4"/>
        <v>7854.5</v>
      </c>
      <c r="P10" s="61">
        <f t="shared" si="5"/>
        <v>15180</v>
      </c>
      <c r="Q10" s="56">
        <f t="shared" si="6"/>
        <v>2300</v>
      </c>
      <c r="R10" s="62">
        <f t="shared" si="7"/>
        <v>67020</v>
      </c>
      <c r="S10" s="58">
        <f t="shared" si="8"/>
        <v>11170</v>
      </c>
      <c r="T10" s="82">
        <f t="shared" si="9"/>
        <v>27</v>
      </c>
      <c r="U10" s="61">
        <f t="shared" si="9"/>
        <v>139840</v>
      </c>
      <c r="V10" s="61">
        <f t="shared" si="10"/>
        <v>24420</v>
      </c>
      <c r="W10" s="64">
        <f t="shared" si="11"/>
        <v>164260</v>
      </c>
      <c r="X10" s="83"/>
      <c r="Y10" s="65"/>
      <c r="Z10" s="66">
        <v>0</v>
      </c>
      <c r="AA10" s="66"/>
      <c r="AB10" s="54"/>
      <c r="AC10" s="55" t="e">
        <f t="shared" si="12"/>
        <v>#DIV/0!</v>
      </c>
      <c r="AD10" s="54"/>
      <c r="AE10" s="56" t="e">
        <f t="shared" si="13"/>
        <v>#DIV/0!</v>
      </c>
      <c r="AF10" s="67">
        <f t="shared" si="14"/>
        <v>0</v>
      </c>
      <c r="AG10" s="58" t="e">
        <f t="shared" si="15"/>
        <v>#DIV/0!</v>
      </c>
      <c r="AH10" s="68"/>
      <c r="AI10" s="66"/>
      <c r="AJ10" s="54"/>
      <c r="AK10" s="55" t="e">
        <f t="shared" si="16"/>
        <v>#DIV/0!</v>
      </c>
      <c r="AL10" s="54"/>
      <c r="AM10" s="56" t="e">
        <f t="shared" si="17"/>
        <v>#DIV/0!</v>
      </c>
      <c r="AN10" s="67">
        <f t="shared" si="28"/>
        <v>0</v>
      </c>
      <c r="AO10" s="69" t="str">
        <f t="shared" si="18"/>
        <v/>
      </c>
      <c r="AP10" s="70"/>
      <c r="AQ10" s="66"/>
      <c r="AR10" s="54"/>
      <c r="AS10" s="55" t="e">
        <f t="shared" si="19"/>
        <v>#DIV/0!</v>
      </c>
      <c r="AT10" s="54"/>
      <c r="AU10" s="56" t="e">
        <f t="shared" si="20"/>
        <v>#DIV/0!</v>
      </c>
      <c r="AV10" s="56"/>
      <c r="AW10" s="56"/>
      <c r="AX10" s="71">
        <f t="shared" si="31"/>
        <v>0</v>
      </c>
      <c r="AY10" s="69" t="str">
        <f t="shared" si="21"/>
        <v/>
      </c>
      <c r="AZ10" s="84">
        <f t="shared" si="22"/>
        <v>27</v>
      </c>
      <c r="BA10" s="61">
        <f t="shared" si="23"/>
        <v>139840</v>
      </c>
      <c r="BB10" s="61">
        <f t="shared" si="24"/>
        <v>24420</v>
      </c>
      <c r="BC10" s="73">
        <f>W10+AF10+AN10+AX10-BO10</f>
        <v>164260</v>
      </c>
      <c r="BD10" s="74">
        <f t="shared" si="30"/>
        <v>0</v>
      </c>
      <c r="BE10" s="75">
        <v>27</v>
      </c>
      <c r="BF10" s="76">
        <v>139840</v>
      </c>
      <c r="BG10" s="76">
        <v>24420</v>
      </c>
      <c r="BH10" s="77"/>
      <c r="BI10" s="77"/>
      <c r="BJ10" s="77"/>
      <c r="BK10" s="77"/>
      <c r="BL10" s="78">
        <f t="shared" si="29"/>
        <v>164260</v>
      </c>
      <c r="BM10" s="49">
        <v>6</v>
      </c>
      <c r="BN10" s="79">
        <f t="shared" si="25"/>
        <v>164260</v>
      </c>
    </row>
    <row r="11" spans="1:68" ht="20" customHeight="1">
      <c r="B11" s="80">
        <f t="shared" si="26"/>
        <v>46029</v>
      </c>
      <c r="C11" s="81"/>
      <c r="D11" s="52"/>
      <c r="E11" s="53">
        <v>33</v>
      </c>
      <c r="F11" s="54">
        <v>136620</v>
      </c>
      <c r="G11" s="55">
        <f t="shared" si="0"/>
        <v>3763.6363636363635</v>
      </c>
      <c r="H11" s="54">
        <v>13320</v>
      </c>
      <c r="I11" s="56">
        <f t="shared" si="27"/>
        <v>366.93939393939394</v>
      </c>
      <c r="J11" s="57">
        <f t="shared" si="1"/>
        <v>149940</v>
      </c>
      <c r="K11" s="58">
        <f t="shared" si="2"/>
        <v>4543.636363636364</v>
      </c>
      <c r="L11" s="59"/>
      <c r="M11" s="60">
        <f t="shared" si="3"/>
        <v>11</v>
      </c>
      <c r="N11" s="61">
        <f t="shared" si="3"/>
        <v>103290</v>
      </c>
      <c r="O11" s="55">
        <f t="shared" si="4"/>
        <v>8536.363636363636</v>
      </c>
      <c r="P11" s="61">
        <f t="shared" si="5"/>
        <v>19060</v>
      </c>
      <c r="Q11" s="56">
        <f t="shared" si="6"/>
        <v>1575.1818181818182</v>
      </c>
      <c r="R11" s="62">
        <f t="shared" si="7"/>
        <v>122350</v>
      </c>
      <c r="S11" s="58">
        <f t="shared" si="8"/>
        <v>11122.727272727272</v>
      </c>
      <c r="T11" s="82">
        <f t="shared" si="9"/>
        <v>44</v>
      </c>
      <c r="U11" s="61">
        <f t="shared" si="9"/>
        <v>239910</v>
      </c>
      <c r="V11" s="61">
        <f t="shared" si="10"/>
        <v>32380</v>
      </c>
      <c r="W11" s="64">
        <f t="shared" si="11"/>
        <v>272290</v>
      </c>
      <c r="X11" s="83"/>
      <c r="Y11" s="65"/>
      <c r="Z11" s="66">
        <v>0</v>
      </c>
      <c r="AA11" s="66"/>
      <c r="AB11" s="54"/>
      <c r="AC11" s="55" t="e">
        <f t="shared" si="12"/>
        <v>#DIV/0!</v>
      </c>
      <c r="AD11" s="54"/>
      <c r="AE11" s="56" t="e">
        <f t="shared" si="13"/>
        <v>#DIV/0!</v>
      </c>
      <c r="AF11" s="67">
        <f t="shared" si="14"/>
        <v>0</v>
      </c>
      <c r="AG11" s="58" t="e">
        <f t="shared" si="15"/>
        <v>#DIV/0!</v>
      </c>
      <c r="AH11" s="68"/>
      <c r="AI11" s="66"/>
      <c r="AJ11" s="54"/>
      <c r="AK11" s="55" t="e">
        <f t="shared" si="16"/>
        <v>#DIV/0!</v>
      </c>
      <c r="AL11" s="54"/>
      <c r="AM11" s="56" t="e">
        <f t="shared" si="17"/>
        <v>#DIV/0!</v>
      </c>
      <c r="AN11" s="67">
        <f t="shared" si="28"/>
        <v>0</v>
      </c>
      <c r="AO11" s="69" t="str">
        <f t="shared" si="18"/>
        <v/>
      </c>
      <c r="AP11" s="70"/>
      <c r="AQ11" s="66"/>
      <c r="AR11" s="54"/>
      <c r="AS11" s="55" t="e">
        <f t="shared" si="19"/>
        <v>#DIV/0!</v>
      </c>
      <c r="AT11" s="54"/>
      <c r="AU11" s="56" t="e">
        <f t="shared" si="20"/>
        <v>#DIV/0!</v>
      </c>
      <c r="AV11" s="56"/>
      <c r="AW11" s="56"/>
      <c r="AX11" s="71">
        <f>AR11+AT11+AV11+AW11-BP11</f>
        <v>0</v>
      </c>
      <c r="AY11" s="69" t="str">
        <f t="shared" si="21"/>
        <v/>
      </c>
      <c r="AZ11" s="84">
        <f t="shared" si="22"/>
        <v>44</v>
      </c>
      <c r="BA11" s="61">
        <f t="shared" si="23"/>
        <v>239910</v>
      </c>
      <c r="BB11" s="61">
        <f>V11+AD11+AL11+AT11</f>
        <v>32380</v>
      </c>
      <c r="BC11" s="73">
        <f>W11+AF11+AN11+AX11-BO11</f>
        <v>272290</v>
      </c>
      <c r="BD11" s="74">
        <f>BH11+BI11</f>
        <v>2200</v>
      </c>
      <c r="BE11" s="75">
        <v>44</v>
      </c>
      <c r="BF11" s="76">
        <v>239910</v>
      </c>
      <c r="BG11" s="76">
        <v>32380</v>
      </c>
      <c r="BH11" s="77">
        <v>2200</v>
      </c>
      <c r="BI11" s="77"/>
      <c r="BJ11" s="77"/>
      <c r="BK11" s="77"/>
      <c r="BL11" s="78">
        <f t="shared" si="29"/>
        <v>274490</v>
      </c>
      <c r="BM11" s="49">
        <v>7</v>
      </c>
      <c r="BN11" s="79">
        <f t="shared" si="25"/>
        <v>274490</v>
      </c>
    </row>
    <row r="12" spans="1:68" ht="20" customHeight="1">
      <c r="B12" s="80">
        <f t="shared" si="26"/>
        <v>46030</v>
      </c>
      <c r="C12" s="86"/>
      <c r="D12" s="52"/>
      <c r="E12" s="53">
        <v>22</v>
      </c>
      <c r="F12" s="54">
        <v>93060</v>
      </c>
      <c r="G12" s="55">
        <f t="shared" si="0"/>
        <v>3845.4545454545455</v>
      </c>
      <c r="H12" s="54">
        <v>11010</v>
      </c>
      <c r="I12" s="56">
        <f t="shared" si="27"/>
        <v>454.95454545454544</v>
      </c>
      <c r="J12" s="57">
        <f t="shared" si="1"/>
        <v>104070</v>
      </c>
      <c r="K12" s="58">
        <f t="shared" si="2"/>
        <v>4730.454545454545</v>
      </c>
      <c r="L12" s="59"/>
      <c r="M12" s="60">
        <f t="shared" si="3"/>
        <v>14</v>
      </c>
      <c r="N12" s="61">
        <f t="shared" si="3"/>
        <v>124080</v>
      </c>
      <c r="O12" s="55">
        <f t="shared" si="4"/>
        <v>8057.1428571428569</v>
      </c>
      <c r="P12" s="61">
        <f t="shared" si="5"/>
        <v>19920</v>
      </c>
      <c r="Q12" s="87">
        <f t="shared" si="6"/>
        <v>1293.5</v>
      </c>
      <c r="R12" s="62">
        <f t="shared" si="7"/>
        <v>144000</v>
      </c>
      <c r="S12" s="58">
        <f t="shared" si="8"/>
        <v>10285.714285714286</v>
      </c>
      <c r="T12" s="82">
        <f t="shared" si="9"/>
        <v>36</v>
      </c>
      <c r="U12" s="61">
        <f t="shared" si="9"/>
        <v>217140</v>
      </c>
      <c r="V12" s="61">
        <f t="shared" si="10"/>
        <v>30930</v>
      </c>
      <c r="W12" s="64">
        <f t="shared" si="11"/>
        <v>248070</v>
      </c>
      <c r="X12" s="83"/>
      <c r="Y12" s="65"/>
      <c r="Z12" s="66">
        <v>0</v>
      </c>
      <c r="AA12" s="66"/>
      <c r="AB12" s="54"/>
      <c r="AC12" s="55" t="e">
        <f t="shared" si="12"/>
        <v>#DIV/0!</v>
      </c>
      <c r="AD12" s="54"/>
      <c r="AE12" s="56" t="e">
        <f t="shared" si="13"/>
        <v>#DIV/0!</v>
      </c>
      <c r="AF12" s="67">
        <f t="shared" si="14"/>
        <v>0</v>
      </c>
      <c r="AG12" s="58" t="e">
        <f t="shared" si="15"/>
        <v>#DIV/0!</v>
      </c>
      <c r="AH12" s="68"/>
      <c r="AI12" s="66"/>
      <c r="AJ12" s="54"/>
      <c r="AK12" s="55" t="e">
        <f t="shared" si="16"/>
        <v>#DIV/0!</v>
      </c>
      <c r="AL12" s="54"/>
      <c r="AM12" s="56" t="e">
        <f t="shared" si="17"/>
        <v>#DIV/0!</v>
      </c>
      <c r="AN12" s="67">
        <f t="shared" si="28"/>
        <v>0</v>
      </c>
      <c r="AO12" s="69" t="str">
        <f t="shared" si="18"/>
        <v/>
      </c>
      <c r="AP12" s="70"/>
      <c r="AQ12" s="66"/>
      <c r="AR12" s="54"/>
      <c r="AS12" s="55" t="e">
        <f t="shared" si="19"/>
        <v>#DIV/0!</v>
      </c>
      <c r="AT12" s="54"/>
      <c r="AU12" s="56" t="e">
        <f t="shared" si="20"/>
        <v>#DIV/0!</v>
      </c>
      <c r="AV12" s="56"/>
      <c r="AW12" s="56"/>
      <c r="AX12" s="71">
        <f>AR12+AT12+AV12+AW12</f>
        <v>0</v>
      </c>
      <c r="AY12" s="69" t="str">
        <f t="shared" si="21"/>
        <v/>
      </c>
      <c r="AZ12" s="84">
        <f t="shared" si="22"/>
        <v>36</v>
      </c>
      <c r="BA12" s="61">
        <f t="shared" si="23"/>
        <v>217140</v>
      </c>
      <c r="BB12" s="61">
        <f t="shared" si="24"/>
        <v>30930</v>
      </c>
      <c r="BC12" s="73">
        <f>W12+AF12+AN12+AX12-BO12</f>
        <v>248070</v>
      </c>
      <c r="BD12" s="74">
        <f t="shared" si="30"/>
        <v>0</v>
      </c>
      <c r="BE12" s="75">
        <v>36</v>
      </c>
      <c r="BF12" s="76">
        <v>217140</v>
      </c>
      <c r="BG12" s="76">
        <v>30930</v>
      </c>
      <c r="BH12" s="77"/>
      <c r="BI12" s="77"/>
      <c r="BJ12" s="77"/>
      <c r="BK12" s="77"/>
      <c r="BL12" s="78">
        <f t="shared" si="29"/>
        <v>248070</v>
      </c>
      <c r="BM12" s="49">
        <v>8</v>
      </c>
      <c r="BN12" s="79">
        <f t="shared" si="25"/>
        <v>248070</v>
      </c>
    </row>
    <row r="13" spans="1:68" ht="20" customHeight="1">
      <c r="B13" s="80">
        <f t="shared" si="26"/>
        <v>46031</v>
      </c>
      <c r="C13" s="81"/>
      <c r="D13" s="52"/>
      <c r="E13" s="53">
        <v>37</v>
      </c>
      <c r="F13" s="54">
        <v>151360</v>
      </c>
      <c r="G13" s="55">
        <f t="shared" si="0"/>
        <v>3718.9189189189187</v>
      </c>
      <c r="H13" s="54">
        <v>45410</v>
      </c>
      <c r="I13" s="56">
        <f t="shared" si="27"/>
        <v>1115.7027027027027</v>
      </c>
      <c r="J13" s="57">
        <f t="shared" si="1"/>
        <v>196770</v>
      </c>
      <c r="K13" s="58">
        <f t="shared" si="2"/>
        <v>5318.1081081081084</v>
      </c>
      <c r="L13" s="59"/>
      <c r="M13" s="60">
        <f t="shared" si="3"/>
        <v>11</v>
      </c>
      <c r="N13" s="61">
        <f t="shared" si="3"/>
        <v>85800</v>
      </c>
      <c r="O13" s="55">
        <f t="shared" si="4"/>
        <v>7090.909090909091</v>
      </c>
      <c r="P13" s="61">
        <f t="shared" si="5"/>
        <v>28200</v>
      </c>
      <c r="Q13" s="56">
        <f t="shared" si="6"/>
        <v>2330.5454545454545</v>
      </c>
      <c r="R13" s="62">
        <f t="shared" si="7"/>
        <v>114000</v>
      </c>
      <c r="S13" s="58">
        <f t="shared" si="8"/>
        <v>10363.636363636364</v>
      </c>
      <c r="T13" s="82">
        <f t="shared" si="9"/>
        <v>48</v>
      </c>
      <c r="U13" s="61">
        <f t="shared" si="9"/>
        <v>237160</v>
      </c>
      <c r="V13" s="61">
        <f t="shared" si="10"/>
        <v>73610</v>
      </c>
      <c r="W13" s="64">
        <f t="shared" si="11"/>
        <v>310770</v>
      </c>
      <c r="X13" s="83"/>
      <c r="Y13" s="65"/>
      <c r="Z13" s="66">
        <v>0</v>
      </c>
      <c r="AA13" s="66"/>
      <c r="AB13" s="54"/>
      <c r="AC13" s="55" t="e">
        <f t="shared" si="12"/>
        <v>#DIV/0!</v>
      </c>
      <c r="AD13" s="54"/>
      <c r="AE13" s="56" t="e">
        <f t="shared" si="13"/>
        <v>#DIV/0!</v>
      </c>
      <c r="AF13" s="67">
        <f t="shared" si="14"/>
        <v>0</v>
      </c>
      <c r="AG13" s="58" t="e">
        <f t="shared" si="15"/>
        <v>#DIV/0!</v>
      </c>
      <c r="AH13" s="68"/>
      <c r="AI13" s="66"/>
      <c r="AJ13" s="54"/>
      <c r="AK13" s="55" t="e">
        <f t="shared" si="16"/>
        <v>#DIV/0!</v>
      </c>
      <c r="AL13" s="54"/>
      <c r="AM13" s="56" t="e">
        <f t="shared" si="17"/>
        <v>#DIV/0!</v>
      </c>
      <c r="AN13" s="67">
        <f t="shared" si="28"/>
        <v>0</v>
      </c>
      <c r="AO13" s="69" t="str">
        <f t="shared" si="18"/>
        <v/>
      </c>
      <c r="AP13" s="70"/>
      <c r="AQ13" s="66"/>
      <c r="AR13" s="54"/>
      <c r="AS13" s="55" t="e">
        <f t="shared" si="19"/>
        <v>#DIV/0!</v>
      </c>
      <c r="AT13" s="54"/>
      <c r="AU13" s="56" t="e">
        <f t="shared" si="20"/>
        <v>#DIV/0!</v>
      </c>
      <c r="AV13" s="56"/>
      <c r="AW13" s="56"/>
      <c r="AX13" s="71">
        <f>AR13+AT13+AV13+AW13-BP13</f>
        <v>0</v>
      </c>
      <c r="AY13" s="69" t="str">
        <f t="shared" si="21"/>
        <v/>
      </c>
      <c r="AZ13" s="84">
        <f t="shared" si="22"/>
        <v>48</v>
      </c>
      <c r="BA13" s="61">
        <f t="shared" si="23"/>
        <v>237160</v>
      </c>
      <c r="BB13" s="61">
        <f t="shared" si="24"/>
        <v>73610</v>
      </c>
      <c r="BC13" s="73">
        <f>W13+AF13+AN13+AX13</f>
        <v>310770</v>
      </c>
      <c r="BD13" s="74">
        <f t="shared" si="30"/>
        <v>8250</v>
      </c>
      <c r="BE13" s="75">
        <v>48</v>
      </c>
      <c r="BF13" s="76">
        <v>237160</v>
      </c>
      <c r="BG13" s="76">
        <v>73610</v>
      </c>
      <c r="BH13" s="77">
        <v>8250</v>
      </c>
      <c r="BI13" s="77"/>
      <c r="BJ13" s="77"/>
      <c r="BK13" s="77"/>
      <c r="BL13" s="78">
        <f t="shared" si="29"/>
        <v>319020</v>
      </c>
      <c r="BM13" s="49">
        <v>9</v>
      </c>
      <c r="BN13" s="79">
        <f t="shared" si="25"/>
        <v>319020</v>
      </c>
    </row>
    <row r="14" spans="1:68" ht="20" customHeight="1">
      <c r="B14" s="80">
        <f t="shared" si="26"/>
        <v>46032</v>
      </c>
      <c r="C14" s="81"/>
      <c r="D14" s="52"/>
      <c r="E14" s="53">
        <v>17</v>
      </c>
      <c r="F14" s="54">
        <f>36080+20000</f>
        <v>56080</v>
      </c>
      <c r="G14" s="55">
        <f t="shared" si="0"/>
        <v>2998.8823529411766</v>
      </c>
      <c r="H14" s="54">
        <v>7770</v>
      </c>
      <c r="I14" s="56">
        <f>ROUNDDOWN(H14/1.1,0)/E14</f>
        <v>415.47058823529414</v>
      </c>
      <c r="J14" s="57">
        <f t="shared" si="1"/>
        <v>63850</v>
      </c>
      <c r="K14" s="58">
        <f t="shared" si="2"/>
        <v>3755.8823529411766</v>
      </c>
      <c r="L14" s="59"/>
      <c r="M14" s="60">
        <f t="shared" si="3"/>
        <v>26</v>
      </c>
      <c r="N14" s="61">
        <f t="shared" si="3"/>
        <v>290540</v>
      </c>
      <c r="O14" s="55">
        <f t="shared" si="4"/>
        <v>10158.73076923077</v>
      </c>
      <c r="P14" s="61">
        <f t="shared" si="5"/>
        <v>55230</v>
      </c>
      <c r="Q14" s="56">
        <f t="shared" si="6"/>
        <v>1931.1153846153845</v>
      </c>
      <c r="R14" s="62">
        <f t="shared" si="7"/>
        <v>345770</v>
      </c>
      <c r="S14" s="58">
        <f t="shared" si="8"/>
        <v>13298.846153846154</v>
      </c>
      <c r="T14" s="82">
        <f t="shared" si="9"/>
        <v>43</v>
      </c>
      <c r="U14" s="61">
        <f t="shared" si="9"/>
        <v>346620</v>
      </c>
      <c r="V14" s="61">
        <f t="shared" si="10"/>
        <v>63000</v>
      </c>
      <c r="W14" s="64">
        <f t="shared" si="11"/>
        <v>409620</v>
      </c>
      <c r="X14" s="83"/>
      <c r="Y14" s="65"/>
      <c r="Z14" s="66">
        <v>0</v>
      </c>
      <c r="AA14" s="66"/>
      <c r="AB14" s="54"/>
      <c r="AC14" s="55" t="e">
        <f t="shared" si="12"/>
        <v>#DIV/0!</v>
      </c>
      <c r="AD14" s="54"/>
      <c r="AE14" s="56" t="e">
        <f t="shared" si="13"/>
        <v>#DIV/0!</v>
      </c>
      <c r="AF14" s="67">
        <f t="shared" si="14"/>
        <v>0</v>
      </c>
      <c r="AG14" s="58" t="e">
        <f t="shared" si="15"/>
        <v>#DIV/0!</v>
      </c>
      <c r="AH14" s="68"/>
      <c r="AI14" s="66"/>
      <c r="AJ14" s="54"/>
      <c r="AK14" s="55" t="e">
        <f t="shared" si="16"/>
        <v>#DIV/0!</v>
      </c>
      <c r="AL14" s="54"/>
      <c r="AM14" s="56" t="e">
        <f t="shared" si="17"/>
        <v>#DIV/0!</v>
      </c>
      <c r="AN14" s="67">
        <f t="shared" si="28"/>
        <v>0</v>
      </c>
      <c r="AO14" s="69" t="str">
        <f t="shared" si="18"/>
        <v/>
      </c>
      <c r="AP14" s="70"/>
      <c r="AQ14" s="66"/>
      <c r="AR14" s="54"/>
      <c r="AS14" s="55" t="e">
        <f t="shared" si="19"/>
        <v>#DIV/0!</v>
      </c>
      <c r="AT14" s="54"/>
      <c r="AU14" s="56" t="e">
        <f t="shared" si="20"/>
        <v>#DIV/0!</v>
      </c>
      <c r="AV14" s="56"/>
      <c r="AW14" s="56"/>
      <c r="AX14" s="71">
        <f t="shared" si="31"/>
        <v>0</v>
      </c>
      <c r="AY14" s="69" t="str">
        <f t="shared" si="21"/>
        <v/>
      </c>
      <c r="AZ14" s="84">
        <f t="shared" si="22"/>
        <v>43</v>
      </c>
      <c r="BA14" s="61">
        <f t="shared" si="23"/>
        <v>346620</v>
      </c>
      <c r="BB14" s="61">
        <f t="shared" si="24"/>
        <v>63000</v>
      </c>
      <c r="BC14" s="73">
        <f>W14+AF14+AN14+AX14-BO14</f>
        <v>409620</v>
      </c>
      <c r="BD14" s="74">
        <f t="shared" si="30"/>
        <v>2200</v>
      </c>
      <c r="BE14" s="75">
        <v>43</v>
      </c>
      <c r="BF14" s="76">
        <v>346620</v>
      </c>
      <c r="BG14" s="76">
        <v>63000</v>
      </c>
      <c r="BH14" s="77">
        <v>2200</v>
      </c>
      <c r="BI14" s="77"/>
      <c r="BJ14" s="77">
        <v>3300</v>
      </c>
      <c r="BK14" s="77"/>
      <c r="BL14" s="78">
        <f>SUM(BF14:BI14)</f>
        <v>411820</v>
      </c>
      <c r="BM14" s="49">
        <v>10</v>
      </c>
      <c r="BN14" s="79">
        <f t="shared" si="25"/>
        <v>411820</v>
      </c>
      <c r="BP14" s="49" t="s">
        <v>112</v>
      </c>
    </row>
    <row r="15" spans="1:68" ht="20" customHeight="1">
      <c r="B15" s="80">
        <f t="shared" si="26"/>
        <v>46033</v>
      </c>
      <c r="C15" s="86"/>
      <c r="D15" s="52"/>
      <c r="E15" s="53">
        <v>17</v>
      </c>
      <c r="F15" s="54">
        <v>81180</v>
      </c>
      <c r="G15" s="55">
        <f t="shared" si="0"/>
        <v>4341.1764705882351</v>
      </c>
      <c r="H15" s="54">
        <v>16840</v>
      </c>
      <c r="I15" s="56">
        <f t="shared" si="27"/>
        <v>900.52941176470586</v>
      </c>
      <c r="J15" s="57">
        <f t="shared" si="1"/>
        <v>98020</v>
      </c>
      <c r="K15" s="58">
        <f t="shared" si="2"/>
        <v>5765.8823529411766</v>
      </c>
      <c r="L15" s="59"/>
      <c r="M15" s="60">
        <f t="shared" si="3"/>
        <v>31</v>
      </c>
      <c r="N15" s="61">
        <f t="shared" si="3"/>
        <v>282920</v>
      </c>
      <c r="O15" s="55">
        <f t="shared" si="4"/>
        <v>8296.7741935483864</v>
      </c>
      <c r="P15" s="61">
        <f t="shared" si="5"/>
        <v>72410</v>
      </c>
      <c r="Q15" s="56">
        <f t="shared" si="6"/>
        <v>2123.4516129032259</v>
      </c>
      <c r="R15" s="62">
        <f t="shared" si="7"/>
        <v>355330</v>
      </c>
      <c r="S15" s="58">
        <f t="shared" si="8"/>
        <v>11462.258064516129</v>
      </c>
      <c r="T15" s="82">
        <f t="shared" si="9"/>
        <v>48</v>
      </c>
      <c r="U15" s="61">
        <f t="shared" si="9"/>
        <v>364100</v>
      </c>
      <c r="V15" s="61">
        <f t="shared" si="10"/>
        <v>89250</v>
      </c>
      <c r="W15" s="64">
        <f t="shared" si="11"/>
        <v>453350</v>
      </c>
      <c r="X15" s="83"/>
      <c r="Y15" s="65"/>
      <c r="Z15" s="66">
        <v>0</v>
      </c>
      <c r="AA15" s="66"/>
      <c r="AB15" s="54"/>
      <c r="AC15" s="55" t="e">
        <f t="shared" si="12"/>
        <v>#DIV/0!</v>
      </c>
      <c r="AD15" s="54"/>
      <c r="AE15" s="56" t="e">
        <f t="shared" si="13"/>
        <v>#DIV/0!</v>
      </c>
      <c r="AF15" s="67">
        <f t="shared" si="14"/>
        <v>0</v>
      </c>
      <c r="AG15" s="58" t="e">
        <f t="shared" si="15"/>
        <v>#DIV/0!</v>
      </c>
      <c r="AH15" s="68"/>
      <c r="AI15" s="66"/>
      <c r="AJ15" s="54"/>
      <c r="AK15" s="55" t="e">
        <f t="shared" si="16"/>
        <v>#DIV/0!</v>
      </c>
      <c r="AL15" s="54"/>
      <c r="AM15" s="56" t="e">
        <f t="shared" si="17"/>
        <v>#DIV/0!</v>
      </c>
      <c r="AN15" s="67">
        <f t="shared" si="28"/>
        <v>0</v>
      </c>
      <c r="AO15" s="69" t="str">
        <f t="shared" si="18"/>
        <v/>
      </c>
      <c r="AP15" s="70"/>
      <c r="AQ15" s="66"/>
      <c r="AR15" s="54"/>
      <c r="AS15" s="55" t="e">
        <f t="shared" si="19"/>
        <v>#DIV/0!</v>
      </c>
      <c r="AT15" s="54"/>
      <c r="AU15" s="56" t="e">
        <f t="shared" si="20"/>
        <v>#DIV/0!</v>
      </c>
      <c r="AV15" s="56"/>
      <c r="AW15" s="56"/>
      <c r="AX15" s="71">
        <f t="shared" si="31"/>
        <v>0</v>
      </c>
      <c r="AY15" s="69" t="str">
        <f t="shared" si="21"/>
        <v/>
      </c>
      <c r="AZ15" s="84">
        <f t="shared" si="22"/>
        <v>48</v>
      </c>
      <c r="BA15" s="61">
        <f t="shared" si="23"/>
        <v>364100</v>
      </c>
      <c r="BB15" s="61">
        <f t="shared" si="24"/>
        <v>89250</v>
      </c>
      <c r="BC15" s="73">
        <f>W15+AF15+AN15+AX15-BO15</f>
        <v>453350</v>
      </c>
      <c r="BD15" s="74">
        <f t="shared" si="30"/>
        <v>5500</v>
      </c>
      <c r="BE15" s="75">
        <v>48</v>
      </c>
      <c r="BF15" s="76">
        <v>364100</v>
      </c>
      <c r="BG15" s="76">
        <v>89250</v>
      </c>
      <c r="BH15" s="77">
        <v>5500</v>
      </c>
      <c r="BI15" s="77"/>
      <c r="BJ15" s="77"/>
      <c r="BK15" s="77"/>
      <c r="BL15" s="78">
        <f t="shared" si="29"/>
        <v>458850</v>
      </c>
      <c r="BM15" s="49">
        <v>11</v>
      </c>
      <c r="BN15" s="79">
        <f t="shared" si="25"/>
        <v>458850</v>
      </c>
    </row>
    <row r="16" spans="1:68" ht="20" customHeight="1">
      <c r="B16" s="80">
        <f t="shared" si="26"/>
        <v>46034</v>
      </c>
      <c r="C16" s="81"/>
      <c r="D16" s="52"/>
      <c r="E16" s="53">
        <v>26</v>
      </c>
      <c r="F16" s="54">
        <v>116600</v>
      </c>
      <c r="G16" s="55">
        <f t="shared" si="0"/>
        <v>4076.9230769230771</v>
      </c>
      <c r="H16" s="54">
        <v>16590</v>
      </c>
      <c r="I16" s="56">
        <f t="shared" si="27"/>
        <v>580.03846153846155</v>
      </c>
      <c r="J16" s="57">
        <f t="shared" si="1"/>
        <v>133190</v>
      </c>
      <c r="K16" s="58">
        <f t="shared" si="2"/>
        <v>5122.6923076923076</v>
      </c>
      <c r="L16" s="59"/>
      <c r="M16" s="60">
        <f t="shared" si="3"/>
        <v>18</v>
      </c>
      <c r="N16" s="61">
        <f t="shared" si="3"/>
        <v>182790</v>
      </c>
      <c r="O16" s="55">
        <f t="shared" si="4"/>
        <v>9231.7777777777774</v>
      </c>
      <c r="P16" s="61">
        <f t="shared" si="5"/>
        <v>24720</v>
      </c>
      <c r="Q16" s="56">
        <f t="shared" si="6"/>
        <v>1248.4444444444443</v>
      </c>
      <c r="R16" s="62">
        <f t="shared" si="7"/>
        <v>207510</v>
      </c>
      <c r="S16" s="58">
        <f t="shared" si="8"/>
        <v>11528.333333333334</v>
      </c>
      <c r="T16" s="82">
        <f t="shared" si="9"/>
        <v>44</v>
      </c>
      <c r="U16" s="61">
        <f t="shared" si="9"/>
        <v>299390</v>
      </c>
      <c r="V16" s="61">
        <f t="shared" si="10"/>
        <v>41310</v>
      </c>
      <c r="W16" s="64">
        <f t="shared" si="11"/>
        <v>340700</v>
      </c>
      <c r="X16" s="83"/>
      <c r="Y16" s="65"/>
      <c r="Z16" s="66">
        <v>3</v>
      </c>
      <c r="AA16" s="66"/>
      <c r="AB16" s="54">
        <v>7500</v>
      </c>
      <c r="AC16" s="55">
        <f t="shared" si="12"/>
        <v>2500</v>
      </c>
      <c r="AD16" s="54">
        <v>4050</v>
      </c>
      <c r="AE16" s="56">
        <f t="shared" si="13"/>
        <v>1350</v>
      </c>
      <c r="AF16" s="67">
        <f t="shared" si="14"/>
        <v>11550</v>
      </c>
      <c r="AG16" s="58">
        <f t="shared" si="15"/>
        <v>3850</v>
      </c>
      <c r="AH16" s="68"/>
      <c r="AI16" s="66"/>
      <c r="AJ16" s="54"/>
      <c r="AK16" s="55" t="e">
        <f t="shared" si="16"/>
        <v>#DIV/0!</v>
      </c>
      <c r="AL16" s="54"/>
      <c r="AM16" s="56" t="e">
        <f t="shared" si="17"/>
        <v>#DIV/0!</v>
      </c>
      <c r="AN16" s="67">
        <f t="shared" si="28"/>
        <v>0</v>
      </c>
      <c r="AO16" s="69" t="str">
        <f t="shared" si="18"/>
        <v/>
      </c>
      <c r="AP16" s="70"/>
      <c r="AQ16" s="66"/>
      <c r="AR16" s="54"/>
      <c r="AS16" s="55" t="e">
        <f t="shared" si="19"/>
        <v>#DIV/0!</v>
      </c>
      <c r="AT16" s="54"/>
      <c r="AU16" s="56" t="e">
        <f t="shared" si="20"/>
        <v>#DIV/0!</v>
      </c>
      <c r="AV16" s="56"/>
      <c r="AW16" s="56"/>
      <c r="AX16" s="71">
        <f t="shared" si="31"/>
        <v>0</v>
      </c>
      <c r="AY16" s="69" t="str">
        <f t="shared" si="21"/>
        <v/>
      </c>
      <c r="AZ16" s="84">
        <f t="shared" si="22"/>
        <v>44</v>
      </c>
      <c r="BA16" s="61">
        <f t="shared" si="23"/>
        <v>306890</v>
      </c>
      <c r="BB16" s="61">
        <f t="shared" si="24"/>
        <v>45360</v>
      </c>
      <c r="BC16" s="73">
        <f>W16+AF16+AN16+AX16-BO16</f>
        <v>352250</v>
      </c>
      <c r="BD16" s="74">
        <f t="shared" si="30"/>
        <v>1100</v>
      </c>
      <c r="BE16" s="75">
        <v>44</v>
      </c>
      <c r="BF16" s="76">
        <v>299390</v>
      </c>
      <c r="BG16" s="76">
        <v>41310</v>
      </c>
      <c r="BH16" s="77">
        <v>1100</v>
      </c>
      <c r="BI16" s="77"/>
      <c r="BJ16" s="77"/>
      <c r="BK16" s="77"/>
      <c r="BL16" s="78">
        <f t="shared" si="29"/>
        <v>341800</v>
      </c>
      <c r="BM16" s="49">
        <v>12</v>
      </c>
      <c r="BN16" s="79">
        <f t="shared" si="25"/>
        <v>341800</v>
      </c>
    </row>
    <row r="17" spans="2:68" ht="20" customHeight="1">
      <c r="B17" s="80">
        <f t="shared" si="26"/>
        <v>46035</v>
      </c>
      <c r="C17" s="86"/>
      <c r="D17" s="52"/>
      <c r="E17" s="53">
        <v>15</v>
      </c>
      <c r="F17" s="54">
        <v>47960</v>
      </c>
      <c r="G17" s="55">
        <f t="shared" si="0"/>
        <v>2906.6666666666665</v>
      </c>
      <c r="H17" s="54">
        <v>2970</v>
      </c>
      <c r="I17" s="56">
        <f t="shared" si="27"/>
        <v>180</v>
      </c>
      <c r="J17" s="57">
        <f t="shared" si="1"/>
        <v>50930</v>
      </c>
      <c r="K17" s="58">
        <f t="shared" si="2"/>
        <v>3395.3333333333335</v>
      </c>
      <c r="L17" s="59"/>
      <c r="M17" s="60">
        <f t="shared" si="3"/>
        <v>7</v>
      </c>
      <c r="N17" s="61">
        <f t="shared" si="3"/>
        <v>80400</v>
      </c>
      <c r="O17" s="55">
        <f t="shared" si="4"/>
        <v>10441.428571428571</v>
      </c>
      <c r="P17" s="61">
        <f t="shared" si="5"/>
        <v>6870</v>
      </c>
      <c r="Q17" s="56">
        <f t="shared" si="6"/>
        <v>892.14285714285711</v>
      </c>
      <c r="R17" s="62">
        <f t="shared" si="7"/>
        <v>87270</v>
      </c>
      <c r="S17" s="58">
        <f t="shared" si="8"/>
        <v>12467.142857142857</v>
      </c>
      <c r="T17" s="82">
        <f>E17+M17</f>
        <v>22</v>
      </c>
      <c r="U17" s="61">
        <f t="shared" si="9"/>
        <v>128360</v>
      </c>
      <c r="V17" s="61">
        <f t="shared" si="10"/>
        <v>9840</v>
      </c>
      <c r="W17" s="64">
        <f t="shared" si="11"/>
        <v>138200</v>
      </c>
      <c r="X17" s="83"/>
      <c r="Y17" s="65"/>
      <c r="Z17" s="66">
        <v>0</v>
      </c>
      <c r="AA17" s="66"/>
      <c r="AB17" s="54"/>
      <c r="AC17" s="55" t="e">
        <f t="shared" si="12"/>
        <v>#DIV/0!</v>
      </c>
      <c r="AD17" s="54"/>
      <c r="AE17" s="56" t="e">
        <f t="shared" si="13"/>
        <v>#DIV/0!</v>
      </c>
      <c r="AF17" s="67">
        <f t="shared" si="14"/>
        <v>0</v>
      </c>
      <c r="AG17" s="58" t="e">
        <f t="shared" si="15"/>
        <v>#DIV/0!</v>
      </c>
      <c r="AH17" s="68"/>
      <c r="AI17" s="66">
        <v>53</v>
      </c>
      <c r="AJ17" s="54">
        <v>118755</v>
      </c>
      <c r="AK17" s="55">
        <f>AJ17/AI17</f>
        <v>2240.6603773584907</v>
      </c>
      <c r="AL17" s="54">
        <v>69165</v>
      </c>
      <c r="AM17" s="56">
        <f>AL17/AI17</f>
        <v>1305</v>
      </c>
      <c r="AN17" s="67">
        <f>AJ17+AL17</f>
        <v>187920</v>
      </c>
      <c r="AO17" s="69">
        <f>IF(AI17="","",AN17/AI17)</f>
        <v>3545.6603773584907</v>
      </c>
      <c r="AP17" s="70"/>
      <c r="AQ17" s="66"/>
      <c r="AR17" s="54"/>
      <c r="AS17" s="55" t="e">
        <f t="shared" si="19"/>
        <v>#DIV/0!</v>
      </c>
      <c r="AT17" s="54"/>
      <c r="AU17" s="56" t="e">
        <f t="shared" si="20"/>
        <v>#DIV/0!</v>
      </c>
      <c r="AV17" s="56"/>
      <c r="AW17" s="56"/>
      <c r="AX17" s="71">
        <f>AR17+AT17+AV17+AW17-BP17</f>
        <v>0</v>
      </c>
      <c r="AY17" s="69" t="str">
        <f t="shared" si="21"/>
        <v/>
      </c>
      <c r="AZ17" s="84">
        <f t="shared" si="22"/>
        <v>22</v>
      </c>
      <c r="BA17" s="61">
        <f>U17+AB17+AJ17+AR17</f>
        <v>247115</v>
      </c>
      <c r="BB17" s="61">
        <f t="shared" si="24"/>
        <v>79005</v>
      </c>
      <c r="BC17" s="73">
        <f>W17+AF17+AN17+AX17-BO17</f>
        <v>326120</v>
      </c>
      <c r="BD17" s="74">
        <f t="shared" si="30"/>
        <v>1100</v>
      </c>
      <c r="BE17" s="75">
        <v>22</v>
      </c>
      <c r="BF17" s="76">
        <v>128360</v>
      </c>
      <c r="BG17" s="76">
        <v>9840</v>
      </c>
      <c r="BH17" s="77">
        <v>1100</v>
      </c>
      <c r="BI17" s="77"/>
      <c r="BJ17" s="77"/>
      <c r="BK17" s="77"/>
      <c r="BL17" s="78">
        <f>SUM(BF17:BI17)</f>
        <v>139300</v>
      </c>
      <c r="BM17" s="49">
        <v>13</v>
      </c>
      <c r="BN17" s="79">
        <f t="shared" si="25"/>
        <v>139300</v>
      </c>
    </row>
    <row r="18" spans="2:68" ht="20" customHeight="1">
      <c r="B18" s="80">
        <f t="shared" si="26"/>
        <v>46036</v>
      </c>
      <c r="C18" s="81"/>
      <c r="D18" s="52"/>
      <c r="E18" s="53">
        <v>19</v>
      </c>
      <c r="F18" s="54">
        <v>71280</v>
      </c>
      <c r="G18" s="55">
        <f t="shared" si="0"/>
        <v>3410.5263157894738</v>
      </c>
      <c r="H18" s="54">
        <v>21550</v>
      </c>
      <c r="I18" s="56">
        <f t="shared" si="27"/>
        <v>1031.0526315789473</v>
      </c>
      <c r="J18" s="57">
        <f t="shared" si="1"/>
        <v>92830</v>
      </c>
      <c r="K18" s="58">
        <f t="shared" si="2"/>
        <v>4885.7894736842109</v>
      </c>
      <c r="L18" s="59"/>
      <c r="M18" s="60">
        <f t="shared" si="3"/>
        <v>9</v>
      </c>
      <c r="N18" s="61">
        <f t="shared" si="3"/>
        <v>75900</v>
      </c>
      <c r="O18" s="55">
        <f t="shared" si="4"/>
        <v>7666.666666666667</v>
      </c>
      <c r="P18" s="61">
        <f t="shared" si="5"/>
        <v>14690</v>
      </c>
      <c r="Q18" s="56">
        <f t="shared" si="6"/>
        <v>1483.7777777777778</v>
      </c>
      <c r="R18" s="62">
        <f t="shared" si="7"/>
        <v>90590</v>
      </c>
      <c r="S18" s="58">
        <f t="shared" si="8"/>
        <v>10065.555555555555</v>
      </c>
      <c r="T18" s="82">
        <f t="shared" si="9"/>
        <v>28</v>
      </c>
      <c r="U18" s="61">
        <f t="shared" si="9"/>
        <v>147180</v>
      </c>
      <c r="V18" s="61">
        <f t="shared" si="10"/>
        <v>36240</v>
      </c>
      <c r="W18" s="64">
        <f t="shared" si="11"/>
        <v>183420</v>
      </c>
      <c r="X18" s="83"/>
      <c r="Y18" s="65"/>
      <c r="Z18" s="66">
        <v>0</v>
      </c>
      <c r="AA18" s="66"/>
      <c r="AB18" s="54"/>
      <c r="AC18" s="55" t="e">
        <f t="shared" si="12"/>
        <v>#DIV/0!</v>
      </c>
      <c r="AD18" s="54"/>
      <c r="AE18" s="56" t="e">
        <f t="shared" si="13"/>
        <v>#DIV/0!</v>
      </c>
      <c r="AF18" s="67">
        <f t="shared" si="14"/>
        <v>0</v>
      </c>
      <c r="AG18" s="58" t="e">
        <f t="shared" si="15"/>
        <v>#DIV/0!</v>
      </c>
      <c r="AH18" s="68"/>
      <c r="AI18" s="66"/>
      <c r="AJ18" s="54"/>
      <c r="AK18" s="55" t="e">
        <f t="shared" si="16"/>
        <v>#DIV/0!</v>
      </c>
      <c r="AL18" s="54"/>
      <c r="AM18" s="56" t="e">
        <f t="shared" si="17"/>
        <v>#DIV/0!</v>
      </c>
      <c r="AN18" s="67">
        <f t="shared" si="28"/>
        <v>0</v>
      </c>
      <c r="AO18" s="69" t="str">
        <f t="shared" si="18"/>
        <v/>
      </c>
      <c r="AP18" s="70"/>
      <c r="AQ18" s="66"/>
      <c r="AR18" s="54"/>
      <c r="AS18" s="55" t="e">
        <f t="shared" si="19"/>
        <v>#DIV/0!</v>
      </c>
      <c r="AT18" s="54"/>
      <c r="AU18" s="56" t="e">
        <f t="shared" si="20"/>
        <v>#DIV/0!</v>
      </c>
      <c r="AV18" s="56"/>
      <c r="AW18" s="56"/>
      <c r="AX18" s="71">
        <f t="shared" ref="AX18:AX35" si="32">AR18+AT18+AV18+AW18</f>
        <v>0</v>
      </c>
      <c r="AY18" s="69" t="str">
        <f t="shared" si="21"/>
        <v/>
      </c>
      <c r="AZ18" s="84">
        <f t="shared" si="22"/>
        <v>28</v>
      </c>
      <c r="BA18" s="61">
        <f t="shared" si="23"/>
        <v>147180</v>
      </c>
      <c r="BB18" s="61">
        <f t="shared" si="24"/>
        <v>36240</v>
      </c>
      <c r="BC18" s="73">
        <f t="shared" ref="BC18" si="33">W18+AF18+AN18+AX18-BO18</f>
        <v>183420</v>
      </c>
      <c r="BD18" s="74">
        <f t="shared" si="30"/>
        <v>1100</v>
      </c>
      <c r="BE18" s="75">
        <v>28</v>
      </c>
      <c r="BF18" s="76">
        <v>147180</v>
      </c>
      <c r="BG18" s="76">
        <v>36240</v>
      </c>
      <c r="BH18" s="77">
        <v>1100</v>
      </c>
      <c r="BI18" s="77"/>
      <c r="BJ18" s="77"/>
      <c r="BK18" s="77"/>
      <c r="BL18" s="78">
        <f t="shared" si="29"/>
        <v>184520</v>
      </c>
      <c r="BM18" s="49">
        <v>14</v>
      </c>
      <c r="BN18" s="79">
        <f t="shared" si="25"/>
        <v>184520</v>
      </c>
    </row>
    <row r="19" spans="2:68" ht="20" customHeight="1">
      <c r="B19" s="80">
        <f t="shared" si="26"/>
        <v>46037</v>
      </c>
      <c r="C19" s="81"/>
      <c r="D19" s="52"/>
      <c r="E19" s="53">
        <v>27</v>
      </c>
      <c r="F19" s="54">
        <v>114840</v>
      </c>
      <c r="G19" s="55">
        <f t="shared" si="0"/>
        <v>3866.6666666666665</v>
      </c>
      <c r="H19" s="54">
        <v>19900</v>
      </c>
      <c r="I19" s="56">
        <f t="shared" si="27"/>
        <v>670</v>
      </c>
      <c r="J19" s="57">
        <f t="shared" si="1"/>
        <v>134740</v>
      </c>
      <c r="K19" s="58">
        <f t="shared" si="2"/>
        <v>4990.3703703703704</v>
      </c>
      <c r="L19" s="59"/>
      <c r="M19" s="60">
        <f t="shared" si="3"/>
        <v>40</v>
      </c>
      <c r="N19" s="61">
        <f t="shared" si="3"/>
        <v>352000</v>
      </c>
      <c r="O19" s="55">
        <f t="shared" si="4"/>
        <v>8000</v>
      </c>
      <c r="P19" s="61">
        <f>BG19-H19</f>
        <v>39600</v>
      </c>
      <c r="Q19" s="87">
        <f t="shared" si="6"/>
        <v>900</v>
      </c>
      <c r="R19" s="62">
        <f t="shared" si="7"/>
        <v>391600</v>
      </c>
      <c r="S19" s="58">
        <f t="shared" si="8"/>
        <v>9790</v>
      </c>
      <c r="T19" s="82">
        <f t="shared" si="9"/>
        <v>67</v>
      </c>
      <c r="U19" s="61">
        <f t="shared" si="9"/>
        <v>466840</v>
      </c>
      <c r="V19" s="61">
        <f t="shared" si="10"/>
        <v>59500</v>
      </c>
      <c r="W19" s="64">
        <f t="shared" si="11"/>
        <v>526340</v>
      </c>
      <c r="X19" s="83"/>
      <c r="Y19" s="65"/>
      <c r="Z19" s="66">
        <v>0</v>
      </c>
      <c r="AA19" s="66"/>
      <c r="AB19" s="54"/>
      <c r="AC19" s="55" t="e">
        <f t="shared" si="12"/>
        <v>#DIV/0!</v>
      </c>
      <c r="AD19" s="54"/>
      <c r="AE19" s="56" t="e">
        <f t="shared" si="13"/>
        <v>#DIV/0!</v>
      </c>
      <c r="AF19" s="67">
        <f t="shared" si="14"/>
        <v>0</v>
      </c>
      <c r="AG19" s="58" t="e">
        <f t="shared" si="15"/>
        <v>#DIV/0!</v>
      </c>
      <c r="AH19" s="68"/>
      <c r="AI19" s="66">
        <v>63</v>
      </c>
      <c r="AJ19" s="54">
        <v>321465</v>
      </c>
      <c r="AK19" s="55">
        <f t="shared" si="16"/>
        <v>5102.6190476190477</v>
      </c>
      <c r="AL19" s="54">
        <v>82215</v>
      </c>
      <c r="AM19" s="56">
        <f t="shared" si="17"/>
        <v>1305</v>
      </c>
      <c r="AN19" s="67">
        <f t="shared" si="28"/>
        <v>403680</v>
      </c>
      <c r="AO19" s="69">
        <f t="shared" si="18"/>
        <v>6407.6190476190477</v>
      </c>
      <c r="AP19" s="70"/>
      <c r="AQ19" s="66"/>
      <c r="AR19" s="54"/>
      <c r="AS19" s="55" t="e">
        <f t="shared" si="19"/>
        <v>#DIV/0!</v>
      </c>
      <c r="AT19" s="54"/>
      <c r="AU19" s="56" t="e">
        <f t="shared" si="20"/>
        <v>#DIV/0!</v>
      </c>
      <c r="AV19" s="56"/>
      <c r="AW19" s="56"/>
      <c r="AX19" s="71">
        <f>AR19+AT19+AV19+AW19</f>
        <v>0</v>
      </c>
      <c r="AY19" s="69" t="str">
        <f t="shared" si="21"/>
        <v/>
      </c>
      <c r="AZ19" s="84">
        <f>SUM(E19,M19)</f>
        <v>67</v>
      </c>
      <c r="BA19" s="61">
        <f t="shared" si="23"/>
        <v>788305</v>
      </c>
      <c r="BB19" s="61">
        <f t="shared" si="24"/>
        <v>141715</v>
      </c>
      <c r="BC19" s="73">
        <f>W19+AF19+AN19+AX19-BO19</f>
        <v>930020</v>
      </c>
      <c r="BD19" s="74">
        <f t="shared" si="30"/>
        <v>1100</v>
      </c>
      <c r="BE19" s="75">
        <v>67</v>
      </c>
      <c r="BF19" s="76">
        <v>466840</v>
      </c>
      <c r="BG19" s="76">
        <v>59500</v>
      </c>
      <c r="BH19" s="77">
        <v>1100</v>
      </c>
      <c r="BI19" s="77"/>
      <c r="BJ19" s="77"/>
      <c r="BK19" s="77">
        <v>30000</v>
      </c>
      <c r="BL19" s="78">
        <f t="shared" si="29"/>
        <v>527440</v>
      </c>
      <c r="BM19" s="49">
        <v>15</v>
      </c>
      <c r="BN19" s="79">
        <f t="shared" si="25"/>
        <v>557440</v>
      </c>
    </row>
    <row r="20" spans="2:68" ht="20" customHeight="1">
      <c r="B20" s="80">
        <f t="shared" si="26"/>
        <v>46038</v>
      </c>
      <c r="C20" s="81"/>
      <c r="D20" s="52"/>
      <c r="E20" s="53">
        <v>13</v>
      </c>
      <c r="F20" s="54">
        <v>52910</v>
      </c>
      <c r="G20" s="55">
        <f t="shared" si="0"/>
        <v>3700</v>
      </c>
      <c r="H20" s="54">
        <v>6040</v>
      </c>
      <c r="I20" s="56">
        <f t="shared" si="27"/>
        <v>422.30769230769232</v>
      </c>
      <c r="J20" s="57">
        <f t="shared" si="1"/>
        <v>58950</v>
      </c>
      <c r="K20" s="58">
        <f t="shared" si="2"/>
        <v>4534.6153846153848</v>
      </c>
      <c r="L20" s="59"/>
      <c r="M20" s="60">
        <f t="shared" si="3"/>
        <v>25</v>
      </c>
      <c r="N20" s="61">
        <f t="shared" si="3"/>
        <v>220000</v>
      </c>
      <c r="O20" s="55">
        <f t="shared" si="4"/>
        <v>8000</v>
      </c>
      <c r="P20" s="61">
        <f t="shared" si="5"/>
        <v>192500</v>
      </c>
      <c r="Q20" s="87">
        <f t="shared" si="6"/>
        <v>7000</v>
      </c>
      <c r="R20" s="62">
        <f t="shared" si="7"/>
        <v>412500</v>
      </c>
      <c r="S20" s="58">
        <f t="shared" si="8"/>
        <v>16500</v>
      </c>
      <c r="T20" s="82">
        <f t="shared" si="9"/>
        <v>38</v>
      </c>
      <c r="U20" s="61">
        <f t="shared" si="9"/>
        <v>272910</v>
      </c>
      <c r="V20" s="61">
        <f t="shared" si="10"/>
        <v>198540</v>
      </c>
      <c r="W20" s="64">
        <f t="shared" si="11"/>
        <v>471450</v>
      </c>
      <c r="X20" s="83"/>
      <c r="Y20" s="65"/>
      <c r="Z20" s="66">
        <v>0</v>
      </c>
      <c r="AA20" s="66"/>
      <c r="AB20" s="54"/>
      <c r="AC20" s="55" t="e">
        <f t="shared" si="12"/>
        <v>#DIV/0!</v>
      </c>
      <c r="AD20" s="54"/>
      <c r="AE20" s="56" t="e">
        <f t="shared" si="13"/>
        <v>#DIV/0!</v>
      </c>
      <c r="AF20" s="67">
        <f t="shared" si="14"/>
        <v>0</v>
      </c>
      <c r="AG20" s="58" t="e">
        <f t="shared" si="15"/>
        <v>#DIV/0!</v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8"/>
        <v>0</v>
      </c>
      <c r="AO20" s="69" t="str">
        <f t="shared" si="18"/>
        <v/>
      </c>
      <c r="AP20" s="70"/>
      <c r="AQ20" s="66"/>
      <c r="AR20" s="54"/>
      <c r="AS20" s="55" t="e">
        <f t="shared" si="19"/>
        <v>#DIV/0!</v>
      </c>
      <c r="AT20" s="54"/>
      <c r="AU20" s="56" t="e">
        <f t="shared" si="20"/>
        <v>#DIV/0!</v>
      </c>
      <c r="AV20" s="56"/>
      <c r="AW20" s="56"/>
      <c r="AX20" s="71">
        <f t="shared" si="32"/>
        <v>0</v>
      </c>
      <c r="AY20" s="69" t="str">
        <f t="shared" si="21"/>
        <v/>
      </c>
      <c r="AZ20" s="84">
        <f t="shared" si="22"/>
        <v>38</v>
      </c>
      <c r="BA20" s="61">
        <f t="shared" si="23"/>
        <v>272910</v>
      </c>
      <c r="BB20" s="61">
        <f t="shared" si="24"/>
        <v>198540</v>
      </c>
      <c r="BC20" s="73">
        <f>W20+AF20+AN20+AX20-BO20</f>
        <v>471450</v>
      </c>
      <c r="BD20" s="74">
        <f t="shared" si="30"/>
        <v>0</v>
      </c>
      <c r="BE20" s="223">
        <v>38</v>
      </c>
      <c r="BF20" s="224">
        <f>269940+2970</f>
        <v>272910</v>
      </c>
      <c r="BG20" s="76">
        <f>194900+1660+1980</f>
        <v>198540</v>
      </c>
      <c r="BH20" s="77"/>
      <c r="BI20" s="77"/>
      <c r="BJ20" s="77"/>
      <c r="BK20" s="77"/>
      <c r="BL20" s="78">
        <f t="shared" si="29"/>
        <v>471450</v>
      </c>
      <c r="BM20" s="49">
        <v>16</v>
      </c>
      <c r="BN20" s="79">
        <f t="shared" si="25"/>
        <v>471450</v>
      </c>
    </row>
    <row r="21" spans="2:68" ht="20" customHeight="1">
      <c r="B21" s="80">
        <f t="shared" si="26"/>
        <v>46039</v>
      </c>
      <c r="C21" s="81"/>
      <c r="D21" s="52"/>
      <c r="E21" s="53">
        <v>30</v>
      </c>
      <c r="F21" s="54">
        <v>124190</v>
      </c>
      <c r="G21" s="55">
        <f>ROUNDDOWN(F21/1.1,0)/E21</f>
        <v>3763.3333333333335</v>
      </c>
      <c r="H21" s="54">
        <v>22330</v>
      </c>
      <c r="I21" s="56">
        <f t="shared" si="27"/>
        <v>676.66666666666663</v>
      </c>
      <c r="J21" s="57">
        <f t="shared" si="1"/>
        <v>146520</v>
      </c>
      <c r="K21" s="58">
        <f t="shared" si="2"/>
        <v>4884</v>
      </c>
      <c r="L21" s="59"/>
      <c r="M21" s="60">
        <f t="shared" si="3"/>
        <v>23</v>
      </c>
      <c r="N21" s="61">
        <f t="shared" si="3"/>
        <v>234190</v>
      </c>
      <c r="O21" s="55">
        <f t="shared" si="4"/>
        <v>9256.5217391304341</v>
      </c>
      <c r="P21" s="61">
        <f t="shared" si="5"/>
        <v>58250</v>
      </c>
      <c r="Q21" s="87">
        <f t="shared" si="6"/>
        <v>2302.3478260869565</v>
      </c>
      <c r="R21" s="62">
        <f>N21+P21</f>
        <v>292440</v>
      </c>
      <c r="S21" s="58">
        <f t="shared" si="8"/>
        <v>12714.782608695652</v>
      </c>
      <c r="T21" s="82">
        <f t="shared" si="9"/>
        <v>53</v>
      </c>
      <c r="U21" s="61">
        <f t="shared" si="9"/>
        <v>358380</v>
      </c>
      <c r="V21" s="61">
        <f t="shared" si="10"/>
        <v>80580</v>
      </c>
      <c r="W21" s="64">
        <f t="shared" si="11"/>
        <v>438960</v>
      </c>
      <c r="X21" s="83"/>
      <c r="Y21" s="65"/>
      <c r="Z21" s="66">
        <v>0</v>
      </c>
      <c r="AA21" s="66"/>
      <c r="AB21" s="54"/>
      <c r="AC21" s="55" t="e">
        <f t="shared" si="12"/>
        <v>#DIV/0!</v>
      </c>
      <c r="AD21" s="54"/>
      <c r="AE21" s="56" t="e">
        <f t="shared" si="13"/>
        <v>#DIV/0!</v>
      </c>
      <c r="AF21" s="67">
        <f t="shared" si="14"/>
        <v>0</v>
      </c>
      <c r="AG21" s="58" t="e">
        <f t="shared" si="15"/>
        <v>#DIV/0!</v>
      </c>
      <c r="AH21" s="68"/>
      <c r="AI21" s="66"/>
      <c r="AJ21" s="54"/>
      <c r="AK21" s="55" t="e">
        <f t="shared" si="16"/>
        <v>#DIV/0!</v>
      </c>
      <c r="AL21" s="54"/>
      <c r="AM21" s="56" t="e">
        <f t="shared" si="17"/>
        <v>#DIV/0!</v>
      </c>
      <c r="AN21" s="67">
        <f t="shared" si="28"/>
        <v>0</v>
      </c>
      <c r="AO21" s="69" t="str">
        <f t="shared" si="18"/>
        <v/>
      </c>
      <c r="AP21" s="70"/>
      <c r="AQ21" s="66"/>
      <c r="AR21" s="54"/>
      <c r="AS21" s="55" t="e">
        <f t="shared" si="19"/>
        <v>#DIV/0!</v>
      </c>
      <c r="AT21" s="54"/>
      <c r="AU21" s="56" t="e">
        <f t="shared" si="20"/>
        <v>#DIV/0!</v>
      </c>
      <c r="AV21" s="56"/>
      <c r="AW21" s="56"/>
      <c r="AX21" s="71">
        <f t="shared" si="32"/>
        <v>0</v>
      </c>
      <c r="AY21" s="69" t="str">
        <f t="shared" si="21"/>
        <v/>
      </c>
      <c r="AZ21" s="84">
        <f t="shared" si="22"/>
        <v>53</v>
      </c>
      <c r="BA21" s="61">
        <f t="shared" si="23"/>
        <v>358380</v>
      </c>
      <c r="BB21" s="61">
        <f t="shared" si="24"/>
        <v>80580</v>
      </c>
      <c r="BC21" s="73">
        <f>W21+AF21+AN21+AX21-BO21</f>
        <v>438960</v>
      </c>
      <c r="BD21" s="74">
        <f t="shared" si="30"/>
        <v>3450</v>
      </c>
      <c r="BE21" s="75">
        <v>53</v>
      </c>
      <c r="BF21" s="76">
        <v>358380</v>
      </c>
      <c r="BG21" s="76">
        <v>80580</v>
      </c>
      <c r="BH21" s="77">
        <v>2350</v>
      </c>
      <c r="BI21" s="77">
        <v>1100</v>
      </c>
      <c r="BJ21" s="77">
        <v>19800</v>
      </c>
      <c r="BK21" s="77"/>
      <c r="BL21" s="78">
        <f t="shared" si="29"/>
        <v>442410</v>
      </c>
      <c r="BM21" s="49">
        <v>17</v>
      </c>
      <c r="BN21" s="79">
        <f t="shared" si="25"/>
        <v>442410</v>
      </c>
    </row>
    <row r="22" spans="2:68" ht="20" customHeight="1">
      <c r="B22" s="80">
        <f t="shared" si="26"/>
        <v>46040</v>
      </c>
      <c r="C22" s="81"/>
      <c r="D22" s="52"/>
      <c r="E22" s="53">
        <v>27</v>
      </c>
      <c r="F22" s="54">
        <v>104170</v>
      </c>
      <c r="G22" s="55">
        <f t="shared" si="0"/>
        <v>3507.4074074074074</v>
      </c>
      <c r="H22" s="54">
        <v>21820</v>
      </c>
      <c r="I22" s="56">
        <f t="shared" si="27"/>
        <v>734.66666666666663</v>
      </c>
      <c r="J22" s="57">
        <f t="shared" si="1"/>
        <v>125990</v>
      </c>
      <c r="K22" s="58">
        <f t="shared" si="2"/>
        <v>4666.2962962962965</v>
      </c>
      <c r="L22" s="59"/>
      <c r="M22" s="60">
        <f>BE22-E22</f>
        <v>23</v>
      </c>
      <c r="N22" s="61">
        <f t="shared" si="3"/>
        <v>186120</v>
      </c>
      <c r="O22" s="55">
        <f t="shared" si="4"/>
        <v>7356.521739130435</v>
      </c>
      <c r="P22" s="61">
        <f t="shared" si="5"/>
        <v>34740</v>
      </c>
      <c r="Q22" s="87">
        <f t="shared" si="6"/>
        <v>1373.0869565217392</v>
      </c>
      <c r="R22" s="62">
        <f t="shared" si="7"/>
        <v>220860</v>
      </c>
      <c r="S22" s="58">
        <f t="shared" si="8"/>
        <v>9602.608695652174</v>
      </c>
      <c r="T22" s="82">
        <f t="shared" si="9"/>
        <v>50</v>
      </c>
      <c r="U22" s="61">
        <f t="shared" si="9"/>
        <v>290290</v>
      </c>
      <c r="V22" s="61">
        <f t="shared" si="10"/>
        <v>56560</v>
      </c>
      <c r="W22" s="64">
        <f t="shared" si="11"/>
        <v>346850</v>
      </c>
      <c r="X22" s="83"/>
      <c r="Y22" s="65"/>
      <c r="Z22" s="66">
        <v>0</v>
      </c>
      <c r="AA22" s="66"/>
      <c r="AB22" s="54"/>
      <c r="AC22" s="55" t="e">
        <f t="shared" si="12"/>
        <v>#DIV/0!</v>
      </c>
      <c r="AD22" s="54"/>
      <c r="AE22" s="56" t="e">
        <f t="shared" si="13"/>
        <v>#DIV/0!</v>
      </c>
      <c r="AF22" s="67">
        <f t="shared" si="14"/>
        <v>0</v>
      </c>
      <c r="AG22" s="58" t="e">
        <f t="shared" si="15"/>
        <v>#DIV/0!</v>
      </c>
      <c r="AH22" s="68"/>
      <c r="AI22" s="66"/>
      <c r="AJ22" s="54"/>
      <c r="AK22" s="55" t="e">
        <f t="shared" si="16"/>
        <v>#DIV/0!</v>
      </c>
      <c r="AL22" s="54"/>
      <c r="AM22" s="56" t="e">
        <f t="shared" si="17"/>
        <v>#DIV/0!</v>
      </c>
      <c r="AN22" s="67">
        <f t="shared" si="28"/>
        <v>0</v>
      </c>
      <c r="AO22" s="69" t="str">
        <f t="shared" si="18"/>
        <v/>
      </c>
      <c r="AP22" s="70"/>
      <c r="AQ22" s="66"/>
      <c r="AR22" s="54"/>
      <c r="AS22" s="55" t="e">
        <f t="shared" si="19"/>
        <v>#DIV/0!</v>
      </c>
      <c r="AT22" s="54"/>
      <c r="AU22" s="56" t="e">
        <f t="shared" si="20"/>
        <v>#DIV/0!</v>
      </c>
      <c r="AV22" s="56"/>
      <c r="AW22" s="56"/>
      <c r="AX22" s="71">
        <f t="shared" si="32"/>
        <v>0</v>
      </c>
      <c r="AY22" s="69" t="str">
        <f t="shared" si="21"/>
        <v/>
      </c>
      <c r="AZ22" s="84">
        <f t="shared" si="22"/>
        <v>50</v>
      </c>
      <c r="BA22" s="61">
        <f>U22+AB22+AJ22+AR22</f>
        <v>290290</v>
      </c>
      <c r="BB22" s="61">
        <f t="shared" si="24"/>
        <v>56560</v>
      </c>
      <c r="BC22" s="73">
        <f>W22+AF22+AN22+AX22-BO22</f>
        <v>346850</v>
      </c>
      <c r="BD22" s="74">
        <f t="shared" si="30"/>
        <v>4950</v>
      </c>
      <c r="BE22" s="75">
        <v>50</v>
      </c>
      <c r="BF22" s="76">
        <v>290290</v>
      </c>
      <c r="BG22" s="76">
        <v>56560</v>
      </c>
      <c r="BH22" s="77">
        <v>4950</v>
      </c>
      <c r="BI22" s="77"/>
      <c r="BJ22" s="77"/>
      <c r="BK22" s="77"/>
      <c r="BL22" s="78">
        <f t="shared" si="29"/>
        <v>351800</v>
      </c>
      <c r="BM22" s="49">
        <v>18</v>
      </c>
      <c r="BN22" s="79">
        <f t="shared" si="25"/>
        <v>351800</v>
      </c>
      <c r="BP22" s="85"/>
    </row>
    <row r="23" spans="2:68" ht="20" customHeight="1">
      <c r="B23" s="80">
        <f t="shared" si="26"/>
        <v>46041</v>
      </c>
      <c r="C23" s="81"/>
      <c r="D23" s="52"/>
      <c r="E23" s="53">
        <v>32</v>
      </c>
      <c r="F23" s="54">
        <v>120010</v>
      </c>
      <c r="G23" s="55">
        <f t="shared" si="0"/>
        <v>3409.375</v>
      </c>
      <c r="H23" s="54">
        <v>32930</v>
      </c>
      <c r="I23" s="56">
        <f t="shared" si="27"/>
        <v>935.5</v>
      </c>
      <c r="J23" s="57">
        <f t="shared" si="1"/>
        <v>152940</v>
      </c>
      <c r="K23" s="58">
        <f t="shared" si="2"/>
        <v>4779.375</v>
      </c>
      <c r="L23" s="59"/>
      <c r="M23" s="60">
        <f t="shared" si="3"/>
        <v>4</v>
      </c>
      <c r="N23" s="61">
        <f t="shared" si="3"/>
        <v>44000</v>
      </c>
      <c r="O23" s="55">
        <f t="shared" si="4"/>
        <v>10000</v>
      </c>
      <c r="P23" s="61">
        <f t="shared" si="5"/>
        <v>14960</v>
      </c>
      <c r="Q23" s="87">
        <f t="shared" si="6"/>
        <v>3400</v>
      </c>
      <c r="R23" s="62">
        <f t="shared" si="7"/>
        <v>58960</v>
      </c>
      <c r="S23" s="58">
        <f t="shared" si="8"/>
        <v>14740</v>
      </c>
      <c r="T23" s="82">
        <f t="shared" si="9"/>
        <v>36</v>
      </c>
      <c r="U23" s="61">
        <f t="shared" si="9"/>
        <v>164010</v>
      </c>
      <c r="V23" s="61">
        <f t="shared" si="10"/>
        <v>47890</v>
      </c>
      <c r="W23" s="64">
        <f t="shared" si="11"/>
        <v>211900</v>
      </c>
      <c r="X23" s="83"/>
      <c r="Y23" s="65"/>
      <c r="Z23" s="66">
        <v>0</v>
      </c>
      <c r="AA23" s="66"/>
      <c r="AB23" s="54"/>
      <c r="AC23" s="55" t="e">
        <f t="shared" si="12"/>
        <v>#DIV/0!</v>
      </c>
      <c r="AD23" s="54"/>
      <c r="AE23" s="56" t="e">
        <f t="shared" si="13"/>
        <v>#DIV/0!</v>
      </c>
      <c r="AF23" s="67">
        <f t="shared" si="14"/>
        <v>0</v>
      </c>
      <c r="AG23" s="58" t="e">
        <f t="shared" si="15"/>
        <v>#DIV/0!</v>
      </c>
      <c r="AH23" s="68"/>
      <c r="AI23" s="66"/>
      <c r="AJ23" s="54"/>
      <c r="AK23" s="55" t="e">
        <f t="shared" si="16"/>
        <v>#DIV/0!</v>
      </c>
      <c r="AL23" s="54"/>
      <c r="AM23" s="56" t="e">
        <f t="shared" si="17"/>
        <v>#DIV/0!</v>
      </c>
      <c r="AN23" s="67">
        <f t="shared" si="28"/>
        <v>0</v>
      </c>
      <c r="AO23" s="69" t="str">
        <f t="shared" si="18"/>
        <v/>
      </c>
      <c r="AP23" s="70"/>
      <c r="AQ23" s="66"/>
      <c r="AR23" s="54"/>
      <c r="AS23" s="55" t="e">
        <f t="shared" si="19"/>
        <v>#DIV/0!</v>
      </c>
      <c r="AT23" s="54"/>
      <c r="AU23" s="56" t="e">
        <f t="shared" si="20"/>
        <v>#DIV/0!</v>
      </c>
      <c r="AV23" s="56"/>
      <c r="AW23" s="56"/>
      <c r="AX23" s="71">
        <f t="shared" si="32"/>
        <v>0</v>
      </c>
      <c r="AY23" s="69" t="str">
        <f>IF(AQ23="","",AX23/AQ23)</f>
        <v/>
      </c>
      <c r="AZ23" s="84">
        <f t="shared" si="22"/>
        <v>36</v>
      </c>
      <c r="BA23" s="61">
        <f t="shared" si="23"/>
        <v>164010</v>
      </c>
      <c r="BB23" s="61">
        <f t="shared" si="24"/>
        <v>47890</v>
      </c>
      <c r="BC23" s="73">
        <f t="shared" ref="BC23:BC27" si="34">W23+AF23+AN23+AX23-BO23</f>
        <v>211900</v>
      </c>
      <c r="BD23" s="74">
        <f t="shared" si="30"/>
        <v>2200</v>
      </c>
      <c r="BE23" s="75">
        <v>36</v>
      </c>
      <c r="BF23" s="76">
        <v>164010</v>
      </c>
      <c r="BG23" s="76">
        <v>47890</v>
      </c>
      <c r="BH23" s="77">
        <v>2200</v>
      </c>
      <c r="BI23" s="77"/>
      <c r="BJ23" s="77"/>
      <c r="BK23" s="77"/>
      <c r="BL23" s="78">
        <f>SUM(BF23:BI23)</f>
        <v>214100</v>
      </c>
      <c r="BM23" s="49">
        <v>19</v>
      </c>
      <c r="BN23" s="79">
        <f t="shared" si="25"/>
        <v>214100</v>
      </c>
    </row>
    <row r="24" spans="2:68" ht="20" customHeight="1">
      <c r="B24" s="80">
        <f t="shared" si="26"/>
        <v>46042</v>
      </c>
      <c r="C24" s="81"/>
      <c r="D24" s="52"/>
      <c r="E24" s="53">
        <v>25</v>
      </c>
      <c r="F24" s="54">
        <v>93330</v>
      </c>
      <c r="G24" s="55">
        <f t="shared" si="0"/>
        <v>3393.8</v>
      </c>
      <c r="H24" s="54">
        <v>10730</v>
      </c>
      <c r="I24" s="56">
        <f t="shared" si="27"/>
        <v>390.16</v>
      </c>
      <c r="J24" s="57">
        <f t="shared" si="1"/>
        <v>104060</v>
      </c>
      <c r="K24" s="58">
        <f t="shared" si="2"/>
        <v>4162.3999999999996</v>
      </c>
      <c r="L24" s="59"/>
      <c r="M24" s="60">
        <f t="shared" si="3"/>
        <v>24</v>
      </c>
      <c r="N24" s="61">
        <f t="shared" si="3"/>
        <v>199100</v>
      </c>
      <c r="O24" s="55">
        <f t="shared" si="4"/>
        <v>7541.666666666667</v>
      </c>
      <c r="P24" s="61">
        <f>BG24-H24</f>
        <v>65250</v>
      </c>
      <c r="Q24" s="87">
        <f t="shared" si="6"/>
        <v>2471.5833333333335</v>
      </c>
      <c r="R24" s="62">
        <f>N24+P24</f>
        <v>264350</v>
      </c>
      <c r="S24" s="58">
        <f>IF(M24="","",R24/M24)</f>
        <v>11014.583333333334</v>
      </c>
      <c r="T24" s="82">
        <f t="shared" si="9"/>
        <v>49</v>
      </c>
      <c r="U24" s="61">
        <f t="shared" si="9"/>
        <v>292430</v>
      </c>
      <c r="V24" s="61">
        <f t="shared" si="10"/>
        <v>75980</v>
      </c>
      <c r="W24" s="64">
        <f>J24+R24</f>
        <v>368410</v>
      </c>
      <c r="X24" s="83"/>
      <c r="Y24" s="65"/>
      <c r="Z24" s="66">
        <v>4</v>
      </c>
      <c r="AA24" s="66"/>
      <c r="AB24" s="54">
        <v>1480</v>
      </c>
      <c r="AC24" s="55">
        <f t="shared" si="12"/>
        <v>370</v>
      </c>
      <c r="AD24" s="54">
        <v>2210</v>
      </c>
      <c r="AE24" s="56">
        <f t="shared" si="13"/>
        <v>552.5</v>
      </c>
      <c r="AF24" s="67">
        <f t="shared" si="14"/>
        <v>3690</v>
      </c>
      <c r="AG24" s="58">
        <f t="shared" si="15"/>
        <v>922.5</v>
      </c>
      <c r="AH24" s="68"/>
      <c r="AI24" s="66">
        <v>63</v>
      </c>
      <c r="AJ24" s="54">
        <v>246645</v>
      </c>
      <c r="AK24" s="55">
        <f t="shared" si="16"/>
        <v>3915</v>
      </c>
      <c r="AL24" s="54">
        <v>82215</v>
      </c>
      <c r="AM24" s="56">
        <f t="shared" si="17"/>
        <v>1305</v>
      </c>
      <c r="AN24" s="67">
        <f t="shared" si="28"/>
        <v>328860</v>
      </c>
      <c r="AO24" s="69">
        <f t="shared" si="18"/>
        <v>5220</v>
      </c>
      <c r="AP24" s="70"/>
      <c r="AQ24" s="66"/>
      <c r="AR24" s="54"/>
      <c r="AS24" s="55" t="e">
        <f t="shared" si="19"/>
        <v>#DIV/0!</v>
      </c>
      <c r="AT24" s="54"/>
      <c r="AU24" s="56" t="e">
        <f t="shared" si="20"/>
        <v>#DIV/0!</v>
      </c>
      <c r="AV24" s="56"/>
      <c r="AW24" s="56"/>
      <c r="AX24" s="71">
        <f t="shared" si="32"/>
        <v>0</v>
      </c>
      <c r="AY24" s="69" t="str">
        <f t="shared" si="21"/>
        <v/>
      </c>
      <c r="AZ24" s="84">
        <f t="shared" si="22"/>
        <v>49</v>
      </c>
      <c r="BA24" s="61">
        <f>U24+AB24+AJ24+AR24</f>
        <v>540555</v>
      </c>
      <c r="BB24" s="61">
        <f>V24+AD24+AL24+AT24</f>
        <v>160405</v>
      </c>
      <c r="BC24" s="73">
        <f t="shared" si="34"/>
        <v>699860</v>
      </c>
      <c r="BD24" s="74">
        <f t="shared" si="30"/>
        <v>3850</v>
      </c>
      <c r="BE24" s="75">
        <v>49</v>
      </c>
      <c r="BF24" s="76">
        <v>292430</v>
      </c>
      <c r="BG24" s="76">
        <f>75980</f>
        <v>75980</v>
      </c>
      <c r="BH24" s="77">
        <v>3850</v>
      </c>
      <c r="BI24" s="77"/>
      <c r="BJ24" s="77">
        <v>3300</v>
      </c>
      <c r="BK24" s="77"/>
      <c r="BL24" s="78">
        <f>SUM(BF24:BI24)</f>
        <v>372260</v>
      </c>
      <c r="BM24" s="49">
        <v>20</v>
      </c>
      <c r="BN24" s="79">
        <f t="shared" si="25"/>
        <v>372260</v>
      </c>
      <c r="BO24" s="49">
        <v>1100</v>
      </c>
      <c r="BP24" s="49" t="s">
        <v>113</v>
      </c>
    </row>
    <row r="25" spans="2:68" ht="20" customHeight="1">
      <c r="B25" s="80">
        <f t="shared" si="26"/>
        <v>46043</v>
      </c>
      <c r="C25" s="81"/>
      <c r="D25" s="52"/>
      <c r="E25" s="53">
        <v>25</v>
      </c>
      <c r="F25" s="54">
        <v>94050</v>
      </c>
      <c r="G25" s="55">
        <f t="shared" si="0"/>
        <v>3420</v>
      </c>
      <c r="H25" s="54">
        <v>9410</v>
      </c>
      <c r="I25" s="56">
        <f t="shared" si="27"/>
        <v>342.16</v>
      </c>
      <c r="J25" s="57">
        <f t="shared" si="1"/>
        <v>103460</v>
      </c>
      <c r="K25" s="58">
        <f t="shared" si="2"/>
        <v>4138.3999999999996</v>
      </c>
      <c r="L25" s="59"/>
      <c r="M25" s="60">
        <f t="shared" si="3"/>
        <v>18</v>
      </c>
      <c r="N25" s="61">
        <f t="shared" si="3"/>
        <v>184030</v>
      </c>
      <c r="O25" s="55">
        <f t="shared" si="4"/>
        <v>9294.4444444444453</v>
      </c>
      <c r="P25" s="61">
        <f t="shared" si="5"/>
        <v>67830</v>
      </c>
      <c r="Q25" s="87">
        <f t="shared" si="6"/>
        <v>3425.7222222222222</v>
      </c>
      <c r="R25" s="62">
        <f t="shared" si="7"/>
        <v>251860</v>
      </c>
      <c r="S25" s="58">
        <f t="shared" si="8"/>
        <v>13992.222222222223</v>
      </c>
      <c r="T25" s="82">
        <f t="shared" si="9"/>
        <v>43</v>
      </c>
      <c r="U25" s="61">
        <f t="shared" si="9"/>
        <v>278080</v>
      </c>
      <c r="V25" s="61">
        <f t="shared" si="10"/>
        <v>77240</v>
      </c>
      <c r="W25" s="64">
        <f t="shared" si="11"/>
        <v>355320</v>
      </c>
      <c r="X25" s="83"/>
      <c r="Y25" s="65"/>
      <c r="Z25" s="66">
        <v>0</v>
      </c>
      <c r="AA25" s="66"/>
      <c r="AB25" s="54"/>
      <c r="AC25" s="55" t="e">
        <f t="shared" si="12"/>
        <v>#DIV/0!</v>
      </c>
      <c r="AD25" s="54"/>
      <c r="AE25" s="56" t="e">
        <f t="shared" si="13"/>
        <v>#DIV/0!</v>
      </c>
      <c r="AF25" s="67">
        <f t="shared" si="14"/>
        <v>0</v>
      </c>
      <c r="AG25" s="58" t="e">
        <f t="shared" si="15"/>
        <v>#DIV/0!</v>
      </c>
      <c r="AH25" s="68"/>
      <c r="AI25" s="66">
        <v>14</v>
      </c>
      <c r="AJ25" s="54">
        <v>54810</v>
      </c>
      <c r="AK25" s="55">
        <f t="shared" si="16"/>
        <v>3915</v>
      </c>
      <c r="AL25" s="54">
        <v>18270</v>
      </c>
      <c r="AM25" s="56">
        <f t="shared" si="17"/>
        <v>1305</v>
      </c>
      <c r="AN25" s="67">
        <f t="shared" si="28"/>
        <v>73080</v>
      </c>
      <c r="AO25" s="69">
        <f t="shared" si="18"/>
        <v>5220</v>
      </c>
      <c r="AP25" s="70"/>
      <c r="AQ25" s="66"/>
      <c r="AR25" s="54"/>
      <c r="AS25" s="55" t="e">
        <f t="shared" si="19"/>
        <v>#DIV/0!</v>
      </c>
      <c r="AT25" s="54"/>
      <c r="AU25" s="56" t="e">
        <f t="shared" si="20"/>
        <v>#DIV/0!</v>
      </c>
      <c r="AV25" s="56"/>
      <c r="AW25" s="56"/>
      <c r="AX25" s="71">
        <f t="shared" si="32"/>
        <v>0</v>
      </c>
      <c r="AY25" s="69" t="str">
        <f t="shared" si="21"/>
        <v/>
      </c>
      <c r="AZ25" s="84">
        <f t="shared" si="22"/>
        <v>43</v>
      </c>
      <c r="BA25" s="61">
        <f t="shared" si="23"/>
        <v>332890</v>
      </c>
      <c r="BB25" s="61">
        <f t="shared" si="24"/>
        <v>95510</v>
      </c>
      <c r="BC25" s="73">
        <f>W25+AF25+AN25+AX25-BO25</f>
        <v>428400</v>
      </c>
      <c r="BD25" s="74">
        <f t="shared" si="30"/>
        <v>1100</v>
      </c>
      <c r="BE25" s="75">
        <v>43</v>
      </c>
      <c r="BF25" s="76">
        <v>278080</v>
      </c>
      <c r="BG25" s="76">
        <v>77240</v>
      </c>
      <c r="BH25" s="77">
        <v>1100</v>
      </c>
      <c r="BI25" s="77"/>
      <c r="BJ25" s="77"/>
      <c r="BK25" s="77"/>
      <c r="BL25" s="78">
        <f t="shared" si="29"/>
        <v>356420</v>
      </c>
      <c r="BM25" s="49">
        <v>21</v>
      </c>
      <c r="BN25" s="79">
        <f t="shared" si="25"/>
        <v>356420</v>
      </c>
    </row>
    <row r="26" spans="2:68" ht="20" customHeight="1">
      <c r="B26" s="80">
        <f t="shared" si="26"/>
        <v>46044</v>
      </c>
      <c r="C26" s="81"/>
      <c r="D26" s="52"/>
      <c r="E26" s="53">
        <v>26</v>
      </c>
      <c r="F26" s="54">
        <v>92500</v>
      </c>
      <c r="G26" s="55">
        <f t="shared" si="0"/>
        <v>3234.2307692307691</v>
      </c>
      <c r="H26" s="54">
        <v>14980</v>
      </c>
      <c r="I26" s="56">
        <f t="shared" si="27"/>
        <v>523.76923076923072</v>
      </c>
      <c r="J26" s="57">
        <f t="shared" si="1"/>
        <v>107480</v>
      </c>
      <c r="K26" s="58">
        <f t="shared" si="2"/>
        <v>4133.8461538461543</v>
      </c>
      <c r="L26" s="59"/>
      <c r="M26" s="60">
        <f t="shared" si="3"/>
        <v>2</v>
      </c>
      <c r="N26" s="61">
        <f t="shared" si="3"/>
        <v>27170</v>
      </c>
      <c r="O26" s="55">
        <f t="shared" si="4"/>
        <v>12350</v>
      </c>
      <c r="P26" s="61">
        <f t="shared" si="5"/>
        <v>5830</v>
      </c>
      <c r="Q26" s="87">
        <f t="shared" si="6"/>
        <v>2650</v>
      </c>
      <c r="R26" s="62">
        <f t="shared" si="7"/>
        <v>33000</v>
      </c>
      <c r="S26" s="58">
        <f t="shared" si="8"/>
        <v>16500</v>
      </c>
      <c r="T26" s="82">
        <f t="shared" si="9"/>
        <v>28</v>
      </c>
      <c r="U26" s="61">
        <f t="shared" si="9"/>
        <v>119670</v>
      </c>
      <c r="V26" s="61">
        <f t="shared" si="10"/>
        <v>20810</v>
      </c>
      <c r="W26" s="64">
        <f t="shared" si="11"/>
        <v>140480</v>
      </c>
      <c r="X26" s="83"/>
      <c r="Y26" s="65"/>
      <c r="Z26" s="66">
        <v>1</v>
      </c>
      <c r="AA26" s="66"/>
      <c r="AB26" s="54">
        <v>0</v>
      </c>
      <c r="AC26" s="55">
        <f t="shared" si="12"/>
        <v>0</v>
      </c>
      <c r="AD26" s="54">
        <v>2080</v>
      </c>
      <c r="AE26" s="56">
        <f t="shared" si="13"/>
        <v>2080</v>
      </c>
      <c r="AF26" s="67">
        <f t="shared" si="14"/>
        <v>2080</v>
      </c>
      <c r="AG26" s="58">
        <f t="shared" si="15"/>
        <v>2080</v>
      </c>
      <c r="AH26" s="68"/>
      <c r="AI26" s="66">
        <v>30</v>
      </c>
      <c r="AJ26" s="54">
        <v>169650</v>
      </c>
      <c r="AK26" s="55">
        <f t="shared" si="16"/>
        <v>5655</v>
      </c>
      <c r="AL26" s="54">
        <v>39150</v>
      </c>
      <c r="AM26" s="56">
        <f t="shared" si="17"/>
        <v>1305</v>
      </c>
      <c r="AN26" s="67">
        <f t="shared" si="28"/>
        <v>208800</v>
      </c>
      <c r="AO26" s="69">
        <f t="shared" si="18"/>
        <v>6960</v>
      </c>
      <c r="AP26" s="70"/>
      <c r="AQ26" s="66"/>
      <c r="AR26" s="54"/>
      <c r="AS26" s="55" t="e">
        <f t="shared" si="19"/>
        <v>#DIV/0!</v>
      </c>
      <c r="AT26" s="54"/>
      <c r="AU26" s="56" t="e">
        <f t="shared" si="20"/>
        <v>#DIV/0!</v>
      </c>
      <c r="AV26" s="56"/>
      <c r="AW26" s="56"/>
      <c r="AX26" s="71">
        <f>AR26+AT26+AV26+AW26</f>
        <v>0</v>
      </c>
      <c r="AY26" s="69" t="str">
        <f>IF(AQ26="","",AX26/AQ26)</f>
        <v/>
      </c>
      <c r="AZ26" s="84">
        <f t="shared" si="22"/>
        <v>28</v>
      </c>
      <c r="BA26" s="61">
        <f t="shared" si="23"/>
        <v>289320</v>
      </c>
      <c r="BB26" s="61">
        <f t="shared" si="24"/>
        <v>62040</v>
      </c>
      <c r="BC26" s="73">
        <f t="shared" si="34"/>
        <v>351360</v>
      </c>
      <c r="BD26" s="74">
        <f>BH26+BI26</f>
        <v>1100</v>
      </c>
      <c r="BE26" s="75">
        <v>28</v>
      </c>
      <c r="BF26" s="76">
        <v>119670</v>
      </c>
      <c r="BG26" s="76">
        <v>20810</v>
      </c>
      <c r="BH26" s="77">
        <v>1100</v>
      </c>
      <c r="BI26" s="77"/>
      <c r="BJ26" s="77"/>
      <c r="BK26" s="77"/>
      <c r="BL26" s="78">
        <f t="shared" si="29"/>
        <v>141580</v>
      </c>
      <c r="BM26" s="49">
        <v>22</v>
      </c>
      <c r="BN26" s="79">
        <f t="shared" si="25"/>
        <v>141580</v>
      </c>
    </row>
    <row r="27" spans="2:68" ht="20" customHeight="1">
      <c r="B27" s="80">
        <f t="shared" si="26"/>
        <v>46045</v>
      </c>
      <c r="C27" s="81"/>
      <c r="D27" s="52"/>
      <c r="E27" s="53">
        <v>27</v>
      </c>
      <c r="F27" s="54">
        <v>97060</v>
      </c>
      <c r="G27" s="55">
        <f t="shared" si="0"/>
        <v>3268</v>
      </c>
      <c r="H27" s="54">
        <v>10910</v>
      </c>
      <c r="I27" s="56">
        <f t="shared" si="27"/>
        <v>367.33333333333331</v>
      </c>
      <c r="J27" s="57">
        <f t="shared" si="1"/>
        <v>107970</v>
      </c>
      <c r="K27" s="58">
        <f t="shared" si="2"/>
        <v>3998.8888888888887</v>
      </c>
      <c r="L27" s="59"/>
      <c r="M27" s="60">
        <f t="shared" si="3"/>
        <v>33</v>
      </c>
      <c r="N27" s="61">
        <f>BF27-F27</f>
        <v>268910</v>
      </c>
      <c r="O27" s="55">
        <f t="shared" si="4"/>
        <v>7407.969696969697</v>
      </c>
      <c r="P27" s="61">
        <f t="shared" si="5"/>
        <v>64180</v>
      </c>
      <c r="Q27" s="56">
        <f t="shared" si="6"/>
        <v>1768.030303030303</v>
      </c>
      <c r="R27" s="62">
        <f t="shared" si="7"/>
        <v>333090</v>
      </c>
      <c r="S27" s="58">
        <f t="shared" si="8"/>
        <v>10093.636363636364</v>
      </c>
      <c r="T27" s="82">
        <f t="shared" si="9"/>
        <v>60</v>
      </c>
      <c r="U27" s="61">
        <f>F27+N27</f>
        <v>365970</v>
      </c>
      <c r="V27" s="61">
        <f t="shared" si="10"/>
        <v>75090</v>
      </c>
      <c r="W27" s="64">
        <f t="shared" si="11"/>
        <v>441060</v>
      </c>
      <c r="X27" s="83"/>
      <c r="Y27" s="65"/>
      <c r="Z27" s="66">
        <v>2</v>
      </c>
      <c r="AA27" s="66"/>
      <c r="AB27" s="54">
        <v>770</v>
      </c>
      <c r="AC27" s="55">
        <f t="shared" si="12"/>
        <v>385</v>
      </c>
      <c r="AD27" s="54">
        <v>1430</v>
      </c>
      <c r="AE27" s="56">
        <f t="shared" si="13"/>
        <v>715</v>
      </c>
      <c r="AF27" s="67">
        <f t="shared" si="14"/>
        <v>2200</v>
      </c>
      <c r="AG27" s="58">
        <f t="shared" si="15"/>
        <v>1100</v>
      </c>
      <c r="AH27" s="68"/>
      <c r="AI27" s="66"/>
      <c r="AJ27" s="54"/>
      <c r="AK27" s="55" t="e">
        <f t="shared" si="16"/>
        <v>#DIV/0!</v>
      </c>
      <c r="AL27" s="54"/>
      <c r="AM27" s="56" t="e">
        <f t="shared" si="17"/>
        <v>#DIV/0!</v>
      </c>
      <c r="AN27" s="67">
        <f t="shared" si="28"/>
        <v>0</v>
      </c>
      <c r="AO27" s="69" t="str">
        <f t="shared" si="18"/>
        <v/>
      </c>
      <c r="AP27" s="70"/>
      <c r="AQ27" s="66"/>
      <c r="AR27" s="54"/>
      <c r="AS27" s="55" t="e">
        <f t="shared" si="19"/>
        <v>#DIV/0!</v>
      </c>
      <c r="AT27" s="54"/>
      <c r="AU27" s="56" t="e">
        <f t="shared" si="20"/>
        <v>#DIV/0!</v>
      </c>
      <c r="AV27" s="56"/>
      <c r="AW27" s="56"/>
      <c r="AX27" s="71">
        <f>AR27+AT27+AV27+AW27</f>
        <v>0</v>
      </c>
      <c r="AY27" s="69" t="str">
        <f t="shared" si="21"/>
        <v/>
      </c>
      <c r="AZ27" s="84">
        <f t="shared" si="22"/>
        <v>60</v>
      </c>
      <c r="BA27" s="61">
        <f t="shared" si="23"/>
        <v>366740</v>
      </c>
      <c r="BB27" s="61">
        <f t="shared" si="24"/>
        <v>76520</v>
      </c>
      <c r="BC27" s="73">
        <f t="shared" si="34"/>
        <v>436880</v>
      </c>
      <c r="BD27" s="74">
        <f t="shared" si="30"/>
        <v>0</v>
      </c>
      <c r="BE27" s="75">
        <v>60</v>
      </c>
      <c r="BF27" s="76">
        <v>365970</v>
      </c>
      <c r="BG27" s="76">
        <v>75090</v>
      </c>
      <c r="BH27" s="77"/>
      <c r="BI27" s="77"/>
      <c r="BJ27" s="77"/>
      <c r="BK27" s="77"/>
      <c r="BL27" s="78">
        <f t="shared" si="29"/>
        <v>441060</v>
      </c>
      <c r="BM27" s="49">
        <v>23</v>
      </c>
      <c r="BN27" s="79">
        <f t="shared" si="25"/>
        <v>441060</v>
      </c>
      <c r="BO27" s="49">
        <f>5280+1100</f>
        <v>6380</v>
      </c>
      <c r="BP27" s="49" t="s">
        <v>114</v>
      </c>
    </row>
    <row r="28" spans="2:68" ht="20" customHeight="1">
      <c r="B28" s="80">
        <f>B27+1</f>
        <v>46046</v>
      </c>
      <c r="C28" s="81"/>
      <c r="D28" s="52"/>
      <c r="E28" s="53">
        <v>37</v>
      </c>
      <c r="F28" s="54">
        <f>39600+124740</f>
        <v>164340</v>
      </c>
      <c r="G28" s="55">
        <f t="shared" si="0"/>
        <v>4037.8378378378379</v>
      </c>
      <c r="H28" s="54">
        <f>10400+55530</f>
        <v>65930</v>
      </c>
      <c r="I28" s="56">
        <f t="shared" si="27"/>
        <v>1619.8918918918919</v>
      </c>
      <c r="J28" s="57">
        <f t="shared" si="1"/>
        <v>230270</v>
      </c>
      <c r="K28" s="58">
        <f t="shared" si="2"/>
        <v>6223.5135135135133</v>
      </c>
      <c r="L28" s="59"/>
      <c r="M28" s="60">
        <f t="shared" si="3"/>
        <v>29</v>
      </c>
      <c r="N28" s="61">
        <f t="shared" si="3"/>
        <v>281380</v>
      </c>
      <c r="O28" s="55">
        <f t="shared" si="4"/>
        <v>8820.689655172413</v>
      </c>
      <c r="P28" s="61">
        <f t="shared" si="5"/>
        <v>60990</v>
      </c>
      <c r="Q28" s="56">
        <f>ROUNDDOWN(P28/1.1,0)/M28</f>
        <v>1911.8965517241379</v>
      </c>
      <c r="R28" s="62">
        <f t="shared" si="7"/>
        <v>342370</v>
      </c>
      <c r="S28" s="58">
        <f t="shared" si="8"/>
        <v>11805.862068965518</v>
      </c>
      <c r="T28" s="82">
        <f t="shared" si="9"/>
        <v>66</v>
      </c>
      <c r="U28" s="61">
        <f t="shared" si="9"/>
        <v>445720</v>
      </c>
      <c r="V28" s="61">
        <f t="shared" si="10"/>
        <v>126920</v>
      </c>
      <c r="W28" s="64">
        <f t="shared" si="11"/>
        <v>572640</v>
      </c>
      <c r="X28" s="83"/>
      <c r="Y28" s="65"/>
      <c r="Z28" s="66">
        <v>0</v>
      </c>
      <c r="AA28" s="66"/>
      <c r="AB28" s="54"/>
      <c r="AC28" s="55" t="e">
        <f t="shared" si="12"/>
        <v>#DIV/0!</v>
      </c>
      <c r="AD28" s="54"/>
      <c r="AE28" s="56" t="e">
        <f t="shared" si="13"/>
        <v>#DIV/0!</v>
      </c>
      <c r="AF28" s="67">
        <f t="shared" si="14"/>
        <v>0</v>
      </c>
      <c r="AG28" s="58" t="e">
        <f t="shared" si="15"/>
        <v>#DIV/0!</v>
      </c>
      <c r="AH28" s="68"/>
      <c r="AI28" s="66"/>
      <c r="AJ28" s="54"/>
      <c r="AK28" s="55" t="e">
        <f t="shared" si="16"/>
        <v>#DIV/0!</v>
      </c>
      <c r="AL28" s="54"/>
      <c r="AM28" s="56" t="e">
        <f t="shared" si="17"/>
        <v>#DIV/0!</v>
      </c>
      <c r="AN28" s="67">
        <f t="shared" si="28"/>
        <v>0</v>
      </c>
      <c r="AO28" s="69" t="str">
        <f t="shared" si="18"/>
        <v/>
      </c>
      <c r="AP28" s="70"/>
      <c r="AQ28" s="66"/>
      <c r="AR28" s="54"/>
      <c r="AS28" s="55" t="e">
        <f t="shared" si="19"/>
        <v>#DIV/0!</v>
      </c>
      <c r="AT28" s="54"/>
      <c r="AU28" s="56" t="e">
        <f t="shared" si="20"/>
        <v>#DIV/0!</v>
      </c>
      <c r="AV28" s="56"/>
      <c r="AW28" s="56"/>
      <c r="AX28" s="71">
        <f>AR28+AT28+AV28+AW28</f>
        <v>0</v>
      </c>
      <c r="AY28" s="69" t="str">
        <f t="shared" si="21"/>
        <v/>
      </c>
      <c r="AZ28" s="84">
        <f t="shared" si="22"/>
        <v>66</v>
      </c>
      <c r="BA28" s="61">
        <f t="shared" si="23"/>
        <v>445720</v>
      </c>
      <c r="BB28" s="61">
        <f t="shared" si="24"/>
        <v>126920</v>
      </c>
      <c r="BC28" s="73">
        <f>W28+AF28+AN28+AX28-BO28</f>
        <v>562640</v>
      </c>
      <c r="BD28" s="74">
        <f t="shared" si="30"/>
        <v>2200</v>
      </c>
      <c r="BE28" s="75">
        <v>66</v>
      </c>
      <c r="BF28" s="76">
        <f>39600+124740+281380</f>
        <v>445720</v>
      </c>
      <c r="BG28" s="76">
        <f>10400+55530+60990</f>
        <v>126920</v>
      </c>
      <c r="BH28" s="77">
        <v>2200</v>
      </c>
      <c r="BI28" s="77"/>
      <c r="BJ28" s="77">
        <v>3300</v>
      </c>
      <c r="BK28" s="77"/>
      <c r="BL28" s="78">
        <f t="shared" si="29"/>
        <v>574840</v>
      </c>
      <c r="BM28" s="49">
        <v>24</v>
      </c>
      <c r="BN28" s="79">
        <f t="shared" si="25"/>
        <v>574840</v>
      </c>
      <c r="BO28" s="49">
        <v>10000</v>
      </c>
      <c r="BP28" s="49" t="s">
        <v>115</v>
      </c>
    </row>
    <row r="29" spans="2:68" ht="20" customHeight="1">
      <c r="B29" s="80">
        <f t="shared" si="26"/>
        <v>46047</v>
      </c>
      <c r="C29" s="81"/>
      <c r="D29" s="52"/>
      <c r="E29" s="53">
        <v>40</v>
      </c>
      <c r="F29" s="54">
        <v>193710</v>
      </c>
      <c r="G29" s="55">
        <f t="shared" si="0"/>
        <v>4402.5</v>
      </c>
      <c r="H29" s="54">
        <v>54830</v>
      </c>
      <c r="I29" s="55">
        <f t="shared" si="27"/>
        <v>1246.125</v>
      </c>
      <c r="J29" s="57">
        <f t="shared" si="1"/>
        <v>248540</v>
      </c>
      <c r="K29" s="58">
        <f t="shared" si="2"/>
        <v>6213.5</v>
      </c>
      <c r="L29" s="59"/>
      <c r="M29" s="60">
        <f t="shared" si="3"/>
        <v>17</v>
      </c>
      <c r="N29" s="61">
        <f t="shared" si="3"/>
        <v>167310</v>
      </c>
      <c r="O29" s="55">
        <f t="shared" si="4"/>
        <v>8947.0588235294126</v>
      </c>
      <c r="P29" s="61">
        <f t="shared" si="5"/>
        <v>20260</v>
      </c>
      <c r="Q29" s="56">
        <f t="shared" si="6"/>
        <v>1083.4117647058824</v>
      </c>
      <c r="R29" s="62">
        <f t="shared" si="7"/>
        <v>187570</v>
      </c>
      <c r="S29" s="58">
        <f t="shared" si="8"/>
        <v>11033.529411764706</v>
      </c>
      <c r="T29" s="82">
        <f t="shared" si="9"/>
        <v>57</v>
      </c>
      <c r="U29" s="61">
        <f t="shared" si="9"/>
        <v>361020</v>
      </c>
      <c r="V29" s="61">
        <f t="shared" si="10"/>
        <v>75090</v>
      </c>
      <c r="W29" s="64">
        <f t="shared" si="11"/>
        <v>436110</v>
      </c>
      <c r="X29" s="83"/>
      <c r="Y29" s="65"/>
      <c r="Z29" s="66">
        <v>0</v>
      </c>
      <c r="AA29" s="66"/>
      <c r="AB29" s="54"/>
      <c r="AC29" s="55" t="e">
        <f t="shared" si="12"/>
        <v>#DIV/0!</v>
      </c>
      <c r="AD29" s="54"/>
      <c r="AE29" s="56" t="e">
        <f t="shared" si="13"/>
        <v>#DIV/0!</v>
      </c>
      <c r="AF29" s="67">
        <f t="shared" si="14"/>
        <v>0</v>
      </c>
      <c r="AG29" s="58" t="e">
        <f t="shared" si="15"/>
        <v>#DIV/0!</v>
      </c>
      <c r="AH29" s="68"/>
      <c r="AI29" s="66"/>
      <c r="AJ29" s="54"/>
      <c r="AK29" s="55" t="e">
        <f t="shared" si="16"/>
        <v>#DIV/0!</v>
      </c>
      <c r="AL29" s="54"/>
      <c r="AM29" s="56" t="e">
        <f t="shared" si="17"/>
        <v>#DIV/0!</v>
      </c>
      <c r="AN29" s="67">
        <f t="shared" si="28"/>
        <v>0</v>
      </c>
      <c r="AO29" s="69" t="str">
        <f t="shared" si="18"/>
        <v/>
      </c>
      <c r="AP29" s="70"/>
      <c r="AQ29" s="66"/>
      <c r="AR29" s="54"/>
      <c r="AS29" s="55" t="e">
        <f t="shared" si="19"/>
        <v>#DIV/0!</v>
      </c>
      <c r="AT29" s="54"/>
      <c r="AU29" s="56" t="e">
        <f t="shared" si="20"/>
        <v>#DIV/0!</v>
      </c>
      <c r="AV29" s="56"/>
      <c r="AW29" s="56"/>
      <c r="AX29" s="71">
        <f>AR29+AT29+AV29+AW29-BP29</f>
        <v>0</v>
      </c>
      <c r="AY29" s="69" t="str">
        <f t="shared" si="21"/>
        <v/>
      </c>
      <c r="AZ29" s="84">
        <f t="shared" si="22"/>
        <v>57</v>
      </c>
      <c r="BA29" s="61">
        <f t="shared" si="23"/>
        <v>361020</v>
      </c>
      <c r="BB29" s="61">
        <f t="shared" si="24"/>
        <v>75090</v>
      </c>
      <c r="BC29" s="73">
        <f>W29+AF29+AN29+AX29</f>
        <v>436110</v>
      </c>
      <c r="BD29" s="74">
        <f t="shared" si="30"/>
        <v>12100</v>
      </c>
      <c r="BE29" s="75">
        <v>57</v>
      </c>
      <c r="BF29" s="76">
        <v>361020</v>
      </c>
      <c r="BG29" s="76">
        <v>75090</v>
      </c>
      <c r="BH29" s="77">
        <v>12100</v>
      </c>
      <c r="BI29" s="77"/>
      <c r="BJ29" s="77"/>
      <c r="BK29" s="77"/>
      <c r="BL29" s="78">
        <f t="shared" si="29"/>
        <v>448210</v>
      </c>
      <c r="BM29" s="49">
        <v>25</v>
      </c>
      <c r="BN29" s="79">
        <f t="shared" si="25"/>
        <v>448210</v>
      </c>
    </row>
    <row r="30" spans="2:68" ht="20" customHeight="1">
      <c r="B30" s="80">
        <f t="shared" si="26"/>
        <v>46048</v>
      </c>
      <c r="C30" s="81"/>
      <c r="D30" s="52"/>
      <c r="E30" s="53">
        <v>21</v>
      </c>
      <c r="F30" s="54">
        <v>75020</v>
      </c>
      <c r="G30" s="55">
        <f t="shared" si="0"/>
        <v>3247.6190476190477</v>
      </c>
      <c r="H30" s="54">
        <v>23060</v>
      </c>
      <c r="I30" s="55">
        <f t="shared" si="27"/>
        <v>998.23809523809518</v>
      </c>
      <c r="J30" s="57">
        <f t="shared" si="1"/>
        <v>98080</v>
      </c>
      <c r="K30" s="58">
        <f t="shared" si="2"/>
        <v>4670.4761904761908</v>
      </c>
      <c r="L30" s="59"/>
      <c r="M30" s="60">
        <f t="shared" si="3"/>
        <v>27</v>
      </c>
      <c r="N30" s="61">
        <f t="shared" si="3"/>
        <v>261800</v>
      </c>
      <c r="O30" s="55">
        <f t="shared" si="4"/>
        <v>8814.8148148148157</v>
      </c>
      <c r="P30" s="61">
        <f t="shared" si="5"/>
        <v>87610</v>
      </c>
      <c r="Q30" s="55">
        <f t="shared" si="6"/>
        <v>2949.8148148148148</v>
      </c>
      <c r="R30" s="62">
        <f t="shared" si="7"/>
        <v>349410</v>
      </c>
      <c r="S30" s="58">
        <f t="shared" si="8"/>
        <v>12941.111111111111</v>
      </c>
      <c r="T30" s="82">
        <f t="shared" si="9"/>
        <v>48</v>
      </c>
      <c r="U30" s="61">
        <f t="shared" si="9"/>
        <v>336820</v>
      </c>
      <c r="V30" s="61">
        <f t="shared" si="10"/>
        <v>110670</v>
      </c>
      <c r="W30" s="64">
        <f t="shared" si="11"/>
        <v>447490</v>
      </c>
      <c r="X30" s="83"/>
      <c r="Y30" s="65"/>
      <c r="Z30" s="66">
        <v>0</v>
      </c>
      <c r="AA30" s="66"/>
      <c r="AB30" s="54"/>
      <c r="AC30" s="55" t="e">
        <f t="shared" si="12"/>
        <v>#DIV/0!</v>
      </c>
      <c r="AD30" s="54"/>
      <c r="AE30" s="56" t="e">
        <f t="shared" si="13"/>
        <v>#DIV/0!</v>
      </c>
      <c r="AF30" s="67">
        <f t="shared" si="14"/>
        <v>0</v>
      </c>
      <c r="AG30" s="58" t="e">
        <f t="shared" si="15"/>
        <v>#DIV/0!</v>
      </c>
      <c r="AH30" s="68"/>
      <c r="AI30" s="66">
        <v>20</v>
      </c>
      <c r="AJ30" s="54">
        <v>78300</v>
      </c>
      <c r="AK30" s="55">
        <f t="shared" si="16"/>
        <v>3915</v>
      </c>
      <c r="AL30" s="54">
        <v>34800</v>
      </c>
      <c r="AM30" s="56">
        <f t="shared" si="17"/>
        <v>1740</v>
      </c>
      <c r="AN30" s="67">
        <f t="shared" si="28"/>
        <v>113100</v>
      </c>
      <c r="AO30" s="69">
        <f t="shared" si="18"/>
        <v>5655</v>
      </c>
      <c r="AP30" s="70"/>
      <c r="AQ30" s="66"/>
      <c r="AR30" s="54"/>
      <c r="AS30" s="55" t="e">
        <f t="shared" si="19"/>
        <v>#DIV/0!</v>
      </c>
      <c r="AT30" s="54"/>
      <c r="AU30" s="56" t="e">
        <f t="shared" si="20"/>
        <v>#DIV/0!</v>
      </c>
      <c r="AV30" s="56"/>
      <c r="AW30" s="56"/>
      <c r="AX30" s="71">
        <f>AR30+AT30+AV30+AW30-BP30</f>
        <v>0</v>
      </c>
      <c r="AY30" s="69" t="str">
        <f t="shared" si="21"/>
        <v/>
      </c>
      <c r="AZ30" s="84">
        <f t="shared" si="22"/>
        <v>48</v>
      </c>
      <c r="BA30" s="61">
        <f t="shared" si="23"/>
        <v>415120</v>
      </c>
      <c r="BB30" s="61">
        <f t="shared" si="24"/>
        <v>145470</v>
      </c>
      <c r="BC30" s="73">
        <f>W30+AF30+AN30+AX30</f>
        <v>560590</v>
      </c>
      <c r="BD30" s="74">
        <f>BH30+BI30</f>
        <v>1100</v>
      </c>
      <c r="BE30" s="75">
        <v>48</v>
      </c>
      <c r="BF30" s="76">
        <v>336820</v>
      </c>
      <c r="BG30" s="76">
        <v>110670</v>
      </c>
      <c r="BH30" s="77">
        <v>1100</v>
      </c>
      <c r="BI30" s="77"/>
      <c r="BJ30" s="77"/>
      <c r="BK30" s="77"/>
      <c r="BL30" s="78">
        <f t="shared" si="29"/>
        <v>448590</v>
      </c>
      <c r="BM30" s="49">
        <v>26</v>
      </c>
      <c r="BN30" s="79">
        <f t="shared" si="25"/>
        <v>448590</v>
      </c>
    </row>
    <row r="31" spans="2:68" ht="20" customHeight="1">
      <c r="B31" s="80">
        <f t="shared" si="26"/>
        <v>46049</v>
      </c>
      <c r="C31" s="81"/>
      <c r="D31" s="52"/>
      <c r="E31" s="53">
        <v>23</v>
      </c>
      <c r="F31" s="54">
        <v>102400</v>
      </c>
      <c r="G31" s="55">
        <f t="shared" si="0"/>
        <v>4047.391304347826</v>
      </c>
      <c r="H31" s="54">
        <v>16480</v>
      </c>
      <c r="I31" s="55">
        <f t="shared" si="27"/>
        <v>651.3478260869565</v>
      </c>
      <c r="J31" s="57">
        <f t="shared" si="1"/>
        <v>118880</v>
      </c>
      <c r="K31" s="58">
        <f t="shared" si="2"/>
        <v>5168.695652173913</v>
      </c>
      <c r="L31" s="59"/>
      <c r="M31" s="60">
        <f t="shared" si="3"/>
        <v>16</v>
      </c>
      <c r="N31" s="61">
        <f t="shared" si="3"/>
        <v>148500</v>
      </c>
      <c r="O31" s="55">
        <f t="shared" si="4"/>
        <v>8437.5</v>
      </c>
      <c r="P31" s="61">
        <f t="shared" si="5"/>
        <v>63780</v>
      </c>
      <c r="Q31" s="55">
        <f t="shared" si="6"/>
        <v>3623.8125</v>
      </c>
      <c r="R31" s="62">
        <f t="shared" si="7"/>
        <v>212280</v>
      </c>
      <c r="S31" s="58">
        <f t="shared" si="8"/>
        <v>13267.5</v>
      </c>
      <c r="T31" s="82">
        <f t="shared" si="9"/>
        <v>39</v>
      </c>
      <c r="U31" s="61">
        <f t="shared" si="9"/>
        <v>250900</v>
      </c>
      <c r="V31" s="61">
        <f t="shared" si="10"/>
        <v>80260</v>
      </c>
      <c r="W31" s="64">
        <f t="shared" si="11"/>
        <v>331160</v>
      </c>
      <c r="X31" s="83"/>
      <c r="Y31" s="65"/>
      <c r="Z31" s="66">
        <v>0</v>
      </c>
      <c r="AA31" s="66"/>
      <c r="AB31" s="54"/>
      <c r="AC31" s="55" t="e">
        <f t="shared" si="12"/>
        <v>#DIV/0!</v>
      </c>
      <c r="AD31" s="54"/>
      <c r="AE31" s="56" t="e">
        <f t="shared" si="13"/>
        <v>#DIV/0!</v>
      </c>
      <c r="AF31" s="67">
        <f t="shared" si="14"/>
        <v>0</v>
      </c>
      <c r="AG31" s="58" t="e">
        <f t="shared" si="15"/>
        <v>#DIV/0!</v>
      </c>
      <c r="AH31" s="68"/>
      <c r="AI31" s="66"/>
      <c r="AJ31" s="54"/>
      <c r="AK31" s="55" t="e">
        <f t="shared" si="16"/>
        <v>#DIV/0!</v>
      </c>
      <c r="AL31" s="54"/>
      <c r="AM31" s="56" t="e">
        <f t="shared" si="17"/>
        <v>#DIV/0!</v>
      </c>
      <c r="AN31" s="67">
        <f t="shared" si="28"/>
        <v>0</v>
      </c>
      <c r="AO31" s="69" t="str">
        <f t="shared" si="18"/>
        <v/>
      </c>
      <c r="AP31" s="70"/>
      <c r="AQ31" s="66"/>
      <c r="AR31" s="54"/>
      <c r="AS31" s="55" t="e">
        <f t="shared" si="19"/>
        <v>#DIV/0!</v>
      </c>
      <c r="AT31" s="54"/>
      <c r="AU31" s="56" t="e">
        <f t="shared" si="20"/>
        <v>#DIV/0!</v>
      </c>
      <c r="AV31" s="56"/>
      <c r="AW31" s="56"/>
      <c r="AX31" s="71">
        <f>AR31+AT31+AV31+AW31-BP31</f>
        <v>0</v>
      </c>
      <c r="AY31" s="69" t="str">
        <f t="shared" si="21"/>
        <v/>
      </c>
      <c r="AZ31" s="84">
        <f t="shared" si="22"/>
        <v>39</v>
      </c>
      <c r="BA31" s="61">
        <f t="shared" si="23"/>
        <v>250900</v>
      </c>
      <c r="BB31" s="61">
        <f t="shared" si="24"/>
        <v>80260</v>
      </c>
      <c r="BC31" s="73">
        <f t="shared" ref="BC31:BC33" si="35">W31+AF31+AN31+AX31</f>
        <v>331160</v>
      </c>
      <c r="BD31" s="74">
        <f t="shared" ref="BD31" si="36">BH31+BI31</f>
        <v>3300</v>
      </c>
      <c r="BE31" s="75">
        <v>39</v>
      </c>
      <c r="BF31" s="76">
        <v>250900</v>
      </c>
      <c r="BG31" s="76">
        <v>80260</v>
      </c>
      <c r="BH31" s="77">
        <v>3300</v>
      </c>
      <c r="BI31" s="77"/>
      <c r="BJ31" s="77"/>
      <c r="BK31" s="77"/>
      <c r="BL31" s="78">
        <f t="shared" si="29"/>
        <v>334460</v>
      </c>
      <c r="BM31" s="49">
        <v>27</v>
      </c>
      <c r="BN31" s="79">
        <f t="shared" si="25"/>
        <v>334460</v>
      </c>
    </row>
    <row r="32" spans="2:68" ht="20" customHeight="1">
      <c r="B32" s="80">
        <f t="shared" si="26"/>
        <v>46050</v>
      </c>
      <c r="C32" s="81"/>
      <c r="D32" s="52"/>
      <c r="E32" s="53">
        <v>24</v>
      </c>
      <c r="F32" s="54">
        <v>88550</v>
      </c>
      <c r="G32" s="55">
        <f t="shared" si="0"/>
        <v>3354.1666666666665</v>
      </c>
      <c r="H32" s="54">
        <v>17160</v>
      </c>
      <c r="I32" s="55">
        <f t="shared" si="27"/>
        <v>650</v>
      </c>
      <c r="J32" s="57">
        <f t="shared" si="1"/>
        <v>105710</v>
      </c>
      <c r="K32" s="58">
        <f t="shared" si="2"/>
        <v>4404.583333333333</v>
      </c>
      <c r="L32" s="59"/>
      <c r="M32" s="60">
        <f t="shared" si="3"/>
        <v>10</v>
      </c>
      <c r="N32" s="61">
        <f t="shared" si="3"/>
        <v>88800</v>
      </c>
      <c r="O32" s="55">
        <f t="shared" si="4"/>
        <v>8072.7</v>
      </c>
      <c r="P32" s="61">
        <f t="shared" si="5"/>
        <v>19470</v>
      </c>
      <c r="Q32" s="55">
        <f t="shared" si="6"/>
        <v>1770</v>
      </c>
      <c r="R32" s="62">
        <f t="shared" si="7"/>
        <v>108270</v>
      </c>
      <c r="S32" s="58">
        <f t="shared" si="8"/>
        <v>10827</v>
      </c>
      <c r="T32" s="82">
        <f t="shared" si="9"/>
        <v>34</v>
      </c>
      <c r="U32" s="61">
        <f t="shared" si="9"/>
        <v>177350</v>
      </c>
      <c r="V32" s="61">
        <f t="shared" si="10"/>
        <v>36630</v>
      </c>
      <c r="W32" s="64">
        <f t="shared" si="11"/>
        <v>213980</v>
      </c>
      <c r="X32" s="83"/>
      <c r="Y32" s="65"/>
      <c r="Z32" s="66">
        <v>2</v>
      </c>
      <c r="AA32" s="66"/>
      <c r="AB32" s="54">
        <v>0</v>
      </c>
      <c r="AC32" s="55">
        <f t="shared" si="12"/>
        <v>0</v>
      </c>
      <c r="AD32" s="54">
        <v>1360</v>
      </c>
      <c r="AE32" s="56">
        <f t="shared" si="13"/>
        <v>680</v>
      </c>
      <c r="AF32" s="67">
        <f t="shared" si="14"/>
        <v>1360</v>
      </c>
      <c r="AG32" s="58">
        <f t="shared" si="15"/>
        <v>680</v>
      </c>
      <c r="AH32" s="68"/>
      <c r="AI32" s="66">
        <v>17</v>
      </c>
      <c r="AJ32" s="54">
        <v>62640</v>
      </c>
      <c r="AK32" s="55">
        <f t="shared" si="16"/>
        <v>3684.705882352941</v>
      </c>
      <c r="AL32" s="54">
        <v>23560</v>
      </c>
      <c r="AM32" s="56">
        <f t="shared" si="17"/>
        <v>1385.8823529411766</v>
      </c>
      <c r="AN32" s="67">
        <f t="shared" si="28"/>
        <v>86200</v>
      </c>
      <c r="AO32" s="69">
        <f t="shared" si="18"/>
        <v>5070.588235294118</v>
      </c>
      <c r="AP32" s="70"/>
      <c r="AQ32" s="66"/>
      <c r="AR32" s="54"/>
      <c r="AS32" s="55" t="e">
        <f t="shared" si="19"/>
        <v>#DIV/0!</v>
      </c>
      <c r="AT32" s="54"/>
      <c r="AU32" s="56" t="e">
        <f t="shared" si="20"/>
        <v>#DIV/0!</v>
      </c>
      <c r="AV32" s="56"/>
      <c r="AW32" s="56"/>
      <c r="AX32" s="71">
        <f t="shared" ref="AX32:AX33" si="37">AR32+AT32+AV32+AW32-BP32</f>
        <v>0</v>
      </c>
      <c r="AY32" s="69" t="str">
        <f t="shared" si="21"/>
        <v/>
      </c>
      <c r="AZ32" s="84">
        <f t="shared" si="22"/>
        <v>34</v>
      </c>
      <c r="BA32" s="61">
        <f>U32+AB32+AJ32+AR32</f>
        <v>239990</v>
      </c>
      <c r="BB32" s="61">
        <f t="shared" si="24"/>
        <v>61550</v>
      </c>
      <c r="BC32" s="73">
        <f t="shared" si="35"/>
        <v>301540</v>
      </c>
      <c r="BD32" s="74">
        <f>BH32+BI32</f>
        <v>3300</v>
      </c>
      <c r="BE32" s="75">
        <v>34</v>
      </c>
      <c r="BF32" s="76">
        <v>177350</v>
      </c>
      <c r="BG32" s="76">
        <v>36630</v>
      </c>
      <c r="BH32" s="77">
        <v>3300</v>
      </c>
      <c r="BI32" s="77"/>
      <c r="BJ32" s="77"/>
      <c r="BK32" s="77"/>
      <c r="BL32" s="78">
        <f>SUM(BF32:BI32)</f>
        <v>217280</v>
      </c>
      <c r="BM32" s="49">
        <v>28</v>
      </c>
      <c r="BN32" s="79">
        <f>BK32+BL32</f>
        <v>217280</v>
      </c>
    </row>
    <row r="33" spans="2:66" ht="20" customHeight="1">
      <c r="B33" s="80">
        <f t="shared" si="26"/>
        <v>46051</v>
      </c>
      <c r="C33" s="81"/>
      <c r="D33" s="52"/>
      <c r="E33" s="53">
        <v>20</v>
      </c>
      <c r="F33" s="54">
        <v>90200</v>
      </c>
      <c r="G33" s="55">
        <f t="shared" si="0"/>
        <v>4100</v>
      </c>
      <c r="H33" s="54">
        <v>10600</v>
      </c>
      <c r="I33" s="55">
        <f t="shared" si="27"/>
        <v>481.8</v>
      </c>
      <c r="J33" s="57">
        <f t="shared" si="1"/>
        <v>100800</v>
      </c>
      <c r="K33" s="58">
        <f t="shared" si="2"/>
        <v>5040</v>
      </c>
      <c r="L33" s="59"/>
      <c r="M33" s="60">
        <f t="shared" si="3"/>
        <v>14</v>
      </c>
      <c r="N33" s="61">
        <f t="shared" si="3"/>
        <v>98010</v>
      </c>
      <c r="O33" s="55">
        <f t="shared" si="4"/>
        <v>6364.2857142857147</v>
      </c>
      <c r="P33" s="61">
        <f t="shared" si="5"/>
        <v>32790</v>
      </c>
      <c r="Q33" s="55">
        <f t="shared" si="6"/>
        <v>2129.2142857142858</v>
      </c>
      <c r="R33" s="62">
        <f t="shared" si="7"/>
        <v>130800</v>
      </c>
      <c r="S33" s="58">
        <f t="shared" si="8"/>
        <v>9342.8571428571431</v>
      </c>
      <c r="T33" s="82">
        <f t="shared" si="9"/>
        <v>34</v>
      </c>
      <c r="U33" s="61">
        <f t="shared" si="9"/>
        <v>188210</v>
      </c>
      <c r="V33" s="61">
        <f t="shared" si="10"/>
        <v>43390</v>
      </c>
      <c r="W33" s="64">
        <f>J33+R33</f>
        <v>231600</v>
      </c>
      <c r="X33" s="83"/>
      <c r="Y33" s="65"/>
      <c r="Z33" s="66">
        <v>0</v>
      </c>
      <c r="AA33" s="66"/>
      <c r="AB33" s="54"/>
      <c r="AC33" s="55" t="e">
        <f t="shared" si="12"/>
        <v>#DIV/0!</v>
      </c>
      <c r="AD33" s="54"/>
      <c r="AE33" s="56" t="e">
        <f t="shared" si="13"/>
        <v>#DIV/0!</v>
      </c>
      <c r="AF33" s="67">
        <f t="shared" si="14"/>
        <v>0</v>
      </c>
      <c r="AG33" s="58" t="e">
        <f t="shared" si="15"/>
        <v>#DIV/0!</v>
      </c>
      <c r="AH33" s="68"/>
      <c r="AI33" s="66">
        <v>21</v>
      </c>
      <c r="AJ33" s="54">
        <v>82215</v>
      </c>
      <c r="AK33" s="55">
        <f t="shared" si="16"/>
        <v>3915</v>
      </c>
      <c r="AL33" s="54">
        <v>27405</v>
      </c>
      <c r="AM33" s="56">
        <f t="shared" si="17"/>
        <v>1305</v>
      </c>
      <c r="AN33" s="67">
        <f t="shared" si="28"/>
        <v>109620</v>
      </c>
      <c r="AO33" s="69">
        <f t="shared" si="18"/>
        <v>5220</v>
      </c>
      <c r="AP33" s="70"/>
      <c r="AQ33" s="66"/>
      <c r="AR33" s="54"/>
      <c r="AS33" s="55" t="e">
        <f t="shared" si="19"/>
        <v>#DIV/0!</v>
      </c>
      <c r="AT33" s="54"/>
      <c r="AU33" s="56" t="e">
        <f t="shared" si="20"/>
        <v>#DIV/0!</v>
      </c>
      <c r="AV33" s="56"/>
      <c r="AW33" s="56"/>
      <c r="AX33" s="71">
        <f t="shared" si="37"/>
        <v>0</v>
      </c>
      <c r="AY33" s="69" t="str">
        <f t="shared" si="21"/>
        <v/>
      </c>
      <c r="AZ33" s="84">
        <f t="shared" si="22"/>
        <v>34</v>
      </c>
      <c r="BA33" s="61">
        <f t="shared" si="23"/>
        <v>270425</v>
      </c>
      <c r="BB33" s="61">
        <f t="shared" si="24"/>
        <v>70795</v>
      </c>
      <c r="BC33" s="73">
        <f t="shared" si="35"/>
        <v>341220</v>
      </c>
      <c r="BD33" s="74">
        <f>BH33+BI33</f>
        <v>8000</v>
      </c>
      <c r="BE33" s="75">
        <v>34</v>
      </c>
      <c r="BF33" s="76">
        <v>188210</v>
      </c>
      <c r="BG33" s="76">
        <v>43390</v>
      </c>
      <c r="BH33" s="77">
        <v>8000</v>
      </c>
      <c r="BI33" s="77"/>
      <c r="BJ33" s="77"/>
      <c r="BK33" s="77"/>
      <c r="BL33" s="78">
        <f t="shared" si="29"/>
        <v>239600</v>
      </c>
      <c r="BM33" s="49">
        <v>29</v>
      </c>
      <c r="BN33" s="79">
        <f t="shared" si="25"/>
        <v>239600</v>
      </c>
    </row>
    <row r="34" spans="2:66" ht="20" customHeight="1">
      <c r="B34" s="80">
        <f t="shared" si="26"/>
        <v>46052</v>
      </c>
      <c r="C34" s="81"/>
      <c r="D34" s="52"/>
      <c r="E34" s="53">
        <v>31</v>
      </c>
      <c r="F34" s="54">
        <v>124630</v>
      </c>
      <c r="G34" s="55">
        <f t="shared" si="0"/>
        <v>3654.8387096774195</v>
      </c>
      <c r="H34" s="54">
        <v>12210</v>
      </c>
      <c r="I34" s="55">
        <f t="shared" si="27"/>
        <v>358.06451612903226</v>
      </c>
      <c r="J34" s="57">
        <f t="shared" si="1"/>
        <v>136840</v>
      </c>
      <c r="K34" s="58">
        <f t="shared" si="2"/>
        <v>4414.1935483870966</v>
      </c>
      <c r="L34" s="59"/>
      <c r="M34" s="60">
        <f t="shared" si="3"/>
        <v>15</v>
      </c>
      <c r="N34" s="61">
        <f t="shared" si="3"/>
        <v>150370</v>
      </c>
      <c r="O34" s="55">
        <f t="shared" si="4"/>
        <v>9113.3333333333339</v>
      </c>
      <c r="P34" s="61">
        <f t="shared" si="5"/>
        <v>34970</v>
      </c>
      <c r="Q34" s="55">
        <f t="shared" si="6"/>
        <v>2119.3333333333335</v>
      </c>
      <c r="R34" s="62">
        <f t="shared" si="7"/>
        <v>185340</v>
      </c>
      <c r="S34" s="58">
        <f t="shared" si="8"/>
        <v>12356</v>
      </c>
      <c r="T34" s="82">
        <f t="shared" si="9"/>
        <v>46</v>
      </c>
      <c r="U34" s="61">
        <f t="shared" si="9"/>
        <v>275000</v>
      </c>
      <c r="V34" s="61">
        <f t="shared" si="10"/>
        <v>47180</v>
      </c>
      <c r="W34" s="64">
        <f t="shared" si="11"/>
        <v>322180</v>
      </c>
      <c r="X34" s="83"/>
      <c r="Y34" s="88"/>
      <c r="Z34" s="89">
        <v>0</v>
      </c>
      <c r="AA34" s="89"/>
      <c r="AB34" s="90"/>
      <c r="AC34" s="55" t="e">
        <f t="shared" si="12"/>
        <v>#DIV/0!</v>
      </c>
      <c r="AD34" s="90"/>
      <c r="AE34" s="56" t="e">
        <f t="shared" si="13"/>
        <v>#DIV/0!</v>
      </c>
      <c r="AF34" s="67">
        <f t="shared" si="14"/>
        <v>0</v>
      </c>
      <c r="AG34" s="58" t="e">
        <f t="shared" si="15"/>
        <v>#DIV/0!</v>
      </c>
      <c r="AH34" s="68"/>
      <c r="AI34" s="66">
        <v>64</v>
      </c>
      <c r="AJ34" s="54">
        <v>250560</v>
      </c>
      <c r="AK34" s="55">
        <f t="shared" si="16"/>
        <v>3915</v>
      </c>
      <c r="AL34" s="54">
        <v>111360</v>
      </c>
      <c r="AM34" s="56">
        <f t="shared" si="17"/>
        <v>1740</v>
      </c>
      <c r="AN34" s="67">
        <f t="shared" si="28"/>
        <v>361920</v>
      </c>
      <c r="AO34" s="69">
        <f t="shared" si="18"/>
        <v>5655</v>
      </c>
      <c r="AP34" s="70"/>
      <c r="AQ34" s="89"/>
      <c r="AR34" s="90"/>
      <c r="AS34" s="55" t="e">
        <f t="shared" si="19"/>
        <v>#DIV/0!</v>
      </c>
      <c r="AT34" s="90"/>
      <c r="AU34" s="56" t="e">
        <f t="shared" si="20"/>
        <v>#DIV/0!</v>
      </c>
      <c r="AV34" s="56"/>
      <c r="AW34" s="56"/>
      <c r="AX34" s="71">
        <f>AR34+AT34+AV34+AW34</f>
        <v>0</v>
      </c>
      <c r="AY34" s="69" t="str">
        <f t="shared" si="21"/>
        <v/>
      </c>
      <c r="AZ34" s="84">
        <f t="shared" si="22"/>
        <v>46</v>
      </c>
      <c r="BA34" s="61">
        <f t="shared" si="23"/>
        <v>525560</v>
      </c>
      <c r="BB34" s="61">
        <f t="shared" si="24"/>
        <v>158540</v>
      </c>
      <c r="BC34" s="73">
        <f>W34+AF34+AN34+AX34</f>
        <v>684100</v>
      </c>
      <c r="BD34" s="74">
        <f>BH34+BI34</f>
        <v>2200</v>
      </c>
      <c r="BE34" s="75">
        <v>46</v>
      </c>
      <c r="BF34" s="76">
        <v>275000</v>
      </c>
      <c r="BG34" s="76">
        <v>47180</v>
      </c>
      <c r="BH34" s="77">
        <v>2200</v>
      </c>
      <c r="BI34" s="77"/>
      <c r="BJ34" s="77"/>
      <c r="BK34" s="77"/>
      <c r="BL34" s="78">
        <f t="shared" si="29"/>
        <v>324380</v>
      </c>
      <c r="BM34" s="49">
        <v>30</v>
      </c>
      <c r="BN34" s="79">
        <f t="shared" si="25"/>
        <v>324380</v>
      </c>
    </row>
    <row r="35" spans="2:66" ht="20" customHeight="1" thickBot="1">
      <c r="B35" s="80">
        <f t="shared" si="26"/>
        <v>46053</v>
      </c>
      <c r="C35" s="81"/>
      <c r="D35" s="52"/>
      <c r="E35" s="53">
        <v>37</v>
      </c>
      <c r="F35" s="54">
        <v>145640</v>
      </c>
      <c r="G35" s="55">
        <f t="shared" si="0"/>
        <v>3578.3783783783783</v>
      </c>
      <c r="H35" s="54">
        <v>24090</v>
      </c>
      <c r="I35" s="55">
        <f t="shared" si="27"/>
        <v>591.89189189189187</v>
      </c>
      <c r="J35" s="57">
        <f t="shared" si="1"/>
        <v>169730</v>
      </c>
      <c r="K35" s="58">
        <f t="shared" si="2"/>
        <v>4587.2972972972975</v>
      </c>
      <c r="L35" s="59"/>
      <c r="M35" s="91">
        <f t="shared" si="3"/>
        <v>22</v>
      </c>
      <c r="N35" s="61">
        <f t="shared" si="3"/>
        <v>187550</v>
      </c>
      <c r="O35" s="55">
        <f t="shared" si="4"/>
        <v>7750</v>
      </c>
      <c r="P35" s="61">
        <f t="shared" si="5"/>
        <v>55750</v>
      </c>
      <c r="Q35" s="55">
        <f t="shared" si="6"/>
        <v>2303.681818181818</v>
      </c>
      <c r="R35" s="62">
        <f t="shared" si="7"/>
        <v>243300</v>
      </c>
      <c r="S35" s="58">
        <f t="shared" si="8"/>
        <v>11059.09090909091</v>
      </c>
      <c r="T35" s="92">
        <f t="shared" si="9"/>
        <v>59</v>
      </c>
      <c r="U35" s="93">
        <f t="shared" si="9"/>
        <v>333190</v>
      </c>
      <c r="V35" s="93">
        <f t="shared" si="10"/>
        <v>79840</v>
      </c>
      <c r="W35" s="94">
        <f t="shared" si="11"/>
        <v>413030</v>
      </c>
      <c r="X35" s="93"/>
      <c r="Y35" s="95"/>
      <c r="Z35" s="96">
        <v>0</v>
      </c>
      <c r="AA35" s="96"/>
      <c r="AB35" s="97"/>
      <c r="AC35" s="98" t="e">
        <f t="shared" si="12"/>
        <v>#DIV/0!</v>
      </c>
      <c r="AD35" s="97"/>
      <c r="AE35" s="99" t="e">
        <f t="shared" si="13"/>
        <v>#DIV/0!</v>
      </c>
      <c r="AF35" s="100">
        <f t="shared" si="14"/>
        <v>0</v>
      </c>
      <c r="AG35" s="58" t="e">
        <f t="shared" si="15"/>
        <v>#DIV/0!</v>
      </c>
      <c r="AH35" s="101"/>
      <c r="AI35" s="96">
        <v>80</v>
      </c>
      <c r="AJ35" s="97">
        <v>313200</v>
      </c>
      <c r="AK35" s="98">
        <f t="shared" si="16"/>
        <v>3915</v>
      </c>
      <c r="AL35" s="97">
        <v>104400</v>
      </c>
      <c r="AM35" s="99">
        <f t="shared" si="17"/>
        <v>1305</v>
      </c>
      <c r="AN35" s="67">
        <f t="shared" si="28"/>
        <v>417600</v>
      </c>
      <c r="AO35" s="69">
        <f t="shared" si="18"/>
        <v>5220</v>
      </c>
      <c r="AP35" s="102"/>
      <c r="AQ35" s="96"/>
      <c r="AR35" s="97"/>
      <c r="AS35" s="98" t="e">
        <f t="shared" si="19"/>
        <v>#DIV/0!</v>
      </c>
      <c r="AT35" s="97"/>
      <c r="AU35" s="99" t="e">
        <f t="shared" si="20"/>
        <v>#DIV/0!</v>
      </c>
      <c r="AV35" s="99"/>
      <c r="AW35" s="56"/>
      <c r="AX35" s="71">
        <f t="shared" si="32"/>
        <v>0</v>
      </c>
      <c r="AY35" s="69" t="str">
        <f t="shared" si="21"/>
        <v/>
      </c>
      <c r="AZ35" s="103">
        <f t="shared" si="22"/>
        <v>59</v>
      </c>
      <c r="BA35" s="61">
        <f t="shared" si="23"/>
        <v>646390</v>
      </c>
      <c r="BB35" s="61">
        <f t="shared" si="24"/>
        <v>184240</v>
      </c>
      <c r="BC35" s="73">
        <f>W35+AF35+AN35+AX35</f>
        <v>830630</v>
      </c>
      <c r="BD35" s="74">
        <f t="shared" si="30"/>
        <v>0</v>
      </c>
      <c r="BE35" s="104">
        <v>59</v>
      </c>
      <c r="BF35" s="105">
        <v>333190</v>
      </c>
      <c r="BG35" s="105">
        <v>79840</v>
      </c>
      <c r="BH35" s="106"/>
      <c r="BI35" s="106"/>
      <c r="BJ35" s="106"/>
      <c r="BK35" s="106"/>
      <c r="BL35" s="78">
        <f t="shared" si="29"/>
        <v>413030</v>
      </c>
      <c r="BM35" s="49">
        <v>31</v>
      </c>
      <c r="BN35" s="79">
        <f t="shared" si="25"/>
        <v>413030</v>
      </c>
    </row>
    <row r="36" spans="2:66" s="129" customFormat="1" ht="20" customHeight="1" thickTop="1">
      <c r="B36" s="107" t="s">
        <v>25</v>
      </c>
      <c r="C36" s="108">
        <f>SUM(C5:C35)</f>
        <v>0</v>
      </c>
      <c r="D36" s="109">
        <f>SUM(D5:D35)</f>
        <v>0</v>
      </c>
      <c r="E36" s="110">
        <f>SUM(E5:E35)</f>
        <v>828</v>
      </c>
      <c r="F36" s="111">
        <f>SUM(F5:F35)</f>
        <v>3341520</v>
      </c>
      <c r="G36" s="112">
        <f>F36/E36</f>
        <v>4035.6521739130435</v>
      </c>
      <c r="H36" s="108">
        <f>SUM(H5:H35)</f>
        <v>607410</v>
      </c>
      <c r="I36" s="113">
        <f>H36/E36</f>
        <v>733.58695652173913</v>
      </c>
      <c r="J36" s="114">
        <f>SUM(J5:J35)</f>
        <v>3948930</v>
      </c>
      <c r="K36" s="115">
        <f>J36/E36</f>
        <v>4769.239130434783</v>
      </c>
      <c r="L36" s="116">
        <f>SUM(L5:L35)</f>
        <v>0</v>
      </c>
      <c r="M36" s="110">
        <f>SUM(M5:M35)</f>
        <v>571</v>
      </c>
      <c r="N36" s="111">
        <f>SUM(N5:N35)</f>
        <v>5249950</v>
      </c>
      <c r="O36" s="112">
        <f>N36/M36</f>
        <v>9194.3082311733797</v>
      </c>
      <c r="P36" s="117">
        <f>SUM(P5:P35)</f>
        <v>1374240</v>
      </c>
      <c r="Q36" s="113">
        <f>P36/M36</f>
        <v>2406.725043782837</v>
      </c>
      <c r="R36" s="118">
        <f>SUM(R5:R35)</f>
        <v>6624190</v>
      </c>
      <c r="S36" s="119">
        <f>R36/M36</f>
        <v>11601.033274956217</v>
      </c>
      <c r="T36" s="110">
        <f t="shared" ref="T36:AB36" si="38">SUM(T5:T35)</f>
        <v>1399</v>
      </c>
      <c r="U36" s="117">
        <f t="shared" si="38"/>
        <v>8591470</v>
      </c>
      <c r="V36" s="117">
        <f t="shared" si="38"/>
        <v>1981650</v>
      </c>
      <c r="W36" s="114">
        <f>SUM(W5:W35)</f>
        <v>10573120</v>
      </c>
      <c r="X36" s="120">
        <f t="shared" si="38"/>
        <v>0</v>
      </c>
      <c r="Y36" s="109">
        <f t="shared" si="38"/>
        <v>0</v>
      </c>
      <c r="Z36" s="110">
        <f t="shared" si="38"/>
        <v>12</v>
      </c>
      <c r="AA36" s="121"/>
      <c r="AB36" s="112">
        <f t="shared" si="38"/>
        <v>9750</v>
      </c>
      <c r="AC36" s="112">
        <f>AB36/Z36</f>
        <v>812.5</v>
      </c>
      <c r="AD36" s="108">
        <f>SUM(AD5:AD35)</f>
        <v>11130</v>
      </c>
      <c r="AE36" s="113">
        <f>AD36/Z36</f>
        <v>927.5</v>
      </c>
      <c r="AF36" s="118">
        <f>SUM(AF5:AF35)</f>
        <v>20880</v>
      </c>
      <c r="AG36" s="122">
        <f>AF36/Z36</f>
        <v>1740</v>
      </c>
      <c r="AH36" s="123">
        <f t="shared" ref="AH36:AJ36" si="39">SUM(AH5:AH35)</f>
        <v>0</v>
      </c>
      <c r="AI36" s="110">
        <f t="shared" si="39"/>
        <v>425</v>
      </c>
      <c r="AJ36" s="112">
        <f t="shared" si="39"/>
        <v>1698240</v>
      </c>
      <c r="AK36" s="112"/>
      <c r="AL36" s="108">
        <f>SUM(AL5:AL35)</f>
        <v>592540</v>
      </c>
      <c r="AM36" s="113"/>
      <c r="AN36" s="118">
        <f>SUM(AN5:AN35)</f>
        <v>2290780</v>
      </c>
      <c r="AO36" s="124">
        <f>AN36/AI36</f>
        <v>5390.0705882352941</v>
      </c>
      <c r="AP36" s="125">
        <f t="shared" ref="AP36:AR36" si="40">SUM(AP5:AP35)</f>
        <v>0</v>
      </c>
      <c r="AQ36" s="110">
        <f t="shared" si="40"/>
        <v>0</v>
      </c>
      <c r="AR36" s="112">
        <f t="shared" si="40"/>
        <v>0</v>
      </c>
      <c r="AS36" s="112"/>
      <c r="AT36" s="108">
        <f>SUM(AT5:AT35)</f>
        <v>0</v>
      </c>
      <c r="AU36" s="113"/>
      <c r="AV36" s="108">
        <f>SUM(AV5:AV35)</f>
        <v>0</v>
      </c>
      <c r="AW36" s="108">
        <f>SUM(AW5:AW35)</f>
        <v>0</v>
      </c>
      <c r="AX36" s="118">
        <f>SUM(AX5:AX35)</f>
        <v>0</v>
      </c>
      <c r="AY36" s="124" t="e">
        <f>AX36/AQ36</f>
        <v>#DIV/0!</v>
      </c>
      <c r="AZ36" s="121">
        <f t="shared" ref="AZ36:BL36" si="41">SUM(AZ5:AZ35)</f>
        <v>1399</v>
      </c>
      <c r="BA36" s="117">
        <f t="shared" si="41"/>
        <v>10299460</v>
      </c>
      <c r="BB36" s="117">
        <f t="shared" si="41"/>
        <v>2585320</v>
      </c>
      <c r="BC36" s="118">
        <f>SUM(BC5:BC35)</f>
        <v>12867300</v>
      </c>
      <c r="BD36" s="126">
        <f t="shared" si="41"/>
        <v>107150</v>
      </c>
      <c r="BE36" s="127">
        <f t="shared" si="41"/>
        <v>1399</v>
      </c>
      <c r="BF36" s="127">
        <f t="shared" si="41"/>
        <v>8591470</v>
      </c>
      <c r="BG36" s="127">
        <f t="shared" si="41"/>
        <v>1981650</v>
      </c>
      <c r="BH36" s="127">
        <f t="shared" si="41"/>
        <v>106050</v>
      </c>
      <c r="BI36" s="127">
        <f t="shared" si="41"/>
        <v>1100</v>
      </c>
      <c r="BJ36" s="127">
        <f t="shared" si="41"/>
        <v>33000</v>
      </c>
      <c r="BK36" s="127">
        <f t="shared" si="41"/>
        <v>30000</v>
      </c>
      <c r="BL36" s="128">
        <f t="shared" si="41"/>
        <v>10680270</v>
      </c>
      <c r="BN36" s="130">
        <f>SUM(BN5:BN35)</f>
        <v>10710270</v>
      </c>
    </row>
    <row r="37" spans="2:66" s="129" customFormat="1" ht="18">
      <c r="B37" s="131"/>
      <c r="E37" s="132" t="s">
        <v>38</v>
      </c>
      <c r="F37" s="133">
        <f>F36/1.1</f>
        <v>3037745.4545454541</v>
      </c>
      <c r="G37" s="134">
        <f>F37/E36</f>
        <v>3668.7747035573116</v>
      </c>
      <c r="H37" s="135">
        <f>H36/1.1</f>
        <v>552190.90909090906</v>
      </c>
      <c r="I37" s="134">
        <f>H37/E36</f>
        <v>666.897233201581</v>
      </c>
      <c r="J37" s="136">
        <f>J36/1.1</f>
        <v>3589936.3636363633</v>
      </c>
      <c r="K37" s="137">
        <f>G37+I37</f>
        <v>4335.6719367588921</v>
      </c>
      <c r="L37" s="138"/>
      <c r="M37" s="132" t="s">
        <v>38</v>
      </c>
      <c r="N37" s="133">
        <f>N36/1.1</f>
        <v>4772681.8181818174</v>
      </c>
      <c r="O37" s="134">
        <f>N37/M36</f>
        <v>8358.4620283394343</v>
      </c>
      <c r="P37" s="135">
        <f>P36/1.1</f>
        <v>1249309.0909090908</v>
      </c>
      <c r="Q37" s="134">
        <f>P37/M36</f>
        <v>2187.9318579843971</v>
      </c>
      <c r="R37" s="134">
        <f>R36/1.1</f>
        <v>6021990.9090909082</v>
      </c>
      <c r="S37" s="139">
        <f>R37/M36</f>
        <v>10546.393886323833</v>
      </c>
      <c r="T37" s="132" t="s">
        <v>38</v>
      </c>
      <c r="U37" s="133">
        <f>U36/1.1</f>
        <v>7810427.2727272725</v>
      </c>
      <c r="V37" s="133">
        <f>V36/1.1</f>
        <v>1801499.9999999998</v>
      </c>
      <c r="W37" s="136">
        <f>W36/1.1</f>
        <v>9611927.2727272715</v>
      </c>
      <c r="X37" s="140"/>
      <c r="Y37" s="138"/>
      <c r="Z37" s="132" t="s">
        <v>38</v>
      </c>
      <c r="AA37" s="132"/>
      <c r="AB37" s="133">
        <f>AB36/1.1</f>
        <v>8863.6363636363621</v>
      </c>
      <c r="AC37" s="135">
        <f>AB37/Z36</f>
        <v>738.63636363636351</v>
      </c>
      <c r="AD37" s="135">
        <f>AD36/1.1</f>
        <v>10118.181818181818</v>
      </c>
      <c r="AE37" s="135">
        <f>AD37/Z36</f>
        <v>843.18181818181813</v>
      </c>
      <c r="AF37" s="134">
        <f>AF36/1.1</f>
        <v>18981.81818181818</v>
      </c>
      <c r="AG37" s="141">
        <f>AF37/Z36</f>
        <v>1581.8181818181818</v>
      </c>
      <c r="AH37" s="138"/>
      <c r="AI37" s="132" t="s">
        <v>38</v>
      </c>
      <c r="AJ37" s="133">
        <f>AJ36/1.1</f>
        <v>1543854.5454545454</v>
      </c>
      <c r="AK37" s="135">
        <f>AJ37/AI36</f>
        <v>3632.5989304812833</v>
      </c>
      <c r="AL37" s="135">
        <f>AL36/1.1</f>
        <v>538672.72727272718</v>
      </c>
      <c r="AM37" s="135">
        <f>AL37/AI36</f>
        <v>1267.465240641711</v>
      </c>
      <c r="AN37" s="134">
        <f>AN36/1.1</f>
        <v>2082527.2727272725</v>
      </c>
      <c r="AO37" s="142" t="e">
        <f>AN37/AH36</f>
        <v>#DIV/0!</v>
      </c>
      <c r="AP37" s="138"/>
      <c r="AQ37" s="132" t="s">
        <v>38</v>
      </c>
      <c r="AR37" s="133">
        <f>AR36/1.1</f>
        <v>0</v>
      </c>
      <c r="AS37" s="135" t="e">
        <f>AR37/AQ36</f>
        <v>#DIV/0!</v>
      </c>
      <c r="AT37" s="135">
        <f>AT36/1.1</f>
        <v>0</v>
      </c>
      <c r="AU37" s="135" t="e">
        <f>AT37/AQ36</f>
        <v>#DIV/0!</v>
      </c>
      <c r="AV37" s="135">
        <f>AV36/1.1</f>
        <v>0</v>
      </c>
      <c r="AW37" s="135">
        <f>AW36/1.1</f>
        <v>0</v>
      </c>
      <c r="AX37" s="134">
        <f>AX36/1.1</f>
        <v>0</v>
      </c>
      <c r="AY37" s="142" t="e">
        <f>AX37/AQ36</f>
        <v>#DIV/0!</v>
      </c>
      <c r="AZ37" s="143" t="s">
        <v>38</v>
      </c>
      <c r="BA37" s="133">
        <f>BA36/1.1</f>
        <v>9363145.4545454532</v>
      </c>
      <c r="BB37" s="133">
        <f>BB36/1.1</f>
        <v>2350290.9090909087</v>
      </c>
      <c r="BC37" s="134">
        <f>BC36/1.1</f>
        <v>11697545.454545453</v>
      </c>
      <c r="BD37" s="144">
        <f>BD36/1.1</f>
        <v>97409.090909090897</v>
      </c>
      <c r="BH37" s="225">
        <f>BH36/1.1</f>
        <v>96409.090909090897</v>
      </c>
      <c r="BI37" s="145"/>
      <c r="BL37" s="146">
        <f>BL36/1.1</f>
        <v>9709336.3636363633</v>
      </c>
      <c r="BN37" s="146"/>
    </row>
    <row r="38" spans="2:66">
      <c r="C38" s="49">
        <v>30</v>
      </c>
      <c r="E38" s="147" t="s">
        <v>39</v>
      </c>
      <c r="F38" s="148">
        <f>E36/G38</f>
        <v>27.6</v>
      </c>
      <c r="G38" s="149">
        <v>30</v>
      </c>
      <c r="H38" s="148"/>
      <c r="I38" s="148"/>
      <c r="J38" s="150" t="s">
        <v>40</v>
      </c>
      <c r="K38" s="151">
        <f>J37/G38</f>
        <v>119664.54545454544</v>
      </c>
      <c r="M38" s="147" t="s">
        <v>39</v>
      </c>
      <c r="N38" s="148">
        <f>M36/O38</f>
        <v>19.033333333333335</v>
      </c>
      <c r="O38" s="149">
        <f>G38</f>
        <v>30</v>
      </c>
      <c r="P38" s="148"/>
      <c r="Q38" s="148"/>
      <c r="R38" s="150" t="s">
        <v>40</v>
      </c>
      <c r="S38" s="152">
        <f>R37/O38</f>
        <v>200733.03030303027</v>
      </c>
      <c r="U38" s="153">
        <f>O38</f>
        <v>30</v>
      </c>
      <c r="W38" s="85">
        <f>W37/U38</f>
        <v>320397.57575757575</v>
      </c>
      <c r="X38" s="79"/>
      <c r="AB38" s="154">
        <f>G38</f>
        <v>30</v>
      </c>
      <c r="AC38" s="148"/>
      <c r="AD38" s="148"/>
      <c r="AE38" s="148"/>
      <c r="AF38" s="148"/>
      <c r="AG38" s="151">
        <f>AF37/AB38</f>
        <v>632.72727272727263</v>
      </c>
      <c r="AJ38" s="154">
        <f>AB38</f>
        <v>30</v>
      </c>
      <c r="AK38" s="148"/>
      <c r="AL38" s="148"/>
      <c r="AM38" s="148"/>
      <c r="AN38" s="148"/>
      <c r="AO38" s="151">
        <f>AN37/AJ38</f>
        <v>69417.575757575745</v>
      </c>
      <c r="AR38" s="154">
        <f>G38</f>
        <v>30</v>
      </c>
      <c r="AS38" s="148"/>
      <c r="AT38" s="148"/>
      <c r="AU38" s="148"/>
      <c r="AV38" s="148"/>
      <c r="AW38" s="148"/>
      <c r="AX38" s="148"/>
      <c r="AY38" s="151">
        <f>AX37/AR38</f>
        <v>0</v>
      </c>
      <c r="BC38" s="85"/>
      <c r="BD38" s="79" t="e">
        <f>BC37/BE37</f>
        <v>#DIV/0!</v>
      </c>
      <c r="BE38" s="155">
        <f>AZ36+T36</f>
        <v>2798</v>
      </c>
      <c r="BI38" s="85"/>
    </row>
    <row r="39" spans="2:66">
      <c r="D39" s="156" t="s">
        <v>41</v>
      </c>
      <c r="E39" s="157"/>
      <c r="F39" s="148"/>
      <c r="G39" s="158"/>
      <c r="H39" s="148"/>
      <c r="I39" s="148"/>
      <c r="J39" s="150"/>
      <c r="K39" s="151"/>
      <c r="L39" s="159" t="s">
        <v>42</v>
      </c>
      <c r="M39" s="147"/>
      <c r="N39" s="148"/>
      <c r="O39" s="148"/>
      <c r="P39" s="148"/>
      <c r="Q39" s="148"/>
      <c r="R39" s="150"/>
      <c r="S39" s="151"/>
      <c r="V39" s="85">
        <f>V37/T36</f>
        <v>1287.7055039313793</v>
      </c>
      <c r="W39" s="85"/>
      <c r="X39" s="79"/>
      <c r="Y39" s="159" t="s">
        <v>43</v>
      </c>
      <c r="AB39" s="148"/>
      <c r="AC39" s="148"/>
      <c r="AD39" s="148"/>
      <c r="AE39" s="148"/>
      <c r="AF39" s="148"/>
      <c r="AG39" s="151"/>
      <c r="AH39" s="159" t="s">
        <v>44</v>
      </c>
      <c r="AJ39" s="148"/>
      <c r="AK39" s="148"/>
      <c r="AL39" s="148"/>
      <c r="AM39" s="148"/>
      <c r="AN39" s="148"/>
      <c r="AO39" s="151"/>
      <c r="AP39" s="159" t="s">
        <v>45</v>
      </c>
      <c r="AR39" s="148"/>
      <c r="AS39" s="148"/>
      <c r="AT39" s="148"/>
      <c r="AU39" s="148"/>
      <c r="AV39" s="148"/>
      <c r="AW39" s="148"/>
      <c r="AX39" s="148"/>
      <c r="AY39" s="151"/>
      <c r="BC39" s="79">
        <f>BC36+BD36</f>
        <v>12974450</v>
      </c>
      <c r="BD39" s="160">
        <f>BC39/G38</f>
        <v>432481.66666666669</v>
      </c>
      <c r="BE39" s="49" t="s">
        <v>46</v>
      </c>
      <c r="BI39" s="85"/>
    </row>
    <row r="40" spans="2:66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25</v>
      </c>
      <c r="W40" s="79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162">
        <f>BC37+BD37</f>
        <v>11794954.545454545</v>
      </c>
    </row>
    <row r="41" spans="2:66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15</v>
      </c>
      <c r="V41" s="49">
        <f>17+10+14+5+7+8+9+6</f>
        <v>76</v>
      </c>
      <c r="W41" s="85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C41" s="79"/>
      <c r="BD41" s="160">
        <f>BC40/G38</f>
        <v>393165.15151515149</v>
      </c>
      <c r="BE41" s="49" t="s">
        <v>47</v>
      </c>
      <c r="BF41" s="49">
        <v>9</v>
      </c>
    </row>
    <row r="42" spans="2:66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49">
        <v>13</v>
      </c>
      <c r="W42" s="79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BF42" s="49">
        <v>8</v>
      </c>
      <c r="BG42" s="85">
        <f>AT37</f>
        <v>0</v>
      </c>
    </row>
    <row r="43" spans="2:66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49">
        <v>10</v>
      </c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BC43" s="85">
        <f>BC37+BD37</f>
        <v>11794954.545454545</v>
      </c>
      <c r="BD43" s="163" t="s">
        <v>48</v>
      </c>
      <c r="BF43" s="49">
        <v>7</v>
      </c>
      <c r="BG43" s="164">
        <f>'[1]2023(7)'!AS37</f>
        <v>15843636.363636361</v>
      </c>
      <c r="BH43" s="164">
        <v>6266320</v>
      </c>
      <c r="BI43" s="165">
        <f>BH43/BG43</f>
        <v>0.39551021344962134</v>
      </c>
    </row>
    <row r="44" spans="2:66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49">
        <v>40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BA44" s="129"/>
      <c r="BB44" s="166" t="s">
        <v>49</v>
      </c>
      <c r="BC44" s="146">
        <f>J45+R45+AF45+BD44+AN45+AX45</f>
        <v>9252500</v>
      </c>
      <c r="BD44" s="167">
        <v>80000</v>
      </c>
      <c r="BE44" s="129"/>
      <c r="BF44" s="49">
        <v>6</v>
      </c>
      <c r="BG44" s="164">
        <v>7119727</v>
      </c>
      <c r="BH44" s="164">
        <v>2680643</v>
      </c>
      <c r="BI44" s="165">
        <f>BH44/BG44</f>
        <v>0.37650923975034434</v>
      </c>
    </row>
    <row r="45" spans="2:66" ht="21" customHeight="1">
      <c r="H45" s="168"/>
      <c r="I45" s="169" t="s">
        <v>50</v>
      </c>
      <c r="J45" s="146">
        <v>3277500</v>
      </c>
      <c r="K45" s="170" t="s">
        <v>51</v>
      </c>
      <c r="L45" s="129"/>
      <c r="M45" s="129"/>
      <c r="N45" s="129"/>
      <c r="O45" s="129"/>
      <c r="P45" s="129"/>
      <c r="Q45" s="169" t="s">
        <v>52</v>
      </c>
      <c r="R45" s="146">
        <v>5170000</v>
      </c>
      <c r="S45" s="170" t="s">
        <v>51</v>
      </c>
      <c r="T45" s="129">
        <v>10</v>
      </c>
      <c r="U45" s="129"/>
      <c r="V45" s="169" t="s">
        <v>53</v>
      </c>
      <c r="W45" s="146">
        <f>J45+R45</f>
        <v>8447500</v>
      </c>
      <c r="X45" s="170" t="s">
        <v>51</v>
      </c>
      <c r="Y45" s="129"/>
      <c r="Z45" s="129"/>
      <c r="AA45" s="129"/>
      <c r="AB45" s="129"/>
      <c r="AC45" s="129"/>
      <c r="AD45" s="129"/>
      <c r="AE45" s="168" t="s">
        <v>96</v>
      </c>
      <c r="AF45" s="146">
        <v>345400</v>
      </c>
      <c r="AG45" s="170" t="s">
        <v>51</v>
      </c>
      <c r="AH45" s="170"/>
      <c r="AI45" s="170"/>
      <c r="AJ45" s="170"/>
      <c r="AK45" s="170"/>
      <c r="AL45" s="129"/>
      <c r="AM45" s="169" t="s">
        <v>54</v>
      </c>
      <c r="AN45" s="146">
        <v>379600</v>
      </c>
      <c r="AO45" s="170" t="s">
        <v>51</v>
      </c>
      <c r="AP45" s="170"/>
      <c r="AQ45" s="170"/>
      <c r="AR45" s="170"/>
      <c r="AS45" s="170"/>
      <c r="AT45" s="129"/>
      <c r="AU45" s="169" t="s">
        <v>55</v>
      </c>
      <c r="AV45" s="169"/>
      <c r="AW45" s="169"/>
      <c r="AX45" s="146">
        <v>0</v>
      </c>
      <c r="AY45" s="170" t="s">
        <v>51</v>
      </c>
      <c r="AZ45" s="129"/>
      <c r="BA45" s="129"/>
      <c r="BB45" s="166" t="s">
        <v>56</v>
      </c>
      <c r="BC45" s="145">
        <f>BC44-BC37-BD37</f>
        <v>-2542454.545454544</v>
      </c>
      <c r="BD45" s="145"/>
      <c r="BE45" s="171">
        <f>BD37/BD44</f>
        <v>1.2176136363636363</v>
      </c>
      <c r="BF45" s="49">
        <v>5</v>
      </c>
      <c r="BG45" s="164">
        <v>637682</v>
      </c>
      <c r="BH45" s="164"/>
      <c r="BI45" s="165">
        <f t="shared" ref="BI45" si="42">BH45/BG45</f>
        <v>0</v>
      </c>
      <c r="BJ45" s="79" t="s">
        <v>57</v>
      </c>
      <c r="BN45" s="49"/>
    </row>
    <row r="46" spans="2:66" ht="21" customHeight="1">
      <c r="H46" s="168"/>
      <c r="I46" s="168" t="s">
        <v>56</v>
      </c>
      <c r="J46" s="145">
        <f>J45-J37</f>
        <v>-312436.3636363633</v>
      </c>
      <c r="K46" s="172">
        <f>C38-G38</f>
        <v>0</v>
      </c>
      <c r="L46" s="129"/>
      <c r="M46" s="129"/>
      <c r="N46" s="129"/>
      <c r="O46" s="129"/>
      <c r="P46" s="129"/>
      <c r="Q46" s="168" t="s">
        <v>56</v>
      </c>
      <c r="R46" s="145">
        <f>R45-R37</f>
        <v>-851990.90909090824</v>
      </c>
      <c r="S46" s="129">
        <f>K46</f>
        <v>0</v>
      </c>
      <c r="T46" s="129"/>
      <c r="U46" s="129"/>
      <c r="V46" s="168" t="s">
        <v>56</v>
      </c>
      <c r="W46" s="145">
        <f>W45-W37</f>
        <v>-1164427.2727272715</v>
      </c>
      <c r="X46" s="129">
        <f>S46</f>
        <v>0</v>
      </c>
      <c r="Y46" s="129"/>
      <c r="Z46" s="129"/>
      <c r="AA46" s="129"/>
      <c r="AB46" s="129"/>
      <c r="AC46" s="129"/>
      <c r="AD46" s="129"/>
      <c r="AE46" s="168" t="s">
        <v>56</v>
      </c>
      <c r="AF46" s="145">
        <f>AF45-AF37</f>
        <v>326418.18181818182</v>
      </c>
      <c r="AG46" s="129">
        <f>K46</f>
        <v>0</v>
      </c>
      <c r="AH46" s="129"/>
      <c r="AI46" s="129"/>
      <c r="AJ46" s="129"/>
      <c r="AK46" s="129"/>
      <c r="AL46" s="129"/>
      <c r="AM46" s="168" t="s">
        <v>56</v>
      </c>
      <c r="AN46" s="145">
        <f>AN45-AN37</f>
        <v>-1702927.2727272725</v>
      </c>
      <c r="AO46" s="129">
        <f>AG46</f>
        <v>0</v>
      </c>
      <c r="AP46" s="129"/>
      <c r="AQ46" s="129"/>
      <c r="AR46" s="129"/>
      <c r="AS46" s="129"/>
      <c r="AT46" s="129"/>
      <c r="AU46" s="168" t="s">
        <v>56</v>
      </c>
      <c r="AV46" s="168"/>
      <c r="AW46" s="173"/>
      <c r="AX46" s="145">
        <f>AX45-AX37</f>
        <v>0</v>
      </c>
      <c r="AY46" s="129">
        <f>AO46</f>
        <v>0</v>
      </c>
      <c r="AZ46" s="129"/>
      <c r="BA46" s="174"/>
      <c r="BB46" s="175" t="s">
        <v>58</v>
      </c>
      <c r="BC46" s="176" t="e">
        <f>BC45/K46</f>
        <v>#DIV/0!</v>
      </c>
      <c r="BD46" s="177">
        <f>(BC37+BD37)/BC44</f>
        <v>1.2747856844587457</v>
      </c>
      <c r="BE46" s="174"/>
      <c r="BF46" s="178"/>
      <c r="BG46" s="179">
        <f>SUM(BG41:BG45)</f>
        <v>23601045.36363636</v>
      </c>
      <c r="BH46" s="180">
        <f>BL71</f>
        <v>9138052</v>
      </c>
      <c r="BI46" s="181">
        <f>BH46/BG46</f>
        <v>0.38718844268142383</v>
      </c>
      <c r="BJ46" s="182">
        <f>BG46-BH46</f>
        <v>14462993.36363636</v>
      </c>
      <c r="BN46" s="49"/>
    </row>
    <row r="47" spans="2:66" s="178" customFormat="1" ht="26" customHeight="1">
      <c r="B47" s="183"/>
      <c r="H47" s="184"/>
      <c r="I47" s="175" t="s">
        <v>58</v>
      </c>
      <c r="J47" s="185" t="e">
        <f>J46/K46</f>
        <v>#DIV/0!</v>
      </c>
      <c r="K47" s="186">
        <f>J37/J45</f>
        <v>1.0953276471811939</v>
      </c>
      <c r="L47" s="174"/>
      <c r="M47" s="174"/>
      <c r="N47" s="174"/>
      <c r="O47" s="174"/>
      <c r="P47" s="174"/>
      <c r="Q47" s="175" t="s">
        <v>58</v>
      </c>
      <c r="R47" s="176" t="e">
        <f>R46/S46</f>
        <v>#DIV/0!</v>
      </c>
      <c r="S47" s="186">
        <f>R37/R45</f>
        <v>1.1647951468260944</v>
      </c>
      <c r="T47" s="174"/>
      <c r="U47" s="174"/>
      <c r="V47" s="175" t="s">
        <v>58</v>
      </c>
      <c r="W47" s="176" t="e">
        <f>W46/X46</f>
        <v>#DIV/0!</v>
      </c>
      <c r="X47" s="186">
        <f>W37/W45</f>
        <v>1.137842826010923</v>
      </c>
      <c r="Y47" s="174"/>
      <c r="Z47" s="174"/>
      <c r="AA47" s="174"/>
      <c r="AB47" s="174"/>
      <c r="AC47" s="174"/>
      <c r="AD47" s="174"/>
      <c r="AE47" s="175" t="s">
        <v>58</v>
      </c>
      <c r="AF47" s="185" t="e">
        <f>AF46/AG46</f>
        <v>#DIV/0!</v>
      </c>
      <c r="AG47" s="186">
        <f>AF37/AF45</f>
        <v>5.4956045691424954E-2</v>
      </c>
      <c r="AH47" s="186"/>
      <c r="AI47" s="186"/>
      <c r="AJ47" s="186"/>
      <c r="AK47" s="186"/>
      <c r="AL47" s="174"/>
      <c r="AM47" s="175" t="s">
        <v>58</v>
      </c>
      <c r="AN47" s="176" t="e">
        <f>AN46/AO46</f>
        <v>#DIV/0!</v>
      </c>
      <c r="AO47" s="186">
        <f>AN37/AN45</f>
        <v>5.4861097806303283</v>
      </c>
      <c r="AP47" s="186"/>
      <c r="AQ47" s="186"/>
      <c r="AR47" s="186"/>
      <c r="AS47" s="186"/>
      <c r="AT47" s="174"/>
      <c r="AU47" s="175" t="s">
        <v>58</v>
      </c>
      <c r="AV47" s="175"/>
      <c r="AW47" s="175" t="e">
        <f>AW46/AY46</f>
        <v>#DIV/0!</v>
      </c>
      <c r="AX47" s="176" t="e">
        <f>AX46/AY46</f>
        <v>#DIV/0!</v>
      </c>
      <c r="AY47" s="186" t="e">
        <f>AX37/AX45</f>
        <v>#DIV/0!</v>
      </c>
      <c r="AZ47" s="174"/>
      <c r="BA47" s="49"/>
      <c r="BB47" s="49"/>
      <c r="BC47" s="85"/>
      <c r="BD47" s="49"/>
      <c r="BE47" s="49"/>
      <c r="BF47" s="49"/>
      <c r="BJ47" s="187"/>
      <c r="BL47" s="187"/>
    </row>
    <row r="48" spans="2:66">
      <c r="E48" s="49" t="s">
        <v>103</v>
      </c>
      <c r="H48" s="49">
        <v>931</v>
      </c>
      <c r="I48" s="49">
        <f>H48/31</f>
        <v>30.032258064516128</v>
      </c>
      <c r="K48" s="49">
        <f>J45/31</f>
        <v>105725.80645161291</v>
      </c>
      <c r="M48" s="49" t="s">
        <v>104</v>
      </c>
      <c r="P48" s="49">
        <v>557</v>
      </c>
      <c r="Q48" s="49">
        <f>P48/31</f>
        <v>17.967741935483872</v>
      </c>
      <c r="S48" s="49">
        <f>R45/31</f>
        <v>166774.19354838709</v>
      </c>
      <c r="AY48" s="49" t="e">
        <f>AX37/AW45</f>
        <v>#DIV/0!</v>
      </c>
      <c r="BA48" s="188"/>
      <c r="BB48" s="188"/>
      <c r="BC48" s="188"/>
      <c r="BD48" s="188"/>
      <c r="BE48" s="188"/>
      <c r="BF48" s="188"/>
      <c r="BJ48" s="79"/>
      <c r="BN48" s="49"/>
    </row>
    <row r="49" spans="2:64" s="188" customFormat="1" ht="24" customHeight="1">
      <c r="B49" s="189"/>
      <c r="E49" s="49" t="s">
        <v>105</v>
      </c>
      <c r="F49" s="49" t="s">
        <v>106</v>
      </c>
      <c r="G49" s="49" t="s">
        <v>107</v>
      </c>
      <c r="J49" s="190"/>
      <c r="L49" s="191"/>
      <c r="M49" s="49" t="s">
        <v>105</v>
      </c>
      <c r="N49" s="49" t="s">
        <v>106</v>
      </c>
      <c r="O49" s="49" t="s">
        <v>107</v>
      </c>
      <c r="P49" s="49"/>
      <c r="Q49" s="49"/>
      <c r="R49" s="191">
        <v>400000</v>
      </c>
      <c r="AF49" s="188">
        <f>AF45/30</f>
        <v>11513.333333333334</v>
      </c>
      <c r="AR49" s="192">
        <f>AQ14+AQ21</f>
        <v>0</v>
      </c>
      <c r="AS49" s="193" t="e">
        <f>AS14+AS21</f>
        <v>#DIV/0!</v>
      </c>
      <c r="AT49" s="193" t="e">
        <f>AU14+AU21</f>
        <v>#DIV/0!</v>
      </c>
      <c r="AX49" s="188">
        <f>AX45/30</f>
        <v>0</v>
      </c>
      <c r="BA49" s="1"/>
      <c r="BB49" s="1"/>
      <c r="BC49" s="1"/>
      <c r="BD49" s="1"/>
      <c r="BE49" s="194" t="s">
        <v>59</v>
      </c>
      <c r="BF49" s="1" t="s">
        <v>60</v>
      </c>
      <c r="BG49" s="1" t="s">
        <v>61</v>
      </c>
      <c r="BH49" s="1" t="s">
        <v>62</v>
      </c>
      <c r="BI49" s="1" t="s">
        <v>63</v>
      </c>
      <c r="BJ49" s="195" t="s">
        <v>64</v>
      </c>
      <c r="BK49" s="195" t="s">
        <v>65</v>
      </c>
      <c r="BL49" s="195" t="s">
        <v>66</v>
      </c>
    </row>
    <row r="50" spans="2:64" s="1" customFormat="1" ht="24" customHeight="1">
      <c r="B50" s="189"/>
      <c r="D50" s="188" t="s">
        <v>108</v>
      </c>
      <c r="E50" s="222">
        <f>E7+E14+E28+E21</f>
        <v>128</v>
      </c>
      <c r="F50" s="1">
        <f>F7+F14+F28+F21</f>
        <v>506640</v>
      </c>
      <c r="G50" s="190">
        <f>H7+H14+H21+H28</f>
        <v>120580</v>
      </c>
      <c r="J50" s="190"/>
      <c r="L50" s="188" t="s">
        <v>108</v>
      </c>
      <c r="M50" s="49">
        <f>M7+M14+M21+M28</f>
        <v>114</v>
      </c>
      <c r="N50" s="49">
        <f>N7+N14+N21+N28</f>
        <v>1135890</v>
      </c>
      <c r="O50" s="49">
        <f>P7+P14+P21+P28</f>
        <v>236610</v>
      </c>
      <c r="P50" s="49"/>
      <c r="Q50" s="49"/>
      <c r="R50" s="196"/>
      <c r="S50" s="196"/>
      <c r="Z50" s="197"/>
      <c r="AA50" s="197"/>
      <c r="AR50" s="1">
        <f>AR49/2</f>
        <v>0</v>
      </c>
      <c r="AS50" s="198" t="e">
        <f t="shared" ref="AS50:AT50" si="43">AS49/2</f>
        <v>#DIV/0!</v>
      </c>
      <c r="AT50" s="198" t="e">
        <f t="shared" si="43"/>
        <v>#DIV/0!</v>
      </c>
      <c r="AX50" s="1">
        <v>54000000</v>
      </c>
      <c r="AY50" s="199">
        <f>AX50-AX37</f>
        <v>54000000</v>
      </c>
      <c r="BA50" s="188"/>
      <c r="BB50" s="188"/>
      <c r="BC50" s="188"/>
      <c r="BD50" s="188"/>
      <c r="BE50" s="194" t="s">
        <v>67</v>
      </c>
      <c r="BF50" s="200">
        <v>1800</v>
      </c>
      <c r="BG50" s="200">
        <v>21</v>
      </c>
      <c r="BH50" s="201">
        <v>0</v>
      </c>
      <c r="BI50" s="200"/>
      <c r="BJ50" s="202">
        <f>BG50*BF50</f>
        <v>37800</v>
      </c>
      <c r="BK50" s="202">
        <f>BF50*BH50</f>
        <v>0</v>
      </c>
      <c r="BL50" s="202">
        <f>BJ50-BK50</f>
        <v>37800</v>
      </c>
    </row>
    <row r="51" spans="2:64" s="188" customFormat="1" ht="24" customHeight="1">
      <c r="B51" s="189"/>
      <c r="D51" s="188" t="s">
        <v>99</v>
      </c>
      <c r="E51" s="222">
        <f>E8+E15+E29+E22</f>
        <v>128</v>
      </c>
      <c r="F51" s="1">
        <f t="shared" ref="F51:F54" si="44">F8+F15+F29+F22</f>
        <v>548350</v>
      </c>
      <c r="G51" s="190">
        <f t="shared" ref="G51:G54" si="45">H8+H15+H22+H29</f>
        <v>116230</v>
      </c>
      <c r="K51" s="1"/>
      <c r="L51" s="188" t="s">
        <v>99</v>
      </c>
      <c r="M51" s="49">
        <f t="shared" ref="M51:N54" si="46">M8+M15+M22+M29</f>
        <v>92</v>
      </c>
      <c r="N51" s="49">
        <f t="shared" si="46"/>
        <v>816840</v>
      </c>
      <c r="O51" s="49">
        <f t="shared" ref="O51:O54" si="47">P8+P15+P22+P29</f>
        <v>162880</v>
      </c>
      <c r="P51" s="49"/>
      <c r="Q51" s="49"/>
      <c r="R51" s="203"/>
      <c r="S51" s="204"/>
      <c r="T51" s="204"/>
      <c r="U51" s="204" t="s">
        <v>68</v>
      </c>
      <c r="V51" s="204"/>
      <c r="W51" s="205"/>
      <c r="X51" s="206"/>
      <c r="Y51" s="194"/>
      <c r="Z51" s="202"/>
      <c r="AA51" s="202"/>
      <c r="AY51" s="188" t="e">
        <f>AY50/AY46</f>
        <v>#DIV/0!</v>
      </c>
      <c r="BE51" s="194" t="s">
        <v>69</v>
      </c>
      <c r="BF51" s="200">
        <v>10800</v>
      </c>
      <c r="BG51" s="200">
        <v>640</v>
      </c>
      <c r="BH51" s="200">
        <v>20</v>
      </c>
      <c r="BI51" s="200"/>
      <c r="BJ51" s="202">
        <f t="shared" ref="BJ51:BJ70" si="48">BF51*BG51</f>
        <v>6912000</v>
      </c>
      <c r="BK51" s="202">
        <f t="shared" ref="BK51:BK70" si="49">BF51*BH51</f>
        <v>216000</v>
      </c>
      <c r="BL51" s="202">
        <f t="shared" ref="BL51:BL70" si="50">BJ51-BK51</f>
        <v>6696000</v>
      </c>
    </row>
    <row r="52" spans="2:64" s="188" customFormat="1" ht="24" customHeight="1">
      <c r="B52" s="189"/>
      <c r="D52" s="188" t="s">
        <v>100</v>
      </c>
      <c r="E52" s="1">
        <f>E9+E16+E30+E23</f>
        <v>106</v>
      </c>
      <c r="F52" s="1">
        <f t="shared" si="44"/>
        <v>436590</v>
      </c>
      <c r="G52" s="190">
        <f t="shared" si="45"/>
        <v>89080</v>
      </c>
      <c r="K52" s="1"/>
      <c r="L52" s="188" t="s">
        <v>100</v>
      </c>
      <c r="M52" s="49">
        <f t="shared" si="46"/>
        <v>51</v>
      </c>
      <c r="N52" s="49">
        <f t="shared" si="46"/>
        <v>509160</v>
      </c>
      <c r="O52" s="49">
        <f t="shared" si="47"/>
        <v>129120</v>
      </c>
      <c r="P52" s="49"/>
      <c r="Q52" s="49"/>
      <c r="R52" s="205"/>
      <c r="S52" s="204"/>
      <c r="T52" s="204"/>
      <c r="U52" s="207" t="s">
        <v>70</v>
      </c>
      <c r="V52" s="208" t="s">
        <v>71</v>
      </c>
      <c r="W52" s="209"/>
      <c r="X52" s="210" t="e">
        <f>W52/Y52</f>
        <v>#DIV/0!</v>
      </c>
      <c r="Y52" s="211">
        <f>W52+W53</f>
        <v>0</v>
      </c>
      <c r="Z52" s="212"/>
      <c r="AA52" s="212"/>
      <c r="AB52" s="212"/>
      <c r="BE52" s="194" t="s">
        <v>72</v>
      </c>
      <c r="BF52" s="200">
        <v>6120</v>
      </c>
      <c r="BG52" s="200">
        <v>40</v>
      </c>
      <c r="BH52" s="200">
        <v>4</v>
      </c>
      <c r="BI52" s="200"/>
      <c r="BJ52" s="202">
        <f t="shared" si="48"/>
        <v>244800</v>
      </c>
      <c r="BK52" s="202">
        <f t="shared" si="49"/>
        <v>24480</v>
      </c>
      <c r="BL52" s="202">
        <f t="shared" si="50"/>
        <v>220320</v>
      </c>
    </row>
    <row r="53" spans="2:64" s="188" customFormat="1" ht="24" customHeight="1">
      <c r="B53" s="189"/>
      <c r="D53" s="188" t="s">
        <v>101</v>
      </c>
      <c r="E53" s="1">
        <f>E10+E17+E31+E24</f>
        <v>84</v>
      </c>
      <c r="F53" s="1">
        <f t="shared" si="44"/>
        <v>331690</v>
      </c>
      <c r="G53" s="190">
        <f t="shared" si="45"/>
        <v>39420</v>
      </c>
      <c r="K53" s="1"/>
      <c r="L53" s="188" t="s">
        <v>101</v>
      </c>
      <c r="M53" s="49">
        <f t="shared" si="46"/>
        <v>53</v>
      </c>
      <c r="N53" s="49">
        <f t="shared" si="46"/>
        <v>479840</v>
      </c>
      <c r="O53" s="49">
        <f t="shared" si="47"/>
        <v>151080</v>
      </c>
      <c r="P53" s="49"/>
      <c r="Q53" s="49"/>
      <c r="R53" s="205"/>
      <c r="S53" s="204"/>
      <c r="T53" s="204"/>
      <c r="U53" s="207"/>
      <c r="V53" s="208" t="s">
        <v>73</v>
      </c>
      <c r="W53" s="209"/>
      <c r="X53" s="210" t="e">
        <f>W53/Y52</f>
        <v>#DIV/0!</v>
      </c>
      <c r="Y53" s="212"/>
      <c r="Z53" s="212"/>
      <c r="AA53" s="212"/>
      <c r="AB53" s="212"/>
      <c r="AV53" s="188">
        <v>4670600</v>
      </c>
      <c r="AW53" s="188">
        <v>19016645.454545453</v>
      </c>
      <c r="AX53" s="188">
        <v>16482254.545454545</v>
      </c>
      <c r="AY53" s="188">
        <v>6958118.1818181816</v>
      </c>
      <c r="BC53" s="188" t="s">
        <v>74</v>
      </c>
      <c r="BE53" s="194" t="s">
        <v>75</v>
      </c>
      <c r="BF53" s="200">
        <v>1780</v>
      </c>
      <c r="BG53" s="200">
        <v>24</v>
      </c>
      <c r="BH53" s="200">
        <v>4</v>
      </c>
      <c r="BI53" s="200"/>
      <c r="BJ53" s="202">
        <f t="shared" si="48"/>
        <v>42720</v>
      </c>
      <c r="BK53" s="202">
        <f t="shared" si="49"/>
        <v>7120</v>
      </c>
      <c r="BL53" s="202">
        <f t="shared" si="50"/>
        <v>35600</v>
      </c>
    </row>
    <row r="54" spans="2:64" s="188" customFormat="1" ht="24" customHeight="1">
      <c r="B54" s="189"/>
      <c r="D54" s="188" t="s">
        <v>102</v>
      </c>
      <c r="E54" s="1">
        <f t="shared" ref="E54" si="51">E11+E18+E32+E25</f>
        <v>101</v>
      </c>
      <c r="F54" s="1">
        <f t="shared" si="44"/>
        <v>390500</v>
      </c>
      <c r="G54" s="190">
        <f t="shared" si="45"/>
        <v>61440</v>
      </c>
      <c r="K54" s="1"/>
      <c r="L54" s="188" t="s">
        <v>102</v>
      </c>
      <c r="M54" s="49">
        <f t="shared" si="46"/>
        <v>48</v>
      </c>
      <c r="N54" s="49">
        <f t="shared" si="46"/>
        <v>452020</v>
      </c>
      <c r="O54" s="49">
        <f t="shared" si="47"/>
        <v>121050</v>
      </c>
      <c r="P54" s="49"/>
      <c r="Q54" s="49"/>
      <c r="R54" s="205"/>
      <c r="S54" s="204"/>
      <c r="T54" s="204"/>
      <c r="U54" s="213" t="s">
        <v>76</v>
      </c>
      <c r="V54" s="208" t="s">
        <v>71</v>
      </c>
      <c r="W54" s="209"/>
      <c r="X54" s="210" t="e">
        <f t="shared" ref="X54" si="52">W54/Y54</f>
        <v>#DIV/0!</v>
      </c>
      <c r="Y54" s="211">
        <f t="shared" ref="Y54" si="53">W54+W55</f>
        <v>0</v>
      </c>
      <c r="Z54" s="212"/>
      <c r="AA54" s="212"/>
      <c r="AB54" s="212"/>
      <c r="BE54" s="194" t="s">
        <v>77</v>
      </c>
      <c r="BF54" s="200">
        <v>1780</v>
      </c>
      <c r="BG54" s="200">
        <v>24</v>
      </c>
      <c r="BH54" s="200">
        <v>20</v>
      </c>
      <c r="BI54" s="200"/>
      <c r="BJ54" s="202">
        <f t="shared" si="48"/>
        <v>42720</v>
      </c>
      <c r="BK54" s="202">
        <f t="shared" si="49"/>
        <v>35600</v>
      </c>
      <c r="BL54" s="202">
        <f t="shared" si="50"/>
        <v>7120</v>
      </c>
    </row>
    <row r="55" spans="2:64" s="188" customFormat="1" ht="24" customHeight="1">
      <c r="B55" s="189"/>
      <c r="D55" s="188" t="s">
        <v>109</v>
      </c>
      <c r="E55" s="222">
        <f>E12+E19+E33+E26+E5</f>
        <v>95</v>
      </c>
      <c r="F55" s="190">
        <f>F12+F19+F33+F26+F5</f>
        <v>390600</v>
      </c>
      <c r="G55" s="190">
        <f>H12+H19+H26+H33+H5</f>
        <v>56490</v>
      </c>
      <c r="L55" s="188" t="s">
        <v>109</v>
      </c>
      <c r="M55" s="155">
        <f>M12+M19+M26+M33+M5</f>
        <v>70</v>
      </c>
      <c r="N55" s="49">
        <f>N12+N19+N26+N33+N5</f>
        <v>601260</v>
      </c>
      <c r="O55" s="85">
        <f>P12+P19+P26+P33+P5</f>
        <v>98140</v>
      </c>
      <c r="P55" s="49"/>
      <c r="Q55" s="49"/>
      <c r="R55" s="214"/>
      <c r="S55" s="204"/>
      <c r="T55" s="204"/>
      <c r="U55" s="213"/>
      <c r="V55" s="208" t="s">
        <v>73</v>
      </c>
      <c r="W55" s="209"/>
      <c r="X55" s="210" t="e">
        <f t="shared" ref="X55" si="54">W55/Y54</f>
        <v>#DIV/0!</v>
      </c>
      <c r="Y55" s="212"/>
      <c r="Z55" s="212"/>
      <c r="AA55" s="212"/>
      <c r="AB55" s="212"/>
      <c r="AX55" s="200">
        <f>AX36 +1000</f>
        <v>1000</v>
      </c>
      <c r="AY55" s="190">
        <f>'[1]2025(5)'!AX34+'[1]2025(5)'!AX35</f>
        <v>2847290</v>
      </c>
      <c r="BA55" s="85">
        <f>AX55+AY55</f>
        <v>2848290</v>
      </c>
      <c r="BB55" s="49"/>
      <c r="BC55" s="49"/>
      <c r="BD55" s="49"/>
      <c r="BE55" s="194" t="s">
        <v>78</v>
      </c>
      <c r="BF55" s="215">
        <v>8190</v>
      </c>
      <c r="BG55" s="200">
        <v>13</v>
      </c>
      <c r="BH55" s="200">
        <v>4</v>
      </c>
      <c r="BI55" s="200"/>
      <c r="BJ55" s="202">
        <f t="shared" si="48"/>
        <v>106470</v>
      </c>
      <c r="BK55" s="202">
        <f t="shared" si="49"/>
        <v>32760</v>
      </c>
      <c r="BL55" s="202">
        <f t="shared" si="50"/>
        <v>73710</v>
      </c>
    </row>
    <row r="56" spans="2:64" ht="24" customHeight="1">
      <c r="D56" s="188" t="s">
        <v>98</v>
      </c>
      <c r="E56" s="222">
        <f>E13+E20+E34+E27+E6</f>
        <v>149</v>
      </c>
      <c r="F56" s="190">
        <f>F13+F20+F34+F27+F6</f>
        <v>591510</v>
      </c>
      <c r="G56" s="190">
        <f>H13+H20+H27+H34+H6</f>
        <v>100080</v>
      </c>
      <c r="L56" s="188" t="s">
        <v>98</v>
      </c>
      <c r="M56" s="155">
        <f>M13+M20+M27+M34+M6</f>
        <v>121</v>
      </c>
      <c r="N56" s="49">
        <f>N13+N20+N27+N34+N6</f>
        <v>1067390</v>
      </c>
      <c r="O56" s="85">
        <f>P13+P20+P27+P34+P6</f>
        <v>419610</v>
      </c>
      <c r="U56" s="216" t="s">
        <v>2</v>
      </c>
      <c r="V56" s="217" t="s">
        <v>71</v>
      </c>
      <c r="W56" s="209"/>
      <c r="X56" s="210" t="e">
        <f t="shared" ref="X56:X58" si="55">W56/Y56</f>
        <v>#DIV/0!</v>
      </c>
      <c r="Y56" s="211">
        <f t="shared" ref="Y56" si="56">W56+W57</f>
        <v>0</v>
      </c>
      <c r="Z56" s="212"/>
      <c r="AA56" s="212"/>
      <c r="AB56" s="212"/>
      <c r="AX56" s="215"/>
      <c r="AY56" s="163"/>
      <c r="BA56" s="85">
        <f>BA55-BA57</f>
        <v>-8193350</v>
      </c>
      <c r="BE56" s="194" t="s">
        <v>79</v>
      </c>
      <c r="BF56" s="215">
        <v>5784</v>
      </c>
      <c r="BG56" s="215">
        <v>36</v>
      </c>
      <c r="BH56" s="215">
        <v>28</v>
      </c>
      <c r="BI56" s="215"/>
      <c r="BJ56" s="202">
        <f t="shared" si="48"/>
        <v>208224</v>
      </c>
      <c r="BK56" s="202">
        <f t="shared" si="49"/>
        <v>161952</v>
      </c>
      <c r="BL56" s="202">
        <f t="shared" si="50"/>
        <v>46272</v>
      </c>
    </row>
    <row r="57" spans="2:64" ht="24" customHeight="1">
      <c r="U57" s="216"/>
      <c r="V57" s="217" t="s">
        <v>73</v>
      </c>
      <c r="W57" s="209"/>
      <c r="X57" s="210" t="e">
        <f t="shared" ref="X57:X59" si="57">W57/Y56</f>
        <v>#DIV/0!</v>
      </c>
      <c r="Y57" s="212"/>
      <c r="Z57" s="212"/>
      <c r="AA57" s="212"/>
      <c r="AB57" s="212"/>
      <c r="AX57" s="215">
        <v>10513690</v>
      </c>
      <c r="AY57" s="163">
        <v>527950</v>
      </c>
      <c r="BA57" s="85">
        <f t="shared" ref="BA57" si="58">AX57+AY57</f>
        <v>11041640</v>
      </c>
      <c r="BE57" s="194" t="s">
        <v>80</v>
      </c>
      <c r="BF57" s="215">
        <v>6775</v>
      </c>
      <c r="BG57" s="215">
        <v>12</v>
      </c>
      <c r="BH57" s="215">
        <v>11</v>
      </c>
      <c r="BI57" s="215"/>
      <c r="BJ57" s="202">
        <f t="shared" si="48"/>
        <v>81300</v>
      </c>
      <c r="BK57" s="202">
        <f t="shared" si="49"/>
        <v>74525</v>
      </c>
      <c r="BL57" s="202">
        <f t="shared" si="50"/>
        <v>6775</v>
      </c>
    </row>
    <row r="58" spans="2:64" ht="24" customHeight="1">
      <c r="U58" s="218" t="s">
        <v>81</v>
      </c>
      <c r="V58" s="217" t="s">
        <v>71</v>
      </c>
      <c r="W58" s="209"/>
      <c r="X58" s="210" t="e">
        <f t="shared" si="55"/>
        <v>#DIV/0!</v>
      </c>
      <c r="Y58" s="219">
        <f>SUM(Y52:AB56)</f>
        <v>0</v>
      </c>
      <c r="Z58" s="220"/>
      <c r="AA58" s="220"/>
      <c r="AB58" s="220"/>
      <c r="AX58" s="215"/>
      <c r="BA58" s="49">
        <f>BA55/BA57</f>
        <v>0.25795896261787199</v>
      </c>
      <c r="BE58" s="194" t="s">
        <v>82</v>
      </c>
      <c r="BF58" s="215">
        <v>1755</v>
      </c>
      <c r="BG58" s="215">
        <v>14</v>
      </c>
      <c r="BH58" s="215">
        <v>2</v>
      </c>
      <c r="BI58" s="215"/>
      <c r="BJ58" s="202">
        <f t="shared" si="48"/>
        <v>24570</v>
      </c>
      <c r="BK58" s="202">
        <f t="shared" si="49"/>
        <v>3510</v>
      </c>
      <c r="BL58" s="202">
        <f t="shared" si="50"/>
        <v>21060</v>
      </c>
    </row>
    <row r="59" spans="2:64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8"/>
      <c r="V59" s="217" t="s">
        <v>73</v>
      </c>
      <c r="W59" s="209"/>
      <c r="X59" s="210" t="e">
        <f t="shared" si="57"/>
        <v>#DIV/0!</v>
      </c>
      <c r="Y59" s="220"/>
      <c r="Z59" s="220"/>
      <c r="AA59" s="220"/>
      <c r="AB59" s="220"/>
      <c r="AX59" s="215"/>
      <c r="BE59" s="194" t="s">
        <v>83</v>
      </c>
      <c r="BF59" s="215">
        <v>1755</v>
      </c>
      <c r="BG59" s="215">
        <v>10</v>
      </c>
      <c r="BH59" s="215">
        <v>0</v>
      </c>
      <c r="BI59" s="215"/>
      <c r="BJ59" s="202">
        <f t="shared" si="48"/>
        <v>17550</v>
      </c>
      <c r="BK59" s="202">
        <f t="shared" si="49"/>
        <v>0</v>
      </c>
      <c r="BL59" s="202">
        <f t="shared" si="50"/>
        <v>17550</v>
      </c>
    </row>
    <row r="60" spans="2:64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E60" s="194" t="s">
        <v>84</v>
      </c>
      <c r="BF60" s="215">
        <v>1075</v>
      </c>
      <c r="BG60" s="215">
        <v>96</v>
      </c>
      <c r="BH60" s="215">
        <v>38</v>
      </c>
      <c r="BI60" s="215"/>
      <c r="BJ60" s="202">
        <f t="shared" si="48"/>
        <v>103200</v>
      </c>
      <c r="BK60" s="202">
        <f t="shared" si="49"/>
        <v>40850</v>
      </c>
      <c r="BL60" s="202">
        <f t="shared" si="50"/>
        <v>62350</v>
      </c>
    </row>
    <row r="61" spans="2:64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E61" s="194" t="s">
        <v>85</v>
      </c>
      <c r="BF61" s="215">
        <v>3860</v>
      </c>
      <c r="BG61" s="215">
        <v>166</v>
      </c>
      <c r="BH61" s="215">
        <v>13</v>
      </c>
      <c r="BI61" s="215"/>
      <c r="BJ61" s="202">
        <f t="shared" si="48"/>
        <v>640760</v>
      </c>
      <c r="BK61" s="202">
        <f t="shared" si="49"/>
        <v>50180</v>
      </c>
      <c r="BL61" s="202">
        <f t="shared" si="50"/>
        <v>590580</v>
      </c>
    </row>
    <row r="62" spans="2:64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E62" s="194" t="s">
        <v>86</v>
      </c>
      <c r="BF62" s="215">
        <v>6450</v>
      </c>
      <c r="BG62" s="215">
        <v>137</v>
      </c>
      <c r="BH62" s="215">
        <v>12</v>
      </c>
      <c r="BI62" s="215"/>
      <c r="BJ62" s="202">
        <f t="shared" si="48"/>
        <v>883650</v>
      </c>
      <c r="BK62" s="202">
        <f t="shared" si="49"/>
        <v>77400</v>
      </c>
      <c r="BL62" s="202">
        <f t="shared" si="50"/>
        <v>806250</v>
      </c>
    </row>
    <row r="63" spans="2:64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E63" s="194" t="s">
        <v>87</v>
      </c>
      <c r="BF63" s="215">
        <v>1380</v>
      </c>
      <c r="BG63" s="215">
        <v>35</v>
      </c>
      <c r="BH63" s="215">
        <v>5</v>
      </c>
      <c r="BI63" s="215"/>
      <c r="BJ63" s="202">
        <f t="shared" si="48"/>
        <v>48300</v>
      </c>
      <c r="BK63" s="202">
        <f t="shared" si="49"/>
        <v>6900</v>
      </c>
      <c r="BL63" s="202">
        <f t="shared" si="50"/>
        <v>41400</v>
      </c>
    </row>
    <row r="64" spans="2:64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E64" s="194" t="s">
        <v>88</v>
      </c>
      <c r="BF64" s="215">
        <v>1380</v>
      </c>
      <c r="BG64" s="215">
        <v>39</v>
      </c>
      <c r="BH64" s="215">
        <v>6</v>
      </c>
      <c r="BI64" s="215"/>
      <c r="BJ64" s="202">
        <f t="shared" si="48"/>
        <v>53820</v>
      </c>
      <c r="BK64" s="202">
        <f t="shared" si="49"/>
        <v>8280</v>
      </c>
      <c r="BL64" s="202">
        <f t="shared" si="50"/>
        <v>45540</v>
      </c>
    </row>
    <row r="65" spans="6:64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E65" s="194" t="s">
        <v>89</v>
      </c>
      <c r="BF65" s="215">
        <v>160</v>
      </c>
      <c r="BG65" s="215">
        <v>594</v>
      </c>
      <c r="BH65" s="215">
        <v>53</v>
      </c>
      <c r="BI65" s="215"/>
      <c r="BJ65" s="202">
        <f t="shared" si="48"/>
        <v>95040</v>
      </c>
      <c r="BK65" s="202">
        <f t="shared" si="49"/>
        <v>8480</v>
      </c>
      <c r="BL65" s="202">
        <f t="shared" si="50"/>
        <v>86560</v>
      </c>
    </row>
    <row r="66" spans="6:64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E66" s="194" t="s">
        <v>90</v>
      </c>
      <c r="BF66" s="215">
        <v>160</v>
      </c>
      <c r="BG66" s="215">
        <v>300</v>
      </c>
      <c r="BH66" s="215">
        <v>47</v>
      </c>
      <c r="BI66" s="215"/>
      <c r="BJ66" s="202">
        <f t="shared" si="48"/>
        <v>48000</v>
      </c>
      <c r="BK66" s="202">
        <f t="shared" si="49"/>
        <v>7520</v>
      </c>
      <c r="BL66" s="202">
        <f t="shared" si="50"/>
        <v>40480</v>
      </c>
    </row>
    <row r="67" spans="6:64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E67" s="194" t="s">
        <v>91</v>
      </c>
      <c r="BF67" s="215">
        <v>205</v>
      </c>
      <c r="BG67" s="215">
        <v>366</v>
      </c>
      <c r="BH67" s="215">
        <v>49</v>
      </c>
      <c r="BI67" s="215"/>
      <c r="BJ67" s="202">
        <f t="shared" si="48"/>
        <v>75030</v>
      </c>
      <c r="BK67" s="202">
        <f t="shared" si="49"/>
        <v>10045</v>
      </c>
      <c r="BL67" s="202">
        <f t="shared" si="50"/>
        <v>64985</v>
      </c>
    </row>
    <row r="68" spans="6:64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E68" s="194" t="s">
        <v>92</v>
      </c>
      <c r="BF68" s="215">
        <v>295</v>
      </c>
      <c r="BG68" s="215">
        <v>612</v>
      </c>
      <c r="BH68" s="215">
        <v>86</v>
      </c>
      <c r="BI68" s="215"/>
      <c r="BJ68" s="202">
        <f t="shared" si="48"/>
        <v>180540</v>
      </c>
      <c r="BK68" s="202">
        <f t="shared" si="49"/>
        <v>25370</v>
      </c>
      <c r="BL68" s="202">
        <f t="shared" si="50"/>
        <v>155170</v>
      </c>
    </row>
    <row r="69" spans="6:64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E69" s="194" t="s">
        <v>93</v>
      </c>
      <c r="BF69" s="215">
        <v>70</v>
      </c>
      <c r="BG69" s="215">
        <v>480</v>
      </c>
      <c r="BH69" s="215">
        <v>71</v>
      </c>
      <c r="BI69" s="215"/>
      <c r="BJ69" s="202">
        <f t="shared" si="48"/>
        <v>33600</v>
      </c>
      <c r="BK69" s="202">
        <f t="shared" si="49"/>
        <v>4970</v>
      </c>
      <c r="BL69" s="202">
        <f t="shared" si="50"/>
        <v>28630</v>
      </c>
    </row>
    <row r="70" spans="6:64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E70" s="194" t="s">
        <v>94</v>
      </c>
      <c r="BF70" s="215">
        <v>2450</v>
      </c>
      <c r="BG70" s="215">
        <v>31</v>
      </c>
      <c r="BH70" s="215">
        <v>9</v>
      </c>
      <c r="BI70" s="215"/>
      <c r="BJ70" s="202">
        <f t="shared" si="48"/>
        <v>75950</v>
      </c>
      <c r="BK70" s="202">
        <f t="shared" si="49"/>
        <v>22050</v>
      </c>
      <c r="BL70" s="202">
        <f t="shared" si="50"/>
        <v>53900</v>
      </c>
    </row>
    <row r="71" spans="6:64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E71" s="194"/>
      <c r="BJ71" s="221">
        <f>SUM(BJ50:BJ70)</f>
        <v>9956044</v>
      </c>
      <c r="BK71" s="221">
        <f t="shared" ref="BK71:BL71" si="59">SUM(BK50:BK70)</f>
        <v>817992</v>
      </c>
      <c r="BL71" s="221">
        <f t="shared" si="59"/>
        <v>9138052</v>
      </c>
    </row>
    <row r="72" spans="6:64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E72" s="194"/>
    </row>
    <row r="73" spans="6:64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E73" s="194"/>
    </row>
    <row r="74" spans="6:64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E74" s="194"/>
    </row>
    <row r="75" spans="6:64" ht="24" customHeight="1">
      <c r="F75" s="49">
        <v>625.79999999999995</v>
      </c>
      <c r="N75" s="49">
        <v>1707.5</v>
      </c>
      <c r="BE75" s="194"/>
    </row>
    <row r="76" spans="6:64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E76" s="194"/>
    </row>
    <row r="77" spans="6:64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 ht="24" customHeight="1">
      <c r="BE181" s="194"/>
    </row>
    <row r="182" spans="57:57" ht="24" customHeight="1">
      <c r="BE182" s="194"/>
    </row>
    <row r="183" spans="57:57" ht="24" customHeight="1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  <row r="222" spans="57:57">
      <c r="BE222" s="194"/>
    </row>
    <row r="223" spans="57:57">
      <c r="BE223" s="194"/>
    </row>
    <row r="224" spans="57:57">
      <c r="BE224" s="194"/>
    </row>
  </sheetData>
  <mergeCells count="22">
    <mergeCell ref="U58:U59"/>
    <mergeCell ref="Y58:AB59"/>
    <mergeCell ref="U52:U53"/>
    <mergeCell ref="Y52:AB53"/>
    <mergeCell ref="U54:U55"/>
    <mergeCell ref="Y54:AB55"/>
    <mergeCell ref="U56:U57"/>
    <mergeCell ref="Y56:AB57"/>
    <mergeCell ref="AP3:AY3"/>
    <mergeCell ref="AZ3:BD3"/>
    <mergeCell ref="BE3:BL3"/>
    <mergeCell ref="D40:K44"/>
    <mergeCell ref="L40:S44"/>
    <mergeCell ref="Y40:AG44"/>
    <mergeCell ref="AH40:AO44"/>
    <mergeCell ref="AP40:AY44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19D-CDAF-0C4B-92A6-8F82029F6B7F}">
  <dimension ref="A1:BP221"/>
  <sheetViews>
    <sheetView tabSelected="1" workbookViewId="0">
      <selection activeCell="D7" sqref="D7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7.1406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3" width="7.5703125" style="49" customWidth="1"/>
    <col min="44" max="44" width="15.85546875" style="49" customWidth="1"/>
    <col min="45" max="47" width="7.5703125" style="49" customWidth="1"/>
    <col min="48" max="49" width="9.140625" style="49" customWidth="1"/>
    <col min="50" max="50" width="11.28515625" style="49" customWidth="1"/>
    <col min="51" max="51" width="9.85546875" style="49" customWidth="1"/>
    <col min="52" max="52" width="6.570312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2026</v>
      </c>
      <c r="B2" s="6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116</v>
      </c>
      <c r="Z3" s="15"/>
      <c r="AA3" s="15"/>
      <c r="AB3" s="15"/>
      <c r="AC3" s="15"/>
      <c r="AD3" s="15"/>
      <c r="AE3" s="15"/>
      <c r="AF3" s="15"/>
      <c r="AG3" s="16"/>
      <c r="AH3" s="17" t="s">
        <v>6</v>
      </c>
      <c r="AI3" s="18"/>
      <c r="AJ3" s="18"/>
      <c r="AK3" s="18"/>
      <c r="AL3" s="18"/>
      <c r="AM3" s="18"/>
      <c r="AN3" s="18"/>
      <c r="AO3" s="19"/>
      <c r="AP3" s="20" t="s">
        <v>97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111</v>
      </c>
      <c r="BA3" s="14"/>
      <c r="BB3" s="14"/>
      <c r="BC3" s="14"/>
      <c r="BD3" s="24"/>
      <c r="BE3" s="25" t="s">
        <v>95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7</v>
      </c>
      <c r="D4" s="30" t="s">
        <v>8</v>
      </c>
      <c r="E4" s="31" t="s">
        <v>9</v>
      </c>
      <c r="F4" s="30" t="s">
        <v>10</v>
      </c>
      <c r="G4" s="32" t="s">
        <v>11</v>
      </c>
      <c r="H4" s="30" t="s">
        <v>12</v>
      </c>
      <c r="I4" s="33" t="s">
        <v>13</v>
      </c>
      <c r="J4" s="31" t="s">
        <v>14</v>
      </c>
      <c r="K4" s="30" t="s">
        <v>15</v>
      </c>
      <c r="L4" s="30" t="s">
        <v>16</v>
      </c>
      <c r="M4" s="34" t="s">
        <v>9</v>
      </c>
      <c r="N4" s="30" t="s">
        <v>10</v>
      </c>
      <c r="O4" s="32" t="s">
        <v>11</v>
      </c>
      <c r="P4" s="30" t="s">
        <v>12</v>
      </c>
      <c r="Q4" s="33" t="s">
        <v>13</v>
      </c>
      <c r="R4" s="31" t="s">
        <v>14</v>
      </c>
      <c r="S4" s="35" t="s">
        <v>15</v>
      </c>
      <c r="T4" s="36" t="s">
        <v>17</v>
      </c>
      <c r="U4" s="37" t="s">
        <v>18</v>
      </c>
      <c r="V4" s="37" t="s">
        <v>19</v>
      </c>
      <c r="W4" s="38" t="s">
        <v>20</v>
      </c>
      <c r="X4" s="37"/>
      <c r="Y4" s="39" t="s">
        <v>21</v>
      </c>
      <c r="Z4" s="37" t="s">
        <v>9</v>
      </c>
      <c r="AA4" s="37" t="s">
        <v>22</v>
      </c>
      <c r="AB4" s="37" t="s">
        <v>18</v>
      </c>
      <c r="AC4" s="40" t="s">
        <v>23</v>
      </c>
      <c r="AD4" s="37" t="s">
        <v>19</v>
      </c>
      <c r="AE4" s="38" t="s">
        <v>24</v>
      </c>
      <c r="AF4" s="41" t="s">
        <v>25</v>
      </c>
      <c r="AG4" s="42" t="s">
        <v>15</v>
      </c>
      <c r="AH4" s="43" t="s">
        <v>26</v>
      </c>
      <c r="AI4" s="30" t="s">
        <v>9</v>
      </c>
      <c r="AJ4" s="30" t="s">
        <v>18</v>
      </c>
      <c r="AK4" s="32" t="s">
        <v>23</v>
      </c>
      <c r="AL4" s="30" t="s">
        <v>19</v>
      </c>
      <c r="AM4" s="33" t="s">
        <v>24</v>
      </c>
      <c r="AN4" s="34" t="s">
        <v>25</v>
      </c>
      <c r="AO4" s="40" t="s">
        <v>15</v>
      </c>
      <c r="AP4" s="44" t="s">
        <v>26</v>
      </c>
      <c r="AQ4" s="30" t="s">
        <v>9</v>
      </c>
      <c r="AR4" s="30" t="s">
        <v>18</v>
      </c>
      <c r="AS4" s="32" t="s">
        <v>23</v>
      </c>
      <c r="AT4" s="30" t="s">
        <v>19</v>
      </c>
      <c r="AU4" s="33" t="s">
        <v>24</v>
      </c>
      <c r="AV4" s="33" t="s">
        <v>27</v>
      </c>
      <c r="AW4" s="33" t="s">
        <v>28</v>
      </c>
      <c r="AX4" s="34" t="s">
        <v>25</v>
      </c>
      <c r="AY4" s="40" t="s">
        <v>15</v>
      </c>
      <c r="AZ4" s="40" t="s">
        <v>17</v>
      </c>
      <c r="BA4" s="37" t="s">
        <v>18</v>
      </c>
      <c r="BB4" s="37" t="s">
        <v>19</v>
      </c>
      <c r="BC4" s="38" t="s">
        <v>20</v>
      </c>
      <c r="BD4" s="38" t="s">
        <v>29</v>
      </c>
      <c r="BE4" s="45" t="s">
        <v>30</v>
      </c>
      <c r="BF4" s="46" t="s">
        <v>31</v>
      </c>
      <c r="BG4" s="46" t="s">
        <v>32</v>
      </c>
      <c r="BH4" s="46" t="s">
        <v>33</v>
      </c>
      <c r="BI4" s="46" t="s">
        <v>34</v>
      </c>
      <c r="BJ4" s="46" t="s">
        <v>35</v>
      </c>
      <c r="BK4" s="46" t="s">
        <v>36</v>
      </c>
      <c r="BL4" s="47" t="s">
        <v>37</v>
      </c>
      <c r="BN4" s="48"/>
    </row>
    <row r="5" spans="1:68" ht="20" customHeight="1" thickTop="1">
      <c r="B5" s="226">
        <f>DATE($A$2,$B$2,1)</f>
        <v>46054</v>
      </c>
      <c r="C5" s="51"/>
      <c r="D5" s="52"/>
      <c r="E5" s="53">
        <v>35</v>
      </c>
      <c r="F5" s="54">
        <v>160380</v>
      </c>
      <c r="G5" s="55">
        <f t="shared" ref="G5:G32" si="0">ROUNDDOWN(F5/1.1,0)/E5</f>
        <v>4165.7142857142853</v>
      </c>
      <c r="H5" s="54">
        <v>27130</v>
      </c>
      <c r="I5" s="56">
        <f>ROUNDDOWN(H5/1.1,0)/E5</f>
        <v>704.65714285714284</v>
      </c>
      <c r="J5" s="57">
        <f t="shared" ref="J5:J32" si="1">F5+H5</f>
        <v>187510</v>
      </c>
      <c r="K5" s="58">
        <f t="shared" ref="K5:K32" si="2">IF(E5="","",J5/E5)</f>
        <v>5357.4285714285716</v>
      </c>
      <c r="L5" s="59"/>
      <c r="M5" s="60">
        <f t="shared" ref="M5:N32" si="3">BE5-E5</f>
        <v>29</v>
      </c>
      <c r="N5" s="61">
        <f t="shared" si="3"/>
        <v>291170</v>
      </c>
      <c r="O5" s="55">
        <f t="shared" ref="O5:O32" si="4">ROUNDDOWN(N5/1.1,0)/M5</f>
        <v>9127.5862068965525</v>
      </c>
      <c r="P5" s="61">
        <f t="shared" ref="P5:P32" si="5">BG5-H5</f>
        <v>63590</v>
      </c>
      <c r="Q5" s="56">
        <f t="shared" ref="Q5:Q32" si="6">ROUNDDOWN(P5/1.1,0)/M5</f>
        <v>1993.4137931034484</v>
      </c>
      <c r="R5" s="62">
        <f t="shared" ref="R5:R32" si="7">N5+P5</f>
        <v>354760</v>
      </c>
      <c r="S5" s="58">
        <f t="shared" ref="S5:S32" si="8">IF(M5="","",R5/M5)</f>
        <v>12233.103448275862</v>
      </c>
      <c r="T5" s="63">
        <f t="shared" ref="T5:U32" si="9">E5+M5</f>
        <v>64</v>
      </c>
      <c r="U5" s="61">
        <f t="shared" si="9"/>
        <v>451550</v>
      </c>
      <c r="V5" s="61">
        <f t="shared" ref="V5:V32" si="10">H5+P5</f>
        <v>90720</v>
      </c>
      <c r="W5" s="64">
        <f t="shared" ref="W5:W32" si="11">J5+R5</f>
        <v>542270</v>
      </c>
      <c r="X5" s="61"/>
      <c r="Y5" s="65"/>
      <c r="Z5" s="66">
        <v>4</v>
      </c>
      <c r="AA5" s="66"/>
      <c r="AB5" s="54">
        <v>0</v>
      </c>
      <c r="AC5" s="55">
        <f t="shared" ref="AC5:AC32" si="12">AB5/Z5</f>
        <v>0</v>
      </c>
      <c r="AD5" s="54">
        <v>11000</v>
      </c>
      <c r="AE5" s="56">
        <f t="shared" ref="AE5:AE32" si="13">AD5/Z5</f>
        <v>2750</v>
      </c>
      <c r="AF5" s="67">
        <f t="shared" ref="AF5:AF32" si="14">AB5+AD5</f>
        <v>11000</v>
      </c>
      <c r="AG5" s="58">
        <f t="shared" ref="AG5:AG32" si="15">IF(Z5="","",AF5/Z5)</f>
        <v>2750</v>
      </c>
      <c r="AH5" s="68"/>
      <c r="AI5" s="66"/>
      <c r="AJ5" s="54"/>
      <c r="AK5" s="55" t="e">
        <f t="shared" ref="AK5:AK32" si="16">AJ5/AI5</f>
        <v>#DIV/0!</v>
      </c>
      <c r="AL5" s="54"/>
      <c r="AM5" s="56" t="e">
        <f t="shared" ref="AM5:AM32" si="17">AL5/AI5</f>
        <v>#DIV/0!</v>
      </c>
      <c r="AN5" s="67">
        <f>AJ5+AL5</f>
        <v>0</v>
      </c>
      <c r="AO5" s="69" t="str">
        <f t="shared" ref="AO5:AO32" si="18">IF(AI5="","",AN5/AI5)</f>
        <v/>
      </c>
      <c r="AP5" s="70"/>
      <c r="AQ5" s="66"/>
      <c r="AR5" s="54"/>
      <c r="AS5" s="55" t="e">
        <f t="shared" ref="AS5:AS32" si="19">AR5/AQ5</f>
        <v>#DIV/0!</v>
      </c>
      <c r="AT5" s="54"/>
      <c r="AU5" s="56" t="e">
        <f t="shared" ref="AU5:AU32" si="20">AT5/AQ5</f>
        <v>#DIV/0!</v>
      </c>
      <c r="AV5" s="56"/>
      <c r="AW5" s="56"/>
      <c r="AX5" s="71">
        <f>AR5+AT5+AV5+AW5</f>
        <v>0</v>
      </c>
      <c r="AY5" s="69" t="str">
        <f t="shared" ref="AY5:AY32" si="21">IF(AQ5="","",AX5/AQ5)</f>
        <v/>
      </c>
      <c r="AZ5" s="72">
        <f t="shared" ref="AZ5:AZ32" si="22">SUM(E5,M5)</f>
        <v>64</v>
      </c>
      <c r="BA5" s="61">
        <f t="shared" ref="BA5:BA31" si="23">U5+AB5+AJ5+AR5</f>
        <v>451550</v>
      </c>
      <c r="BB5" s="61">
        <f t="shared" ref="BB5:BB32" si="24">V5+AD5+AL5+AT5</f>
        <v>101720</v>
      </c>
      <c r="BC5" s="73">
        <f t="shared" ref="BC5:BC10" si="25">W5+AF5+AN5+AX5-BO5</f>
        <v>553270</v>
      </c>
      <c r="BD5" s="74">
        <f>BH5+BI5</f>
        <v>7150</v>
      </c>
      <c r="BE5" s="75">
        <v>64</v>
      </c>
      <c r="BF5" s="76">
        <v>451550</v>
      </c>
      <c r="BG5" s="76">
        <v>90720</v>
      </c>
      <c r="BH5" s="77">
        <v>7150</v>
      </c>
      <c r="BI5" s="77"/>
      <c r="BJ5" s="77"/>
      <c r="BK5" s="77"/>
      <c r="BL5" s="78">
        <f>SUM(BF5:BI5)</f>
        <v>549420</v>
      </c>
      <c r="BM5" s="49">
        <v>1</v>
      </c>
      <c r="BN5" s="79">
        <f t="shared" ref="BN5:BN31" si="26">BK5+BL5</f>
        <v>549420</v>
      </c>
    </row>
    <row r="6" spans="1:68" ht="20" customHeight="1">
      <c r="B6" s="80">
        <f t="shared" ref="B6:B32" si="27">B5+1</f>
        <v>46055</v>
      </c>
      <c r="C6" s="81"/>
      <c r="D6" s="52"/>
      <c r="E6" s="53">
        <v>26</v>
      </c>
      <c r="F6" s="54">
        <v>111210</v>
      </c>
      <c r="G6" s="55">
        <f t="shared" si="0"/>
        <v>3888.4615384615386</v>
      </c>
      <c r="H6" s="54">
        <v>15370</v>
      </c>
      <c r="I6" s="56">
        <f t="shared" ref="I6:I32" si="28">ROUNDDOWN(H6/1.1,0)/E6</f>
        <v>537.38461538461536</v>
      </c>
      <c r="J6" s="57">
        <f t="shared" si="1"/>
        <v>126580</v>
      </c>
      <c r="K6" s="58">
        <f t="shared" si="2"/>
        <v>4868.4615384615381</v>
      </c>
      <c r="L6" s="59"/>
      <c r="M6" s="60">
        <f t="shared" si="3"/>
        <v>12</v>
      </c>
      <c r="N6" s="61">
        <f t="shared" si="3"/>
        <v>98560</v>
      </c>
      <c r="O6" s="55">
        <f t="shared" si="4"/>
        <v>7466.666666666667</v>
      </c>
      <c r="P6" s="61">
        <f t="shared" si="5"/>
        <v>33000</v>
      </c>
      <c r="Q6" s="56">
        <f t="shared" si="6"/>
        <v>2500</v>
      </c>
      <c r="R6" s="62">
        <f t="shared" si="7"/>
        <v>131560</v>
      </c>
      <c r="S6" s="58">
        <f t="shared" si="8"/>
        <v>10963.333333333334</v>
      </c>
      <c r="T6" s="82">
        <f t="shared" si="9"/>
        <v>38</v>
      </c>
      <c r="U6" s="61">
        <f t="shared" si="9"/>
        <v>209770</v>
      </c>
      <c r="V6" s="61">
        <f t="shared" si="10"/>
        <v>48370</v>
      </c>
      <c r="W6" s="64">
        <f t="shared" si="11"/>
        <v>258140</v>
      </c>
      <c r="X6" s="83"/>
      <c r="Y6" s="65"/>
      <c r="Z6" s="66">
        <v>0</v>
      </c>
      <c r="AA6" s="66"/>
      <c r="AB6" s="54">
        <v>0</v>
      </c>
      <c r="AC6" s="55" t="e">
        <f t="shared" si="12"/>
        <v>#DIV/0!</v>
      </c>
      <c r="AD6" s="54">
        <v>0</v>
      </c>
      <c r="AE6" s="56" t="e">
        <f t="shared" si="13"/>
        <v>#DIV/0!</v>
      </c>
      <c r="AF6" s="67">
        <f>AB6+AD6</f>
        <v>0</v>
      </c>
      <c r="AG6" s="58" t="e">
        <f t="shared" si="15"/>
        <v>#DIV/0!</v>
      </c>
      <c r="AH6" s="68"/>
      <c r="AI6" s="66">
        <v>16</v>
      </c>
      <c r="AJ6" s="54">
        <v>90480</v>
      </c>
      <c r="AK6" s="55">
        <f t="shared" si="16"/>
        <v>5655</v>
      </c>
      <c r="AL6" s="54">
        <v>20880</v>
      </c>
      <c r="AM6" s="56">
        <f t="shared" si="17"/>
        <v>1305</v>
      </c>
      <c r="AN6" s="67">
        <f t="shared" ref="AN6:AN32" si="29">AJ6+AL6</f>
        <v>111360</v>
      </c>
      <c r="AO6" s="69">
        <f t="shared" si="18"/>
        <v>6960</v>
      </c>
      <c r="AP6" s="70"/>
      <c r="AQ6" s="66"/>
      <c r="AR6" s="54"/>
      <c r="AS6" s="55" t="e">
        <f t="shared" si="19"/>
        <v>#DIV/0!</v>
      </c>
      <c r="AT6" s="54"/>
      <c r="AU6" s="56" t="e">
        <f t="shared" si="20"/>
        <v>#DIV/0!</v>
      </c>
      <c r="AV6" s="56"/>
      <c r="AW6" s="56"/>
      <c r="AX6" s="71">
        <f t="shared" ref="AX6:AX32" si="30">AR6+AT6+AV6+AW6</f>
        <v>0</v>
      </c>
      <c r="AY6" s="69" t="str">
        <f t="shared" si="21"/>
        <v/>
      </c>
      <c r="AZ6" s="84">
        <f t="shared" si="22"/>
        <v>38</v>
      </c>
      <c r="BA6" s="61">
        <f t="shared" si="23"/>
        <v>300250</v>
      </c>
      <c r="BB6" s="61">
        <f t="shared" si="24"/>
        <v>69250</v>
      </c>
      <c r="BC6" s="73">
        <f t="shared" si="25"/>
        <v>369500</v>
      </c>
      <c r="BD6" s="74">
        <f>BH6+BI6</f>
        <v>0</v>
      </c>
      <c r="BE6" s="75">
        <v>38</v>
      </c>
      <c r="BF6" s="76">
        <v>209770</v>
      </c>
      <c r="BG6" s="76">
        <v>48370</v>
      </c>
      <c r="BH6" s="77">
        <v>0</v>
      </c>
      <c r="BI6" s="77"/>
      <c r="BJ6" s="77"/>
      <c r="BK6" s="77"/>
      <c r="BL6" s="78">
        <f t="shared" ref="BL6:BL31" si="31">SUM(BF6:BI6)</f>
        <v>258140</v>
      </c>
      <c r="BM6" s="49">
        <v>2</v>
      </c>
      <c r="BN6" s="79">
        <f t="shared" si="26"/>
        <v>258140</v>
      </c>
    </row>
    <row r="7" spans="1:68" ht="20" customHeight="1">
      <c r="B7" s="80">
        <f>B6+1</f>
        <v>46056</v>
      </c>
      <c r="C7" s="81"/>
      <c r="D7" s="52"/>
      <c r="E7" s="53">
        <v>30</v>
      </c>
      <c r="F7" s="54">
        <v>130350</v>
      </c>
      <c r="G7" s="55">
        <f t="shared" si="0"/>
        <v>3950</v>
      </c>
      <c r="H7" s="54">
        <v>15420</v>
      </c>
      <c r="I7" s="56">
        <f t="shared" si="28"/>
        <v>467.26666666666665</v>
      </c>
      <c r="J7" s="57">
        <f t="shared" si="1"/>
        <v>145770</v>
      </c>
      <c r="K7" s="58">
        <f t="shared" si="2"/>
        <v>4859</v>
      </c>
      <c r="L7" s="59"/>
      <c r="M7" s="60">
        <f>BE7-E7</f>
        <v>24</v>
      </c>
      <c r="N7" s="61">
        <f t="shared" si="3"/>
        <v>170280</v>
      </c>
      <c r="O7" s="55">
        <f t="shared" si="4"/>
        <v>6450</v>
      </c>
      <c r="P7" s="61">
        <f t="shared" si="5"/>
        <v>40420</v>
      </c>
      <c r="Q7" s="56">
        <f t="shared" si="6"/>
        <v>1531.0416666666667</v>
      </c>
      <c r="R7" s="62">
        <f t="shared" si="7"/>
        <v>210700</v>
      </c>
      <c r="S7" s="58">
        <f t="shared" si="8"/>
        <v>8779.1666666666661</v>
      </c>
      <c r="T7" s="82">
        <f t="shared" si="9"/>
        <v>54</v>
      </c>
      <c r="U7" s="61">
        <f t="shared" si="9"/>
        <v>300630</v>
      </c>
      <c r="V7" s="61">
        <f t="shared" si="10"/>
        <v>55840</v>
      </c>
      <c r="W7" s="64">
        <f t="shared" si="11"/>
        <v>356470</v>
      </c>
      <c r="X7" s="83"/>
      <c r="Y7" s="65"/>
      <c r="Z7" s="66">
        <v>0</v>
      </c>
      <c r="AA7" s="66"/>
      <c r="AB7" s="54"/>
      <c r="AC7" s="55" t="e">
        <f t="shared" si="12"/>
        <v>#DIV/0!</v>
      </c>
      <c r="AD7" s="54"/>
      <c r="AE7" s="56" t="e">
        <f t="shared" si="13"/>
        <v>#DIV/0!</v>
      </c>
      <c r="AF7" s="67">
        <f t="shared" si="14"/>
        <v>0</v>
      </c>
      <c r="AG7" s="58" t="e">
        <f t="shared" si="15"/>
        <v>#DIV/0!</v>
      </c>
      <c r="AH7" s="68"/>
      <c r="AI7" s="66"/>
      <c r="AJ7" s="54"/>
      <c r="AK7" s="55" t="e">
        <f t="shared" si="16"/>
        <v>#DIV/0!</v>
      </c>
      <c r="AL7" s="54"/>
      <c r="AM7" s="56" t="e">
        <f t="shared" si="17"/>
        <v>#DIV/0!</v>
      </c>
      <c r="AN7" s="67">
        <f t="shared" si="29"/>
        <v>0</v>
      </c>
      <c r="AO7" s="69" t="str">
        <f t="shared" si="18"/>
        <v/>
      </c>
      <c r="AP7" s="70"/>
      <c r="AQ7" s="66"/>
      <c r="AR7" s="54"/>
      <c r="AS7" s="55" t="e">
        <f t="shared" si="19"/>
        <v>#DIV/0!</v>
      </c>
      <c r="AT7" s="54"/>
      <c r="AU7" s="56" t="e">
        <f t="shared" si="20"/>
        <v>#DIV/0!</v>
      </c>
      <c r="AV7" s="56"/>
      <c r="AW7" s="56"/>
      <c r="AX7" s="71">
        <f t="shared" si="30"/>
        <v>0</v>
      </c>
      <c r="AY7" s="69" t="str">
        <f t="shared" si="21"/>
        <v/>
      </c>
      <c r="AZ7" s="84">
        <f t="shared" si="22"/>
        <v>54</v>
      </c>
      <c r="BA7" s="61">
        <f t="shared" si="23"/>
        <v>300630</v>
      </c>
      <c r="BB7" s="61">
        <f t="shared" si="24"/>
        <v>55840</v>
      </c>
      <c r="BC7" s="73">
        <f t="shared" si="25"/>
        <v>356070</v>
      </c>
      <c r="BD7" s="74">
        <f t="shared" ref="BD7:BD29" si="32">BH7+BI7</f>
        <v>4400</v>
      </c>
      <c r="BE7" s="75">
        <v>54</v>
      </c>
      <c r="BF7" s="76">
        <v>300630</v>
      </c>
      <c r="BG7" s="76">
        <v>55840</v>
      </c>
      <c r="BH7" s="77">
        <v>4400</v>
      </c>
      <c r="BI7" s="77"/>
      <c r="BJ7" s="77">
        <v>3300</v>
      </c>
      <c r="BK7" s="77"/>
      <c r="BL7" s="78">
        <f>SUM(BF7:BI7)</f>
        <v>360870</v>
      </c>
      <c r="BM7" s="49">
        <v>3</v>
      </c>
      <c r="BN7" s="79">
        <f t="shared" si="26"/>
        <v>360870</v>
      </c>
      <c r="BO7" s="49">
        <v>400</v>
      </c>
    </row>
    <row r="8" spans="1:68" ht="20" customHeight="1">
      <c r="B8" s="80">
        <f t="shared" si="27"/>
        <v>46057</v>
      </c>
      <c r="C8" s="81"/>
      <c r="D8" s="52"/>
      <c r="E8" s="53">
        <v>36</v>
      </c>
      <c r="F8" s="54">
        <f>55880+88000</f>
        <v>143880</v>
      </c>
      <c r="G8" s="55">
        <f t="shared" si="0"/>
        <v>3633.3333333333335</v>
      </c>
      <c r="H8" s="54">
        <f>9080+12000</f>
        <v>21080</v>
      </c>
      <c r="I8" s="56">
        <f t="shared" si="28"/>
        <v>532.30555555555554</v>
      </c>
      <c r="J8" s="57">
        <f t="shared" si="1"/>
        <v>164960</v>
      </c>
      <c r="K8" s="58">
        <f t="shared" si="2"/>
        <v>4582.2222222222226</v>
      </c>
      <c r="L8" s="59"/>
      <c r="M8" s="60">
        <f>BE8-E8</f>
        <v>31</v>
      </c>
      <c r="N8" s="61">
        <f t="shared" si="3"/>
        <v>355140</v>
      </c>
      <c r="O8" s="55">
        <f t="shared" si="4"/>
        <v>10414.645161290322</v>
      </c>
      <c r="P8" s="61">
        <f t="shared" si="5"/>
        <v>39810</v>
      </c>
      <c r="Q8" s="56">
        <f t="shared" si="6"/>
        <v>1167.4193548387098</v>
      </c>
      <c r="R8" s="62">
        <f t="shared" si="7"/>
        <v>394950</v>
      </c>
      <c r="S8" s="58">
        <f t="shared" si="8"/>
        <v>12740.322580645161</v>
      </c>
      <c r="T8" s="82">
        <f t="shared" si="9"/>
        <v>67</v>
      </c>
      <c r="U8" s="61">
        <f t="shared" si="9"/>
        <v>499020</v>
      </c>
      <c r="V8" s="61">
        <f t="shared" si="10"/>
        <v>60890</v>
      </c>
      <c r="W8" s="64">
        <f t="shared" si="11"/>
        <v>559910</v>
      </c>
      <c r="X8" s="83"/>
      <c r="Y8" s="65"/>
      <c r="Z8" s="66">
        <v>6</v>
      </c>
      <c r="AA8" s="66"/>
      <c r="AB8" s="54">
        <v>2860</v>
      </c>
      <c r="AC8" s="55">
        <f t="shared" si="12"/>
        <v>476.66666666666669</v>
      </c>
      <c r="AD8" s="54">
        <v>8600</v>
      </c>
      <c r="AE8" s="56">
        <f t="shared" si="13"/>
        <v>1433.3333333333333</v>
      </c>
      <c r="AF8" s="67">
        <f t="shared" si="14"/>
        <v>11460</v>
      </c>
      <c r="AG8" s="58">
        <f t="shared" si="15"/>
        <v>1910</v>
      </c>
      <c r="AH8" s="68"/>
      <c r="AI8" s="66"/>
      <c r="AJ8" s="54"/>
      <c r="AK8" s="55" t="e">
        <f t="shared" si="16"/>
        <v>#DIV/0!</v>
      </c>
      <c r="AL8" s="54"/>
      <c r="AM8" s="56" t="e">
        <f t="shared" si="17"/>
        <v>#DIV/0!</v>
      </c>
      <c r="AN8" s="67">
        <f t="shared" si="29"/>
        <v>0</v>
      </c>
      <c r="AO8" s="69" t="str">
        <f t="shared" si="18"/>
        <v/>
      </c>
      <c r="AP8" s="70"/>
      <c r="AQ8" s="66"/>
      <c r="AR8" s="54"/>
      <c r="AS8" s="55" t="e">
        <f t="shared" si="19"/>
        <v>#DIV/0!</v>
      </c>
      <c r="AT8" s="54"/>
      <c r="AU8" s="56" t="e">
        <f t="shared" si="20"/>
        <v>#DIV/0!</v>
      </c>
      <c r="AV8" s="56"/>
      <c r="AW8" s="56"/>
      <c r="AX8" s="71">
        <f t="shared" si="30"/>
        <v>0</v>
      </c>
      <c r="AY8" s="69" t="str">
        <f t="shared" si="21"/>
        <v/>
      </c>
      <c r="AZ8" s="84">
        <f t="shared" si="22"/>
        <v>67</v>
      </c>
      <c r="BA8" s="61">
        <f t="shared" si="23"/>
        <v>501880</v>
      </c>
      <c r="BB8" s="61">
        <f t="shared" si="24"/>
        <v>69490</v>
      </c>
      <c r="BC8" s="73">
        <f t="shared" si="25"/>
        <v>571370</v>
      </c>
      <c r="BD8" s="74">
        <f t="shared" si="32"/>
        <v>4950</v>
      </c>
      <c r="BE8" s="75">
        <f>67</f>
        <v>67</v>
      </c>
      <c r="BF8" s="76">
        <f>499020</f>
        <v>499020</v>
      </c>
      <c r="BG8" s="76">
        <f>60890</f>
        <v>60890</v>
      </c>
      <c r="BH8" s="77">
        <v>4950</v>
      </c>
      <c r="BI8" s="77"/>
      <c r="BJ8" s="77"/>
      <c r="BK8" s="77"/>
      <c r="BL8" s="78">
        <f>SUM(BF8:BI8)</f>
        <v>564860</v>
      </c>
      <c r="BM8" s="49">
        <v>4</v>
      </c>
      <c r="BN8" s="79">
        <f t="shared" si="26"/>
        <v>564860</v>
      </c>
      <c r="BO8" s="85"/>
      <c r="BP8" s="85"/>
    </row>
    <row r="9" spans="1:68" ht="20" customHeight="1">
      <c r="B9" s="80">
        <f t="shared" si="27"/>
        <v>46058</v>
      </c>
      <c r="C9" s="81"/>
      <c r="D9" s="52"/>
      <c r="E9" s="53">
        <v>30</v>
      </c>
      <c r="F9" s="54">
        <v>119680</v>
      </c>
      <c r="G9" s="55">
        <f t="shared" si="0"/>
        <v>3626.6666666666665</v>
      </c>
      <c r="H9" s="54">
        <v>19200</v>
      </c>
      <c r="I9" s="56">
        <f t="shared" si="28"/>
        <v>581.79999999999995</v>
      </c>
      <c r="J9" s="57">
        <f t="shared" si="1"/>
        <v>138880</v>
      </c>
      <c r="K9" s="58">
        <f t="shared" si="2"/>
        <v>4629.333333333333</v>
      </c>
      <c r="L9" s="59"/>
      <c r="M9" s="60">
        <f t="shared" si="3"/>
        <v>31</v>
      </c>
      <c r="N9" s="61">
        <f>BF9-F9</f>
        <v>376200</v>
      </c>
      <c r="O9" s="55">
        <f t="shared" si="4"/>
        <v>11032.258064516129</v>
      </c>
      <c r="P9" s="61">
        <f t="shared" si="5"/>
        <v>54550</v>
      </c>
      <c r="Q9" s="56">
        <f>ROUNDDOWN(P9/1.1,0)/M9</f>
        <v>1599.6774193548388</v>
      </c>
      <c r="R9" s="62">
        <f t="shared" si="7"/>
        <v>430750</v>
      </c>
      <c r="S9" s="58">
        <f t="shared" si="8"/>
        <v>13895.161290322581</v>
      </c>
      <c r="T9" s="82">
        <f t="shared" si="9"/>
        <v>61</v>
      </c>
      <c r="U9" s="61">
        <f t="shared" si="9"/>
        <v>495880</v>
      </c>
      <c r="V9" s="61">
        <f t="shared" si="10"/>
        <v>73750</v>
      </c>
      <c r="W9" s="64">
        <f t="shared" si="11"/>
        <v>569630</v>
      </c>
      <c r="X9" s="83"/>
      <c r="Y9" s="65"/>
      <c r="Z9" s="66">
        <v>4</v>
      </c>
      <c r="AA9" s="66"/>
      <c r="AB9" s="54">
        <v>3650</v>
      </c>
      <c r="AC9" s="55">
        <f t="shared" si="12"/>
        <v>912.5</v>
      </c>
      <c r="AD9" s="54">
        <v>7150</v>
      </c>
      <c r="AE9" s="56">
        <f t="shared" si="13"/>
        <v>1787.5</v>
      </c>
      <c r="AF9" s="67">
        <f t="shared" si="14"/>
        <v>10800</v>
      </c>
      <c r="AG9" s="58">
        <f t="shared" si="15"/>
        <v>2700</v>
      </c>
      <c r="AH9" s="68"/>
      <c r="AI9" s="66">
        <v>21</v>
      </c>
      <c r="AJ9" s="54"/>
      <c r="AK9" s="55">
        <f t="shared" si="16"/>
        <v>0</v>
      </c>
      <c r="AL9" s="54">
        <v>10059</v>
      </c>
      <c r="AM9" s="56">
        <f t="shared" si="17"/>
        <v>479</v>
      </c>
      <c r="AN9" s="67">
        <f t="shared" si="29"/>
        <v>10059</v>
      </c>
      <c r="AO9" s="69">
        <f t="shared" si="18"/>
        <v>479</v>
      </c>
      <c r="AP9" s="70"/>
      <c r="AQ9" s="66"/>
      <c r="AR9" s="54"/>
      <c r="AS9" s="55" t="e">
        <f t="shared" si="19"/>
        <v>#DIV/0!</v>
      </c>
      <c r="AT9" s="54"/>
      <c r="AU9" s="56" t="e">
        <f t="shared" si="20"/>
        <v>#DIV/0!</v>
      </c>
      <c r="AV9" s="56"/>
      <c r="AW9" s="56"/>
      <c r="AX9" s="71">
        <f t="shared" si="30"/>
        <v>0</v>
      </c>
      <c r="AY9" s="69" t="str">
        <f>IF(AQ9="","",AX9/AQ9)</f>
        <v/>
      </c>
      <c r="AZ9" s="84">
        <f t="shared" si="22"/>
        <v>61</v>
      </c>
      <c r="BA9" s="61">
        <f t="shared" si="23"/>
        <v>499530</v>
      </c>
      <c r="BB9" s="61">
        <f t="shared" si="24"/>
        <v>90959</v>
      </c>
      <c r="BC9" s="73">
        <f t="shared" si="25"/>
        <v>590489</v>
      </c>
      <c r="BD9" s="74">
        <f>BH9+BI9</f>
        <v>1650</v>
      </c>
      <c r="BE9" s="75">
        <v>61</v>
      </c>
      <c r="BF9" s="76">
        <v>495880</v>
      </c>
      <c r="BG9" s="76">
        <v>73750</v>
      </c>
      <c r="BH9" s="77">
        <v>1650</v>
      </c>
      <c r="BI9" s="77"/>
      <c r="BJ9" s="77"/>
      <c r="BK9" s="77"/>
      <c r="BL9" s="78">
        <f t="shared" si="31"/>
        <v>571280</v>
      </c>
      <c r="BM9" s="49">
        <v>5</v>
      </c>
      <c r="BN9" s="79">
        <f t="shared" si="26"/>
        <v>571280</v>
      </c>
    </row>
    <row r="10" spans="1:68" ht="19.5" customHeight="1">
      <c r="B10" s="80">
        <f t="shared" si="27"/>
        <v>46059</v>
      </c>
      <c r="C10" s="81"/>
      <c r="D10" s="52"/>
      <c r="E10" s="53">
        <v>27</v>
      </c>
      <c r="F10" s="54">
        <v>135080</v>
      </c>
      <c r="G10" s="55">
        <f t="shared" si="0"/>
        <v>4548.1481481481478</v>
      </c>
      <c r="H10" s="54">
        <v>15180</v>
      </c>
      <c r="I10" s="56">
        <f t="shared" si="28"/>
        <v>511.11111111111109</v>
      </c>
      <c r="J10" s="57">
        <f t="shared" si="1"/>
        <v>150260</v>
      </c>
      <c r="K10" s="58">
        <f t="shared" si="2"/>
        <v>5565.1851851851852</v>
      </c>
      <c r="L10" s="59"/>
      <c r="M10" s="60">
        <f t="shared" si="3"/>
        <v>34</v>
      </c>
      <c r="N10" s="61">
        <f t="shared" si="3"/>
        <v>321970</v>
      </c>
      <c r="O10" s="55">
        <f t="shared" si="4"/>
        <v>8608.823529411764</v>
      </c>
      <c r="P10" s="61">
        <f t="shared" si="5"/>
        <v>84290</v>
      </c>
      <c r="Q10" s="56">
        <f t="shared" si="6"/>
        <v>2253.7352941176468</v>
      </c>
      <c r="R10" s="62">
        <f t="shared" si="7"/>
        <v>406260</v>
      </c>
      <c r="S10" s="58">
        <f t="shared" si="8"/>
        <v>11948.823529411764</v>
      </c>
      <c r="T10" s="82">
        <f t="shared" si="9"/>
        <v>61</v>
      </c>
      <c r="U10" s="61">
        <f t="shared" si="9"/>
        <v>457050</v>
      </c>
      <c r="V10" s="61">
        <f t="shared" si="10"/>
        <v>99470</v>
      </c>
      <c r="W10" s="64">
        <f t="shared" si="11"/>
        <v>556520</v>
      </c>
      <c r="X10" s="83"/>
      <c r="Y10" s="65"/>
      <c r="Z10" s="66">
        <v>4</v>
      </c>
      <c r="AA10" s="66"/>
      <c r="AB10" s="54">
        <v>3900</v>
      </c>
      <c r="AC10" s="55">
        <f t="shared" si="12"/>
        <v>975</v>
      </c>
      <c r="AD10" s="54">
        <v>5620</v>
      </c>
      <c r="AE10" s="56">
        <f t="shared" si="13"/>
        <v>1405</v>
      </c>
      <c r="AF10" s="67">
        <f t="shared" si="14"/>
        <v>9520</v>
      </c>
      <c r="AG10" s="58">
        <f t="shared" si="15"/>
        <v>2380</v>
      </c>
      <c r="AH10" s="68"/>
      <c r="AI10" s="66">
        <v>11</v>
      </c>
      <c r="AJ10" s="54"/>
      <c r="AK10" s="55">
        <f t="shared" si="16"/>
        <v>0</v>
      </c>
      <c r="AL10" s="54">
        <v>5269</v>
      </c>
      <c r="AM10" s="56">
        <f t="shared" si="17"/>
        <v>479</v>
      </c>
      <c r="AN10" s="67">
        <f t="shared" si="29"/>
        <v>5269</v>
      </c>
      <c r="AO10" s="69">
        <f t="shared" si="18"/>
        <v>479</v>
      </c>
      <c r="AP10" s="70"/>
      <c r="AQ10" s="66"/>
      <c r="AR10" s="54"/>
      <c r="AS10" s="55" t="e">
        <f t="shared" si="19"/>
        <v>#DIV/0!</v>
      </c>
      <c r="AT10" s="54"/>
      <c r="AU10" s="56" t="e">
        <f t="shared" si="20"/>
        <v>#DIV/0!</v>
      </c>
      <c r="AV10" s="56"/>
      <c r="AW10" s="56"/>
      <c r="AX10" s="71">
        <f t="shared" si="30"/>
        <v>0</v>
      </c>
      <c r="AY10" s="69" t="str">
        <f t="shared" si="21"/>
        <v/>
      </c>
      <c r="AZ10" s="84">
        <f t="shared" si="22"/>
        <v>61</v>
      </c>
      <c r="BA10" s="61">
        <f t="shared" si="23"/>
        <v>460950</v>
      </c>
      <c r="BB10" s="61">
        <f t="shared" si="24"/>
        <v>110359</v>
      </c>
      <c r="BC10" s="73">
        <f t="shared" si="25"/>
        <v>571309</v>
      </c>
      <c r="BD10" s="74">
        <f t="shared" si="32"/>
        <v>3300</v>
      </c>
      <c r="BE10" s="75">
        <v>61</v>
      </c>
      <c r="BF10" s="76">
        <v>457050</v>
      </c>
      <c r="BG10" s="76">
        <v>99470</v>
      </c>
      <c r="BH10" s="77">
        <v>3300</v>
      </c>
      <c r="BI10" s="77"/>
      <c r="BJ10" s="77"/>
      <c r="BK10" s="77"/>
      <c r="BL10" s="78">
        <f t="shared" si="31"/>
        <v>559820</v>
      </c>
      <c r="BM10" s="49">
        <v>6</v>
      </c>
      <c r="BN10" s="79">
        <f t="shared" si="26"/>
        <v>559820</v>
      </c>
    </row>
    <row r="11" spans="1:68" ht="20" customHeight="1">
      <c r="B11" s="227">
        <f t="shared" si="27"/>
        <v>46060</v>
      </c>
      <c r="C11" s="81"/>
      <c r="D11" s="52"/>
      <c r="E11" s="53">
        <v>32</v>
      </c>
      <c r="F11" s="54">
        <v>156530</v>
      </c>
      <c r="G11" s="55">
        <f t="shared" si="0"/>
        <v>4446.875</v>
      </c>
      <c r="H11" s="54">
        <v>29720</v>
      </c>
      <c r="I11" s="56">
        <f t="shared" si="28"/>
        <v>844.3125</v>
      </c>
      <c r="J11" s="57">
        <f t="shared" si="1"/>
        <v>186250</v>
      </c>
      <c r="K11" s="58">
        <f t="shared" si="2"/>
        <v>5820.3125</v>
      </c>
      <c r="L11" s="59"/>
      <c r="M11" s="60">
        <f t="shared" si="3"/>
        <v>31</v>
      </c>
      <c r="N11" s="61">
        <f t="shared" si="3"/>
        <v>345430</v>
      </c>
      <c r="O11" s="55">
        <f t="shared" si="4"/>
        <v>10129.903225806451</v>
      </c>
      <c r="P11" s="61">
        <f t="shared" si="5"/>
        <v>74350</v>
      </c>
      <c r="Q11" s="56">
        <f t="shared" si="6"/>
        <v>2180.3225806451615</v>
      </c>
      <c r="R11" s="62">
        <f t="shared" si="7"/>
        <v>419780</v>
      </c>
      <c r="S11" s="58">
        <f t="shared" si="8"/>
        <v>13541.290322580646</v>
      </c>
      <c r="T11" s="82">
        <f t="shared" si="9"/>
        <v>63</v>
      </c>
      <c r="U11" s="61">
        <f t="shared" si="9"/>
        <v>501960</v>
      </c>
      <c r="V11" s="61">
        <f t="shared" si="10"/>
        <v>104070</v>
      </c>
      <c r="W11" s="64">
        <f t="shared" si="11"/>
        <v>606030</v>
      </c>
      <c r="X11" s="83"/>
      <c r="Y11" s="65"/>
      <c r="Z11" s="66">
        <v>0</v>
      </c>
      <c r="AA11" s="66"/>
      <c r="AB11" s="54"/>
      <c r="AC11" s="55" t="e">
        <f t="shared" si="12"/>
        <v>#DIV/0!</v>
      </c>
      <c r="AD11" s="54"/>
      <c r="AE11" s="56" t="e">
        <f t="shared" si="13"/>
        <v>#DIV/0!</v>
      </c>
      <c r="AF11" s="67">
        <f t="shared" si="14"/>
        <v>0</v>
      </c>
      <c r="AG11" s="58" t="e">
        <f t="shared" si="15"/>
        <v>#DIV/0!</v>
      </c>
      <c r="AH11" s="68"/>
      <c r="AI11" s="66">
        <v>6</v>
      </c>
      <c r="AJ11" s="54"/>
      <c r="AK11" s="55">
        <f t="shared" si="16"/>
        <v>0</v>
      </c>
      <c r="AL11" s="54">
        <v>2874</v>
      </c>
      <c r="AM11" s="56">
        <f t="shared" si="17"/>
        <v>479</v>
      </c>
      <c r="AN11" s="67">
        <f t="shared" si="29"/>
        <v>2874</v>
      </c>
      <c r="AO11" s="69">
        <f t="shared" si="18"/>
        <v>479</v>
      </c>
      <c r="AP11" s="70"/>
      <c r="AQ11" s="66"/>
      <c r="AR11" s="54"/>
      <c r="AS11" s="55" t="e">
        <f t="shared" si="19"/>
        <v>#DIV/0!</v>
      </c>
      <c r="AT11" s="54"/>
      <c r="AU11" s="56" t="e">
        <f t="shared" si="20"/>
        <v>#DIV/0!</v>
      </c>
      <c r="AV11" s="56"/>
      <c r="AW11" s="56"/>
      <c r="AX11" s="71">
        <f t="shared" si="30"/>
        <v>0</v>
      </c>
      <c r="AY11" s="69" t="str">
        <f t="shared" si="21"/>
        <v/>
      </c>
      <c r="AZ11" s="84">
        <f t="shared" si="22"/>
        <v>63</v>
      </c>
      <c r="BA11" s="61">
        <f t="shared" si="23"/>
        <v>501960</v>
      </c>
      <c r="BB11" s="61">
        <f>V11+AD11+AL11+AT11</f>
        <v>106944</v>
      </c>
      <c r="BC11" s="73">
        <f>W11+AF11+AN11+AX11-BO11</f>
        <v>608904</v>
      </c>
      <c r="BD11" s="74">
        <f>BH11+BI11</f>
        <v>4400</v>
      </c>
      <c r="BE11" s="75">
        <v>63</v>
      </c>
      <c r="BF11" s="76">
        <v>501960</v>
      </c>
      <c r="BG11" s="76">
        <v>104070</v>
      </c>
      <c r="BH11" s="77">
        <v>4400</v>
      </c>
      <c r="BI11" s="77"/>
      <c r="BJ11" s="77"/>
      <c r="BK11" s="77"/>
      <c r="BL11" s="78">
        <f t="shared" si="31"/>
        <v>610430</v>
      </c>
      <c r="BM11" s="49">
        <v>7</v>
      </c>
      <c r="BN11" s="79">
        <f t="shared" si="26"/>
        <v>610430</v>
      </c>
    </row>
    <row r="12" spans="1:68" ht="20" customHeight="1">
      <c r="B12" s="228">
        <f t="shared" si="27"/>
        <v>46061</v>
      </c>
      <c r="C12" s="86"/>
      <c r="D12" s="52"/>
      <c r="E12" s="53">
        <v>37</v>
      </c>
      <c r="F12" s="54">
        <v>206690</v>
      </c>
      <c r="G12" s="55">
        <f t="shared" si="0"/>
        <v>5078.3783783783783</v>
      </c>
      <c r="H12" s="54">
        <v>45090</v>
      </c>
      <c r="I12" s="56">
        <f t="shared" si="28"/>
        <v>1107.8378378378379</v>
      </c>
      <c r="J12" s="57">
        <f t="shared" si="1"/>
        <v>251780</v>
      </c>
      <c r="K12" s="58">
        <f t="shared" si="2"/>
        <v>6804.864864864865</v>
      </c>
      <c r="L12" s="59"/>
      <c r="M12" s="60">
        <f t="shared" si="3"/>
        <v>37</v>
      </c>
      <c r="N12" s="61">
        <f t="shared" si="3"/>
        <v>388550</v>
      </c>
      <c r="O12" s="55">
        <f t="shared" si="4"/>
        <v>9546.6756756756749</v>
      </c>
      <c r="P12" s="61">
        <f t="shared" si="5"/>
        <v>98230</v>
      </c>
      <c r="Q12" s="87">
        <f t="shared" si="6"/>
        <v>2413.5135135135133</v>
      </c>
      <c r="R12" s="62">
        <f t="shared" si="7"/>
        <v>486780</v>
      </c>
      <c r="S12" s="58">
        <f t="shared" si="8"/>
        <v>13156.216216216217</v>
      </c>
      <c r="T12" s="82">
        <f t="shared" si="9"/>
        <v>74</v>
      </c>
      <c r="U12" s="61">
        <f t="shared" si="9"/>
        <v>595240</v>
      </c>
      <c r="V12" s="61">
        <f t="shared" si="10"/>
        <v>143320</v>
      </c>
      <c r="W12" s="64">
        <f t="shared" si="11"/>
        <v>738560</v>
      </c>
      <c r="X12" s="83"/>
      <c r="Y12" s="65"/>
      <c r="Z12" s="66">
        <v>2</v>
      </c>
      <c r="AA12" s="66"/>
      <c r="AB12" s="54">
        <v>660</v>
      </c>
      <c r="AC12" s="55">
        <f t="shared" si="12"/>
        <v>330</v>
      </c>
      <c r="AD12" s="54">
        <v>3300</v>
      </c>
      <c r="AE12" s="56">
        <f t="shared" si="13"/>
        <v>1650</v>
      </c>
      <c r="AF12" s="67">
        <f t="shared" si="14"/>
        <v>3960</v>
      </c>
      <c r="AG12" s="58">
        <f t="shared" si="15"/>
        <v>1980</v>
      </c>
      <c r="AH12" s="68"/>
      <c r="AI12" s="66">
        <v>6</v>
      </c>
      <c r="AJ12" s="54"/>
      <c r="AK12" s="55">
        <f t="shared" si="16"/>
        <v>0</v>
      </c>
      <c r="AL12" s="54">
        <v>2874</v>
      </c>
      <c r="AM12" s="56">
        <f t="shared" si="17"/>
        <v>479</v>
      </c>
      <c r="AN12" s="67">
        <f t="shared" si="29"/>
        <v>2874</v>
      </c>
      <c r="AO12" s="69">
        <f t="shared" si="18"/>
        <v>479</v>
      </c>
      <c r="AP12" s="70"/>
      <c r="AQ12" s="66"/>
      <c r="AR12" s="54"/>
      <c r="AS12" s="55" t="e">
        <f t="shared" si="19"/>
        <v>#DIV/0!</v>
      </c>
      <c r="AT12" s="54"/>
      <c r="AU12" s="56" t="e">
        <f t="shared" si="20"/>
        <v>#DIV/0!</v>
      </c>
      <c r="AV12" s="56"/>
      <c r="AW12" s="56"/>
      <c r="AX12" s="71">
        <f t="shared" si="30"/>
        <v>0</v>
      </c>
      <c r="AY12" s="69" t="str">
        <f t="shared" si="21"/>
        <v/>
      </c>
      <c r="AZ12" s="84">
        <f t="shared" si="22"/>
        <v>74</v>
      </c>
      <c r="BA12" s="61">
        <f t="shared" si="23"/>
        <v>595900</v>
      </c>
      <c r="BB12" s="61">
        <f t="shared" si="24"/>
        <v>149494</v>
      </c>
      <c r="BC12" s="73">
        <f>W12+AF12+AN12+AX12-BO12</f>
        <v>745394</v>
      </c>
      <c r="BD12" s="74">
        <f t="shared" si="32"/>
        <v>12650</v>
      </c>
      <c r="BE12" s="75">
        <f>37+37</f>
        <v>74</v>
      </c>
      <c r="BF12" s="76">
        <f>595240</f>
        <v>595240</v>
      </c>
      <c r="BG12" s="76">
        <v>143320</v>
      </c>
      <c r="BH12" s="77">
        <v>12650</v>
      </c>
      <c r="BI12" s="77"/>
      <c r="BJ12" s="77"/>
      <c r="BK12" s="77"/>
      <c r="BL12" s="78">
        <f t="shared" si="31"/>
        <v>751210</v>
      </c>
      <c r="BM12" s="49">
        <v>8</v>
      </c>
      <c r="BN12" s="79">
        <f t="shared" si="26"/>
        <v>751210</v>
      </c>
    </row>
    <row r="13" spans="1:68" ht="20" customHeight="1">
      <c r="B13" s="80">
        <f t="shared" si="27"/>
        <v>46062</v>
      </c>
      <c r="C13" s="81"/>
      <c r="D13" s="52"/>
      <c r="E13" s="53">
        <v>36</v>
      </c>
      <c r="F13" s="54">
        <v>184180</v>
      </c>
      <c r="G13" s="55">
        <f t="shared" si="0"/>
        <v>4651</v>
      </c>
      <c r="H13" s="54">
        <v>30830</v>
      </c>
      <c r="I13" s="56">
        <f t="shared" si="28"/>
        <v>778.52777777777783</v>
      </c>
      <c r="J13" s="57">
        <f t="shared" si="1"/>
        <v>215010</v>
      </c>
      <c r="K13" s="58">
        <f t="shared" si="2"/>
        <v>5972.5</v>
      </c>
      <c r="L13" s="59"/>
      <c r="M13" s="60">
        <f t="shared" si="3"/>
        <v>30</v>
      </c>
      <c r="N13" s="61">
        <f t="shared" si="3"/>
        <v>358160</v>
      </c>
      <c r="O13" s="55">
        <f t="shared" si="4"/>
        <v>10853.333333333334</v>
      </c>
      <c r="P13" s="61">
        <f t="shared" si="5"/>
        <v>41340</v>
      </c>
      <c r="Q13" s="56">
        <f t="shared" si="6"/>
        <v>1252.7</v>
      </c>
      <c r="R13" s="62">
        <f t="shared" si="7"/>
        <v>399500</v>
      </c>
      <c r="S13" s="58">
        <f t="shared" si="8"/>
        <v>13316.666666666666</v>
      </c>
      <c r="T13" s="82">
        <f t="shared" si="9"/>
        <v>66</v>
      </c>
      <c r="U13" s="61">
        <f t="shared" si="9"/>
        <v>542340</v>
      </c>
      <c r="V13" s="61">
        <f t="shared" si="10"/>
        <v>72170</v>
      </c>
      <c r="W13" s="64">
        <f t="shared" si="11"/>
        <v>614510</v>
      </c>
      <c r="X13" s="83"/>
      <c r="Y13" s="65"/>
      <c r="Z13" s="66">
        <v>3</v>
      </c>
      <c r="AA13" s="66"/>
      <c r="AB13" s="54">
        <v>660</v>
      </c>
      <c r="AC13" s="55">
        <f t="shared" si="12"/>
        <v>220</v>
      </c>
      <c r="AD13" s="54">
        <v>2350</v>
      </c>
      <c r="AE13" s="56">
        <f t="shared" si="13"/>
        <v>783.33333333333337</v>
      </c>
      <c r="AF13" s="67">
        <f t="shared" si="14"/>
        <v>3010</v>
      </c>
      <c r="AG13" s="58">
        <f t="shared" si="15"/>
        <v>1003.3333333333334</v>
      </c>
      <c r="AH13" s="68"/>
      <c r="AI13" s="66"/>
      <c r="AJ13" s="54"/>
      <c r="AK13" s="55" t="e">
        <f t="shared" si="16"/>
        <v>#DIV/0!</v>
      </c>
      <c r="AL13" s="54"/>
      <c r="AM13" s="56" t="e">
        <f t="shared" si="17"/>
        <v>#DIV/0!</v>
      </c>
      <c r="AN13" s="67">
        <f t="shared" si="29"/>
        <v>0</v>
      </c>
      <c r="AO13" s="69" t="str">
        <f t="shared" si="18"/>
        <v/>
      </c>
      <c r="AP13" s="70"/>
      <c r="AQ13" s="66"/>
      <c r="AR13" s="54"/>
      <c r="AS13" s="55" t="e">
        <f t="shared" si="19"/>
        <v>#DIV/0!</v>
      </c>
      <c r="AT13" s="54"/>
      <c r="AU13" s="56" t="e">
        <f t="shared" si="20"/>
        <v>#DIV/0!</v>
      </c>
      <c r="AV13" s="56"/>
      <c r="AW13" s="56"/>
      <c r="AX13" s="71">
        <f t="shared" si="30"/>
        <v>0</v>
      </c>
      <c r="AY13" s="69" t="str">
        <f t="shared" si="21"/>
        <v/>
      </c>
      <c r="AZ13" s="84">
        <f t="shared" si="22"/>
        <v>66</v>
      </c>
      <c r="BA13" s="61">
        <f t="shared" si="23"/>
        <v>543000</v>
      </c>
      <c r="BB13" s="61">
        <f t="shared" si="24"/>
        <v>74520</v>
      </c>
      <c r="BC13" s="73">
        <f t="shared" ref="BC13:BC18" si="33">W13+AF13+AN13+AX13-BO13</f>
        <v>617520</v>
      </c>
      <c r="BD13" s="74">
        <f t="shared" si="32"/>
        <v>6050</v>
      </c>
      <c r="BE13" s="75">
        <v>66</v>
      </c>
      <c r="BF13" s="76">
        <v>542340</v>
      </c>
      <c r="BG13" s="76">
        <v>72170</v>
      </c>
      <c r="BH13" s="77">
        <v>6050</v>
      </c>
      <c r="BI13" s="77"/>
      <c r="BJ13" s="77"/>
      <c r="BK13" s="77"/>
      <c r="BL13" s="78">
        <f t="shared" si="31"/>
        <v>620560</v>
      </c>
      <c r="BM13" s="49">
        <v>9</v>
      </c>
      <c r="BN13" s="79">
        <f t="shared" si="26"/>
        <v>620560</v>
      </c>
    </row>
    <row r="14" spans="1:68" ht="20" customHeight="1">
      <c r="B14" s="80">
        <f t="shared" si="27"/>
        <v>46063</v>
      </c>
      <c r="C14" s="81"/>
      <c r="D14" s="52"/>
      <c r="E14" s="53">
        <v>25</v>
      </c>
      <c r="F14" s="54">
        <v>102630</v>
      </c>
      <c r="G14" s="55">
        <f t="shared" si="0"/>
        <v>3732</v>
      </c>
      <c r="H14" s="54">
        <v>39290</v>
      </c>
      <c r="I14" s="56">
        <f>ROUNDDOWN(H14/1.1,0)/E14</f>
        <v>1428.72</v>
      </c>
      <c r="J14" s="57">
        <f t="shared" si="1"/>
        <v>141920</v>
      </c>
      <c r="K14" s="58">
        <f t="shared" si="2"/>
        <v>5676.8</v>
      </c>
      <c r="L14" s="59"/>
      <c r="M14" s="60">
        <f t="shared" si="3"/>
        <v>33</v>
      </c>
      <c r="N14" s="61">
        <f t="shared" si="3"/>
        <v>308690</v>
      </c>
      <c r="O14" s="55">
        <f t="shared" si="4"/>
        <v>8503.8484848484841</v>
      </c>
      <c r="P14" s="61">
        <f t="shared" si="5"/>
        <v>85160</v>
      </c>
      <c r="Q14" s="56">
        <f t="shared" si="6"/>
        <v>2346</v>
      </c>
      <c r="R14" s="62">
        <f t="shared" si="7"/>
        <v>393850</v>
      </c>
      <c r="S14" s="58">
        <f t="shared" si="8"/>
        <v>11934.848484848484</v>
      </c>
      <c r="T14" s="82">
        <f t="shared" si="9"/>
        <v>58</v>
      </c>
      <c r="U14" s="61">
        <f t="shared" si="9"/>
        <v>411320</v>
      </c>
      <c r="V14" s="61">
        <f t="shared" si="10"/>
        <v>124450</v>
      </c>
      <c r="W14" s="64">
        <f t="shared" si="11"/>
        <v>535770</v>
      </c>
      <c r="X14" s="83"/>
      <c r="Y14" s="65"/>
      <c r="Z14" s="66">
        <v>8</v>
      </c>
      <c r="AA14" s="66"/>
      <c r="AB14" s="54">
        <v>6710</v>
      </c>
      <c r="AC14" s="55">
        <f t="shared" si="12"/>
        <v>838.75</v>
      </c>
      <c r="AD14" s="54">
        <v>9570</v>
      </c>
      <c r="AE14" s="56">
        <f t="shared" si="13"/>
        <v>1196.25</v>
      </c>
      <c r="AF14" s="67">
        <f t="shared" si="14"/>
        <v>16280</v>
      </c>
      <c r="AG14" s="58">
        <f t="shared" si="15"/>
        <v>2035</v>
      </c>
      <c r="AH14" s="68"/>
      <c r="AI14" s="66"/>
      <c r="AJ14" s="54"/>
      <c r="AK14" s="55" t="e">
        <f t="shared" si="16"/>
        <v>#DIV/0!</v>
      </c>
      <c r="AL14" s="54"/>
      <c r="AM14" s="56" t="e">
        <f t="shared" si="17"/>
        <v>#DIV/0!</v>
      </c>
      <c r="AN14" s="67">
        <f t="shared" si="29"/>
        <v>0</v>
      </c>
      <c r="AO14" s="69" t="str">
        <f t="shared" si="18"/>
        <v/>
      </c>
      <c r="AP14" s="70"/>
      <c r="AQ14" s="66"/>
      <c r="AR14" s="54"/>
      <c r="AS14" s="55" t="e">
        <f t="shared" si="19"/>
        <v>#DIV/0!</v>
      </c>
      <c r="AT14" s="54"/>
      <c r="AU14" s="56" t="e">
        <f t="shared" si="20"/>
        <v>#DIV/0!</v>
      </c>
      <c r="AV14" s="56"/>
      <c r="AW14" s="56"/>
      <c r="AX14" s="71">
        <f t="shared" si="30"/>
        <v>0</v>
      </c>
      <c r="AY14" s="69" t="str">
        <f t="shared" si="21"/>
        <v/>
      </c>
      <c r="AZ14" s="84">
        <f t="shared" si="22"/>
        <v>58</v>
      </c>
      <c r="BA14" s="61">
        <f t="shared" si="23"/>
        <v>418030</v>
      </c>
      <c r="BB14" s="61">
        <f t="shared" si="24"/>
        <v>134020</v>
      </c>
      <c r="BC14" s="73">
        <f t="shared" si="33"/>
        <v>552050</v>
      </c>
      <c r="BD14" s="74">
        <f t="shared" si="32"/>
        <v>3300</v>
      </c>
      <c r="BE14" s="75">
        <v>58</v>
      </c>
      <c r="BF14" s="76">
        <v>411320</v>
      </c>
      <c r="BG14" s="76">
        <v>124450</v>
      </c>
      <c r="BH14" s="77">
        <v>3300</v>
      </c>
      <c r="BI14" s="77"/>
      <c r="BJ14" s="77"/>
      <c r="BK14" s="77"/>
      <c r="BL14" s="78">
        <f>SUM(BF14:BI14)</f>
        <v>539070</v>
      </c>
      <c r="BM14" s="49">
        <v>10</v>
      </c>
      <c r="BN14" s="79">
        <f t="shared" si="26"/>
        <v>539070</v>
      </c>
    </row>
    <row r="15" spans="1:68" ht="20" customHeight="1">
      <c r="B15" s="228">
        <f t="shared" si="27"/>
        <v>46064</v>
      </c>
      <c r="C15" s="86"/>
      <c r="D15" s="52"/>
      <c r="E15" s="53"/>
      <c r="F15" s="54"/>
      <c r="G15" s="55" t="e">
        <f t="shared" si="0"/>
        <v>#DIV/0!</v>
      </c>
      <c r="H15" s="54"/>
      <c r="I15" s="56" t="e">
        <f t="shared" si="28"/>
        <v>#DIV/0!</v>
      </c>
      <c r="J15" s="57">
        <f t="shared" si="1"/>
        <v>0</v>
      </c>
      <c r="K15" s="58" t="str">
        <f t="shared" si="2"/>
        <v/>
      </c>
      <c r="L15" s="59"/>
      <c r="M15" s="60">
        <f t="shared" si="3"/>
        <v>0</v>
      </c>
      <c r="N15" s="61">
        <f t="shared" si="3"/>
        <v>0</v>
      </c>
      <c r="O15" s="55" t="e">
        <f t="shared" si="4"/>
        <v>#DIV/0!</v>
      </c>
      <c r="P15" s="61">
        <f t="shared" si="5"/>
        <v>0</v>
      </c>
      <c r="Q15" s="56" t="e">
        <f t="shared" si="6"/>
        <v>#DIV/0!</v>
      </c>
      <c r="R15" s="62">
        <f t="shared" si="7"/>
        <v>0</v>
      </c>
      <c r="S15" s="58" t="e">
        <f t="shared" si="8"/>
        <v>#DIV/0!</v>
      </c>
      <c r="T15" s="82">
        <f t="shared" si="9"/>
        <v>0</v>
      </c>
      <c r="U15" s="61">
        <f t="shared" si="9"/>
        <v>0</v>
      </c>
      <c r="V15" s="61">
        <f t="shared" si="10"/>
        <v>0</v>
      </c>
      <c r="W15" s="64">
        <f t="shared" si="11"/>
        <v>0</v>
      </c>
      <c r="X15" s="83"/>
      <c r="Y15" s="65"/>
      <c r="Z15" s="66"/>
      <c r="AA15" s="66"/>
      <c r="AB15" s="54"/>
      <c r="AC15" s="55" t="e">
        <f t="shared" si="12"/>
        <v>#DIV/0!</v>
      </c>
      <c r="AD15" s="54"/>
      <c r="AE15" s="56" t="e">
        <f t="shared" si="13"/>
        <v>#DIV/0!</v>
      </c>
      <c r="AF15" s="67">
        <f t="shared" si="14"/>
        <v>0</v>
      </c>
      <c r="AG15" s="58" t="str">
        <f t="shared" si="15"/>
        <v/>
      </c>
      <c r="AH15" s="68"/>
      <c r="AI15" s="66"/>
      <c r="AJ15" s="54"/>
      <c r="AK15" s="55" t="e">
        <f t="shared" si="16"/>
        <v>#DIV/0!</v>
      </c>
      <c r="AL15" s="54"/>
      <c r="AM15" s="56" t="e">
        <f t="shared" si="17"/>
        <v>#DIV/0!</v>
      </c>
      <c r="AN15" s="67">
        <f t="shared" si="29"/>
        <v>0</v>
      </c>
      <c r="AO15" s="69" t="str">
        <f t="shared" si="18"/>
        <v/>
      </c>
      <c r="AP15" s="70"/>
      <c r="AQ15" s="66"/>
      <c r="AR15" s="54"/>
      <c r="AS15" s="55" t="e">
        <f t="shared" si="19"/>
        <v>#DIV/0!</v>
      </c>
      <c r="AT15" s="54"/>
      <c r="AU15" s="56" t="e">
        <f t="shared" si="20"/>
        <v>#DIV/0!</v>
      </c>
      <c r="AV15" s="56"/>
      <c r="AW15" s="56"/>
      <c r="AX15" s="71">
        <f t="shared" si="30"/>
        <v>0</v>
      </c>
      <c r="AY15" s="69" t="str">
        <f t="shared" si="21"/>
        <v/>
      </c>
      <c r="AZ15" s="84">
        <f t="shared" si="22"/>
        <v>0</v>
      </c>
      <c r="BA15" s="61">
        <f t="shared" si="23"/>
        <v>0</v>
      </c>
      <c r="BB15" s="61">
        <f t="shared" si="24"/>
        <v>0</v>
      </c>
      <c r="BC15" s="73">
        <f t="shared" si="33"/>
        <v>0</v>
      </c>
      <c r="BD15" s="74">
        <f t="shared" si="32"/>
        <v>0</v>
      </c>
      <c r="BE15" s="75"/>
      <c r="BF15" s="76"/>
      <c r="BG15" s="76"/>
      <c r="BH15" s="77"/>
      <c r="BI15" s="77"/>
      <c r="BJ15" s="77"/>
      <c r="BK15" s="77"/>
      <c r="BL15" s="78">
        <f t="shared" si="31"/>
        <v>0</v>
      </c>
      <c r="BM15" s="49">
        <v>11</v>
      </c>
      <c r="BN15" s="79">
        <f t="shared" si="26"/>
        <v>0</v>
      </c>
    </row>
    <row r="16" spans="1:68" ht="20" customHeight="1">
      <c r="B16" s="80">
        <f t="shared" si="27"/>
        <v>46065</v>
      </c>
      <c r="C16" s="81"/>
      <c r="D16" s="52"/>
      <c r="E16" s="53"/>
      <c r="F16" s="54"/>
      <c r="G16" s="55" t="e">
        <f t="shared" si="0"/>
        <v>#DIV/0!</v>
      </c>
      <c r="H16" s="54"/>
      <c r="I16" s="56" t="e">
        <f t="shared" si="28"/>
        <v>#DIV/0!</v>
      </c>
      <c r="J16" s="57">
        <f t="shared" si="1"/>
        <v>0</v>
      </c>
      <c r="K16" s="58" t="str">
        <f t="shared" si="2"/>
        <v/>
      </c>
      <c r="L16" s="59"/>
      <c r="M16" s="60">
        <f t="shared" si="3"/>
        <v>0</v>
      </c>
      <c r="N16" s="61">
        <f t="shared" si="3"/>
        <v>0</v>
      </c>
      <c r="O16" s="55" t="e">
        <f t="shared" si="4"/>
        <v>#DIV/0!</v>
      </c>
      <c r="P16" s="61">
        <f t="shared" si="5"/>
        <v>0</v>
      </c>
      <c r="Q16" s="56" t="e">
        <f t="shared" si="6"/>
        <v>#DIV/0!</v>
      </c>
      <c r="R16" s="62">
        <f t="shared" si="7"/>
        <v>0</v>
      </c>
      <c r="S16" s="58" t="e">
        <f t="shared" si="8"/>
        <v>#DIV/0!</v>
      </c>
      <c r="T16" s="82">
        <f t="shared" si="9"/>
        <v>0</v>
      </c>
      <c r="U16" s="61">
        <f t="shared" si="9"/>
        <v>0</v>
      </c>
      <c r="V16" s="61">
        <f t="shared" si="10"/>
        <v>0</v>
      </c>
      <c r="W16" s="64">
        <f t="shared" si="11"/>
        <v>0</v>
      </c>
      <c r="X16" s="83"/>
      <c r="Y16" s="65"/>
      <c r="Z16" s="66"/>
      <c r="AA16" s="66"/>
      <c r="AB16" s="54"/>
      <c r="AC16" s="55" t="e">
        <f t="shared" si="12"/>
        <v>#DIV/0!</v>
      </c>
      <c r="AD16" s="54"/>
      <c r="AE16" s="56" t="e">
        <f t="shared" si="13"/>
        <v>#DIV/0!</v>
      </c>
      <c r="AF16" s="67">
        <f t="shared" si="14"/>
        <v>0</v>
      </c>
      <c r="AG16" s="58" t="str">
        <f t="shared" si="15"/>
        <v/>
      </c>
      <c r="AH16" s="68"/>
      <c r="AI16" s="66"/>
      <c r="AJ16" s="54"/>
      <c r="AK16" s="55" t="e">
        <f t="shared" si="16"/>
        <v>#DIV/0!</v>
      </c>
      <c r="AL16" s="54"/>
      <c r="AM16" s="56" t="e">
        <f t="shared" si="17"/>
        <v>#DIV/0!</v>
      </c>
      <c r="AN16" s="67">
        <f t="shared" si="29"/>
        <v>0</v>
      </c>
      <c r="AO16" s="69" t="str">
        <f t="shared" si="18"/>
        <v/>
      </c>
      <c r="AP16" s="70"/>
      <c r="AQ16" s="66"/>
      <c r="AR16" s="54"/>
      <c r="AS16" s="55" t="e">
        <f t="shared" si="19"/>
        <v>#DIV/0!</v>
      </c>
      <c r="AT16" s="54"/>
      <c r="AU16" s="56" t="e">
        <f t="shared" si="20"/>
        <v>#DIV/0!</v>
      </c>
      <c r="AV16" s="56"/>
      <c r="AW16" s="56"/>
      <c r="AX16" s="71">
        <f t="shared" si="30"/>
        <v>0</v>
      </c>
      <c r="AY16" s="69" t="str">
        <f t="shared" si="21"/>
        <v/>
      </c>
      <c r="AZ16" s="84">
        <f t="shared" si="22"/>
        <v>0</v>
      </c>
      <c r="BA16" s="61">
        <f t="shared" si="23"/>
        <v>0</v>
      </c>
      <c r="BB16" s="61">
        <f t="shared" si="24"/>
        <v>0</v>
      </c>
      <c r="BC16" s="73">
        <f t="shared" si="33"/>
        <v>0</v>
      </c>
      <c r="BD16" s="74">
        <f t="shared" si="32"/>
        <v>0</v>
      </c>
      <c r="BE16" s="75"/>
      <c r="BF16" s="76"/>
      <c r="BG16" s="76"/>
      <c r="BH16" s="77"/>
      <c r="BI16" s="77"/>
      <c r="BJ16" s="77"/>
      <c r="BK16" s="77"/>
      <c r="BL16" s="78">
        <f t="shared" si="31"/>
        <v>0</v>
      </c>
      <c r="BM16" s="49">
        <v>12</v>
      </c>
      <c r="BN16" s="79">
        <f t="shared" si="26"/>
        <v>0</v>
      </c>
    </row>
    <row r="17" spans="2:68" ht="20" customHeight="1">
      <c r="B17" s="80">
        <f t="shared" si="27"/>
        <v>46066</v>
      </c>
      <c r="C17" s="86"/>
      <c r="D17" s="52"/>
      <c r="E17" s="53"/>
      <c r="F17" s="54"/>
      <c r="G17" s="55" t="e">
        <f t="shared" si="0"/>
        <v>#DIV/0!</v>
      </c>
      <c r="H17" s="54"/>
      <c r="I17" s="56" t="e">
        <f t="shared" si="28"/>
        <v>#DIV/0!</v>
      </c>
      <c r="J17" s="57">
        <f t="shared" si="1"/>
        <v>0</v>
      </c>
      <c r="K17" s="58" t="str">
        <f t="shared" si="2"/>
        <v/>
      </c>
      <c r="L17" s="59"/>
      <c r="M17" s="60">
        <f t="shared" si="3"/>
        <v>0</v>
      </c>
      <c r="N17" s="61">
        <f t="shared" si="3"/>
        <v>0</v>
      </c>
      <c r="O17" s="55" t="e">
        <f t="shared" si="4"/>
        <v>#DIV/0!</v>
      </c>
      <c r="P17" s="61">
        <f t="shared" si="5"/>
        <v>0</v>
      </c>
      <c r="Q17" s="56" t="e">
        <f t="shared" si="6"/>
        <v>#DIV/0!</v>
      </c>
      <c r="R17" s="62">
        <f t="shared" si="7"/>
        <v>0</v>
      </c>
      <c r="S17" s="58" t="e">
        <f t="shared" si="8"/>
        <v>#DIV/0!</v>
      </c>
      <c r="T17" s="82">
        <f>E17+M17</f>
        <v>0</v>
      </c>
      <c r="U17" s="61">
        <f t="shared" si="9"/>
        <v>0</v>
      </c>
      <c r="V17" s="61">
        <f t="shared" si="10"/>
        <v>0</v>
      </c>
      <c r="W17" s="64">
        <f t="shared" si="11"/>
        <v>0</v>
      </c>
      <c r="X17" s="83"/>
      <c r="Y17" s="65"/>
      <c r="Z17" s="66"/>
      <c r="AA17" s="66"/>
      <c r="AB17" s="54"/>
      <c r="AC17" s="55" t="e">
        <f t="shared" si="12"/>
        <v>#DIV/0!</v>
      </c>
      <c r="AD17" s="54"/>
      <c r="AE17" s="56" t="e">
        <f t="shared" si="13"/>
        <v>#DIV/0!</v>
      </c>
      <c r="AF17" s="67">
        <f t="shared" si="14"/>
        <v>0</v>
      </c>
      <c r="AG17" s="58" t="str">
        <f t="shared" si="15"/>
        <v/>
      </c>
      <c r="AH17" s="68"/>
      <c r="AI17" s="66"/>
      <c r="AJ17" s="54"/>
      <c r="AK17" s="55" t="e">
        <f>AJ17/AI17</f>
        <v>#DIV/0!</v>
      </c>
      <c r="AL17" s="54"/>
      <c r="AM17" s="56" t="e">
        <f>AL17/AI17</f>
        <v>#DIV/0!</v>
      </c>
      <c r="AN17" s="67">
        <f>AJ17+AL17</f>
        <v>0</v>
      </c>
      <c r="AO17" s="69" t="str">
        <f>IF(AI17="","",AN17/AI17)</f>
        <v/>
      </c>
      <c r="AP17" s="70"/>
      <c r="AQ17" s="66"/>
      <c r="AR17" s="54"/>
      <c r="AS17" s="55" t="e">
        <f t="shared" si="19"/>
        <v>#DIV/0!</v>
      </c>
      <c r="AT17" s="54"/>
      <c r="AU17" s="56" t="e">
        <f t="shared" si="20"/>
        <v>#DIV/0!</v>
      </c>
      <c r="AV17" s="56"/>
      <c r="AW17" s="56"/>
      <c r="AX17" s="71">
        <f t="shared" si="30"/>
        <v>0</v>
      </c>
      <c r="AY17" s="69" t="str">
        <f t="shared" si="21"/>
        <v/>
      </c>
      <c r="AZ17" s="84">
        <f t="shared" si="22"/>
        <v>0</v>
      </c>
      <c r="BA17" s="61">
        <f>U17+AB17+AJ17+AR17</f>
        <v>0</v>
      </c>
      <c r="BB17" s="61">
        <f t="shared" si="24"/>
        <v>0</v>
      </c>
      <c r="BC17" s="73">
        <f>W17+AF17+AN17+AX17-BO17</f>
        <v>0</v>
      </c>
      <c r="BD17" s="74">
        <f t="shared" si="32"/>
        <v>0</v>
      </c>
      <c r="BE17" s="75"/>
      <c r="BF17" s="76"/>
      <c r="BG17" s="76"/>
      <c r="BH17" s="77"/>
      <c r="BI17" s="77"/>
      <c r="BJ17" s="77"/>
      <c r="BK17" s="77"/>
      <c r="BL17" s="78">
        <f>SUM(BF17:BI17)</f>
        <v>0</v>
      </c>
      <c r="BM17" s="49">
        <v>13</v>
      </c>
      <c r="BN17" s="79">
        <f t="shared" si="26"/>
        <v>0</v>
      </c>
    </row>
    <row r="18" spans="2:68" ht="20" customHeight="1">
      <c r="B18" s="227">
        <f t="shared" si="27"/>
        <v>46067</v>
      </c>
      <c r="C18" s="81"/>
      <c r="D18" s="52"/>
      <c r="E18" s="53"/>
      <c r="F18" s="54"/>
      <c r="G18" s="55" t="e">
        <f t="shared" si="0"/>
        <v>#DIV/0!</v>
      </c>
      <c r="H18" s="54"/>
      <c r="I18" s="56" t="e">
        <f t="shared" si="28"/>
        <v>#DIV/0!</v>
      </c>
      <c r="J18" s="57">
        <f t="shared" si="1"/>
        <v>0</v>
      </c>
      <c r="K18" s="58" t="str">
        <f t="shared" si="2"/>
        <v/>
      </c>
      <c r="L18" s="59"/>
      <c r="M18" s="60">
        <f t="shared" si="3"/>
        <v>0</v>
      </c>
      <c r="N18" s="61">
        <f t="shared" si="3"/>
        <v>0</v>
      </c>
      <c r="O18" s="55" t="e">
        <f t="shared" si="4"/>
        <v>#DIV/0!</v>
      </c>
      <c r="P18" s="61">
        <f t="shared" si="5"/>
        <v>0</v>
      </c>
      <c r="Q18" s="56" t="e">
        <f t="shared" si="6"/>
        <v>#DIV/0!</v>
      </c>
      <c r="R18" s="62">
        <f t="shared" si="7"/>
        <v>0</v>
      </c>
      <c r="S18" s="58" t="e">
        <f t="shared" si="8"/>
        <v>#DIV/0!</v>
      </c>
      <c r="T18" s="82">
        <f t="shared" si="9"/>
        <v>0</v>
      </c>
      <c r="U18" s="61">
        <f t="shared" si="9"/>
        <v>0</v>
      </c>
      <c r="V18" s="61">
        <f t="shared" si="10"/>
        <v>0</v>
      </c>
      <c r="W18" s="64">
        <f t="shared" si="11"/>
        <v>0</v>
      </c>
      <c r="X18" s="83"/>
      <c r="Y18" s="65"/>
      <c r="Z18" s="66"/>
      <c r="AA18" s="66"/>
      <c r="AB18" s="54"/>
      <c r="AC18" s="55" t="e">
        <f t="shared" si="12"/>
        <v>#DIV/0!</v>
      </c>
      <c r="AD18" s="54"/>
      <c r="AE18" s="56" t="e">
        <f t="shared" si="13"/>
        <v>#DIV/0!</v>
      </c>
      <c r="AF18" s="67">
        <f t="shared" si="14"/>
        <v>0</v>
      </c>
      <c r="AG18" s="58" t="str">
        <f t="shared" si="15"/>
        <v/>
      </c>
      <c r="AH18" s="68"/>
      <c r="AI18" s="66"/>
      <c r="AJ18" s="54"/>
      <c r="AK18" s="55" t="e">
        <f t="shared" si="16"/>
        <v>#DIV/0!</v>
      </c>
      <c r="AL18" s="54"/>
      <c r="AM18" s="56" t="e">
        <f t="shared" si="17"/>
        <v>#DIV/0!</v>
      </c>
      <c r="AN18" s="67">
        <f t="shared" si="29"/>
        <v>0</v>
      </c>
      <c r="AO18" s="69" t="str">
        <f t="shared" si="18"/>
        <v/>
      </c>
      <c r="AP18" s="70"/>
      <c r="AQ18" s="66"/>
      <c r="AR18" s="54"/>
      <c r="AS18" s="55" t="e">
        <f t="shared" si="19"/>
        <v>#DIV/0!</v>
      </c>
      <c r="AT18" s="54"/>
      <c r="AU18" s="56" t="e">
        <f t="shared" si="20"/>
        <v>#DIV/0!</v>
      </c>
      <c r="AV18" s="56"/>
      <c r="AW18" s="56"/>
      <c r="AX18" s="71">
        <f t="shared" si="30"/>
        <v>0</v>
      </c>
      <c r="AY18" s="69" t="str">
        <f t="shared" si="21"/>
        <v/>
      </c>
      <c r="AZ18" s="84">
        <f t="shared" si="22"/>
        <v>0</v>
      </c>
      <c r="BA18" s="61">
        <f t="shared" si="23"/>
        <v>0</v>
      </c>
      <c r="BB18" s="61">
        <f t="shared" si="24"/>
        <v>0</v>
      </c>
      <c r="BC18" s="73">
        <f t="shared" si="33"/>
        <v>0</v>
      </c>
      <c r="BD18" s="74">
        <f t="shared" si="32"/>
        <v>0</v>
      </c>
      <c r="BE18" s="75"/>
      <c r="BF18" s="76"/>
      <c r="BG18" s="76"/>
      <c r="BH18" s="77"/>
      <c r="BI18" s="77"/>
      <c r="BJ18" s="77"/>
      <c r="BK18" s="77"/>
      <c r="BL18" s="78">
        <f t="shared" si="31"/>
        <v>0</v>
      </c>
      <c r="BM18" s="49">
        <v>14</v>
      </c>
      <c r="BN18" s="79">
        <f t="shared" si="26"/>
        <v>0</v>
      </c>
    </row>
    <row r="19" spans="2:68" ht="20" customHeight="1">
      <c r="B19" s="228">
        <f t="shared" si="27"/>
        <v>46068</v>
      </c>
      <c r="C19" s="81"/>
      <c r="D19" s="52"/>
      <c r="E19" s="53"/>
      <c r="F19" s="54"/>
      <c r="G19" s="55" t="e">
        <f t="shared" si="0"/>
        <v>#DIV/0!</v>
      </c>
      <c r="H19" s="54"/>
      <c r="I19" s="56" t="e">
        <f t="shared" si="28"/>
        <v>#DIV/0!</v>
      </c>
      <c r="J19" s="57">
        <f t="shared" si="1"/>
        <v>0</v>
      </c>
      <c r="K19" s="58" t="str">
        <f t="shared" si="2"/>
        <v/>
      </c>
      <c r="L19" s="59"/>
      <c r="M19" s="60">
        <f t="shared" si="3"/>
        <v>0</v>
      </c>
      <c r="N19" s="61">
        <f t="shared" si="3"/>
        <v>0</v>
      </c>
      <c r="O19" s="55" t="e">
        <f t="shared" si="4"/>
        <v>#DIV/0!</v>
      </c>
      <c r="P19" s="61">
        <f>BG19-H19</f>
        <v>0</v>
      </c>
      <c r="Q19" s="87" t="e">
        <f t="shared" si="6"/>
        <v>#DIV/0!</v>
      </c>
      <c r="R19" s="62">
        <f t="shared" si="7"/>
        <v>0</v>
      </c>
      <c r="S19" s="58" t="e">
        <f t="shared" si="8"/>
        <v>#DIV/0!</v>
      </c>
      <c r="T19" s="82">
        <f t="shared" si="9"/>
        <v>0</v>
      </c>
      <c r="U19" s="61">
        <f t="shared" si="9"/>
        <v>0</v>
      </c>
      <c r="V19" s="61">
        <f t="shared" si="10"/>
        <v>0</v>
      </c>
      <c r="W19" s="64">
        <f t="shared" si="11"/>
        <v>0</v>
      </c>
      <c r="X19" s="83"/>
      <c r="Y19" s="65"/>
      <c r="Z19" s="66"/>
      <c r="AA19" s="66"/>
      <c r="AB19" s="54"/>
      <c r="AC19" s="55" t="e">
        <f t="shared" si="12"/>
        <v>#DIV/0!</v>
      </c>
      <c r="AD19" s="54"/>
      <c r="AE19" s="56" t="e">
        <f t="shared" si="13"/>
        <v>#DIV/0!</v>
      </c>
      <c r="AF19" s="67">
        <f t="shared" si="14"/>
        <v>0</v>
      </c>
      <c r="AG19" s="58" t="str">
        <f t="shared" si="15"/>
        <v/>
      </c>
      <c r="AH19" s="68"/>
      <c r="AI19" s="66"/>
      <c r="AJ19" s="54"/>
      <c r="AK19" s="55" t="e">
        <f t="shared" si="16"/>
        <v>#DIV/0!</v>
      </c>
      <c r="AL19" s="54"/>
      <c r="AM19" s="56" t="e">
        <f t="shared" si="17"/>
        <v>#DIV/0!</v>
      </c>
      <c r="AN19" s="67">
        <f t="shared" si="29"/>
        <v>0</v>
      </c>
      <c r="AO19" s="69" t="str">
        <f t="shared" si="18"/>
        <v/>
      </c>
      <c r="AP19" s="70"/>
      <c r="AQ19" s="66"/>
      <c r="AR19" s="54"/>
      <c r="AS19" s="55" t="e">
        <f t="shared" si="19"/>
        <v>#DIV/0!</v>
      </c>
      <c r="AT19" s="54"/>
      <c r="AU19" s="56" t="e">
        <f t="shared" si="20"/>
        <v>#DIV/0!</v>
      </c>
      <c r="AV19" s="56"/>
      <c r="AW19" s="56"/>
      <c r="AX19" s="71">
        <f t="shared" si="30"/>
        <v>0</v>
      </c>
      <c r="AY19" s="69" t="str">
        <f t="shared" si="21"/>
        <v/>
      </c>
      <c r="AZ19" s="84">
        <f>SUM(E19,M19)</f>
        <v>0</v>
      </c>
      <c r="BA19" s="61">
        <f t="shared" si="23"/>
        <v>0</v>
      </c>
      <c r="BB19" s="61">
        <f t="shared" si="24"/>
        <v>0</v>
      </c>
      <c r="BC19" s="73">
        <f>W19+AF19+AN19+AX19-BO19</f>
        <v>0</v>
      </c>
      <c r="BD19" s="74">
        <f t="shared" si="32"/>
        <v>0</v>
      </c>
      <c r="BE19" s="75"/>
      <c r="BF19" s="76"/>
      <c r="BG19" s="76"/>
      <c r="BH19" s="77"/>
      <c r="BI19" s="77"/>
      <c r="BJ19" s="77"/>
      <c r="BK19" s="77"/>
      <c r="BL19" s="78">
        <f t="shared" si="31"/>
        <v>0</v>
      </c>
      <c r="BM19" s="49">
        <v>15</v>
      </c>
      <c r="BN19" s="79">
        <f t="shared" si="26"/>
        <v>0</v>
      </c>
    </row>
    <row r="20" spans="2:68" ht="20" customHeight="1">
      <c r="B20" s="80">
        <f t="shared" si="27"/>
        <v>46069</v>
      </c>
      <c r="C20" s="81"/>
      <c r="D20" s="52"/>
      <c r="E20" s="53"/>
      <c r="F20" s="54"/>
      <c r="G20" s="55" t="e">
        <f t="shared" si="0"/>
        <v>#DIV/0!</v>
      </c>
      <c r="H20" s="54"/>
      <c r="I20" s="56" t="e">
        <f t="shared" si="28"/>
        <v>#DIV/0!</v>
      </c>
      <c r="J20" s="57">
        <f t="shared" si="1"/>
        <v>0</v>
      </c>
      <c r="K20" s="58" t="str">
        <f t="shared" si="2"/>
        <v/>
      </c>
      <c r="L20" s="59"/>
      <c r="M20" s="60">
        <f t="shared" si="3"/>
        <v>0</v>
      </c>
      <c r="N20" s="61">
        <f t="shared" si="3"/>
        <v>0</v>
      </c>
      <c r="O20" s="55" t="e">
        <f t="shared" si="4"/>
        <v>#DIV/0!</v>
      </c>
      <c r="P20" s="61">
        <f t="shared" si="5"/>
        <v>0</v>
      </c>
      <c r="Q20" s="87" t="e">
        <f t="shared" si="6"/>
        <v>#DIV/0!</v>
      </c>
      <c r="R20" s="62">
        <f t="shared" si="7"/>
        <v>0</v>
      </c>
      <c r="S20" s="58" t="e">
        <f t="shared" si="8"/>
        <v>#DIV/0!</v>
      </c>
      <c r="T20" s="82">
        <f t="shared" si="9"/>
        <v>0</v>
      </c>
      <c r="U20" s="61">
        <f t="shared" si="9"/>
        <v>0</v>
      </c>
      <c r="V20" s="61">
        <f t="shared" si="10"/>
        <v>0</v>
      </c>
      <c r="W20" s="64">
        <f t="shared" si="11"/>
        <v>0</v>
      </c>
      <c r="X20" s="83"/>
      <c r="Y20" s="65"/>
      <c r="Z20" s="66"/>
      <c r="AA20" s="66"/>
      <c r="AB20" s="54"/>
      <c r="AC20" s="55" t="e">
        <f t="shared" si="12"/>
        <v>#DIV/0!</v>
      </c>
      <c r="AD20" s="54"/>
      <c r="AE20" s="56" t="e">
        <f t="shared" si="13"/>
        <v>#DIV/0!</v>
      </c>
      <c r="AF20" s="67">
        <f t="shared" si="14"/>
        <v>0</v>
      </c>
      <c r="AG20" s="58" t="str">
        <f t="shared" si="15"/>
        <v/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9"/>
        <v>0</v>
      </c>
      <c r="AO20" s="69" t="str">
        <f t="shared" si="18"/>
        <v/>
      </c>
      <c r="AP20" s="70"/>
      <c r="AQ20" s="66"/>
      <c r="AR20" s="54"/>
      <c r="AS20" s="55" t="e">
        <f t="shared" si="19"/>
        <v>#DIV/0!</v>
      </c>
      <c r="AT20" s="54"/>
      <c r="AU20" s="56" t="e">
        <f t="shared" si="20"/>
        <v>#DIV/0!</v>
      </c>
      <c r="AV20" s="56"/>
      <c r="AW20" s="56"/>
      <c r="AX20" s="71">
        <f t="shared" si="30"/>
        <v>0</v>
      </c>
      <c r="AY20" s="69" t="str">
        <f t="shared" si="21"/>
        <v/>
      </c>
      <c r="AZ20" s="84">
        <f t="shared" si="22"/>
        <v>0</v>
      </c>
      <c r="BA20" s="61">
        <f t="shared" si="23"/>
        <v>0</v>
      </c>
      <c r="BB20" s="61">
        <f t="shared" si="24"/>
        <v>0</v>
      </c>
      <c r="BC20" s="73">
        <f>W20+AF20+AN20+AX20-BO20</f>
        <v>0</v>
      </c>
      <c r="BD20" s="74">
        <f t="shared" si="32"/>
        <v>0</v>
      </c>
      <c r="BE20" s="223"/>
      <c r="BF20" s="224"/>
      <c r="BG20" s="76"/>
      <c r="BH20" s="77"/>
      <c r="BI20" s="77"/>
      <c r="BJ20" s="77"/>
      <c r="BK20" s="77"/>
      <c r="BL20" s="78">
        <f t="shared" si="31"/>
        <v>0</v>
      </c>
      <c r="BM20" s="49">
        <v>16</v>
      </c>
      <c r="BN20" s="79">
        <f t="shared" si="26"/>
        <v>0</v>
      </c>
    </row>
    <row r="21" spans="2:68" ht="20" customHeight="1">
      <c r="B21" s="80">
        <f t="shared" si="27"/>
        <v>46070</v>
      </c>
      <c r="C21" s="81"/>
      <c r="D21" s="52"/>
      <c r="E21" s="53"/>
      <c r="F21" s="54"/>
      <c r="G21" s="55" t="e">
        <f>ROUNDDOWN(F21/1.1,0)/E21</f>
        <v>#DIV/0!</v>
      </c>
      <c r="H21" s="54"/>
      <c r="I21" s="56" t="e">
        <f t="shared" si="28"/>
        <v>#DIV/0!</v>
      </c>
      <c r="J21" s="57">
        <f t="shared" si="1"/>
        <v>0</v>
      </c>
      <c r="K21" s="58" t="str">
        <f t="shared" si="2"/>
        <v/>
      </c>
      <c r="L21" s="59"/>
      <c r="M21" s="60">
        <f t="shared" si="3"/>
        <v>0</v>
      </c>
      <c r="N21" s="61">
        <f t="shared" si="3"/>
        <v>0</v>
      </c>
      <c r="O21" s="55" t="e">
        <f t="shared" si="4"/>
        <v>#DIV/0!</v>
      </c>
      <c r="P21" s="61">
        <f t="shared" si="5"/>
        <v>0</v>
      </c>
      <c r="Q21" s="87" t="e">
        <f t="shared" si="6"/>
        <v>#DIV/0!</v>
      </c>
      <c r="R21" s="62">
        <f>N21+P21</f>
        <v>0</v>
      </c>
      <c r="S21" s="58" t="e">
        <f t="shared" si="8"/>
        <v>#DIV/0!</v>
      </c>
      <c r="T21" s="82">
        <f t="shared" si="9"/>
        <v>0</v>
      </c>
      <c r="U21" s="61">
        <f t="shared" si="9"/>
        <v>0</v>
      </c>
      <c r="V21" s="61">
        <f t="shared" si="10"/>
        <v>0</v>
      </c>
      <c r="W21" s="64">
        <f t="shared" si="11"/>
        <v>0</v>
      </c>
      <c r="X21" s="83"/>
      <c r="Y21" s="65"/>
      <c r="Z21" s="66"/>
      <c r="AA21" s="66"/>
      <c r="AB21" s="54"/>
      <c r="AC21" s="55" t="e">
        <f t="shared" si="12"/>
        <v>#DIV/0!</v>
      </c>
      <c r="AD21" s="54"/>
      <c r="AE21" s="56" t="e">
        <f t="shared" si="13"/>
        <v>#DIV/0!</v>
      </c>
      <c r="AF21" s="67">
        <f t="shared" si="14"/>
        <v>0</v>
      </c>
      <c r="AG21" s="58" t="str">
        <f t="shared" si="15"/>
        <v/>
      </c>
      <c r="AH21" s="68"/>
      <c r="AI21" s="66"/>
      <c r="AJ21" s="54"/>
      <c r="AK21" s="55" t="e">
        <f t="shared" si="16"/>
        <v>#DIV/0!</v>
      </c>
      <c r="AL21" s="54"/>
      <c r="AM21" s="56" t="e">
        <f t="shared" si="17"/>
        <v>#DIV/0!</v>
      </c>
      <c r="AN21" s="67">
        <f t="shared" si="29"/>
        <v>0</v>
      </c>
      <c r="AO21" s="69" t="str">
        <f t="shared" si="18"/>
        <v/>
      </c>
      <c r="AP21" s="70"/>
      <c r="AQ21" s="66"/>
      <c r="AR21" s="54"/>
      <c r="AS21" s="55" t="e">
        <f t="shared" si="19"/>
        <v>#DIV/0!</v>
      </c>
      <c r="AT21" s="54"/>
      <c r="AU21" s="56" t="e">
        <f t="shared" si="20"/>
        <v>#DIV/0!</v>
      </c>
      <c r="AV21" s="56"/>
      <c r="AW21" s="56"/>
      <c r="AX21" s="71">
        <f t="shared" si="30"/>
        <v>0</v>
      </c>
      <c r="AY21" s="69" t="str">
        <f t="shared" si="21"/>
        <v/>
      </c>
      <c r="AZ21" s="84">
        <f t="shared" si="22"/>
        <v>0</v>
      </c>
      <c r="BA21" s="61">
        <f t="shared" si="23"/>
        <v>0</v>
      </c>
      <c r="BB21" s="61">
        <f t="shared" si="24"/>
        <v>0</v>
      </c>
      <c r="BC21" s="73">
        <f>W21+AF21+AN21+AX21-BO21</f>
        <v>0</v>
      </c>
      <c r="BD21" s="74">
        <f t="shared" si="32"/>
        <v>0</v>
      </c>
      <c r="BE21" s="75"/>
      <c r="BF21" s="76"/>
      <c r="BG21" s="76"/>
      <c r="BH21" s="77"/>
      <c r="BI21" s="77"/>
      <c r="BJ21" s="77"/>
      <c r="BK21" s="77"/>
      <c r="BL21" s="78">
        <f t="shared" si="31"/>
        <v>0</v>
      </c>
      <c r="BM21" s="49">
        <v>17</v>
      </c>
      <c r="BN21" s="79">
        <f t="shared" si="26"/>
        <v>0</v>
      </c>
    </row>
    <row r="22" spans="2:68" ht="20" customHeight="1">
      <c r="B22" s="80">
        <f t="shared" si="27"/>
        <v>46071</v>
      </c>
      <c r="C22" s="81"/>
      <c r="D22" s="52"/>
      <c r="E22" s="53"/>
      <c r="F22" s="54"/>
      <c r="G22" s="55" t="e">
        <f t="shared" si="0"/>
        <v>#DIV/0!</v>
      </c>
      <c r="H22" s="54"/>
      <c r="I22" s="56" t="e">
        <f t="shared" si="28"/>
        <v>#DIV/0!</v>
      </c>
      <c r="J22" s="57">
        <f t="shared" si="1"/>
        <v>0</v>
      </c>
      <c r="K22" s="58" t="str">
        <f t="shared" si="2"/>
        <v/>
      </c>
      <c r="L22" s="59"/>
      <c r="M22" s="60">
        <f>BE22-E22</f>
        <v>0</v>
      </c>
      <c r="N22" s="61">
        <f t="shared" si="3"/>
        <v>0</v>
      </c>
      <c r="O22" s="55" t="e">
        <f t="shared" si="4"/>
        <v>#DIV/0!</v>
      </c>
      <c r="P22" s="61">
        <f t="shared" si="5"/>
        <v>0</v>
      </c>
      <c r="Q22" s="87" t="e">
        <f t="shared" si="6"/>
        <v>#DIV/0!</v>
      </c>
      <c r="R22" s="62">
        <f t="shared" si="7"/>
        <v>0</v>
      </c>
      <c r="S22" s="58" t="e">
        <f t="shared" si="8"/>
        <v>#DIV/0!</v>
      </c>
      <c r="T22" s="82">
        <f t="shared" si="9"/>
        <v>0</v>
      </c>
      <c r="U22" s="61">
        <f t="shared" si="9"/>
        <v>0</v>
      </c>
      <c r="V22" s="61">
        <f t="shared" si="10"/>
        <v>0</v>
      </c>
      <c r="W22" s="64">
        <f t="shared" si="11"/>
        <v>0</v>
      </c>
      <c r="X22" s="83"/>
      <c r="Y22" s="65"/>
      <c r="Z22" s="66"/>
      <c r="AA22" s="66"/>
      <c r="AB22" s="54"/>
      <c r="AC22" s="55" t="e">
        <f t="shared" si="12"/>
        <v>#DIV/0!</v>
      </c>
      <c r="AD22" s="54"/>
      <c r="AE22" s="56" t="e">
        <f t="shared" si="13"/>
        <v>#DIV/0!</v>
      </c>
      <c r="AF22" s="67">
        <f t="shared" si="14"/>
        <v>0</v>
      </c>
      <c r="AG22" s="58" t="str">
        <f t="shared" si="15"/>
        <v/>
      </c>
      <c r="AH22" s="68"/>
      <c r="AI22" s="66"/>
      <c r="AJ22" s="54"/>
      <c r="AK22" s="55" t="e">
        <f t="shared" si="16"/>
        <v>#DIV/0!</v>
      </c>
      <c r="AL22" s="54"/>
      <c r="AM22" s="56" t="e">
        <f t="shared" si="17"/>
        <v>#DIV/0!</v>
      </c>
      <c r="AN22" s="67">
        <f t="shared" si="29"/>
        <v>0</v>
      </c>
      <c r="AO22" s="69" t="str">
        <f t="shared" si="18"/>
        <v/>
      </c>
      <c r="AP22" s="70"/>
      <c r="AQ22" s="66"/>
      <c r="AR22" s="54"/>
      <c r="AS22" s="55" t="e">
        <f t="shared" si="19"/>
        <v>#DIV/0!</v>
      </c>
      <c r="AT22" s="54"/>
      <c r="AU22" s="56" t="e">
        <f t="shared" si="20"/>
        <v>#DIV/0!</v>
      </c>
      <c r="AV22" s="56"/>
      <c r="AW22" s="56"/>
      <c r="AX22" s="71">
        <f t="shared" si="30"/>
        <v>0</v>
      </c>
      <c r="AY22" s="69" t="str">
        <f t="shared" si="21"/>
        <v/>
      </c>
      <c r="AZ22" s="84">
        <f t="shared" si="22"/>
        <v>0</v>
      </c>
      <c r="BA22" s="61">
        <f>U22+AB22+AJ22+AR22</f>
        <v>0</v>
      </c>
      <c r="BB22" s="61">
        <f t="shared" si="24"/>
        <v>0</v>
      </c>
      <c r="BC22" s="73">
        <f>W22+AF22+AN22+AX22-BO22</f>
        <v>0</v>
      </c>
      <c r="BD22" s="74">
        <f t="shared" si="32"/>
        <v>0</v>
      </c>
      <c r="BE22" s="75"/>
      <c r="BF22" s="76"/>
      <c r="BG22" s="76"/>
      <c r="BH22" s="77"/>
      <c r="BI22" s="77"/>
      <c r="BJ22" s="77"/>
      <c r="BK22" s="77"/>
      <c r="BL22" s="78">
        <f t="shared" si="31"/>
        <v>0</v>
      </c>
      <c r="BM22" s="49">
        <v>18</v>
      </c>
      <c r="BN22" s="79">
        <f t="shared" si="26"/>
        <v>0</v>
      </c>
      <c r="BP22" s="85"/>
    </row>
    <row r="23" spans="2:68" ht="20" customHeight="1">
      <c r="B23" s="80">
        <f t="shared" si="27"/>
        <v>46072</v>
      </c>
      <c r="C23" s="81"/>
      <c r="D23" s="52"/>
      <c r="E23" s="53"/>
      <c r="F23" s="54"/>
      <c r="G23" s="55" t="e">
        <f t="shared" si="0"/>
        <v>#DIV/0!</v>
      </c>
      <c r="H23" s="54"/>
      <c r="I23" s="56" t="e">
        <f t="shared" si="28"/>
        <v>#DIV/0!</v>
      </c>
      <c r="J23" s="57">
        <f t="shared" si="1"/>
        <v>0</v>
      </c>
      <c r="K23" s="58" t="str">
        <f t="shared" si="2"/>
        <v/>
      </c>
      <c r="L23" s="59"/>
      <c r="M23" s="60">
        <f t="shared" si="3"/>
        <v>0</v>
      </c>
      <c r="N23" s="61">
        <f t="shared" si="3"/>
        <v>0</v>
      </c>
      <c r="O23" s="55" t="e">
        <f t="shared" si="4"/>
        <v>#DIV/0!</v>
      </c>
      <c r="P23" s="61">
        <f t="shared" si="5"/>
        <v>0</v>
      </c>
      <c r="Q23" s="87" t="e">
        <f t="shared" si="6"/>
        <v>#DIV/0!</v>
      </c>
      <c r="R23" s="62">
        <f t="shared" si="7"/>
        <v>0</v>
      </c>
      <c r="S23" s="58" t="e">
        <f t="shared" si="8"/>
        <v>#DIV/0!</v>
      </c>
      <c r="T23" s="82">
        <f t="shared" si="9"/>
        <v>0</v>
      </c>
      <c r="U23" s="61">
        <f t="shared" si="9"/>
        <v>0</v>
      </c>
      <c r="V23" s="61">
        <f t="shared" si="10"/>
        <v>0</v>
      </c>
      <c r="W23" s="64">
        <f t="shared" si="11"/>
        <v>0</v>
      </c>
      <c r="X23" s="83"/>
      <c r="Y23" s="65"/>
      <c r="Z23" s="66"/>
      <c r="AA23" s="66"/>
      <c r="AB23" s="54"/>
      <c r="AC23" s="55" t="e">
        <f t="shared" si="12"/>
        <v>#DIV/0!</v>
      </c>
      <c r="AD23" s="54"/>
      <c r="AE23" s="56" t="e">
        <f t="shared" si="13"/>
        <v>#DIV/0!</v>
      </c>
      <c r="AF23" s="67">
        <f t="shared" si="14"/>
        <v>0</v>
      </c>
      <c r="AG23" s="58" t="str">
        <f t="shared" si="15"/>
        <v/>
      </c>
      <c r="AH23" s="68"/>
      <c r="AI23" s="66"/>
      <c r="AJ23" s="54"/>
      <c r="AK23" s="55" t="e">
        <f t="shared" si="16"/>
        <v>#DIV/0!</v>
      </c>
      <c r="AL23" s="54"/>
      <c r="AM23" s="56" t="e">
        <f t="shared" si="17"/>
        <v>#DIV/0!</v>
      </c>
      <c r="AN23" s="67">
        <f t="shared" si="29"/>
        <v>0</v>
      </c>
      <c r="AO23" s="69" t="str">
        <f t="shared" si="18"/>
        <v/>
      </c>
      <c r="AP23" s="70"/>
      <c r="AQ23" s="66"/>
      <c r="AR23" s="54"/>
      <c r="AS23" s="55" t="e">
        <f t="shared" si="19"/>
        <v>#DIV/0!</v>
      </c>
      <c r="AT23" s="54"/>
      <c r="AU23" s="56" t="e">
        <f t="shared" si="20"/>
        <v>#DIV/0!</v>
      </c>
      <c r="AV23" s="56"/>
      <c r="AW23" s="56"/>
      <c r="AX23" s="71">
        <f t="shared" si="30"/>
        <v>0</v>
      </c>
      <c r="AY23" s="69" t="str">
        <f>IF(AQ23="","",AX23/AQ23)</f>
        <v/>
      </c>
      <c r="AZ23" s="84">
        <f t="shared" si="22"/>
        <v>0</v>
      </c>
      <c r="BA23" s="61">
        <f t="shared" si="23"/>
        <v>0</v>
      </c>
      <c r="BB23" s="61">
        <f t="shared" si="24"/>
        <v>0</v>
      </c>
      <c r="BC23" s="73">
        <f t="shared" ref="BC23:BC27" si="34">W23+AF23+AN23+AX23-BO23</f>
        <v>0</v>
      </c>
      <c r="BD23" s="74">
        <f t="shared" si="32"/>
        <v>0</v>
      </c>
      <c r="BE23" s="75"/>
      <c r="BF23" s="76"/>
      <c r="BG23" s="76"/>
      <c r="BH23" s="77"/>
      <c r="BI23" s="77"/>
      <c r="BJ23" s="77"/>
      <c r="BK23" s="77"/>
      <c r="BL23" s="78">
        <f>SUM(BF23:BI23)</f>
        <v>0</v>
      </c>
      <c r="BM23" s="49">
        <v>19</v>
      </c>
      <c r="BN23" s="79">
        <f t="shared" si="26"/>
        <v>0</v>
      </c>
    </row>
    <row r="24" spans="2:68" ht="20" customHeight="1">
      <c r="B24" s="80">
        <f t="shared" si="27"/>
        <v>46073</v>
      </c>
      <c r="C24" s="81"/>
      <c r="D24" s="52"/>
      <c r="E24" s="53"/>
      <c r="F24" s="54"/>
      <c r="G24" s="55" t="e">
        <f t="shared" si="0"/>
        <v>#DIV/0!</v>
      </c>
      <c r="H24" s="54"/>
      <c r="I24" s="56" t="e">
        <f t="shared" si="28"/>
        <v>#DIV/0!</v>
      </c>
      <c r="J24" s="57">
        <f t="shared" si="1"/>
        <v>0</v>
      </c>
      <c r="K24" s="58" t="str">
        <f t="shared" si="2"/>
        <v/>
      </c>
      <c r="L24" s="59"/>
      <c r="M24" s="60">
        <f t="shared" si="3"/>
        <v>0</v>
      </c>
      <c r="N24" s="61">
        <f t="shared" si="3"/>
        <v>0</v>
      </c>
      <c r="O24" s="55" t="e">
        <f t="shared" si="4"/>
        <v>#DIV/0!</v>
      </c>
      <c r="P24" s="61">
        <f>BG24-H24</f>
        <v>0</v>
      </c>
      <c r="Q24" s="87" t="e">
        <f t="shared" si="6"/>
        <v>#DIV/0!</v>
      </c>
      <c r="R24" s="62">
        <f>N24+P24</f>
        <v>0</v>
      </c>
      <c r="S24" s="58" t="e">
        <f>IF(M24="","",R24/M24)</f>
        <v>#DIV/0!</v>
      </c>
      <c r="T24" s="82">
        <f t="shared" si="9"/>
        <v>0</v>
      </c>
      <c r="U24" s="61">
        <f t="shared" si="9"/>
        <v>0</v>
      </c>
      <c r="V24" s="61">
        <f t="shared" si="10"/>
        <v>0</v>
      </c>
      <c r="W24" s="64">
        <f>J24+R24</f>
        <v>0</v>
      </c>
      <c r="X24" s="83"/>
      <c r="Y24" s="65"/>
      <c r="Z24" s="66"/>
      <c r="AA24" s="66"/>
      <c r="AB24" s="54"/>
      <c r="AC24" s="55" t="e">
        <f t="shared" si="12"/>
        <v>#DIV/0!</v>
      </c>
      <c r="AD24" s="54"/>
      <c r="AE24" s="56" t="e">
        <f t="shared" si="13"/>
        <v>#DIV/0!</v>
      </c>
      <c r="AF24" s="67">
        <f t="shared" si="14"/>
        <v>0</v>
      </c>
      <c r="AG24" s="58" t="str">
        <f t="shared" si="15"/>
        <v/>
      </c>
      <c r="AH24" s="68"/>
      <c r="AI24" s="66"/>
      <c r="AJ24" s="54"/>
      <c r="AK24" s="55" t="e">
        <f t="shared" si="16"/>
        <v>#DIV/0!</v>
      </c>
      <c r="AL24" s="54"/>
      <c r="AM24" s="56" t="e">
        <f t="shared" si="17"/>
        <v>#DIV/0!</v>
      </c>
      <c r="AN24" s="67">
        <f t="shared" si="29"/>
        <v>0</v>
      </c>
      <c r="AO24" s="69" t="str">
        <f t="shared" si="18"/>
        <v/>
      </c>
      <c r="AP24" s="70"/>
      <c r="AQ24" s="66"/>
      <c r="AR24" s="54"/>
      <c r="AS24" s="55" t="e">
        <f t="shared" si="19"/>
        <v>#DIV/0!</v>
      </c>
      <c r="AT24" s="54"/>
      <c r="AU24" s="56" t="e">
        <f t="shared" si="20"/>
        <v>#DIV/0!</v>
      </c>
      <c r="AV24" s="56"/>
      <c r="AW24" s="56"/>
      <c r="AX24" s="71">
        <f t="shared" si="30"/>
        <v>0</v>
      </c>
      <c r="AY24" s="69" t="str">
        <f t="shared" si="21"/>
        <v/>
      </c>
      <c r="AZ24" s="84">
        <f t="shared" si="22"/>
        <v>0</v>
      </c>
      <c r="BA24" s="61">
        <f>U24+AB24+AJ24+AR24</f>
        <v>0</v>
      </c>
      <c r="BB24" s="61">
        <f>V24+AD24+AL24+AT24</f>
        <v>0</v>
      </c>
      <c r="BC24" s="73">
        <f t="shared" si="34"/>
        <v>0</v>
      </c>
      <c r="BD24" s="74">
        <f t="shared" si="32"/>
        <v>0</v>
      </c>
      <c r="BE24" s="75"/>
      <c r="BF24" s="76"/>
      <c r="BG24" s="76"/>
      <c r="BH24" s="77"/>
      <c r="BI24" s="77"/>
      <c r="BJ24" s="77"/>
      <c r="BK24" s="77"/>
      <c r="BL24" s="78">
        <f>SUM(BF24:BI24)</f>
        <v>0</v>
      </c>
      <c r="BM24" s="49">
        <v>20</v>
      </c>
      <c r="BN24" s="79">
        <f t="shared" si="26"/>
        <v>0</v>
      </c>
    </row>
    <row r="25" spans="2:68" ht="20" customHeight="1">
      <c r="B25" s="227">
        <f t="shared" si="27"/>
        <v>46074</v>
      </c>
      <c r="C25" s="81"/>
      <c r="D25" s="52"/>
      <c r="E25" s="53"/>
      <c r="F25" s="54"/>
      <c r="G25" s="55" t="e">
        <f t="shared" si="0"/>
        <v>#DIV/0!</v>
      </c>
      <c r="H25" s="54"/>
      <c r="I25" s="56" t="e">
        <f t="shared" si="28"/>
        <v>#DIV/0!</v>
      </c>
      <c r="J25" s="57">
        <f t="shared" si="1"/>
        <v>0</v>
      </c>
      <c r="K25" s="58" t="str">
        <f t="shared" si="2"/>
        <v/>
      </c>
      <c r="L25" s="59"/>
      <c r="M25" s="60">
        <f t="shared" si="3"/>
        <v>0</v>
      </c>
      <c r="N25" s="61">
        <f t="shared" si="3"/>
        <v>0</v>
      </c>
      <c r="O25" s="55" t="e">
        <f t="shared" si="4"/>
        <v>#DIV/0!</v>
      </c>
      <c r="P25" s="61">
        <f t="shared" si="5"/>
        <v>0</v>
      </c>
      <c r="Q25" s="87" t="e">
        <f t="shared" si="6"/>
        <v>#DIV/0!</v>
      </c>
      <c r="R25" s="62">
        <f t="shared" si="7"/>
        <v>0</v>
      </c>
      <c r="S25" s="58" t="e">
        <f t="shared" si="8"/>
        <v>#DIV/0!</v>
      </c>
      <c r="T25" s="82">
        <f t="shared" si="9"/>
        <v>0</v>
      </c>
      <c r="U25" s="61">
        <f t="shared" si="9"/>
        <v>0</v>
      </c>
      <c r="V25" s="61">
        <f t="shared" si="10"/>
        <v>0</v>
      </c>
      <c r="W25" s="64">
        <f t="shared" si="11"/>
        <v>0</v>
      </c>
      <c r="X25" s="83"/>
      <c r="Y25" s="65"/>
      <c r="Z25" s="66"/>
      <c r="AA25" s="66"/>
      <c r="AB25" s="54"/>
      <c r="AC25" s="55" t="e">
        <f t="shared" si="12"/>
        <v>#DIV/0!</v>
      </c>
      <c r="AD25" s="54"/>
      <c r="AE25" s="56" t="e">
        <f t="shared" si="13"/>
        <v>#DIV/0!</v>
      </c>
      <c r="AF25" s="67">
        <f t="shared" si="14"/>
        <v>0</v>
      </c>
      <c r="AG25" s="58" t="str">
        <f t="shared" si="15"/>
        <v/>
      </c>
      <c r="AH25" s="68"/>
      <c r="AI25" s="66"/>
      <c r="AJ25" s="54"/>
      <c r="AK25" s="55" t="e">
        <f t="shared" si="16"/>
        <v>#DIV/0!</v>
      </c>
      <c r="AL25" s="54"/>
      <c r="AM25" s="56" t="e">
        <f t="shared" si="17"/>
        <v>#DIV/0!</v>
      </c>
      <c r="AN25" s="67">
        <f t="shared" si="29"/>
        <v>0</v>
      </c>
      <c r="AO25" s="69" t="str">
        <f t="shared" si="18"/>
        <v/>
      </c>
      <c r="AP25" s="70"/>
      <c r="AQ25" s="66"/>
      <c r="AR25" s="54"/>
      <c r="AS25" s="55" t="e">
        <f t="shared" si="19"/>
        <v>#DIV/0!</v>
      </c>
      <c r="AT25" s="54"/>
      <c r="AU25" s="56" t="e">
        <f t="shared" si="20"/>
        <v>#DIV/0!</v>
      </c>
      <c r="AV25" s="56"/>
      <c r="AW25" s="56"/>
      <c r="AX25" s="71">
        <f t="shared" si="30"/>
        <v>0</v>
      </c>
      <c r="AY25" s="69" t="str">
        <f t="shared" si="21"/>
        <v/>
      </c>
      <c r="AZ25" s="84">
        <f t="shared" si="22"/>
        <v>0</v>
      </c>
      <c r="BA25" s="61">
        <f t="shared" si="23"/>
        <v>0</v>
      </c>
      <c r="BB25" s="61">
        <f t="shared" si="24"/>
        <v>0</v>
      </c>
      <c r="BC25" s="73">
        <f>W25+AF25+AN25+AX25-BO25</f>
        <v>0</v>
      </c>
      <c r="BD25" s="74">
        <f t="shared" si="32"/>
        <v>0</v>
      </c>
      <c r="BE25" s="75"/>
      <c r="BF25" s="76"/>
      <c r="BG25" s="76"/>
      <c r="BH25" s="77"/>
      <c r="BI25" s="77"/>
      <c r="BJ25" s="77"/>
      <c r="BK25" s="77"/>
      <c r="BL25" s="78">
        <f t="shared" si="31"/>
        <v>0</v>
      </c>
      <c r="BM25" s="49">
        <v>21</v>
      </c>
      <c r="BN25" s="79">
        <f t="shared" si="26"/>
        <v>0</v>
      </c>
    </row>
    <row r="26" spans="2:68" ht="20" customHeight="1">
      <c r="B26" s="228">
        <f t="shared" si="27"/>
        <v>46075</v>
      </c>
      <c r="C26" s="81"/>
      <c r="D26" s="52"/>
      <c r="E26" s="53"/>
      <c r="F26" s="54"/>
      <c r="G26" s="55" t="e">
        <f t="shared" si="0"/>
        <v>#DIV/0!</v>
      </c>
      <c r="H26" s="54"/>
      <c r="I26" s="56" t="e">
        <f t="shared" si="28"/>
        <v>#DIV/0!</v>
      </c>
      <c r="J26" s="57">
        <f t="shared" si="1"/>
        <v>0</v>
      </c>
      <c r="K26" s="58" t="str">
        <f t="shared" si="2"/>
        <v/>
      </c>
      <c r="L26" s="59"/>
      <c r="M26" s="60">
        <f t="shared" si="3"/>
        <v>0</v>
      </c>
      <c r="N26" s="61">
        <f t="shared" si="3"/>
        <v>0</v>
      </c>
      <c r="O26" s="55" t="e">
        <f t="shared" si="4"/>
        <v>#DIV/0!</v>
      </c>
      <c r="P26" s="61">
        <f t="shared" si="5"/>
        <v>0</v>
      </c>
      <c r="Q26" s="87" t="e">
        <f t="shared" si="6"/>
        <v>#DIV/0!</v>
      </c>
      <c r="R26" s="62">
        <f t="shared" si="7"/>
        <v>0</v>
      </c>
      <c r="S26" s="58" t="e">
        <f t="shared" si="8"/>
        <v>#DIV/0!</v>
      </c>
      <c r="T26" s="82">
        <f t="shared" si="9"/>
        <v>0</v>
      </c>
      <c r="U26" s="61">
        <f t="shared" si="9"/>
        <v>0</v>
      </c>
      <c r="V26" s="61">
        <f t="shared" si="10"/>
        <v>0</v>
      </c>
      <c r="W26" s="64">
        <f t="shared" si="11"/>
        <v>0</v>
      </c>
      <c r="X26" s="83"/>
      <c r="Y26" s="65"/>
      <c r="Z26" s="66"/>
      <c r="AA26" s="66"/>
      <c r="AB26" s="54"/>
      <c r="AC26" s="55" t="e">
        <f t="shared" si="12"/>
        <v>#DIV/0!</v>
      </c>
      <c r="AD26" s="54"/>
      <c r="AE26" s="56" t="e">
        <f t="shared" si="13"/>
        <v>#DIV/0!</v>
      </c>
      <c r="AF26" s="67">
        <f t="shared" si="14"/>
        <v>0</v>
      </c>
      <c r="AG26" s="58" t="str">
        <f t="shared" si="15"/>
        <v/>
      </c>
      <c r="AH26" s="68"/>
      <c r="AI26" s="66"/>
      <c r="AJ26" s="54"/>
      <c r="AK26" s="55" t="e">
        <f t="shared" si="16"/>
        <v>#DIV/0!</v>
      </c>
      <c r="AL26" s="54"/>
      <c r="AM26" s="56" t="e">
        <f t="shared" si="17"/>
        <v>#DIV/0!</v>
      </c>
      <c r="AN26" s="67">
        <f t="shared" si="29"/>
        <v>0</v>
      </c>
      <c r="AO26" s="69" t="str">
        <f t="shared" si="18"/>
        <v/>
      </c>
      <c r="AP26" s="70"/>
      <c r="AQ26" s="66"/>
      <c r="AR26" s="54"/>
      <c r="AS26" s="55" t="e">
        <f t="shared" si="19"/>
        <v>#DIV/0!</v>
      </c>
      <c r="AT26" s="54"/>
      <c r="AU26" s="56" t="e">
        <f t="shared" si="20"/>
        <v>#DIV/0!</v>
      </c>
      <c r="AV26" s="56"/>
      <c r="AW26" s="56"/>
      <c r="AX26" s="71">
        <f t="shared" si="30"/>
        <v>0</v>
      </c>
      <c r="AY26" s="69" t="str">
        <f>IF(AQ26="","",AX26/AQ26)</f>
        <v/>
      </c>
      <c r="AZ26" s="84">
        <f t="shared" si="22"/>
        <v>0</v>
      </c>
      <c r="BA26" s="61">
        <f t="shared" si="23"/>
        <v>0</v>
      </c>
      <c r="BB26" s="61">
        <f t="shared" si="24"/>
        <v>0</v>
      </c>
      <c r="BC26" s="73">
        <f t="shared" si="34"/>
        <v>0</v>
      </c>
      <c r="BD26" s="74">
        <f>BH26+BI26</f>
        <v>0</v>
      </c>
      <c r="BE26" s="75"/>
      <c r="BF26" s="76"/>
      <c r="BG26" s="76"/>
      <c r="BH26" s="77"/>
      <c r="BI26" s="77"/>
      <c r="BJ26" s="77"/>
      <c r="BK26" s="77"/>
      <c r="BL26" s="78">
        <f t="shared" si="31"/>
        <v>0</v>
      </c>
      <c r="BM26" s="49">
        <v>22</v>
      </c>
      <c r="BN26" s="79">
        <f t="shared" si="26"/>
        <v>0</v>
      </c>
    </row>
    <row r="27" spans="2:68" ht="20" customHeight="1">
      <c r="B27" s="228">
        <f t="shared" si="27"/>
        <v>46076</v>
      </c>
      <c r="C27" s="81"/>
      <c r="D27" s="52"/>
      <c r="E27" s="53"/>
      <c r="F27" s="54"/>
      <c r="G27" s="55" t="e">
        <f t="shared" si="0"/>
        <v>#DIV/0!</v>
      </c>
      <c r="H27" s="54"/>
      <c r="I27" s="56" t="e">
        <f t="shared" si="28"/>
        <v>#DIV/0!</v>
      </c>
      <c r="J27" s="57">
        <f t="shared" si="1"/>
        <v>0</v>
      </c>
      <c r="K27" s="58" t="str">
        <f t="shared" si="2"/>
        <v/>
      </c>
      <c r="L27" s="59"/>
      <c r="M27" s="60">
        <f t="shared" si="3"/>
        <v>0</v>
      </c>
      <c r="N27" s="61">
        <f>BF27-F27</f>
        <v>0</v>
      </c>
      <c r="O27" s="55" t="e">
        <f t="shared" si="4"/>
        <v>#DIV/0!</v>
      </c>
      <c r="P27" s="61">
        <f t="shared" si="5"/>
        <v>0</v>
      </c>
      <c r="Q27" s="56" t="e">
        <f t="shared" si="6"/>
        <v>#DIV/0!</v>
      </c>
      <c r="R27" s="62">
        <f t="shared" si="7"/>
        <v>0</v>
      </c>
      <c r="S27" s="58" t="e">
        <f t="shared" si="8"/>
        <v>#DIV/0!</v>
      </c>
      <c r="T27" s="82">
        <f t="shared" si="9"/>
        <v>0</v>
      </c>
      <c r="U27" s="61">
        <f>F27+N27</f>
        <v>0</v>
      </c>
      <c r="V27" s="61">
        <f t="shared" si="10"/>
        <v>0</v>
      </c>
      <c r="W27" s="64">
        <f t="shared" si="11"/>
        <v>0</v>
      </c>
      <c r="X27" s="83"/>
      <c r="Y27" s="65"/>
      <c r="Z27" s="66"/>
      <c r="AA27" s="66"/>
      <c r="AB27" s="54"/>
      <c r="AC27" s="55" t="e">
        <f t="shared" si="12"/>
        <v>#DIV/0!</v>
      </c>
      <c r="AD27" s="54"/>
      <c r="AE27" s="56" t="e">
        <f t="shared" si="13"/>
        <v>#DIV/0!</v>
      </c>
      <c r="AF27" s="67">
        <f t="shared" si="14"/>
        <v>0</v>
      </c>
      <c r="AG27" s="58" t="str">
        <f t="shared" si="15"/>
        <v/>
      </c>
      <c r="AH27" s="68"/>
      <c r="AI27" s="66"/>
      <c r="AJ27" s="54"/>
      <c r="AK27" s="55" t="e">
        <f t="shared" si="16"/>
        <v>#DIV/0!</v>
      </c>
      <c r="AL27" s="54"/>
      <c r="AM27" s="56" t="e">
        <f t="shared" si="17"/>
        <v>#DIV/0!</v>
      </c>
      <c r="AN27" s="67">
        <f t="shared" si="29"/>
        <v>0</v>
      </c>
      <c r="AO27" s="69" t="str">
        <f t="shared" si="18"/>
        <v/>
      </c>
      <c r="AP27" s="70"/>
      <c r="AQ27" s="66"/>
      <c r="AR27" s="54"/>
      <c r="AS27" s="55" t="e">
        <f t="shared" si="19"/>
        <v>#DIV/0!</v>
      </c>
      <c r="AT27" s="54"/>
      <c r="AU27" s="56" t="e">
        <f t="shared" si="20"/>
        <v>#DIV/0!</v>
      </c>
      <c r="AV27" s="56"/>
      <c r="AW27" s="56"/>
      <c r="AX27" s="71">
        <f t="shared" si="30"/>
        <v>0</v>
      </c>
      <c r="AY27" s="69" t="str">
        <f t="shared" si="21"/>
        <v/>
      </c>
      <c r="AZ27" s="84">
        <f t="shared" si="22"/>
        <v>0</v>
      </c>
      <c r="BA27" s="61">
        <f t="shared" si="23"/>
        <v>0</v>
      </c>
      <c r="BB27" s="61">
        <f t="shared" si="24"/>
        <v>0</v>
      </c>
      <c r="BC27" s="73">
        <f t="shared" si="34"/>
        <v>0</v>
      </c>
      <c r="BD27" s="74">
        <f t="shared" si="32"/>
        <v>0</v>
      </c>
      <c r="BE27" s="75"/>
      <c r="BF27" s="76"/>
      <c r="BG27" s="76"/>
      <c r="BH27" s="77"/>
      <c r="BI27" s="77"/>
      <c r="BJ27" s="77"/>
      <c r="BK27" s="77"/>
      <c r="BL27" s="78">
        <f t="shared" si="31"/>
        <v>0</v>
      </c>
      <c r="BM27" s="49">
        <v>23</v>
      </c>
      <c r="BN27" s="79">
        <f t="shared" si="26"/>
        <v>0</v>
      </c>
    </row>
    <row r="28" spans="2:68" ht="20" customHeight="1">
      <c r="B28" s="80">
        <f>B27+1</f>
        <v>46077</v>
      </c>
      <c r="C28" s="81"/>
      <c r="D28" s="52"/>
      <c r="E28" s="53"/>
      <c r="F28" s="54"/>
      <c r="G28" s="55" t="e">
        <f t="shared" si="0"/>
        <v>#DIV/0!</v>
      </c>
      <c r="H28" s="54"/>
      <c r="I28" s="56" t="e">
        <f t="shared" si="28"/>
        <v>#DIV/0!</v>
      </c>
      <c r="J28" s="57">
        <f t="shared" si="1"/>
        <v>0</v>
      </c>
      <c r="K28" s="58" t="str">
        <f t="shared" si="2"/>
        <v/>
      </c>
      <c r="L28" s="59"/>
      <c r="M28" s="60">
        <f t="shared" si="3"/>
        <v>0</v>
      </c>
      <c r="N28" s="61">
        <f t="shared" si="3"/>
        <v>0</v>
      </c>
      <c r="O28" s="55" t="e">
        <f t="shared" si="4"/>
        <v>#DIV/0!</v>
      </c>
      <c r="P28" s="61">
        <f t="shared" si="5"/>
        <v>0</v>
      </c>
      <c r="Q28" s="56" t="e">
        <f>ROUNDDOWN(P28/1.1,0)/M28</f>
        <v>#DIV/0!</v>
      </c>
      <c r="R28" s="62">
        <f t="shared" si="7"/>
        <v>0</v>
      </c>
      <c r="S28" s="58" t="e">
        <f t="shared" si="8"/>
        <v>#DIV/0!</v>
      </c>
      <c r="T28" s="82">
        <f t="shared" si="9"/>
        <v>0</v>
      </c>
      <c r="U28" s="61">
        <f t="shared" si="9"/>
        <v>0</v>
      </c>
      <c r="V28" s="61">
        <f t="shared" si="10"/>
        <v>0</v>
      </c>
      <c r="W28" s="64">
        <f t="shared" si="11"/>
        <v>0</v>
      </c>
      <c r="X28" s="83"/>
      <c r="Y28" s="65"/>
      <c r="Z28" s="66"/>
      <c r="AA28" s="66"/>
      <c r="AB28" s="54"/>
      <c r="AC28" s="55" t="e">
        <f t="shared" si="12"/>
        <v>#DIV/0!</v>
      </c>
      <c r="AD28" s="54"/>
      <c r="AE28" s="56" t="e">
        <f t="shared" si="13"/>
        <v>#DIV/0!</v>
      </c>
      <c r="AF28" s="67">
        <f t="shared" si="14"/>
        <v>0</v>
      </c>
      <c r="AG28" s="58" t="str">
        <f t="shared" si="15"/>
        <v/>
      </c>
      <c r="AH28" s="68"/>
      <c r="AI28" s="66"/>
      <c r="AJ28" s="54"/>
      <c r="AK28" s="55" t="e">
        <f t="shared" si="16"/>
        <v>#DIV/0!</v>
      </c>
      <c r="AL28" s="54"/>
      <c r="AM28" s="56" t="e">
        <f t="shared" si="17"/>
        <v>#DIV/0!</v>
      </c>
      <c r="AN28" s="67">
        <f t="shared" si="29"/>
        <v>0</v>
      </c>
      <c r="AO28" s="69" t="str">
        <f t="shared" si="18"/>
        <v/>
      </c>
      <c r="AP28" s="70"/>
      <c r="AQ28" s="66"/>
      <c r="AR28" s="54"/>
      <c r="AS28" s="55" t="e">
        <f t="shared" si="19"/>
        <v>#DIV/0!</v>
      </c>
      <c r="AT28" s="54"/>
      <c r="AU28" s="56" t="e">
        <f t="shared" si="20"/>
        <v>#DIV/0!</v>
      </c>
      <c r="AV28" s="56"/>
      <c r="AW28" s="56"/>
      <c r="AX28" s="71">
        <f t="shared" si="30"/>
        <v>0</v>
      </c>
      <c r="AY28" s="69" t="str">
        <f t="shared" si="21"/>
        <v/>
      </c>
      <c r="AZ28" s="84">
        <f t="shared" si="22"/>
        <v>0</v>
      </c>
      <c r="BA28" s="61">
        <f t="shared" si="23"/>
        <v>0</v>
      </c>
      <c r="BB28" s="61">
        <f t="shared" si="24"/>
        <v>0</v>
      </c>
      <c r="BC28" s="73">
        <f>W28+AF28+AN28+AX28-BO28</f>
        <v>0</v>
      </c>
      <c r="BD28" s="74">
        <f t="shared" si="32"/>
        <v>0</v>
      </c>
      <c r="BE28" s="75"/>
      <c r="BF28" s="76"/>
      <c r="BG28" s="76"/>
      <c r="BH28" s="77"/>
      <c r="BI28" s="77"/>
      <c r="BJ28" s="77"/>
      <c r="BK28" s="77"/>
      <c r="BL28" s="78">
        <f t="shared" si="31"/>
        <v>0</v>
      </c>
      <c r="BM28" s="49">
        <v>24</v>
      </c>
      <c r="BN28" s="79">
        <f t="shared" si="26"/>
        <v>0</v>
      </c>
    </row>
    <row r="29" spans="2:68" ht="20" customHeight="1">
      <c r="B29" s="80">
        <f t="shared" si="27"/>
        <v>46078</v>
      </c>
      <c r="C29" s="81"/>
      <c r="D29" s="52"/>
      <c r="E29" s="53"/>
      <c r="F29" s="54"/>
      <c r="G29" s="55" t="e">
        <f t="shared" si="0"/>
        <v>#DIV/0!</v>
      </c>
      <c r="H29" s="54"/>
      <c r="I29" s="55" t="e">
        <f t="shared" si="28"/>
        <v>#DIV/0!</v>
      </c>
      <c r="J29" s="57">
        <f t="shared" si="1"/>
        <v>0</v>
      </c>
      <c r="K29" s="58" t="str">
        <f t="shared" si="2"/>
        <v/>
      </c>
      <c r="L29" s="59"/>
      <c r="M29" s="60">
        <f t="shared" si="3"/>
        <v>0</v>
      </c>
      <c r="N29" s="61">
        <f t="shared" si="3"/>
        <v>0</v>
      </c>
      <c r="O29" s="55" t="e">
        <f t="shared" si="4"/>
        <v>#DIV/0!</v>
      </c>
      <c r="P29" s="61">
        <f t="shared" si="5"/>
        <v>0</v>
      </c>
      <c r="Q29" s="56" t="e">
        <f t="shared" si="6"/>
        <v>#DIV/0!</v>
      </c>
      <c r="R29" s="62">
        <f t="shared" si="7"/>
        <v>0</v>
      </c>
      <c r="S29" s="58" t="e">
        <f t="shared" si="8"/>
        <v>#DIV/0!</v>
      </c>
      <c r="T29" s="82">
        <f t="shared" si="9"/>
        <v>0</v>
      </c>
      <c r="U29" s="61">
        <f t="shared" si="9"/>
        <v>0</v>
      </c>
      <c r="V29" s="61">
        <f t="shared" si="10"/>
        <v>0</v>
      </c>
      <c r="W29" s="64">
        <f t="shared" si="11"/>
        <v>0</v>
      </c>
      <c r="X29" s="83"/>
      <c r="Y29" s="65"/>
      <c r="Z29" s="66"/>
      <c r="AA29" s="66"/>
      <c r="AB29" s="54"/>
      <c r="AC29" s="55" t="e">
        <f t="shared" si="12"/>
        <v>#DIV/0!</v>
      </c>
      <c r="AD29" s="54"/>
      <c r="AE29" s="56" t="e">
        <f t="shared" si="13"/>
        <v>#DIV/0!</v>
      </c>
      <c r="AF29" s="67">
        <f t="shared" si="14"/>
        <v>0</v>
      </c>
      <c r="AG29" s="58" t="str">
        <f t="shared" si="15"/>
        <v/>
      </c>
      <c r="AH29" s="68"/>
      <c r="AI29" s="66"/>
      <c r="AJ29" s="54"/>
      <c r="AK29" s="55" t="e">
        <f t="shared" si="16"/>
        <v>#DIV/0!</v>
      </c>
      <c r="AL29" s="54"/>
      <c r="AM29" s="56" t="e">
        <f t="shared" si="17"/>
        <v>#DIV/0!</v>
      </c>
      <c r="AN29" s="67">
        <f t="shared" si="29"/>
        <v>0</v>
      </c>
      <c r="AO29" s="69" t="str">
        <f t="shared" si="18"/>
        <v/>
      </c>
      <c r="AP29" s="70"/>
      <c r="AQ29" s="66"/>
      <c r="AR29" s="54"/>
      <c r="AS29" s="55" t="e">
        <f t="shared" si="19"/>
        <v>#DIV/0!</v>
      </c>
      <c r="AT29" s="54"/>
      <c r="AU29" s="56" t="e">
        <f t="shared" si="20"/>
        <v>#DIV/0!</v>
      </c>
      <c r="AV29" s="56"/>
      <c r="AW29" s="56"/>
      <c r="AX29" s="71">
        <f t="shared" si="30"/>
        <v>0</v>
      </c>
      <c r="AY29" s="69" t="str">
        <f t="shared" si="21"/>
        <v/>
      </c>
      <c r="AZ29" s="84">
        <f t="shared" si="22"/>
        <v>0</v>
      </c>
      <c r="BA29" s="61">
        <f t="shared" si="23"/>
        <v>0</v>
      </c>
      <c r="BB29" s="61">
        <f t="shared" si="24"/>
        <v>0</v>
      </c>
      <c r="BC29" s="73">
        <f>W29+AF29+AN29+AX29</f>
        <v>0</v>
      </c>
      <c r="BD29" s="74">
        <f t="shared" si="32"/>
        <v>0</v>
      </c>
      <c r="BE29" s="75"/>
      <c r="BF29" s="76"/>
      <c r="BG29" s="76"/>
      <c r="BH29" s="77"/>
      <c r="BI29" s="77"/>
      <c r="BJ29" s="77"/>
      <c r="BK29" s="77"/>
      <c r="BL29" s="78">
        <f t="shared" si="31"/>
        <v>0</v>
      </c>
      <c r="BM29" s="49">
        <v>25</v>
      </c>
      <c r="BN29" s="79">
        <f t="shared" si="26"/>
        <v>0</v>
      </c>
    </row>
    <row r="30" spans="2:68" ht="20" customHeight="1">
      <c r="B30" s="80">
        <f t="shared" si="27"/>
        <v>46079</v>
      </c>
      <c r="C30" s="81"/>
      <c r="D30" s="52"/>
      <c r="E30" s="53"/>
      <c r="F30" s="54"/>
      <c r="G30" s="55" t="e">
        <f t="shared" si="0"/>
        <v>#DIV/0!</v>
      </c>
      <c r="H30" s="54"/>
      <c r="I30" s="55" t="e">
        <f t="shared" si="28"/>
        <v>#DIV/0!</v>
      </c>
      <c r="J30" s="57">
        <f t="shared" si="1"/>
        <v>0</v>
      </c>
      <c r="K30" s="58" t="str">
        <f t="shared" si="2"/>
        <v/>
      </c>
      <c r="L30" s="59"/>
      <c r="M30" s="60">
        <f t="shared" si="3"/>
        <v>0</v>
      </c>
      <c r="N30" s="61">
        <f t="shared" si="3"/>
        <v>0</v>
      </c>
      <c r="O30" s="55" t="e">
        <f t="shared" si="4"/>
        <v>#DIV/0!</v>
      </c>
      <c r="P30" s="61">
        <f t="shared" si="5"/>
        <v>0</v>
      </c>
      <c r="Q30" s="55" t="e">
        <f t="shared" si="6"/>
        <v>#DIV/0!</v>
      </c>
      <c r="R30" s="62">
        <f t="shared" si="7"/>
        <v>0</v>
      </c>
      <c r="S30" s="58" t="e">
        <f t="shared" si="8"/>
        <v>#DIV/0!</v>
      </c>
      <c r="T30" s="82">
        <f t="shared" si="9"/>
        <v>0</v>
      </c>
      <c r="U30" s="61">
        <f t="shared" si="9"/>
        <v>0</v>
      </c>
      <c r="V30" s="61">
        <f t="shared" si="10"/>
        <v>0</v>
      </c>
      <c r="W30" s="64">
        <f t="shared" si="11"/>
        <v>0</v>
      </c>
      <c r="X30" s="83"/>
      <c r="Y30" s="65"/>
      <c r="Z30" s="66"/>
      <c r="AA30" s="66"/>
      <c r="AB30" s="54"/>
      <c r="AC30" s="55" t="e">
        <f t="shared" si="12"/>
        <v>#DIV/0!</v>
      </c>
      <c r="AD30" s="54"/>
      <c r="AE30" s="56" t="e">
        <f t="shared" si="13"/>
        <v>#DIV/0!</v>
      </c>
      <c r="AF30" s="67">
        <f t="shared" si="14"/>
        <v>0</v>
      </c>
      <c r="AG30" s="58" t="str">
        <f t="shared" si="15"/>
        <v/>
      </c>
      <c r="AH30" s="68"/>
      <c r="AI30" s="66"/>
      <c r="AJ30" s="54"/>
      <c r="AK30" s="55" t="e">
        <f t="shared" si="16"/>
        <v>#DIV/0!</v>
      </c>
      <c r="AL30" s="54"/>
      <c r="AM30" s="56" t="e">
        <f t="shared" si="17"/>
        <v>#DIV/0!</v>
      </c>
      <c r="AN30" s="67">
        <f t="shared" si="29"/>
        <v>0</v>
      </c>
      <c r="AO30" s="69" t="str">
        <f t="shared" si="18"/>
        <v/>
      </c>
      <c r="AP30" s="70"/>
      <c r="AQ30" s="66"/>
      <c r="AR30" s="54"/>
      <c r="AS30" s="55" t="e">
        <f t="shared" si="19"/>
        <v>#DIV/0!</v>
      </c>
      <c r="AT30" s="54"/>
      <c r="AU30" s="56" t="e">
        <f t="shared" si="20"/>
        <v>#DIV/0!</v>
      </c>
      <c r="AV30" s="56"/>
      <c r="AW30" s="56"/>
      <c r="AX30" s="71">
        <f t="shared" si="30"/>
        <v>0</v>
      </c>
      <c r="AY30" s="69" t="str">
        <f t="shared" si="21"/>
        <v/>
      </c>
      <c r="AZ30" s="84">
        <f t="shared" si="22"/>
        <v>0</v>
      </c>
      <c r="BA30" s="61">
        <f t="shared" si="23"/>
        <v>0</v>
      </c>
      <c r="BB30" s="61">
        <f t="shared" si="24"/>
        <v>0</v>
      </c>
      <c r="BC30" s="73">
        <f>W30+AF30+AN30+AX30</f>
        <v>0</v>
      </c>
      <c r="BD30" s="74">
        <f>BH30+BI30</f>
        <v>0</v>
      </c>
      <c r="BE30" s="75"/>
      <c r="BF30" s="76"/>
      <c r="BG30" s="76"/>
      <c r="BH30" s="77"/>
      <c r="BI30" s="77"/>
      <c r="BJ30" s="77"/>
      <c r="BK30" s="77"/>
      <c r="BL30" s="78">
        <f t="shared" si="31"/>
        <v>0</v>
      </c>
      <c r="BM30" s="49">
        <v>26</v>
      </c>
      <c r="BN30" s="79">
        <f t="shared" si="26"/>
        <v>0</v>
      </c>
    </row>
    <row r="31" spans="2:68" ht="20" customHeight="1">
      <c r="B31" s="80">
        <f t="shared" si="27"/>
        <v>46080</v>
      </c>
      <c r="C31" s="81"/>
      <c r="D31" s="52"/>
      <c r="E31" s="53"/>
      <c r="F31" s="54"/>
      <c r="G31" s="55" t="e">
        <f t="shared" si="0"/>
        <v>#DIV/0!</v>
      </c>
      <c r="H31" s="54"/>
      <c r="I31" s="55" t="e">
        <f t="shared" si="28"/>
        <v>#DIV/0!</v>
      </c>
      <c r="J31" s="57">
        <f t="shared" si="1"/>
        <v>0</v>
      </c>
      <c r="K31" s="58" t="str">
        <f t="shared" si="2"/>
        <v/>
      </c>
      <c r="L31" s="59"/>
      <c r="M31" s="60">
        <f t="shared" si="3"/>
        <v>0</v>
      </c>
      <c r="N31" s="61">
        <f t="shared" si="3"/>
        <v>0</v>
      </c>
      <c r="O31" s="55" t="e">
        <f t="shared" si="4"/>
        <v>#DIV/0!</v>
      </c>
      <c r="P31" s="61">
        <f t="shared" si="5"/>
        <v>0</v>
      </c>
      <c r="Q31" s="55" t="e">
        <f t="shared" si="6"/>
        <v>#DIV/0!</v>
      </c>
      <c r="R31" s="62">
        <f t="shared" si="7"/>
        <v>0</v>
      </c>
      <c r="S31" s="58" t="e">
        <f t="shared" si="8"/>
        <v>#DIV/0!</v>
      </c>
      <c r="T31" s="82">
        <f t="shared" si="9"/>
        <v>0</v>
      </c>
      <c r="U31" s="61">
        <f t="shared" si="9"/>
        <v>0</v>
      </c>
      <c r="V31" s="61">
        <f t="shared" si="10"/>
        <v>0</v>
      </c>
      <c r="W31" s="64">
        <f t="shared" si="11"/>
        <v>0</v>
      </c>
      <c r="X31" s="83"/>
      <c r="Y31" s="65"/>
      <c r="Z31" s="66"/>
      <c r="AA31" s="66"/>
      <c r="AB31" s="54"/>
      <c r="AC31" s="55" t="e">
        <f t="shared" si="12"/>
        <v>#DIV/0!</v>
      </c>
      <c r="AD31" s="54"/>
      <c r="AE31" s="56" t="e">
        <f t="shared" si="13"/>
        <v>#DIV/0!</v>
      </c>
      <c r="AF31" s="67">
        <f t="shared" si="14"/>
        <v>0</v>
      </c>
      <c r="AG31" s="58" t="str">
        <f t="shared" si="15"/>
        <v/>
      </c>
      <c r="AH31" s="68"/>
      <c r="AI31" s="66"/>
      <c r="AJ31" s="54"/>
      <c r="AK31" s="55" t="e">
        <f t="shared" si="16"/>
        <v>#DIV/0!</v>
      </c>
      <c r="AL31" s="54"/>
      <c r="AM31" s="56" t="e">
        <f t="shared" si="17"/>
        <v>#DIV/0!</v>
      </c>
      <c r="AN31" s="67">
        <f t="shared" si="29"/>
        <v>0</v>
      </c>
      <c r="AO31" s="69" t="str">
        <f t="shared" si="18"/>
        <v/>
      </c>
      <c r="AP31" s="70"/>
      <c r="AQ31" s="66"/>
      <c r="AR31" s="54"/>
      <c r="AS31" s="55" t="e">
        <f t="shared" si="19"/>
        <v>#DIV/0!</v>
      </c>
      <c r="AT31" s="54"/>
      <c r="AU31" s="56" t="e">
        <f t="shared" si="20"/>
        <v>#DIV/0!</v>
      </c>
      <c r="AV31" s="56"/>
      <c r="AW31" s="56"/>
      <c r="AX31" s="71">
        <f t="shared" si="30"/>
        <v>0</v>
      </c>
      <c r="AY31" s="69" t="str">
        <f t="shared" si="21"/>
        <v/>
      </c>
      <c r="AZ31" s="84">
        <f t="shared" si="22"/>
        <v>0</v>
      </c>
      <c r="BA31" s="61">
        <f t="shared" si="23"/>
        <v>0</v>
      </c>
      <c r="BB31" s="61">
        <f t="shared" si="24"/>
        <v>0</v>
      </c>
      <c r="BC31" s="73">
        <f t="shared" ref="BC31:BC32" si="35">W31+AF31+AN31+AX31</f>
        <v>0</v>
      </c>
      <c r="BD31" s="74">
        <f t="shared" ref="BD31" si="36">BH31+BI31</f>
        <v>0</v>
      </c>
      <c r="BE31" s="75"/>
      <c r="BF31" s="76"/>
      <c r="BG31" s="76"/>
      <c r="BH31" s="77"/>
      <c r="BI31" s="77"/>
      <c r="BJ31" s="77"/>
      <c r="BK31" s="77"/>
      <c r="BL31" s="78">
        <f t="shared" si="31"/>
        <v>0</v>
      </c>
      <c r="BM31" s="49">
        <v>27</v>
      </c>
      <c r="BN31" s="79">
        <f t="shared" si="26"/>
        <v>0</v>
      </c>
    </row>
    <row r="32" spans="2:68" ht="20" customHeight="1" thickBot="1">
      <c r="B32" s="227">
        <f t="shared" si="27"/>
        <v>46081</v>
      </c>
      <c r="C32" s="81"/>
      <c r="D32" s="52"/>
      <c r="E32" s="53"/>
      <c r="F32" s="54"/>
      <c r="G32" s="55" t="e">
        <f t="shared" si="0"/>
        <v>#DIV/0!</v>
      </c>
      <c r="H32" s="54"/>
      <c r="I32" s="55" t="e">
        <f t="shared" si="28"/>
        <v>#DIV/0!</v>
      </c>
      <c r="J32" s="57">
        <f t="shared" si="1"/>
        <v>0</v>
      </c>
      <c r="K32" s="58" t="str">
        <f t="shared" si="2"/>
        <v/>
      </c>
      <c r="L32" s="59"/>
      <c r="M32" s="60">
        <f t="shared" si="3"/>
        <v>0</v>
      </c>
      <c r="N32" s="61">
        <f t="shared" si="3"/>
        <v>0</v>
      </c>
      <c r="O32" s="55" t="e">
        <f t="shared" si="4"/>
        <v>#DIV/0!</v>
      </c>
      <c r="P32" s="61">
        <f t="shared" si="5"/>
        <v>0</v>
      </c>
      <c r="Q32" s="55" t="e">
        <f t="shared" si="6"/>
        <v>#DIV/0!</v>
      </c>
      <c r="R32" s="62">
        <f t="shared" si="7"/>
        <v>0</v>
      </c>
      <c r="S32" s="58" t="e">
        <f t="shared" si="8"/>
        <v>#DIV/0!</v>
      </c>
      <c r="T32" s="82">
        <f t="shared" si="9"/>
        <v>0</v>
      </c>
      <c r="U32" s="61">
        <f t="shared" si="9"/>
        <v>0</v>
      </c>
      <c r="V32" s="61">
        <f t="shared" si="10"/>
        <v>0</v>
      </c>
      <c r="W32" s="64">
        <f t="shared" si="11"/>
        <v>0</v>
      </c>
      <c r="X32" s="83"/>
      <c r="Y32" s="65"/>
      <c r="Z32" s="66"/>
      <c r="AA32" s="66"/>
      <c r="AB32" s="54"/>
      <c r="AC32" s="55" t="e">
        <f t="shared" si="12"/>
        <v>#DIV/0!</v>
      </c>
      <c r="AD32" s="54"/>
      <c r="AE32" s="56" t="e">
        <f t="shared" si="13"/>
        <v>#DIV/0!</v>
      </c>
      <c r="AF32" s="67">
        <f t="shared" si="14"/>
        <v>0</v>
      </c>
      <c r="AG32" s="58" t="str">
        <f t="shared" si="15"/>
        <v/>
      </c>
      <c r="AH32" s="68"/>
      <c r="AI32" s="66"/>
      <c r="AJ32" s="54"/>
      <c r="AK32" s="55" t="e">
        <f t="shared" si="16"/>
        <v>#DIV/0!</v>
      </c>
      <c r="AL32" s="54"/>
      <c r="AM32" s="56" t="e">
        <f t="shared" si="17"/>
        <v>#DIV/0!</v>
      </c>
      <c r="AN32" s="67">
        <f t="shared" si="29"/>
        <v>0</v>
      </c>
      <c r="AO32" s="69" t="str">
        <f t="shared" si="18"/>
        <v/>
      </c>
      <c r="AP32" s="70"/>
      <c r="AQ32" s="66"/>
      <c r="AR32" s="54"/>
      <c r="AS32" s="55" t="e">
        <f t="shared" si="19"/>
        <v>#DIV/0!</v>
      </c>
      <c r="AT32" s="54"/>
      <c r="AU32" s="56" t="e">
        <f t="shared" si="20"/>
        <v>#DIV/0!</v>
      </c>
      <c r="AV32" s="56"/>
      <c r="AW32" s="56"/>
      <c r="AX32" s="71">
        <f t="shared" si="30"/>
        <v>0</v>
      </c>
      <c r="AY32" s="69" t="str">
        <f t="shared" si="21"/>
        <v/>
      </c>
      <c r="AZ32" s="84">
        <f t="shared" si="22"/>
        <v>0</v>
      </c>
      <c r="BA32" s="61">
        <f>U32+AB32+AJ32+AR32</f>
        <v>0</v>
      </c>
      <c r="BB32" s="61">
        <f t="shared" si="24"/>
        <v>0</v>
      </c>
      <c r="BC32" s="73">
        <f t="shared" si="35"/>
        <v>0</v>
      </c>
      <c r="BD32" s="74">
        <f>BH32+BI32</f>
        <v>0</v>
      </c>
      <c r="BE32" s="75"/>
      <c r="BF32" s="76"/>
      <c r="BG32" s="76"/>
      <c r="BH32" s="77"/>
      <c r="BI32" s="77"/>
      <c r="BJ32" s="77"/>
      <c r="BK32" s="77"/>
      <c r="BL32" s="78">
        <f>SUM(BF32:BI32)</f>
        <v>0</v>
      </c>
      <c r="BM32" s="49">
        <v>28</v>
      </c>
      <c r="BN32" s="79">
        <f>BK32+BL32</f>
        <v>0</v>
      </c>
    </row>
    <row r="33" spans="2:66" s="129" customFormat="1" ht="20" customHeight="1" thickTop="1">
      <c r="B33" s="107" t="s">
        <v>25</v>
      </c>
      <c r="C33" s="108">
        <f>SUM(C5:C32)</f>
        <v>0</v>
      </c>
      <c r="D33" s="109">
        <f>SUM(D5:D32)</f>
        <v>0</v>
      </c>
      <c r="E33" s="110">
        <f>SUM(E5:E32)</f>
        <v>314</v>
      </c>
      <c r="F33" s="111">
        <f>SUM(F5:F32)</f>
        <v>1450610</v>
      </c>
      <c r="G33" s="112">
        <f>F33/E33</f>
        <v>4619.7770700636938</v>
      </c>
      <c r="H33" s="108">
        <f>SUM(H5:H32)</f>
        <v>258310</v>
      </c>
      <c r="I33" s="113">
        <f>H33/E33</f>
        <v>822.64331210191085</v>
      </c>
      <c r="J33" s="114">
        <f>SUM(J5:J32)</f>
        <v>1708920</v>
      </c>
      <c r="K33" s="115">
        <f>J33/E33</f>
        <v>5442.4203821656047</v>
      </c>
      <c r="L33" s="116">
        <f>SUM(L5:L32)</f>
        <v>0</v>
      </c>
      <c r="M33" s="110">
        <f>SUM(M5:M32)</f>
        <v>292</v>
      </c>
      <c r="N33" s="111">
        <f>SUM(N5:N32)</f>
        <v>3014150</v>
      </c>
      <c r="O33" s="112">
        <f>N33/M33</f>
        <v>10322.431506849314</v>
      </c>
      <c r="P33" s="117">
        <f>SUM(P5:P32)</f>
        <v>614740</v>
      </c>
      <c r="Q33" s="113">
        <f>P33/M33</f>
        <v>2105.2739726027398</v>
      </c>
      <c r="R33" s="118">
        <f>SUM(R5:R32)</f>
        <v>3628890</v>
      </c>
      <c r="S33" s="119">
        <f>R33/M33</f>
        <v>12427.705479452055</v>
      </c>
      <c r="T33" s="110">
        <f t="shared" ref="T33:Z33" si="37">SUM(T5:T32)</f>
        <v>606</v>
      </c>
      <c r="U33" s="117">
        <f t="shared" si="37"/>
        <v>4464760</v>
      </c>
      <c r="V33" s="117">
        <f t="shared" si="37"/>
        <v>873050</v>
      </c>
      <c r="W33" s="114">
        <f t="shared" si="37"/>
        <v>5337810</v>
      </c>
      <c r="X33" s="120">
        <f t="shared" si="37"/>
        <v>0</v>
      </c>
      <c r="Y33" s="109">
        <f t="shared" si="37"/>
        <v>0</v>
      </c>
      <c r="Z33" s="110">
        <f t="shared" si="37"/>
        <v>31</v>
      </c>
      <c r="AA33" s="121"/>
      <c r="AB33" s="112">
        <f>SUM(AB5:AB32)</f>
        <v>18440</v>
      </c>
      <c r="AC33" s="112">
        <f>AB33/Z33</f>
        <v>594.83870967741939</v>
      </c>
      <c r="AD33" s="108">
        <f>SUM(AD5:AD32)</f>
        <v>47590</v>
      </c>
      <c r="AE33" s="113">
        <f>AD33/Z33</f>
        <v>1535.1612903225807</v>
      </c>
      <c r="AF33" s="118">
        <f>SUM(AF5:AF32)</f>
        <v>66030</v>
      </c>
      <c r="AG33" s="122">
        <f>AF33/Z33</f>
        <v>2130</v>
      </c>
      <c r="AH33" s="123">
        <f>SUM(AH5:AH32)</f>
        <v>0</v>
      </c>
      <c r="AI33" s="110">
        <f>SUM(AI5:AI32)</f>
        <v>60</v>
      </c>
      <c r="AJ33" s="112">
        <f>SUM(AJ5:AJ32)</f>
        <v>90480</v>
      </c>
      <c r="AK33" s="112"/>
      <c r="AL33" s="108">
        <f>SUM(AL5:AL32)</f>
        <v>41956</v>
      </c>
      <c r="AM33" s="113"/>
      <c r="AN33" s="118">
        <f>SUM(AN5:AN32)</f>
        <v>132436</v>
      </c>
      <c r="AO33" s="124">
        <f>AN33/AI33</f>
        <v>2207.2666666666669</v>
      </c>
      <c r="AP33" s="125">
        <f>SUM(AP5:AP32)</f>
        <v>0</v>
      </c>
      <c r="AQ33" s="110">
        <f>SUM(AQ5:AQ32)</f>
        <v>0</v>
      </c>
      <c r="AR33" s="112">
        <f>SUM(AR5:AR32)</f>
        <v>0</v>
      </c>
      <c r="AS33" s="112"/>
      <c r="AT33" s="108">
        <f>SUM(AT5:AT32)</f>
        <v>0</v>
      </c>
      <c r="AU33" s="113"/>
      <c r="AV33" s="108">
        <f>SUM(AV5:AV32)</f>
        <v>0</v>
      </c>
      <c r="AW33" s="108">
        <f>SUM(AW5:AW32)</f>
        <v>0</v>
      </c>
      <c r="AX33" s="118">
        <f>SUM(AX5:AX32)</f>
        <v>0</v>
      </c>
      <c r="AY33" s="124" t="e">
        <f>AX33/AQ33</f>
        <v>#DIV/0!</v>
      </c>
      <c r="AZ33" s="121">
        <f t="shared" ref="AZ33:BL33" si="38">SUM(AZ5:AZ32)</f>
        <v>606</v>
      </c>
      <c r="BA33" s="117">
        <f t="shared" si="38"/>
        <v>4573680</v>
      </c>
      <c r="BB33" s="117">
        <f t="shared" si="38"/>
        <v>962596</v>
      </c>
      <c r="BC33" s="118">
        <f t="shared" si="38"/>
        <v>5535876</v>
      </c>
      <c r="BD33" s="126">
        <f t="shared" si="38"/>
        <v>47850</v>
      </c>
      <c r="BE33" s="127">
        <f t="shared" si="38"/>
        <v>606</v>
      </c>
      <c r="BF33" s="127">
        <f t="shared" si="38"/>
        <v>4464760</v>
      </c>
      <c r="BG33" s="127">
        <f t="shared" si="38"/>
        <v>873050</v>
      </c>
      <c r="BH33" s="127">
        <f t="shared" si="38"/>
        <v>47850</v>
      </c>
      <c r="BI33" s="127">
        <f t="shared" si="38"/>
        <v>0</v>
      </c>
      <c r="BJ33" s="127">
        <f t="shared" si="38"/>
        <v>3300</v>
      </c>
      <c r="BK33" s="127">
        <f t="shared" si="38"/>
        <v>0</v>
      </c>
      <c r="BL33" s="128">
        <f t="shared" si="38"/>
        <v>5385660</v>
      </c>
      <c r="BN33" s="130">
        <f>SUM(BN5:BN32)</f>
        <v>5385660</v>
      </c>
    </row>
    <row r="34" spans="2:66" s="129" customFormat="1" ht="18">
      <c r="B34" s="131"/>
      <c r="E34" s="132" t="s">
        <v>38</v>
      </c>
      <c r="F34" s="133">
        <f>F33/1.1</f>
        <v>1318736.3636363635</v>
      </c>
      <c r="G34" s="134">
        <f>F34/E33</f>
        <v>4199.7973364215395</v>
      </c>
      <c r="H34" s="135">
        <f>H33/1.1</f>
        <v>234827.27272727271</v>
      </c>
      <c r="I34" s="134">
        <f>H34/E33</f>
        <v>747.85755645628251</v>
      </c>
      <c r="J34" s="136">
        <f>J33/1.1</f>
        <v>1553563.6363636362</v>
      </c>
      <c r="K34" s="137">
        <f>G34+I34</f>
        <v>4947.654892877822</v>
      </c>
      <c r="L34" s="138"/>
      <c r="M34" s="132" t="s">
        <v>38</v>
      </c>
      <c r="N34" s="133">
        <f>N33/1.1</f>
        <v>2740136.3636363633</v>
      </c>
      <c r="O34" s="134">
        <f>N34/M33</f>
        <v>9384.028642590285</v>
      </c>
      <c r="P34" s="135">
        <f>P33/1.1</f>
        <v>558854.54545454541</v>
      </c>
      <c r="Q34" s="134">
        <f>P34/M33</f>
        <v>1913.8854296388542</v>
      </c>
      <c r="R34" s="134">
        <f>R33/1.1</f>
        <v>3298990.9090909087</v>
      </c>
      <c r="S34" s="139">
        <f>R34/M33</f>
        <v>11297.914072229139</v>
      </c>
      <c r="T34" s="132" t="s">
        <v>38</v>
      </c>
      <c r="U34" s="133">
        <f>U33/1.1</f>
        <v>4058872.7272727271</v>
      </c>
      <c r="V34" s="133">
        <f>V33/1.1</f>
        <v>793681.81818181812</v>
      </c>
      <c r="W34" s="136">
        <f>W33/1.1</f>
        <v>4852554.5454545449</v>
      </c>
      <c r="X34" s="140"/>
      <c r="Y34" s="138"/>
      <c r="Z34" s="132" t="s">
        <v>38</v>
      </c>
      <c r="AA34" s="132"/>
      <c r="AB34" s="133">
        <f>AB33/1.1</f>
        <v>16763.636363636364</v>
      </c>
      <c r="AC34" s="135">
        <f>AB34/Z33</f>
        <v>540.76246334310849</v>
      </c>
      <c r="AD34" s="135">
        <f>AD33/1.1</f>
        <v>43263.63636363636</v>
      </c>
      <c r="AE34" s="135">
        <f>AD34/Z33</f>
        <v>1395.6011730205278</v>
      </c>
      <c r="AF34" s="134">
        <f>AF33/1.1</f>
        <v>60027.272727272721</v>
      </c>
      <c r="AG34" s="141">
        <f>AF34/Z33</f>
        <v>1936.3636363636363</v>
      </c>
      <c r="AH34" s="138"/>
      <c r="AI34" s="132" t="s">
        <v>38</v>
      </c>
      <c r="AJ34" s="133">
        <f>AJ33/1.1</f>
        <v>82254.545454545441</v>
      </c>
      <c r="AK34" s="135">
        <f>AJ34/AI33</f>
        <v>1370.9090909090908</v>
      </c>
      <c r="AL34" s="135">
        <f>AL33/1.1</f>
        <v>38141.818181818177</v>
      </c>
      <c r="AM34" s="135">
        <f>AL34/AI33</f>
        <v>635.69696969696963</v>
      </c>
      <c r="AN34" s="134">
        <f>AN33/1.1</f>
        <v>120396.36363636363</v>
      </c>
      <c r="AO34" s="142" t="e">
        <f>AN34/AH33</f>
        <v>#DIV/0!</v>
      </c>
      <c r="AP34" s="138"/>
      <c r="AQ34" s="132" t="s">
        <v>38</v>
      </c>
      <c r="AR34" s="133">
        <f>AR33/1.1</f>
        <v>0</v>
      </c>
      <c r="AS34" s="135" t="e">
        <f>AR34/AQ33</f>
        <v>#DIV/0!</v>
      </c>
      <c r="AT34" s="135">
        <f>AT33/1.1</f>
        <v>0</v>
      </c>
      <c r="AU34" s="135" t="e">
        <f>AT34/AQ33</f>
        <v>#DIV/0!</v>
      </c>
      <c r="AV34" s="135">
        <f>AV33/1.1</f>
        <v>0</v>
      </c>
      <c r="AW34" s="135">
        <f>AW33/1.1</f>
        <v>0</v>
      </c>
      <c r="AX34" s="134">
        <f>AX33/1.1</f>
        <v>0</v>
      </c>
      <c r="AY34" s="142" t="e">
        <f>AX34/AQ33</f>
        <v>#DIV/0!</v>
      </c>
      <c r="AZ34" s="143" t="s">
        <v>38</v>
      </c>
      <c r="BA34" s="133">
        <f>BA33/1.1</f>
        <v>4157890.9090909087</v>
      </c>
      <c r="BB34" s="133">
        <f>BB33/1.1</f>
        <v>875087.27272727271</v>
      </c>
      <c r="BC34" s="134">
        <f>BC33/1.1</f>
        <v>5032614.5454545449</v>
      </c>
      <c r="BD34" s="144">
        <f>BD33/1.1</f>
        <v>43500</v>
      </c>
      <c r="BI34" s="145"/>
      <c r="BL34" s="146">
        <f>BL33/1.1</f>
        <v>4896054.5454545449</v>
      </c>
      <c r="BN34" s="146"/>
    </row>
    <row r="35" spans="2:66">
      <c r="C35" s="49">
        <v>28</v>
      </c>
      <c r="E35" s="147" t="s">
        <v>39</v>
      </c>
      <c r="F35" s="148">
        <f>E33/G35</f>
        <v>31.4</v>
      </c>
      <c r="G35" s="149">
        <v>10</v>
      </c>
      <c r="H35" s="148"/>
      <c r="I35" s="148"/>
      <c r="J35" s="150" t="s">
        <v>40</v>
      </c>
      <c r="K35" s="151">
        <f>J34/G35</f>
        <v>155356.36363636362</v>
      </c>
      <c r="M35" s="147" t="s">
        <v>39</v>
      </c>
      <c r="N35" s="148">
        <f>M33/O35</f>
        <v>29.2</v>
      </c>
      <c r="O35" s="149">
        <f>G35</f>
        <v>10</v>
      </c>
      <c r="P35" s="148"/>
      <c r="Q35" s="148"/>
      <c r="R35" s="150" t="s">
        <v>40</v>
      </c>
      <c r="S35" s="152">
        <f>R34/O35</f>
        <v>329899.09090909088</v>
      </c>
      <c r="U35" s="153">
        <f>O35</f>
        <v>10</v>
      </c>
      <c r="V35" s="150" t="s">
        <v>40</v>
      </c>
      <c r="W35" s="145">
        <f>W34/U35</f>
        <v>485255.45454545447</v>
      </c>
      <c r="X35" s="79"/>
      <c r="AB35" s="154">
        <f>G35</f>
        <v>10</v>
      </c>
      <c r="AC35" s="148"/>
      <c r="AD35" s="148"/>
      <c r="AE35" s="148"/>
      <c r="AF35" s="148"/>
      <c r="AG35" s="151">
        <f>AF34/AB35</f>
        <v>6002.7272727272721</v>
      </c>
      <c r="AJ35" s="154">
        <f>AB35</f>
        <v>10</v>
      </c>
      <c r="AK35" s="148"/>
      <c r="AL35" s="148"/>
      <c r="AM35" s="148"/>
      <c r="AN35" s="148"/>
      <c r="AO35" s="151">
        <f>AN34/AJ35</f>
        <v>12039.636363636364</v>
      </c>
      <c r="AR35" s="154">
        <f>G35</f>
        <v>10</v>
      </c>
      <c r="AS35" s="148"/>
      <c r="AT35" s="148"/>
      <c r="AU35" s="148"/>
      <c r="AV35" s="148"/>
      <c r="AW35" s="148"/>
      <c r="AX35" s="148"/>
      <c r="AY35" s="151">
        <f>AX34/AR35</f>
        <v>0</v>
      </c>
      <c r="BC35" s="85"/>
      <c r="BD35" s="79" t="e">
        <f>BC34/BE34</f>
        <v>#DIV/0!</v>
      </c>
      <c r="BE35" s="155">
        <f>AZ33+T33</f>
        <v>1212</v>
      </c>
      <c r="BI35" s="85"/>
    </row>
    <row r="36" spans="2:66">
      <c r="D36" s="156" t="s">
        <v>41</v>
      </c>
      <c r="E36" s="157"/>
      <c r="F36" s="148"/>
      <c r="G36" s="158"/>
      <c r="H36" s="148"/>
      <c r="I36" s="148"/>
      <c r="J36" s="150"/>
      <c r="K36" s="151"/>
      <c r="L36" s="159" t="s">
        <v>42</v>
      </c>
      <c r="M36" s="147"/>
      <c r="N36" s="148"/>
      <c r="O36" s="148"/>
      <c r="P36" s="148"/>
      <c r="Q36" s="148"/>
      <c r="R36" s="150"/>
      <c r="S36" s="151"/>
      <c r="V36" s="85">
        <f>V34/T33</f>
        <v>1309.7059705970596</v>
      </c>
      <c r="W36" s="85"/>
      <c r="X36" s="79"/>
      <c r="Y36" s="159" t="s">
        <v>43</v>
      </c>
      <c r="AB36" s="148"/>
      <c r="AC36" s="148"/>
      <c r="AD36" s="148"/>
      <c r="AE36" s="148"/>
      <c r="AF36" s="148"/>
      <c r="AG36" s="151"/>
      <c r="AH36" s="159" t="s">
        <v>44</v>
      </c>
      <c r="AJ36" s="148"/>
      <c r="AK36" s="148"/>
      <c r="AL36" s="148"/>
      <c r="AM36" s="148"/>
      <c r="AN36" s="148"/>
      <c r="AO36" s="151"/>
      <c r="AP36" s="159" t="s">
        <v>45</v>
      </c>
      <c r="AR36" s="148"/>
      <c r="AS36" s="148"/>
      <c r="AT36" s="148"/>
      <c r="AU36" s="148"/>
      <c r="AV36" s="148"/>
      <c r="AW36" s="148"/>
      <c r="AX36" s="148"/>
      <c r="AY36" s="151"/>
      <c r="BC36" s="79">
        <f>BC33+BD33</f>
        <v>5583726</v>
      </c>
      <c r="BD36" s="160">
        <f>BC36/G35</f>
        <v>558372.6</v>
      </c>
      <c r="BE36" s="49" t="s">
        <v>46</v>
      </c>
      <c r="BI36" s="85"/>
    </row>
    <row r="37" spans="2:66" ht="21.5" customHeight="1">
      <c r="C37" s="159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49">
        <v>25</v>
      </c>
      <c r="W37" s="79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BC37" s="162">
        <f>BC34+BD34</f>
        <v>5076114.5454545449</v>
      </c>
    </row>
    <row r="38" spans="2:66" ht="21.5" customHeight="1">
      <c r="C38" s="159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49">
        <v>15</v>
      </c>
      <c r="V38" s="49">
        <f>17+10+14+5+7+8+9+6</f>
        <v>76</v>
      </c>
      <c r="W38" s="85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BC38" s="79"/>
      <c r="BD38" s="160">
        <f>BC37/G35</f>
        <v>507611.45454545447</v>
      </c>
      <c r="BE38" s="49" t="s">
        <v>47</v>
      </c>
      <c r="BF38" s="49">
        <v>9</v>
      </c>
    </row>
    <row r="39" spans="2:66" ht="21.5" customHeight="1">
      <c r="C39" s="159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49">
        <v>13</v>
      </c>
      <c r="W39" s="79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BF39" s="49">
        <v>8</v>
      </c>
      <c r="BG39" s="85">
        <f>AT34</f>
        <v>0</v>
      </c>
    </row>
    <row r="40" spans="2:66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10</v>
      </c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85">
        <f>BC34+BD34</f>
        <v>5076114.5454545449</v>
      </c>
      <c r="BD40" s="163" t="s">
        <v>48</v>
      </c>
      <c r="BF40" s="49">
        <v>7</v>
      </c>
      <c r="BG40" s="164">
        <f>'[1]2023(7)'!AS37</f>
        <v>15843636.363636361</v>
      </c>
      <c r="BH40" s="164">
        <v>6266320</v>
      </c>
      <c r="BI40" s="165">
        <f>BH40/BG40</f>
        <v>0.39551021344962134</v>
      </c>
    </row>
    <row r="41" spans="2:66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40</v>
      </c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A41" s="129"/>
      <c r="BB41" s="166" t="s">
        <v>49</v>
      </c>
      <c r="BC41" s="146">
        <f>J42+R42+AF42+BD41+AN42+AX42</f>
        <v>10632300</v>
      </c>
      <c r="BD41" s="167">
        <v>90000</v>
      </c>
      <c r="BE41" s="129"/>
      <c r="BF41" s="49">
        <v>6</v>
      </c>
      <c r="BG41" s="164">
        <v>7119727</v>
      </c>
      <c r="BH41" s="164">
        <v>2680643</v>
      </c>
      <c r="BI41" s="165">
        <f>BH41/BG41</f>
        <v>0.37650923975034434</v>
      </c>
    </row>
    <row r="42" spans="2:66" ht="21" customHeight="1">
      <c r="H42" s="168"/>
      <c r="I42" s="169" t="s">
        <v>50</v>
      </c>
      <c r="J42" s="146">
        <v>3696000</v>
      </c>
      <c r="K42" s="170" t="s">
        <v>51</v>
      </c>
      <c r="L42" s="129"/>
      <c r="M42" s="129"/>
      <c r="N42" s="129"/>
      <c r="O42" s="129"/>
      <c r="P42" s="129"/>
      <c r="Q42" s="169" t="s">
        <v>52</v>
      </c>
      <c r="R42" s="146">
        <v>5457000</v>
      </c>
      <c r="S42" s="170" t="s">
        <v>51</v>
      </c>
      <c r="T42" s="129">
        <v>10</v>
      </c>
      <c r="U42" s="129"/>
      <c r="V42" s="169" t="s">
        <v>53</v>
      </c>
      <c r="W42" s="146">
        <f>J42+R42</f>
        <v>9153000</v>
      </c>
      <c r="X42" s="170" t="s">
        <v>51</v>
      </c>
      <c r="Y42" s="129"/>
      <c r="Z42" s="129"/>
      <c r="AA42" s="129"/>
      <c r="AB42" s="129"/>
      <c r="AC42" s="129"/>
      <c r="AD42" s="129"/>
      <c r="AE42" s="170" t="s">
        <v>117</v>
      </c>
      <c r="AF42" s="146">
        <v>345400</v>
      </c>
      <c r="AG42" s="170" t="s">
        <v>51</v>
      </c>
      <c r="AH42" s="170"/>
      <c r="AI42" s="170"/>
      <c r="AJ42" s="170"/>
      <c r="AK42" s="170"/>
      <c r="AL42" s="129"/>
      <c r="AM42" s="169" t="s">
        <v>54</v>
      </c>
      <c r="AN42" s="146">
        <v>1043900</v>
      </c>
      <c r="AO42" s="170" t="s">
        <v>51</v>
      </c>
      <c r="AP42" s="170"/>
      <c r="AQ42" s="170"/>
      <c r="AR42" s="170"/>
      <c r="AS42" s="170"/>
      <c r="AT42" s="129"/>
      <c r="AU42" s="169" t="s">
        <v>55</v>
      </c>
      <c r="AV42" s="169"/>
      <c r="AW42" s="169"/>
      <c r="AX42" s="146">
        <v>0</v>
      </c>
      <c r="AY42" s="170" t="s">
        <v>51</v>
      </c>
      <c r="AZ42" s="129"/>
      <c r="BA42" s="129"/>
      <c r="BB42" s="166" t="s">
        <v>56</v>
      </c>
      <c r="BC42" s="145">
        <f>BC41-BC34-BD34</f>
        <v>5556185.4545454551</v>
      </c>
      <c r="BD42" s="145"/>
      <c r="BE42" s="171">
        <f>BD34/BD41</f>
        <v>0.48333333333333334</v>
      </c>
      <c r="BF42" s="49">
        <v>5</v>
      </c>
      <c r="BG42" s="164">
        <v>637682</v>
      </c>
      <c r="BH42" s="164"/>
      <c r="BI42" s="165">
        <f t="shared" ref="BI42" si="39">BH42/BG42</f>
        <v>0</v>
      </c>
      <c r="BJ42" s="79" t="s">
        <v>57</v>
      </c>
      <c r="BN42" s="49"/>
    </row>
    <row r="43" spans="2:66" ht="21" customHeight="1">
      <c r="H43" s="168"/>
      <c r="I43" s="168" t="s">
        <v>56</v>
      </c>
      <c r="J43" s="145">
        <f>J42-J34</f>
        <v>2142436.3636363638</v>
      </c>
      <c r="K43" s="172">
        <f>C35-G35</f>
        <v>18</v>
      </c>
      <c r="L43" s="129"/>
      <c r="M43" s="129"/>
      <c r="N43" s="129"/>
      <c r="O43" s="129"/>
      <c r="P43" s="129"/>
      <c r="Q43" s="168" t="s">
        <v>56</v>
      </c>
      <c r="R43" s="145">
        <f>R42-R34</f>
        <v>2158009.0909090913</v>
      </c>
      <c r="S43" s="129">
        <f>K43</f>
        <v>18</v>
      </c>
      <c r="T43" s="129"/>
      <c r="U43" s="129"/>
      <c r="V43" s="168" t="s">
        <v>56</v>
      </c>
      <c r="W43" s="145">
        <f>W42-W34</f>
        <v>4300445.4545454551</v>
      </c>
      <c r="X43" s="129">
        <f>S43</f>
        <v>18</v>
      </c>
      <c r="Y43" s="129"/>
      <c r="Z43" s="129"/>
      <c r="AA43" s="129"/>
      <c r="AB43" s="129"/>
      <c r="AC43" s="129"/>
      <c r="AD43" s="129"/>
      <c r="AE43" s="168" t="s">
        <v>56</v>
      </c>
      <c r="AF43" s="145">
        <f>AF42-AF34</f>
        <v>285372.72727272729</v>
      </c>
      <c r="AG43" s="129">
        <f>K43</f>
        <v>18</v>
      </c>
      <c r="AH43" s="129"/>
      <c r="AI43" s="129"/>
      <c r="AJ43" s="129"/>
      <c r="AK43" s="129"/>
      <c r="AL43" s="129"/>
      <c r="AM43" s="168" t="s">
        <v>56</v>
      </c>
      <c r="AN43" s="145">
        <f>AN42-AN34</f>
        <v>923503.63636363635</v>
      </c>
      <c r="AO43" s="129">
        <f>AG43</f>
        <v>18</v>
      </c>
      <c r="AP43" s="129"/>
      <c r="AQ43" s="129"/>
      <c r="AR43" s="129"/>
      <c r="AS43" s="129"/>
      <c r="AT43" s="129"/>
      <c r="AU43" s="168" t="s">
        <v>56</v>
      </c>
      <c r="AV43" s="168"/>
      <c r="AW43" s="173"/>
      <c r="AX43" s="145">
        <f>AX42-AX34</f>
        <v>0</v>
      </c>
      <c r="AY43" s="129">
        <f>AO43</f>
        <v>18</v>
      </c>
      <c r="AZ43" s="129"/>
      <c r="BA43" s="174"/>
      <c r="BB43" s="175" t="s">
        <v>58</v>
      </c>
      <c r="BC43" s="176">
        <f>BC42/K43</f>
        <v>308676.96969696973</v>
      </c>
      <c r="BD43" s="177">
        <f>(BC34+BD34)/BC41</f>
        <v>0.4774239388894731</v>
      </c>
      <c r="BE43" s="174"/>
      <c r="BF43" s="178"/>
      <c r="BG43" s="179">
        <f>SUM(BG38:BG42)</f>
        <v>23601045.36363636</v>
      </c>
      <c r="BH43" s="180">
        <f>BL68</f>
        <v>2499142</v>
      </c>
      <c r="BI43" s="181">
        <f>BH43/BG43</f>
        <v>0.10589115700148553</v>
      </c>
      <c r="BJ43" s="182">
        <f>BG43-BH43</f>
        <v>21101903.36363636</v>
      </c>
      <c r="BN43" s="49"/>
    </row>
    <row r="44" spans="2:66" s="178" customFormat="1" ht="26" customHeight="1">
      <c r="B44" s="183"/>
      <c r="H44" s="184"/>
      <c r="I44" s="175" t="s">
        <v>58</v>
      </c>
      <c r="J44" s="185">
        <f>J43/K43</f>
        <v>119024.24242424243</v>
      </c>
      <c r="K44" s="186">
        <f>J34/J42</f>
        <v>0.420336481700118</v>
      </c>
      <c r="L44" s="174"/>
      <c r="M44" s="174"/>
      <c r="N44" s="174"/>
      <c r="O44" s="174"/>
      <c r="P44" s="174"/>
      <c r="Q44" s="175" t="s">
        <v>58</v>
      </c>
      <c r="R44" s="176">
        <f>R43/S43</f>
        <v>119889.39393939397</v>
      </c>
      <c r="S44" s="186">
        <f>R34/R42</f>
        <v>0.60454295566994842</v>
      </c>
      <c r="T44" s="174"/>
      <c r="U44" s="174"/>
      <c r="V44" s="175" t="s">
        <v>58</v>
      </c>
      <c r="W44" s="176">
        <f>W43/X43</f>
        <v>238913.63636363638</v>
      </c>
      <c r="X44" s="186">
        <f>W34/W42</f>
        <v>0.53016000715115752</v>
      </c>
      <c r="Y44" s="174"/>
      <c r="Z44" s="174"/>
      <c r="AA44" s="174"/>
      <c r="AB44" s="174"/>
      <c r="AC44" s="174"/>
      <c r="AD44" s="174"/>
      <c r="AE44" s="175" t="s">
        <v>58</v>
      </c>
      <c r="AF44" s="185">
        <f>AF43/AG43</f>
        <v>15854.040404040405</v>
      </c>
      <c r="AG44" s="186">
        <f>AF34/AF42</f>
        <v>0.17379059851555506</v>
      </c>
      <c r="AH44" s="186"/>
      <c r="AI44" s="186"/>
      <c r="AJ44" s="186"/>
      <c r="AK44" s="186"/>
      <c r="AL44" s="174"/>
      <c r="AM44" s="175" t="s">
        <v>58</v>
      </c>
      <c r="AN44" s="176">
        <f>AN43/AO43</f>
        <v>51305.757575757576</v>
      </c>
      <c r="AO44" s="186">
        <f>AN34/AN42</f>
        <v>0.11533323463584982</v>
      </c>
      <c r="AP44" s="186"/>
      <c r="AQ44" s="186"/>
      <c r="AR44" s="186"/>
      <c r="AS44" s="186"/>
      <c r="AT44" s="174"/>
      <c r="AU44" s="175" t="s">
        <v>58</v>
      </c>
      <c r="AV44" s="175"/>
      <c r="AW44" s="175">
        <f>AW43/AY43</f>
        <v>0</v>
      </c>
      <c r="AX44" s="176">
        <f>AX43/AY43</f>
        <v>0</v>
      </c>
      <c r="AY44" s="186" t="e">
        <f>AX34/AX42</f>
        <v>#DIV/0!</v>
      </c>
      <c r="AZ44" s="174"/>
      <c r="BA44" s="49"/>
      <c r="BB44" s="49"/>
      <c r="BC44" s="85"/>
      <c r="BD44" s="49"/>
      <c r="BE44" s="49"/>
      <c r="BF44" s="49"/>
      <c r="BJ44" s="187"/>
      <c r="BL44" s="187"/>
    </row>
    <row r="45" spans="2:66" ht="17" thickBot="1">
      <c r="D45" s="229" t="s">
        <v>118</v>
      </c>
      <c r="E45" s="229"/>
      <c r="F45" s="229"/>
      <c r="G45" s="229"/>
      <c r="H45" s="229"/>
      <c r="I45" s="229"/>
      <c r="J45" s="229"/>
      <c r="K45" s="229"/>
      <c r="M45" s="229" t="s">
        <v>119</v>
      </c>
      <c r="N45" s="229"/>
      <c r="O45" s="229"/>
      <c r="P45" s="229"/>
      <c r="Q45" s="229"/>
      <c r="R45" s="229"/>
      <c r="S45" s="229"/>
      <c r="Y45" s="229" t="s">
        <v>120</v>
      </c>
      <c r="AY45" s="49" t="e">
        <f>AX34/AW42</f>
        <v>#DIV/0!</v>
      </c>
      <c r="BA45" s="188"/>
      <c r="BB45" s="188"/>
      <c r="BC45" s="188"/>
      <c r="BD45" s="188"/>
      <c r="BE45" s="188"/>
      <c r="BF45" s="188"/>
      <c r="BJ45" s="79"/>
      <c r="BN45" s="49"/>
    </row>
    <row r="46" spans="2:66" s="188" customFormat="1" ht="24" customHeight="1">
      <c r="B46" s="189"/>
      <c r="D46" s="230"/>
      <c r="E46" s="231" t="s">
        <v>121</v>
      </c>
      <c r="F46" s="231" t="s">
        <v>122</v>
      </c>
      <c r="G46" s="231" t="s">
        <v>123</v>
      </c>
      <c r="H46" s="231" t="s">
        <v>124</v>
      </c>
      <c r="I46" s="232" t="s">
        <v>125</v>
      </c>
      <c r="J46" s="231" t="s">
        <v>126</v>
      </c>
      <c r="K46" s="233" t="s">
        <v>127</v>
      </c>
      <c r="L46" s="191"/>
      <c r="M46" s="230" t="s">
        <v>121</v>
      </c>
      <c r="N46" s="231" t="s">
        <v>122</v>
      </c>
      <c r="O46" s="231" t="s">
        <v>123</v>
      </c>
      <c r="P46" s="231" t="s">
        <v>124</v>
      </c>
      <c r="Q46" s="232" t="s">
        <v>125</v>
      </c>
      <c r="R46" s="231" t="s">
        <v>126</v>
      </c>
      <c r="S46" s="233" t="s">
        <v>127</v>
      </c>
      <c r="Y46" s="230"/>
      <c r="Z46" s="231" t="s">
        <v>121</v>
      </c>
      <c r="AA46" s="231"/>
      <c r="AB46" s="231" t="s">
        <v>122</v>
      </c>
      <c r="AC46" s="231" t="s">
        <v>123</v>
      </c>
      <c r="AD46" s="231" t="s">
        <v>124</v>
      </c>
      <c r="AE46" s="232" t="s">
        <v>125</v>
      </c>
      <c r="AF46" s="231" t="s">
        <v>126</v>
      </c>
      <c r="AG46" s="233" t="s">
        <v>127</v>
      </c>
      <c r="AS46" s="192">
        <f>AQ14+AQ21</f>
        <v>0</v>
      </c>
      <c r="AT46" s="193" t="e">
        <f>AS14+AS21</f>
        <v>#DIV/0!</v>
      </c>
      <c r="AU46" s="193" t="e">
        <f>AU14+AU21</f>
        <v>#DIV/0!</v>
      </c>
      <c r="AY46" s="188">
        <f>AX42/30</f>
        <v>0</v>
      </c>
      <c r="BB46" s="1"/>
      <c r="BC46" s="1"/>
      <c r="BD46" s="1"/>
      <c r="BE46" s="1"/>
      <c r="BF46" s="194" t="s">
        <v>59</v>
      </c>
      <c r="BG46" s="1" t="s">
        <v>60</v>
      </c>
      <c r="BH46" s="1" t="s">
        <v>61</v>
      </c>
      <c r="BI46" s="1" t="s">
        <v>62</v>
      </c>
      <c r="BJ46" s="1" t="s">
        <v>63</v>
      </c>
      <c r="BK46" s="195" t="s">
        <v>64</v>
      </c>
      <c r="BL46" s="195" t="s">
        <v>65</v>
      </c>
      <c r="BM46" s="195" t="s">
        <v>66</v>
      </c>
    </row>
    <row r="47" spans="2:66" s="1" customFormat="1" ht="24" customHeight="1">
      <c r="B47" s="189"/>
      <c r="D47" s="234" t="s">
        <v>128</v>
      </c>
      <c r="E47" s="235">
        <f>E6+E13+E20+E27</f>
        <v>62</v>
      </c>
      <c r="F47" s="236">
        <f>F6+F13+F20+F27</f>
        <v>295390</v>
      </c>
      <c r="G47" s="237">
        <f>F47/E47</f>
        <v>4764.3548387096771</v>
      </c>
      <c r="H47" s="236">
        <f>H6+H13+H20+H27</f>
        <v>46200</v>
      </c>
      <c r="I47" s="238">
        <f>H47/E47</f>
        <v>745.16129032258061</v>
      </c>
      <c r="J47" s="236">
        <f>J6+J13+J20+J27</f>
        <v>341590</v>
      </c>
      <c r="K47" s="239">
        <f>J47/E47</f>
        <v>5509.5161290322585</v>
      </c>
      <c r="L47" s="188" t="s">
        <v>108</v>
      </c>
      <c r="M47" s="240">
        <f>M6+M13+M20+M27</f>
        <v>42</v>
      </c>
      <c r="N47" s="236">
        <f>N6+N13+N20+N27</f>
        <v>456720</v>
      </c>
      <c r="O47" s="237">
        <f>N47/M47</f>
        <v>10874.285714285714</v>
      </c>
      <c r="P47" s="236">
        <f>P6+P13+P20+P27</f>
        <v>74340</v>
      </c>
      <c r="Q47" s="238">
        <f>P47/M47</f>
        <v>1770</v>
      </c>
      <c r="R47" s="236">
        <f>R6+R13+R20+R27</f>
        <v>531060</v>
      </c>
      <c r="S47" s="239">
        <f>R47/M47</f>
        <v>12644.285714285714</v>
      </c>
      <c r="Y47" s="234" t="s">
        <v>128</v>
      </c>
      <c r="Z47" s="235">
        <f t="shared" ref="Z47:Z52" si="40">Z6+Z13+Z20+Z27</f>
        <v>3</v>
      </c>
      <c r="AA47" s="235"/>
      <c r="AB47" s="236">
        <f t="shared" ref="AB47:AB52" si="41">AB6+AB13+AB20+AB27</f>
        <v>660</v>
      </c>
      <c r="AC47" s="237" t="e">
        <f>AB47/AA47</f>
        <v>#DIV/0!</v>
      </c>
      <c r="AD47" s="236">
        <f t="shared" ref="AD47:AD52" si="42">AD6+AD13+AD20+AD27</f>
        <v>2350</v>
      </c>
      <c r="AE47" s="238" t="e">
        <f>AD47/AA47</f>
        <v>#DIV/0!</v>
      </c>
      <c r="AF47" s="236">
        <f t="shared" ref="AF47:AF52" si="43">AF6+AF13+AF20+AF27</f>
        <v>3010</v>
      </c>
      <c r="AG47" s="239" t="e">
        <f>AF47/AA47</f>
        <v>#DIV/0!</v>
      </c>
      <c r="AS47" s="1">
        <f>AS46/2</f>
        <v>0</v>
      </c>
      <c r="AT47" s="198" t="e">
        <f t="shared" ref="AT47:AU47" si="44">AT46/2</f>
        <v>#DIV/0!</v>
      </c>
      <c r="AU47" s="198" t="e">
        <f t="shared" si="44"/>
        <v>#DIV/0!</v>
      </c>
      <c r="AY47" s="1">
        <v>54000000</v>
      </c>
      <c r="AZ47" s="199">
        <f>AY47-AX34</f>
        <v>54000000</v>
      </c>
      <c r="BB47" s="188"/>
      <c r="BC47" s="188"/>
      <c r="BD47" s="188"/>
      <c r="BE47" s="188"/>
      <c r="BF47" s="194" t="s">
        <v>67</v>
      </c>
      <c r="BG47" s="200">
        <v>1800</v>
      </c>
      <c r="BH47" s="200">
        <v>21</v>
      </c>
      <c r="BI47" s="201">
        <v>0</v>
      </c>
      <c r="BJ47" s="200"/>
      <c r="BK47" s="202">
        <f>BH47*BG47</f>
        <v>37800</v>
      </c>
      <c r="BL47" s="202">
        <f>BG47*BI47</f>
        <v>0</v>
      </c>
      <c r="BM47" s="202">
        <f>BK47-BL47</f>
        <v>37800</v>
      </c>
    </row>
    <row r="48" spans="2:66" s="188" customFormat="1" ht="24" customHeight="1">
      <c r="B48" s="189"/>
      <c r="D48" s="234" t="s">
        <v>99</v>
      </c>
      <c r="E48" s="235">
        <f>E7+E14+E21+E28</f>
        <v>55</v>
      </c>
      <c r="F48" s="236">
        <f t="shared" ref="F48:F51" si="45">F7+F14+F21+F28</f>
        <v>232980</v>
      </c>
      <c r="G48" s="237">
        <f>F48/E48</f>
        <v>4236</v>
      </c>
      <c r="H48" s="236">
        <f t="shared" ref="H48:H52" si="46">H7+H14+H21+H28</f>
        <v>54710</v>
      </c>
      <c r="I48" s="238">
        <f t="shared" ref="I48:I53" si="47">H48/E48</f>
        <v>994.72727272727275</v>
      </c>
      <c r="J48" s="236">
        <f t="shared" ref="J48:J52" si="48">J7+J14+J21+J28</f>
        <v>287690</v>
      </c>
      <c r="K48" s="239">
        <f t="shared" ref="K48:K52" si="49">J48/E48</f>
        <v>5230.727272727273</v>
      </c>
      <c r="L48" s="188" t="s">
        <v>99</v>
      </c>
      <c r="M48" s="240">
        <f>M7+M14+M21+M28</f>
        <v>57</v>
      </c>
      <c r="N48" s="236">
        <f t="shared" ref="N48:N51" si="50">N7+N14+N21+N28</f>
        <v>478970</v>
      </c>
      <c r="O48" s="237">
        <f>N48/M48</f>
        <v>8402.9824561403511</v>
      </c>
      <c r="P48" s="236">
        <f t="shared" ref="P48:P52" si="51">P7+P14+P21+P28</f>
        <v>125580</v>
      </c>
      <c r="Q48" s="238">
        <f t="shared" ref="Q48:Q49" si="52">P48/M48</f>
        <v>2203.1578947368421</v>
      </c>
      <c r="R48" s="236">
        <f t="shared" ref="R48:R52" si="53">R7+R14+R21+R28</f>
        <v>604550</v>
      </c>
      <c r="S48" s="239">
        <f t="shared" ref="S48:S52" si="54">R48/M48</f>
        <v>10606.140350877193</v>
      </c>
      <c r="T48" s="204"/>
      <c r="U48" s="204"/>
      <c r="V48" s="204"/>
      <c r="W48" s="205"/>
      <c r="X48" s="206"/>
      <c r="Y48" s="234" t="s">
        <v>99</v>
      </c>
      <c r="Z48" s="235">
        <f t="shared" si="40"/>
        <v>8</v>
      </c>
      <c r="AA48" s="235"/>
      <c r="AB48" s="236">
        <f t="shared" si="41"/>
        <v>6710</v>
      </c>
      <c r="AC48" s="237" t="e">
        <f>AB48/AA48</f>
        <v>#DIV/0!</v>
      </c>
      <c r="AD48" s="236">
        <f t="shared" si="42"/>
        <v>9570</v>
      </c>
      <c r="AE48" s="238" t="e">
        <f t="shared" ref="AE48:AE49" si="55">AD48/AA48</f>
        <v>#DIV/0!</v>
      </c>
      <c r="AF48" s="236">
        <f t="shared" si="43"/>
        <v>16280</v>
      </c>
      <c r="AG48" s="239" t="e">
        <f t="shared" ref="AG48:AG52" si="56">AF48/AA48</f>
        <v>#DIV/0!</v>
      </c>
      <c r="AZ48" s="188">
        <f>AZ47/AY43</f>
        <v>3000000</v>
      </c>
      <c r="BF48" s="194" t="s">
        <v>69</v>
      </c>
      <c r="BG48" s="200">
        <v>10800</v>
      </c>
      <c r="BH48" s="200">
        <v>640</v>
      </c>
      <c r="BI48" s="200">
        <v>20</v>
      </c>
      <c r="BJ48" s="200"/>
      <c r="BK48" s="202">
        <f t="shared" ref="BJ48:BK67" si="57">BG48*BH48</f>
        <v>6912000</v>
      </c>
      <c r="BL48" s="202">
        <f t="shared" ref="BK48:BL67" si="58">BG48*BI48</f>
        <v>216000</v>
      </c>
      <c r="BM48" s="202">
        <f t="shared" ref="BL48:BM67" si="59">BK48-BL48</f>
        <v>6696000</v>
      </c>
    </row>
    <row r="49" spans="2:67" s="188" customFormat="1" ht="24" customHeight="1">
      <c r="B49" s="189"/>
      <c r="D49" s="234" t="s">
        <v>100</v>
      </c>
      <c r="E49" s="235">
        <f t="shared" ref="E49:E52" si="60">E8+E15+E22+E29</f>
        <v>36</v>
      </c>
      <c r="F49" s="236">
        <f t="shared" si="45"/>
        <v>143880</v>
      </c>
      <c r="G49" s="237">
        <f>F49/E49</f>
        <v>3996.6666666666665</v>
      </c>
      <c r="H49" s="236">
        <f t="shared" si="46"/>
        <v>21080</v>
      </c>
      <c r="I49" s="238">
        <f t="shared" si="47"/>
        <v>585.55555555555554</v>
      </c>
      <c r="J49" s="236">
        <f t="shared" si="48"/>
        <v>164960</v>
      </c>
      <c r="K49" s="239">
        <f t="shared" si="49"/>
        <v>4582.2222222222226</v>
      </c>
      <c r="L49" s="188" t="s">
        <v>100</v>
      </c>
      <c r="M49" s="240">
        <f t="shared" ref="M49:M52" si="61">M8+M15+M22+M29</f>
        <v>31</v>
      </c>
      <c r="N49" s="236">
        <f t="shared" si="50"/>
        <v>355140</v>
      </c>
      <c r="O49" s="237">
        <f>N49/M49</f>
        <v>11456.129032258064</v>
      </c>
      <c r="P49" s="236">
        <f t="shared" si="51"/>
        <v>39810</v>
      </c>
      <c r="Q49" s="238">
        <f t="shared" si="52"/>
        <v>1284.1935483870968</v>
      </c>
      <c r="R49" s="236">
        <f t="shared" si="53"/>
        <v>394950</v>
      </c>
      <c r="S49" s="239">
        <f t="shared" si="54"/>
        <v>12740.322580645161</v>
      </c>
      <c r="T49" s="204"/>
      <c r="U49" s="241"/>
      <c r="V49" s="242"/>
      <c r="W49" s="243"/>
      <c r="X49" s="244"/>
      <c r="Y49" s="234" t="s">
        <v>100</v>
      </c>
      <c r="Z49" s="235">
        <f t="shared" si="40"/>
        <v>6</v>
      </c>
      <c r="AA49" s="235"/>
      <c r="AB49" s="236">
        <f t="shared" si="41"/>
        <v>2860</v>
      </c>
      <c r="AC49" s="237" t="e">
        <f>AB49/AA49</f>
        <v>#DIV/0!</v>
      </c>
      <c r="AD49" s="236">
        <f t="shared" si="42"/>
        <v>8600</v>
      </c>
      <c r="AE49" s="238" t="e">
        <f t="shared" si="55"/>
        <v>#DIV/0!</v>
      </c>
      <c r="AF49" s="236">
        <f t="shared" si="43"/>
        <v>11460</v>
      </c>
      <c r="AG49" s="239" t="e">
        <f t="shared" si="56"/>
        <v>#DIV/0!</v>
      </c>
      <c r="BF49" s="194" t="s">
        <v>72</v>
      </c>
      <c r="BG49" s="200">
        <v>6120</v>
      </c>
      <c r="BH49" s="200">
        <v>40</v>
      </c>
      <c r="BI49" s="200">
        <v>4</v>
      </c>
      <c r="BJ49" s="200"/>
      <c r="BK49" s="202">
        <f t="shared" si="57"/>
        <v>244800</v>
      </c>
      <c r="BL49" s="202">
        <f t="shared" si="58"/>
        <v>24480</v>
      </c>
      <c r="BM49" s="202">
        <f t="shared" si="59"/>
        <v>220320</v>
      </c>
    </row>
    <row r="50" spans="2:67" s="188" customFormat="1" ht="24" customHeight="1">
      <c r="B50" s="189"/>
      <c r="D50" s="234" t="s">
        <v>101</v>
      </c>
      <c r="E50" s="235">
        <f t="shared" si="60"/>
        <v>30</v>
      </c>
      <c r="F50" s="236">
        <f t="shared" si="45"/>
        <v>119680</v>
      </c>
      <c r="G50" s="237">
        <f>F50/E50</f>
        <v>3989.3333333333335</v>
      </c>
      <c r="H50" s="236">
        <f t="shared" si="46"/>
        <v>19200</v>
      </c>
      <c r="I50" s="238">
        <f>H50/E50</f>
        <v>640</v>
      </c>
      <c r="J50" s="236">
        <f t="shared" si="48"/>
        <v>138880</v>
      </c>
      <c r="K50" s="239">
        <f t="shared" si="49"/>
        <v>4629.333333333333</v>
      </c>
      <c r="L50" s="188" t="s">
        <v>101</v>
      </c>
      <c r="M50" s="240">
        <f t="shared" si="61"/>
        <v>31</v>
      </c>
      <c r="N50" s="236">
        <f t="shared" si="50"/>
        <v>376200</v>
      </c>
      <c r="O50" s="237">
        <f>N50/M50</f>
        <v>12135.483870967742</v>
      </c>
      <c r="P50" s="236">
        <f t="shared" si="51"/>
        <v>54550</v>
      </c>
      <c r="Q50" s="238">
        <f>P50/M50</f>
        <v>1759.6774193548388</v>
      </c>
      <c r="R50" s="236">
        <f t="shared" si="53"/>
        <v>430750</v>
      </c>
      <c r="S50" s="239">
        <f t="shared" si="54"/>
        <v>13895.161290322581</v>
      </c>
      <c r="T50" s="204"/>
      <c r="U50" s="241"/>
      <c r="V50" s="242"/>
      <c r="W50" s="243"/>
      <c r="X50" s="244"/>
      <c r="Y50" s="234" t="s">
        <v>101</v>
      </c>
      <c r="Z50" s="235">
        <f t="shared" si="40"/>
        <v>4</v>
      </c>
      <c r="AA50" s="235"/>
      <c r="AB50" s="236">
        <f t="shared" si="41"/>
        <v>3650</v>
      </c>
      <c r="AC50" s="237" t="e">
        <f>AB50/AA50</f>
        <v>#DIV/0!</v>
      </c>
      <c r="AD50" s="236">
        <f t="shared" si="42"/>
        <v>7150</v>
      </c>
      <c r="AE50" s="238" t="e">
        <f>AD50/AA50</f>
        <v>#DIV/0!</v>
      </c>
      <c r="AF50" s="236">
        <f t="shared" si="43"/>
        <v>10800</v>
      </c>
      <c r="AG50" s="239" t="e">
        <f t="shared" si="56"/>
        <v>#DIV/0!</v>
      </c>
      <c r="AW50" s="188">
        <v>4670600</v>
      </c>
      <c r="AX50" s="188">
        <v>19016645.454545453</v>
      </c>
      <c r="AY50" s="188">
        <v>16482254.545454545</v>
      </c>
      <c r="AZ50" s="188">
        <v>6958118.1818181816</v>
      </c>
      <c r="BD50" s="188" t="s">
        <v>74</v>
      </c>
      <c r="BF50" s="194" t="s">
        <v>75</v>
      </c>
      <c r="BG50" s="200">
        <v>1780</v>
      </c>
      <c r="BH50" s="200">
        <v>24</v>
      </c>
      <c r="BI50" s="200">
        <v>4</v>
      </c>
      <c r="BJ50" s="200"/>
      <c r="BK50" s="202">
        <f t="shared" si="57"/>
        <v>42720</v>
      </c>
      <c r="BL50" s="202">
        <f t="shared" si="58"/>
        <v>7120</v>
      </c>
      <c r="BM50" s="202">
        <f t="shared" si="59"/>
        <v>35600</v>
      </c>
    </row>
    <row r="51" spans="2:67" s="188" customFormat="1" ht="24" customHeight="1">
      <c r="B51" s="189"/>
      <c r="D51" s="234" t="s">
        <v>102</v>
      </c>
      <c r="E51" s="235">
        <f t="shared" si="60"/>
        <v>27</v>
      </c>
      <c r="F51" s="236">
        <f t="shared" si="45"/>
        <v>135080</v>
      </c>
      <c r="G51" s="237">
        <f t="shared" ref="G51:G53" si="62">F51/E51</f>
        <v>5002.9629629629626</v>
      </c>
      <c r="H51" s="236">
        <f t="shared" si="46"/>
        <v>15180</v>
      </c>
      <c r="I51" s="238">
        <f t="shared" si="47"/>
        <v>562.22222222222217</v>
      </c>
      <c r="J51" s="236">
        <f t="shared" si="48"/>
        <v>150260</v>
      </c>
      <c r="K51" s="239">
        <f t="shared" si="49"/>
        <v>5565.1851851851852</v>
      </c>
      <c r="L51" s="188" t="s">
        <v>102</v>
      </c>
      <c r="M51" s="240">
        <f t="shared" si="61"/>
        <v>34</v>
      </c>
      <c r="N51" s="236">
        <f t="shared" si="50"/>
        <v>321970</v>
      </c>
      <c r="O51" s="237">
        <f t="shared" ref="O51:O53" si="63">N51/M51</f>
        <v>9469.7058823529405</v>
      </c>
      <c r="P51" s="236">
        <f t="shared" si="51"/>
        <v>84290</v>
      </c>
      <c r="Q51" s="238">
        <f t="shared" ref="Q51:Q53" si="64">P51/M51</f>
        <v>2479.1176470588234</v>
      </c>
      <c r="R51" s="236">
        <f t="shared" si="53"/>
        <v>406260</v>
      </c>
      <c r="S51" s="239">
        <f t="shared" si="54"/>
        <v>11948.823529411764</v>
      </c>
      <c r="T51" s="204"/>
      <c r="U51" s="241"/>
      <c r="V51" s="242"/>
      <c r="W51" s="243"/>
      <c r="X51" s="244"/>
      <c r="Y51" s="234" t="s">
        <v>102</v>
      </c>
      <c r="Z51" s="235">
        <f t="shared" si="40"/>
        <v>4</v>
      </c>
      <c r="AA51" s="235"/>
      <c r="AB51" s="236">
        <f t="shared" si="41"/>
        <v>3900</v>
      </c>
      <c r="AC51" s="237" t="e">
        <f t="shared" ref="AC51:AC53" si="65">AB51/AA51</f>
        <v>#DIV/0!</v>
      </c>
      <c r="AD51" s="236">
        <f t="shared" si="42"/>
        <v>5620</v>
      </c>
      <c r="AE51" s="238" t="e">
        <f t="shared" ref="AE51:AE53" si="66">AD51/AA51</f>
        <v>#DIV/0!</v>
      </c>
      <c r="AF51" s="236">
        <f t="shared" si="43"/>
        <v>9520</v>
      </c>
      <c r="AG51" s="239" t="e">
        <f t="shared" si="56"/>
        <v>#DIV/0!</v>
      </c>
      <c r="BF51" s="194" t="s">
        <v>77</v>
      </c>
      <c r="BG51" s="200">
        <v>1780</v>
      </c>
      <c r="BH51" s="200">
        <v>24</v>
      </c>
      <c r="BI51" s="200">
        <v>20</v>
      </c>
      <c r="BJ51" s="200"/>
      <c r="BK51" s="202">
        <f t="shared" si="57"/>
        <v>42720</v>
      </c>
      <c r="BL51" s="202">
        <f t="shared" si="58"/>
        <v>35600</v>
      </c>
      <c r="BM51" s="202">
        <f t="shared" si="59"/>
        <v>7120</v>
      </c>
    </row>
    <row r="52" spans="2:67" s="188" customFormat="1" ht="24" customHeight="1">
      <c r="B52" s="189"/>
      <c r="D52" s="234" t="s">
        <v>109</v>
      </c>
      <c r="E52" s="235">
        <f t="shared" si="60"/>
        <v>32</v>
      </c>
      <c r="F52" s="236">
        <f>F11+F18+F25+F32</f>
        <v>156530</v>
      </c>
      <c r="G52" s="237">
        <f t="shared" si="62"/>
        <v>4891.5625</v>
      </c>
      <c r="H52" s="236">
        <f t="shared" si="46"/>
        <v>29720</v>
      </c>
      <c r="I52" s="238">
        <f t="shared" si="47"/>
        <v>928.75</v>
      </c>
      <c r="J52" s="236">
        <f t="shared" si="48"/>
        <v>186250</v>
      </c>
      <c r="K52" s="239">
        <f t="shared" si="49"/>
        <v>5820.3125</v>
      </c>
      <c r="L52" s="188" t="s">
        <v>109</v>
      </c>
      <c r="M52" s="240">
        <f t="shared" si="61"/>
        <v>31</v>
      </c>
      <c r="N52" s="236">
        <f>N11+N18+N25+N32</f>
        <v>345430</v>
      </c>
      <c r="O52" s="237">
        <f t="shared" si="63"/>
        <v>11142.903225806451</v>
      </c>
      <c r="P52" s="236">
        <f t="shared" si="51"/>
        <v>74350</v>
      </c>
      <c r="Q52" s="238">
        <f t="shared" si="64"/>
        <v>2398.3870967741937</v>
      </c>
      <c r="R52" s="236">
        <f t="shared" si="53"/>
        <v>419780</v>
      </c>
      <c r="S52" s="239">
        <f t="shared" si="54"/>
        <v>13541.290322580646</v>
      </c>
      <c r="T52" s="204"/>
      <c r="U52" s="241"/>
      <c r="V52" s="242"/>
      <c r="W52" s="243"/>
      <c r="X52" s="244"/>
      <c r="Y52" s="234" t="s">
        <v>109</v>
      </c>
      <c r="Z52" s="235">
        <f t="shared" si="40"/>
        <v>0</v>
      </c>
      <c r="AA52" s="235"/>
      <c r="AB52" s="236">
        <f t="shared" si="41"/>
        <v>0</v>
      </c>
      <c r="AC52" s="237" t="e">
        <f t="shared" si="65"/>
        <v>#DIV/0!</v>
      </c>
      <c r="AD52" s="236">
        <f t="shared" si="42"/>
        <v>0</v>
      </c>
      <c r="AE52" s="238" t="e">
        <f t="shared" si="66"/>
        <v>#DIV/0!</v>
      </c>
      <c r="AF52" s="236">
        <f t="shared" si="43"/>
        <v>0</v>
      </c>
      <c r="AG52" s="239" t="e">
        <f t="shared" si="56"/>
        <v>#DIV/0!</v>
      </c>
      <c r="AY52" s="200">
        <f>AX33 +1000</f>
        <v>1000</v>
      </c>
      <c r="AZ52" s="190">
        <f>'[1]2025(5)'!AX34+'[1]2025(5)'!AX35</f>
        <v>2847290</v>
      </c>
      <c r="BB52" s="85">
        <f>AY52+AZ52</f>
        <v>2848290</v>
      </c>
      <c r="BC52" s="49"/>
      <c r="BD52" s="49"/>
      <c r="BE52" s="49"/>
      <c r="BF52" s="194" t="s">
        <v>78</v>
      </c>
      <c r="BG52" s="215">
        <v>8190</v>
      </c>
      <c r="BH52" s="200">
        <v>13</v>
      </c>
      <c r="BI52" s="200">
        <v>4</v>
      </c>
      <c r="BJ52" s="200"/>
      <c r="BK52" s="202">
        <f t="shared" si="57"/>
        <v>106470</v>
      </c>
      <c r="BL52" s="202">
        <f t="shared" si="58"/>
        <v>32760</v>
      </c>
      <c r="BM52" s="202">
        <f t="shared" si="59"/>
        <v>73710</v>
      </c>
    </row>
    <row r="53" spans="2:67" ht="24" customHeight="1" thickBot="1">
      <c r="D53" s="245" t="s">
        <v>98</v>
      </c>
      <c r="E53" s="246">
        <f>E5+E12+E19+E26</f>
        <v>72</v>
      </c>
      <c r="F53" s="247">
        <f>F5+F12+F19+F26</f>
        <v>367070</v>
      </c>
      <c r="G53" s="248">
        <f t="shared" si="62"/>
        <v>5098.1944444444443</v>
      </c>
      <c r="H53" s="247">
        <f>H5+H12+H19+H26</f>
        <v>72220</v>
      </c>
      <c r="I53" s="249">
        <f t="shared" si="47"/>
        <v>1003.0555555555555</v>
      </c>
      <c r="J53" s="247">
        <f>J5+J12+J19+J26</f>
        <v>439290</v>
      </c>
      <c r="K53" s="250">
        <f>J53/E53</f>
        <v>6101.25</v>
      </c>
      <c r="L53" s="188" t="s">
        <v>98</v>
      </c>
      <c r="M53" s="251">
        <f>M5+M12+M19+M26</f>
        <v>66</v>
      </c>
      <c r="N53" s="247">
        <f>N5+N12+N19+N26</f>
        <v>679720</v>
      </c>
      <c r="O53" s="248">
        <f t="shared" si="63"/>
        <v>10298.787878787878</v>
      </c>
      <c r="P53" s="247">
        <f>P5+P12+P19+P26</f>
        <v>161820</v>
      </c>
      <c r="Q53" s="249">
        <f t="shared" si="64"/>
        <v>2451.818181818182</v>
      </c>
      <c r="R53" s="247">
        <f>R5+R12+R19+R26</f>
        <v>841540</v>
      </c>
      <c r="S53" s="250">
        <f>R53/M53</f>
        <v>12750.60606060606</v>
      </c>
      <c r="U53" s="252"/>
      <c r="V53" s="168"/>
      <c r="W53" s="243"/>
      <c r="X53" s="244"/>
      <c r="Y53" s="245" t="s">
        <v>98</v>
      </c>
      <c r="Z53" s="246">
        <f>Z5+Z12+Z19+Z26</f>
        <v>6</v>
      </c>
      <c r="AA53" s="246"/>
      <c r="AB53" s="247">
        <f>AB5+AB12+AB19+AB26</f>
        <v>660</v>
      </c>
      <c r="AC53" s="248" t="e">
        <f t="shared" si="65"/>
        <v>#DIV/0!</v>
      </c>
      <c r="AD53" s="247">
        <f>AD5+AD12+AD19+AD26</f>
        <v>14300</v>
      </c>
      <c r="AE53" s="249" t="e">
        <f t="shared" si="66"/>
        <v>#DIV/0!</v>
      </c>
      <c r="AF53" s="247">
        <f>AF5+AF12+AF19+AF26</f>
        <v>14960</v>
      </c>
      <c r="AG53" s="250" t="e">
        <f>AF53/AA53</f>
        <v>#DIV/0!</v>
      </c>
      <c r="AY53" s="215"/>
      <c r="AZ53" s="163"/>
      <c r="BB53" s="85">
        <f>BB52-BA54</f>
        <v>-8193350</v>
      </c>
      <c r="BF53" s="194" t="s">
        <v>79</v>
      </c>
      <c r="BG53" s="215">
        <v>5784</v>
      </c>
      <c r="BH53" s="215">
        <v>36</v>
      </c>
      <c r="BI53" s="215">
        <v>28</v>
      </c>
      <c r="BJ53" s="215"/>
      <c r="BK53" s="202">
        <f t="shared" si="57"/>
        <v>208224</v>
      </c>
      <c r="BL53" s="202">
        <f t="shared" si="58"/>
        <v>161952</v>
      </c>
      <c r="BM53" s="202">
        <f t="shared" si="59"/>
        <v>46272</v>
      </c>
      <c r="BN53" s="49"/>
      <c r="BO53" s="79"/>
    </row>
    <row r="54" spans="2:67" ht="24" customHeight="1">
      <c r="U54" s="252"/>
      <c r="V54" s="168"/>
      <c r="W54" s="243"/>
      <c r="X54" s="244"/>
      <c r="Y54" s="253"/>
      <c r="Z54" s="253"/>
      <c r="AA54" s="253"/>
      <c r="AB54" s="253"/>
      <c r="AX54" s="215">
        <v>10513690</v>
      </c>
      <c r="AY54" s="163">
        <v>527950</v>
      </c>
      <c r="BA54" s="85">
        <f t="shared" ref="BA54" si="67">AX54+AY54</f>
        <v>11041640</v>
      </c>
      <c r="BE54" s="194" t="s">
        <v>80</v>
      </c>
      <c r="BF54" s="215">
        <v>6775</v>
      </c>
      <c r="BG54" s="215">
        <v>12</v>
      </c>
      <c r="BH54" s="215">
        <v>11</v>
      </c>
      <c r="BI54" s="215"/>
      <c r="BJ54" s="202">
        <f t="shared" si="57"/>
        <v>81300</v>
      </c>
      <c r="BK54" s="202">
        <f t="shared" si="58"/>
        <v>74525</v>
      </c>
      <c r="BL54" s="202">
        <f t="shared" si="59"/>
        <v>6775</v>
      </c>
    </row>
    <row r="55" spans="2:67" ht="24" customHeight="1">
      <c r="U55" s="252"/>
      <c r="V55" s="168"/>
      <c r="W55" s="243"/>
      <c r="X55" s="244"/>
      <c r="Y55" s="254"/>
      <c r="Z55" s="254"/>
      <c r="AA55" s="254"/>
      <c r="AB55" s="254"/>
      <c r="AX55" s="215"/>
      <c r="BA55" s="49">
        <f>BB52/BA54</f>
        <v>0.25795896261787199</v>
      </c>
      <c r="BE55" s="194" t="s">
        <v>82</v>
      </c>
      <c r="BF55" s="215">
        <v>1755</v>
      </c>
      <c r="BG55" s="215">
        <v>14</v>
      </c>
      <c r="BH55" s="215">
        <v>2</v>
      </c>
      <c r="BI55" s="215"/>
      <c r="BJ55" s="202">
        <f t="shared" si="57"/>
        <v>24570</v>
      </c>
      <c r="BK55" s="202">
        <f t="shared" si="58"/>
        <v>3510</v>
      </c>
      <c r="BL55" s="202">
        <f t="shared" si="59"/>
        <v>21060</v>
      </c>
    </row>
    <row r="56" spans="2:67" ht="24" customHeight="1">
      <c r="F56" s="49">
        <v>346.60869565217394</v>
      </c>
      <c r="G56" s="49">
        <v>301.36363636363637</v>
      </c>
      <c r="H56" s="49">
        <v>801.17391304347825</v>
      </c>
      <c r="I56" s="49">
        <v>591.75</v>
      </c>
      <c r="N56" s="49">
        <v>2473.9333333333334</v>
      </c>
      <c r="O56" s="49">
        <v>6122.2222222222226</v>
      </c>
      <c r="P56" s="49">
        <v>3277</v>
      </c>
      <c r="Q56" s="49">
        <v>507.14285714285717</v>
      </c>
      <c r="U56" s="252"/>
      <c r="V56" s="168"/>
      <c r="W56" s="243"/>
      <c r="X56" s="244"/>
      <c r="Y56" s="254"/>
      <c r="Z56" s="254"/>
      <c r="AA56" s="254"/>
      <c r="AB56" s="254"/>
      <c r="AX56" s="215"/>
      <c r="BE56" s="194" t="s">
        <v>83</v>
      </c>
      <c r="BF56" s="215">
        <v>1755</v>
      </c>
      <c r="BG56" s="215">
        <v>10</v>
      </c>
      <c r="BH56" s="215">
        <v>0</v>
      </c>
      <c r="BI56" s="215"/>
      <c r="BJ56" s="202">
        <f t="shared" si="57"/>
        <v>17550</v>
      </c>
      <c r="BK56" s="202">
        <f t="shared" si="58"/>
        <v>0</v>
      </c>
      <c r="BL56" s="202">
        <f t="shared" si="59"/>
        <v>17550</v>
      </c>
    </row>
    <row r="57" spans="2:67" ht="24" customHeight="1">
      <c r="F57" s="49">
        <v>313.11111111111109</v>
      </c>
      <c r="G57" s="49">
        <v>301.125</v>
      </c>
      <c r="H57" s="49">
        <v>991.89189189189187</v>
      </c>
      <c r="I57" s="49">
        <v>595.73333333333335</v>
      </c>
      <c r="N57" s="49">
        <v>1887.1176470588234</v>
      </c>
      <c r="O57" s="49">
        <v>2474.4615384615386</v>
      </c>
      <c r="P57" s="49">
        <v>1210.7142857142858</v>
      </c>
      <c r="Q57" s="49">
        <v>1056.9666666666667</v>
      </c>
      <c r="BE57" s="194" t="s">
        <v>84</v>
      </c>
      <c r="BF57" s="215">
        <v>1075</v>
      </c>
      <c r="BG57" s="215">
        <v>96</v>
      </c>
      <c r="BH57" s="215">
        <v>38</v>
      </c>
      <c r="BI57" s="215"/>
      <c r="BJ57" s="202">
        <f t="shared" si="57"/>
        <v>103200</v>
      </c>
      <c r="BK57" s="202">
        <f t="shared" si="58"/>
        <v>40850</v>
      </c>
      <c r="BL57" s="202">
        <f t="shared" si="59"/>
        <v>62350</v>
      </c>
    </row>
    <row r="58" spans="2:67" ht="24" customHeight="1">
      <c r="F58" s="49">
        <v>603.85</v>
      </c>
      <c r="G58" s="49">
        <v>457.44</v>
      </c>
      <c r="H58" s="49">
        <v>1139.4827586206898</v>
      </c>
      <c r="I58" s="49">
        <v>847.56666666666672</v>
      </c>
      <c r="N58" s="49">
        <v>1504.7619047619048</v>
      </c>
      <c r="O58" s="49">
        <v>1838.3333333333333</v>
      </c>
      <c r="P58" s="49">
        <v>1940.7241379310344</v>
      </c>
      <c r="Q58" s="49">
        <v>1493</v>
      </c>
      <c r="BE58" s="194" t="s">
        <v>85</v>
      </c>
      <c r="BF58" s="215">
        <v>3860</v>
      </c>
      <c r="BG58" s="215">
        <v>166</v>
      </c>
      <c r="BH58" s="215">
        <v>13</v>
      </c>
      <c r="BI58" s="215"/>
      <c r="BJ58" s="202">
        <f t="shared" si="57"/>
        <v>640760</v>
      </c>
      <c r="BK58" s="202">
        <f t="shared" si="58"/>
        <v>50180</v>
      </c>
      <c r="BL58" s="202">
        <f t="shared" si="59"/>
        <v>590580</v>
      </c>
    </row>
    <row r="59" spans="2:67" ht="24" customHeight="1">
      <c r="F59" s="49">
        <v>343.40740740740739</v>
      </c>
      <c r="G59" s="49">
        <v>387.26666666666665</v>
      </c>
      <c r="H59" s="49">
        <v>2381.804347826087</v>
      </c>
      <c r="I59" s="49">
        <v>694.28571428571433</v>
      </c>
      <c r="N59" s="49">
        <v>1742.5625</v>
      </c>
      <c r="O59" s="49">
        <v>1967.25</v>
      </c>
      <c r="P59" s="49">
        <v>1330.2962962962963</v>
      </c>
      <c r="Q59" s="49">
        <v>1470.4166666666667</v>
      </c>
      <c r="BE59" s="194" t="s">
        <v>86</v>
      </c>
      <c r="BF59" s="215">
        <v>6450</v>
      </c>
      <c r="BG59" s="215">
        <v>137</v>
      </c>
      <c r="BH59" s="215">
        <v>12</v>
      </c>
      <c r="BI59" s="215"/>
      <c r="BJ59" s="202">
        <f t="shared" si="57"/>
        <v>883650</v>
      </c>
      <c r="BK59" s="202">
        <f t="shared" si="58"/>
        <v>77400</v>
      </c>
      <c r="BL59" s="202">
        <f t="shared" si="59"/>
        <v>806250</v>
      </c>
    </row>
    <row r="60" spans="2:67" ht="24" customHeight="1">
      <c r="F60" s="49">
        <v>208.22727272727272</v>
      </c>
      <c r="G60" s="49">
        <v>257.91666666666669</v>
      </c>
      <c r="H60" s="49">
        <v>560.46153846153845</v>
      </c>
      <c r="I60" s="49">
        <v>858.42857142857144</v>
      </c>
      <c r="N60" s="49">
        <v>2161.5555555555557</v>
      </c>
      <c r="O60" s="49">
        <v>2455.9230769230771</v>
      </c>
      <c r="P60" s="49">
        <v>2270</v>
      </c>
      <c r="Q60" s="49">
        <v>1696.9666666666667</v>
      </c>
      <c r="BE60" s="194" t="s">
        <v>87</v>
      </c>
      <c r="BF60" s="215">
        <v>1380</v>
      </c>
      <c r="BG60" s="215">
        <v>35</v>
      </c>
      <c r="BH60" s="215">
        <v>5</v>
      </c>
      <c r="BI60" s="215"/>
      <c r="BJ60" s="202">
        <f t="shared" si="57"/>
        <v>48300</v>
      </c>
      <c r="BK60" s="202">
        <f t="shared" si="58"/>
        <v>6900</v>
      </c>
      <c r="BL60" s="202">
        <f t="shared" si="59"/>
        <v>41400</v>
      </c>
    </row>
    <row r="61" spans="2:67" ht="24" customHeight="1">
      <c r="F61" s="49">
        <v>1347.6206896551723</v>
      </c>
      <c r="G61" s="49">
        <v>382.63636363636363</v>
      </c>
      <c r="H61" s="49">
        <v>791.6</v>
      </c>
      <c r="I61" s="49">
        <v>821.5</v>
      </c>
      <c r="N61" s="49">
        <v>3109.0731707317073</v>
      </c>
      <c r="O61" s="49">
        <v>2867.5</v>
      </c>
      <c r="P61" s="49">
        <v>1673.8333333333333</v>
      </c>
      <c r="Q61" s="49">
        <v>1269</v>
      </c>
      <c r="BE61" s="194" t="s">
        <v>88</v>
      </c>
      <c r="BF61" s="215">
        <v>1380</v>
      </c>
      <c r="BG61" s="215">
        <v>39</v>
      </c>
      <c r="BH61" s="215">
        <v>6</v>
      </c>
      <c r="BI61" s="215"/>
      <c r="BJ61" s="202">
        <f t="shared" si="57"/>
        <v>53820</v>
      </c>
      <c r="BK61" s="202">
        <f t="shared" si="58"/>
        <v>8280</v>
      </c>
      <c r="BL61" s="202">
        <f t="shared" si="59"/>
        <v>45540</v>
      </c>
    </row>
    <row r="62" spans="2:67" ht="24" customHeight="1">
      <c r="F62" s="49">
        <v>547.19354838709683</v>
      </c>
      <c r="G62" s="49">
        <v>174.07407407407408</v>
      </c>
      <c r="H62" s="49">
        <v>791.66666666666663</v>
      </c>
      <c r="I62" s="49">
        <v>1078.7878787878788</v>
      </c>
      <c r="N62" s="49">
        <v>2510.9</v>
      </c>
      <c r="O62" s="49">
        <v>4228.2222222222226</v>
      </c>
      <c r="P62" s="49">
        <v>2237.6999999999998</v>
      </c>
      <c r="Q62" s="49">
        <v>1475</v>
      </c>
      <c r="BE62" s="194" t="s">
        <v>89</v>
      </c>
      <c r="BF62" s="215">
        <v>160</v>
      </c>
      <c r="BG62" s="215">
        <v>594</v>
      </c>
      <c r="BH62" s="215">
        <v>53</v>
      </c>
      <c r="BI62" s="215"/>
      <c r="BJ62" s="202">
        <f t="shared" si="57"/>
        <v>95040</v>
      </c>
      <c r="BK62" s="202">
        <f t="shared" si="58"/>
        <v>8480</v>
      </c>
      <c r="BL62" s="202">
        <f t="shared" si="59"/>
        <v>86560</v>
      </c>
    </row>
    <row r="63" spans="2:67" ht="24" customHeight="1">
      <c r="F63" s="49">
        <v>517.64705882352939</v>
      </c>
      <c r="G63" s="49">
        <v>457.8</v>
      </c>
      <c r="I63" s="49">
        <v>796.08571428571429</v>
      </c>
      <c r="N63" s="49">
        <v>2083.0952380952381</v>
      </c>
      <c r="O63" s="49">
        <v>596.20000000000005</v>
      </c>
      <c r="Q63" s="49">
        <v>1050.8148148148148</v>
      </c>
      <c r="BE63" s="194" t="s">
        <v>90</v>
      </c>
      <c r="BF63" s="215">
        <v>160</v>
      </c>
      <c r="BG63" s="215">
        <v>300</v>
      </c>
      <c r="BH63" s="215">
        <v>47</v>
      </c>
      <c r="BI63" s="215"/>
      <c r="BJ63" s="202">
        <f t="shared" si="57"/>
        <v>48000</v>
      </c>
      <c r="BK63" s="202">
        <f t="shared" si="58"/>
        <v>7520</v>
      </c>
      <c r="BL63" s="202">
        <f t="shared" si="59"/>
        <v>40480</v>
      </c>
    </row>
    <row r="64" spans="2:67" ht="24" customHeight="1">
      <c r="F64" s="49">
        <v>558.35483870967744</v>
      </c>
      <c r="G64" s="49">
        <v>370</v>
      </c>
      <c r="N64" s="49">
        <v>1328.1290322580646</v>
      </c>
      <c r="O64" s="49">
        <v>1228.2142857142858</v>
      </c>
      <c r="BE64" s="194" t="s">
        <v>91</v>
      </c>
      <c r="BF64" s="215">
        <v>205</v>
      </c>
      <c r="BG64" s="215">
        <v>366</v>
      </c>
      <c r="BH64" s="215">
        <v>49</v>
      </c>
      <c r="BI64" s="215"/>
      <c r="BJ64" s="202">
        <f t="shared" si="57"/>
        <v>75030</v>
      </c>
      <c r="BK64" s="202">
        <f t="shared" si="58"/>
        <v>10045</v>
      </c>
      <c r="BL64" s="202">
        <f t="shared" si="59"/>
        <v>64985</v>
      </c>
    </row>
    <row r="65" spans="6:64" ht="24" customHeight="1">
      <c r="F65" s="49">
        <v>522.70000000000005</v>
      </c>
      <c r="G65" s="49">
        <v>100</v>
      </c>
      <c r="N65" s="49">
        <v>2040.8333333333333</v>
      </c>
      <c r="O65" s="49">
        <v>3688.1</v>
      </c>
      <c r="BE65" s="194" t="s">
        <v>92</v>
      </c>
      <c r="BF65" s="215">
        <v>295</v>
      </c>
      <c r="BG65" s="215">
        <v>612</v>
      </c>
      <c r="BH65" s="215">
        <v>86</v>
      </c>
      <c r="BI65" s="215"/>
      <c r="BJ65" s="202">
        <f t="shared" si="57"/>
        <v>180540</v>
      </c>
      <c r="BK65" s="202">
        <f t="shared" si="58"/>
        <v>25370</v>
      </c>
      <c r="BL65" s="202">
        <f t="shared" si="59"/>
        <v>155170</v>
      </c>
    </row>
    <row r="66" spans="6:64" ht="24" customHeight="1">
      <c r="F66" s="49">
        <v>406</v>
      </c>
      <c r="G66" s="49">
        <v>201.25</v>
      </c>
      <c r="N66" s="49">
        <v>4227.2222222222226</v>
      </c>
      <c r="O66" s="49">
        <v>1802.7</v>
      </c>
      <c r="BE66" s="194" t="s">
        <v>93</v>
      </c>
      <c r="BF66" s="215">
        <v>70</v>
      </c>
      <c r="BG66" s="215">
        <v>480</v>
      </c>
      <c r="BH66" s="215">
        <v>71</v>
      </c>
      <c r="BI66" s="215"/>
      <c r="BJ66" s="202">
        <f t="shared" si="57"/>
        <v>33600</v>
      </c>
      <c r="BK66" s="202">
        <f t="shared" si="58"/>
        <v>4970</v>
      </c>
      <c r="BL66" s="202">
        <f t="shared" si="59"/>
        <v>28630</v>
      </c>
    </row>
    <row r="67" spans="6:64" ht="24" customHeight="1">
      <c r="F67" s="49">
        <v>500</v>
      </c>
      <c r="G67" s="49">
        <v>572.21621621621625</v>
      </c>
      <c r="N67" s="49">
        <v>2111.25</v>
      </c>
      <c r="O67" s="49">
        <v>1473.1578947368421</v>
      </c>
      <c r="BE67" s="194" t="s">
        <v>94</v>
      </c>
      <c r="BF67" s="215">
        <v>2450</v>
      </c>
      <c r="BG67" s="215">
        <v>31</v>
      </c>
      <c r="BH67" s="215">
        <v>9</v>
      </c>
      <c r="BI67" s="215"/>
      <c r="BJ67" s="202">
        <f t="shared" si="57"/>
        <v>75950</v>
      </c>
      <c r="BK67" s="202">
        <f t="shared" si="58"/>
        <v>22050</v>
      </c>
      <c r="BL67" s="202">
        <f t="shared" si="59"/>
        <v>53900</v>
      </c>
    </row>
    <row r="68" spans="6:64" ht="24" customHeight="1">
      <c r="F68" s="49">
        <v>671.68571428571431</v>
      </c>
      <c r="G68" s="49">
        <v>475.84615384615387</v>
      </c>
      <c r="N68" s="49">
        <v>1641.0322580645161</v>
      </c>
      <c r="O68" s="49">
        <v>2539.5294117647059</v>
      </c>
      <c r="BE68" s="194"/>
      <c r="BJ68" s="221">
        <f>SUM(BJ47:BJ67)</f>
        <v>2361310</v>
      </c>
      <c r="BK68" s="221">
        <f t="shared" ref="BK68:BL68" si="68">SUM(BK47:BK67)</f>
        <v>7934814</v>
      </c>
      <c r="BL68" s="221">
        <f t="shared" si="68"/>
        <v>2499142</v>
      </c>
    </row>
    <row r="69" spans="6:64" ht="24" customHeight="1">
      <c r="F69" s="49">
        <v>333.33333333333331</v>
      </c>
      <c r="G69" s="49">
        <v>439.60714285714283</v>
      </c>
      <c r="N69" s="49">
        <v>5737.5714285714284</v>
      </c>
      <c r="O69" s="49">
        <v>1814.2333333333333</v>
      </c>
      <c r="BE69" s="194"/>
    </row>
    <row r="70" spans="6:64" ht="24" customHeight="1">
      <c r="F70" s="49">
        <v>424.20833333333331</v>
      </c>
      <c r="G70" s="49">
        <v>253.18518518518519</v>
      </c>
      <c r="N70" s="49">
        <v>2000</v>
      </c>
      <c r="O70" s="49">
        <v>920</v>
      </c>
      <c r="BE70" s="194"/>
    </row>
    <row r="71" spans="6:64" ht="24" customHeight="1">
      <c r="F71" s="49">
        <v>316.66666666666669</v>
      </c>
      <c r="G71" s="49">
        <v>497.22222222222223</v>
      </c>
      <c r="N71" s="49">
        <v>1563.1111111111111</v>
      </c>
      <c r="O71" s="49">
        <v>1221.4545454545455</v>
      </c>
      <c r="BE71" s="194"/>
    </row>
    <row r="72" spans="6:64" ht="24" customHeight="1">
      <c r="F72" s="49">
        <v>625.79999999999995</v>
      </c>
      <c r="N72" s="49">
        <v>1707.5</v>
      </c>
      <c r="BE72" s="194"/>
    </row>
    <row r="73" spans="6:64" ht="24" customHeight="1">
      <c r="F73" s="49">
        <f>SUM(F56:F72)</f>
        <v>8586.4146700924884</v>
      </c>
      <c r="G73" s="49">
        <f>SUM(G56:G72)</f>
        <v>5628.949327734329</v>
      </c>
      <c r="H73" s="49">
        <f>SUM(H56:H63)</f>
        <v>7458.0811165103523</v>
      </c>
      <c r="I73" s="49">
        <f>SUM(I56:I65)</f>
        <v>6284.1378787878784</v>
      </c>
      <c r="N73" s="49">
        <f>SUM(N56:N72)</f>
        <v>39829.648735097238</v>
      </c>
      <c r="O73" s="49">
        <f>SUM(O56:O72)</f>
        <v>37237.501864166101</v>
      </c>
      <c r="P73" s="49">
        <f>SUM(P56:P65)</f>
        <v>13940.268053274951</v>
      </c>
      <c r="Q73" s="49">
        <f>SUM(Q56:Q63)</f>
        <v>10019.307671957671</v>
      </c>
      <c r="BE73" s="194"/>
    </row>
    <row r="74" spans="6:64" ht="24" customHeight="1">
      <c r="F74" s="49">
        <f>F73/17</f>
        <v>505.08321588779341</v>
      </c>
      <c r="G74" s="49">
        <f>G73/16</f>
        <v>351.80933298339556</v>
      </c>
      <c r="H74" s="49">
        <f>H73/7</f>
        <v>1065.440159501479</v>
      </c>
      <c r="I74" s="49">
        <f>I73/8</f>
        <v>785.5172348484848</v>
      </c>
      <c r="N74" s="49">
        <f>N73/17</f>
        <v>2342.9205138292491</v>
      </c>
      <c r="O74" s="49">
        <f>O73/16</f>
        <v>2327.3438665103813</v>
      </c>
      <c r="P74" s="49">
        <f>P73/7</f>
        <v>1991.4668647535643</v>
      </c>
      <c r="Q74" s="49">
        <f>Q73/8</f>
        <v>1252.4134589947089</v>
      </c>
      <c r="BE74" s="194"/>
    </row>
    <row r="75" spans="6:64" ht="24" customHeight="1">
      <c r="BE75" s="194"/>
    </row>
    <row r="76" spans="6:64" ht="24" customHeight="1">
      <c r="BE76" s="194"/>
    </row>
    <row r="77" spans="6:64" ht="24" customHeight="1"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>
      <c r="BE181" s="194"/>
    </row>
    <row r="182" spans="57:57">
      <c r="BE182" s="194"/>
    </row>
    <row r="183" spans="57:57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</sheetData>
  <mergeCells count="19">
    <mergeCell ref="D37:K41"/>
    <mergeCell ref="L37:S41"/>
    <mergeCell ref="Y37:AG41"/>
    <mergeCell ref="AH37:AO41"/>
    <mergeCell ref="U49:U50"/>
    <mergeCell ref="U51:U52"/>
    <mergeCell ref="U53:U54"/>
    <mergeCell ref="U55:U56"/>
    <mergeCell ref="Y55:AB56"/>
    <mergeCell ref="AP3:AY3"/>
    <mergeCell ref="AZ3:BD3"/>
    <mergeCell ref="BE3:BL3"/>
    <mergeCell ref="AP37:AY41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202６.０１</vt:lpstr>
      <vt:lpstr>202６.０２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2026-02-11T11:17:29Z</dcterms:created>
  <dcterms:modified xsi:type="dcterms:W3CDTF">2026-02-11T11:26:37Z</dcterms:modified>
</cp:coreProperties>
</file>