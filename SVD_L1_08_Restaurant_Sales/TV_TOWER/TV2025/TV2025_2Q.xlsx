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otfiles/Restaurant_Sales/TV_TOWER/TV2025/"/>
    </mc:Choice>
  </mc:AlternateContent>
  <xr:revisionPtr revIDLastSave="0" documentId="13_ncr:1_{0F7AE243-D0C4-8C40-B8D9-FECD03541580}" xr6:coauthVersionLast="47" xr6:coauthVersionMax="47" xr10:uidLastSave="{00000000-0000-0000-0000-000000000000}"/>
  <bookViews>
    <workbookView xWindow="0" yWindow="660" windowWidth="30240" windowHeight="18980" activeTab="2" xr2:uid="{BD4C9608-8D1C-7342-80E5-67F463CF7BCF}"/>
  </bookViews>
  <sheets>
    <sheet name="2025.0７" sheetId="1" r:id="rId1"/>
    <sheet name="2025.0８" sheetId="2" r:id="rId2"/>
    <sheet name="2025.0９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6" i="3" l="1"/>
  <c r="Q77" i="3" s="1"/>
  <c r="P76" i="3"/>
  <c r="P77" i="3" s="1"/>
  <c r="O76" i="3"/>
  <c r="O77" i="3" s="1"/>
  <c r="N76" i="3"/>
  <c r="N77" i="3" s="1"/>
  <c r="I76" i="3"/>
  <c r="I77" i="3" s="1"/>
  <c r="H76" i="3"/>
  <c r="H77" i="3" s="1"/>
  <c r="G76" i="3"/>
  <c r="G77" i="3" s="1"/>
  <c r="F76" i="3"/>
  <c r="F77" i="3" s="1"/>
  <c r="BK70" i="3"/>
  <c r="BJ70" i="3"/>
  <c r="BL70" i="3" s="1"/>
  <c r="BK69" i="3"/>
  <c r="BJ69" i="3"/>
  <c r="BL69" i="3" s="1"/>
  <c r="BK68" i="3"/>
  <c r="BL68" i="3" s="1"/>
  <c r="BJ68" i="3"/>
  <c r="BK67" i="3"/>
  <c r="BJ67" i="3"/>
  <c r="BK66" i="3"/>
  <c r="BJ66" i="3"/>
  <c r="BK65" i="3"/>
  <c r="BJ65" i="3"/>
  <c r="BK64" i="3"/>
  <c r="BJ64" i="3"/>
  <c r="BL64" i="3" s="1"/>
  <c r="BK63" i="3"/>
  <c r="BJ63" i="3"/>
  <c r="BK62" i="3"/>
  <c r="BJ62" i="3"/>
  <c r="BK61" i="3"/>
  <c r="BJ61" i="3"/>
  <c r="BL61" i="3" s="1"/>
  <c r="BK60" i="3"/>
  <c r="BJ60" i="3"/>
  <c r="BL60" i="3" s="1"/>
  <c r="BK59" i="3"/>
  <c r="BJ59" i="3"/>
  <c r="BL59" i="3" s="1"/>
  <c r="BK58" i="3"/>
  <c r="BL58" i="3" s="1"/>
  <c r="BJ58" i="3"/>
  <c r="BK57" i="3"/>
  <c r="BJ57" i="3"/>
  <c r="BA57" i="3"/>
  <c r="X57" i="3"/>
  <c r="BK56" i="3"/>
  <c r="BJ56" i="3"/>
  <c r="BL56" i="3" s="1"/>
  <c r="Y56" i="3"/>
  <c r="X56" i="3"/>
  <c r="BK55" i="3"/>
  <c r="BJ55" i="3"/>
  <c r="BL55" i="3" s="1"/>
  <c r="AY55" i="3"/>
  <c r="BK54" i="3"/>
  <c r="BJ54" i="3"/>
  <c r="BL54" i="3" s="1"/>
  <c r="Y54" i="3"/>
  <c r="X54" i="3" s="1"/>
  <c r="BK53" i="3"/>
  <c r="BJ53" i="3"/>
  <c r="BL53" i="3" s="1"/>
  <c r="BK52" i="3"/>
  <c r="BJ52" i="3"/>
  <c r="BL52" i="3" s="1"/>
  <c r="Y52" i="3"/>
  <c r="X52" i="3"/>
  <c r="BK51" i="3"/>
  <c r="BJ51" i="3"/>
  <c r="BK50" i="3"/>
  <c r="BJ50" i="3"/>
  <c r="AX49" i="3"/>
  <c r="AR49" i="3"/>
  <c r="AR50" i="3" s="1"/>
  <c r="AF49" i="3"/>
  <c r="S48" i="3"/>
  <c r="Q48" i="3"/>
  <c r="K48" i="3"/>
  <c r="I48" i="3"/>
  <c r="K46" i="3"/>
  <c r="BI45" i="3"/>
  <c r="AR45" i="3"/>
  <c r="W45" i="3"/>
  <c r="BI44" i="3"/>
  <c r="BC44" i="3"/>
  <c r="BG43" i="3"/>
  <c r="BI43" i="3" s="1"/>
  <c r="V41" i="3"/>
  <c r="AR38" i="3"/>
  <c r="AB38" i="3"/>
  <c r="AJ38" i="3" s="1"/>
  <c r="O38" i="3"/>
  <c r="U38" i="3" s="1"/>
  <c r="AV37" i="3"/>
  <c r="AR37" i="3"/>
  <c r="AS37" i="3" s="1"/>
  <c r="AD37" i="3"/>
  <c r="H37" i="3"/>
  <c r="BK36" i="3"/>
  <c r="BJ36" i="3"/>
  <c r="BI36" i="3"/>
  <c r="BH36" i="3"/>
  <c r="BG36" i="3"/>
  <c r="BF36" i="3"/>
  <c r="BE36" i="3"/>
  <c r="AW36" i="3"/>
  <c r="AW37" i="3" s="1"/>
  <c r="AV36" i="3"/>
  <c r="AT36" i="3"/>
  <c r="AT37" i="3" s="1"/>
  <c r="AR36" i="3"/>
  <c r="AQ36" i="3"/>
  <c r="AP36" i="3"/>
  <c r="AL36" i="3"/>
  <c r="AL37" i="3" s="1"/>
  <c r="AJ36" i="3"/>
  <c r="AJ37" i="3" s="1"/>
  <c r="AI36" i="3"/>
  <c r="AH36" i="3"/>
  <c r="AD36" i="3"/>
  <c r="AB36" i="3"/>
  <c r="AB37" i="3" s="1"/>
  <c r="Z36" i="3"/>
  <c r="Y36" i="3"/>
  <c r="X36" i="3"/>
  <c r="L36" i="3"/>
  <c r="H36" i="3"/>
  <c r="F36" i="3"/>
  <c r="F37" i="3" s="1"/>
  <c r="E36" i="3"/>
  <c r="F38" i="3" s="1"/>
  <c r="D36" i="3"/>
  <c r="C36" i="3"/>
  <c r="BL35" i="3"/>
  <c r="BN35" i="3" s="1"/>
  <c r="BD35" i="3"/>
  <c r="AY35" i="3"/>
  <c r="AX35" i="3"/>
  <c r="AU35" i="3"/>
  <c r="AS35" i="3"/>
  <c r="AO35" i="3"/>
  <c r="AN35" i="3"/>
  <c r="AM35" i="3"/>
  <c r="AK35" i="3"/>
  <c r="AG35" i="3"/>
  <c r="AF35" i="3"/>
  <c r="AE35" i="3"/>
  <c r="AC35" i="3"/>
  <c r="V35" i="3"/>
  <c r="BB35" i="3" s="1"/>
  <c r="P35" i="3"/>
  <c r="Q35" i="3" s="1"/>
  <c r="N35" i="3"/>
  <c r="M35" i="3"/>
  <c r="AZ35" i="3" s="1"/>
  <c r="K35" i="3"/>
  <c r="J35" i="3"/>
  <c r="I35" i="3"/>
  <c r="G35" i="3"/>
  <c r="BL34" i="3"/>
  <c r="BN34" i="3" s="1"/>
  <c r="BD34" i="3"/>
  <c r="AX34" i="3"/>
  <c r="AY34" i="3" s="1"/>
  <c r="AU34" i="3"/>
  <c r="AS34" i="3"/>
  <c r="AO34" i="3"/>
  <c r="AN34" i="3"/>
  <c r="AM34" i="3"/>
  <c r="AK34" i="3"/>
  <c r="AF34" i="3"/>
  <c r="AG34" i="3" s="1"/>
  <c r="AE34" i="3"/>
  <c r="AC34" i="3"/>
  <c r="V34" i="3"/>
  <c r="BB34" i="3" s="1"/>
  <c r="U34" i="3"/>
  <c r="BA34" i="3" s="1"/>
  <c r="P34" i="3"/>
  <c r="N34" i="3"/>
  <c r="M34" i="3"/>
  <c r="AZ34" i="3" s="1"/>
  <c r="J34" i="3"/>
  <c r="I34" i="3"/>
  <c r="G34" i="3"/>
  <c r="BL33" i="3"/>
  <c r="BN33" i="3" s="1"/>
  <c r="BD33" i="3"/>
  <c r="AZ33" i="3"/>
  <c r="AX33" i="3"/>
  <c r="AY33" i="3" s="1"/>
  <c r="AU33" i="3"/>
  <c r="AS33" i="3"/>
  <c r="AO33" i="3"/>
  <c r="AN33" i="3"/>
  <c r="AM33" i="3"/>
  <c r="AK33" i="3"/>
  <c r="AF33" i="3"/>
  <c r="AG33" i="3" s="1"/>
  <c r="AE33" i="3"/>
  <c r="AC33" i="3"/>
  <c r="V33" i="3"/>
  <c r="BB33" i="3" s="1"/>
  <c r="Q33" i="3"/>
  <c r="P33" i="3"/>
  <c r="N33" i="3"/>
  <c r="M33" i="3"/>
  <c r="J33" i="3"/>
  <c r="K33" i="3" s="1"/>
  <c r="I33" i="3"/>
  <c r="G33" i="3"/>
  <c r="BL32" i="3"/>
  <c r="BD32" i="3"/>
  <c r="AZ32" i="3"/>
  <c r="AX32" i="3"/>
  <c r="AY32" i="3" s="1"/>
  <c r="AU32" i="3"/>
  <c r="AS32" i="3"/>
  <c r="AO32" i="3"/>
  <c r="AN32" i="3"/>
  <c r="AM32" i="3"/>
  <c r="AK32" i="3"/>
  <c r="AF32" i="3"/>
  <c r="AG32" i="3" s="1"/>
  <c r="AE32" i="3"/>
  <c r="AC32" i="3"/>
  <c r="U32" i="3"/>
  <c r="BA32" i="3" s="1"/>
  <c r="T32" i="3"/>
  <c r="S32" i="3"/>
  <c r="P32" i="3"/>
  <c r="V32" i="3" s="1"/>
  <c r="BB32" i="3" s="1"/>
  <c r="N32" i="3"/>
  <c r="R32" i="3" s="1"/>
  <c r="M32" i="3"/>
  <c r="O32" i="3" s="1"/>
  <c r="J32" i="3"/>
  <c r="I32" i="3"/>
  <c r="G32" i="3"/>
  <c r="BL31" i="3"/>
  <c r="BN31" i="3" s="1"/>
  <c r="BD31" i="3"/>
  <c r="AX31" i="3"/>
  <c r="AY31" i="3" s="1"/>
  <c r="AU31" i="3"/>
  <c r="AS31" i="3"/>
  <c r="AN31" i="3"/>
  <c r="AO31" i="3" s="1"/>
  <c r="AM31" i="3"/>
  <c r="AK31" i="3"/>
  <c r="AF31" i="3"/>
  <c r="AG31" i="3" s="1"/>
  <c r="AE31" i="3"/>
  <c r="AC31" i="3"/>
  <c r="P31" i="3"/>
  <c r="N31" i="3"/>
  <c r="R31" i="3" s="1"/>
  <c r="W31" i="3" s="1"/>
  <c r="M31" i="3"/>
  <c r="J31" i="3"/>
  <c r="K31" i="3" s="1"/>
  <c r="I31" i="3"/>
  <c r="G31" i="3"/>
  <c r="BL30" i="3"/>
  <c r="BN30" i="3" s="1"/>
  <c r="BD30" i="3"/>
  <c r="AZ30" i="3"/>
  <c r="AX30" i="3"/>
  <c r="AY30" i="3" s="1"/>
  <c r="AU30" i="3"/>
  <c r="AS30" i="3"/>
  <c r="AO30" i="3"/>
  <c r="AN30" i="3"/>
  <c r="AM30" i="3"/>
  <c r="AK30" i="3"/>
  <c r="AG30" i="3"/>
  <c r="AF30" i="3"/>
  <c r="AE30" i="3"/>
  <c r="AC30" i="3"/>
  <c r="U30" i="3"/>
  <c r="BA30" i="3" s="1"/>
  <c r="T30" i="3"/>
  <c r="P30" i="3"/>
  <c r="V30" i="3" s="1"/>
  <c r="BB30" i="3" s="1"/>
  <c r="N30" i="3"/>
  <c r="M30" i="3"/>
  <c r="J30" i="3"/>
  <c r="I30" i="3"/>
  <c r="G30" i="3"/>
  <c r="BL29" i="3"/>
  <c r="BN29" i="3" s="1"/>
  <c r="BD29" i="3"/>
  <c r="AZ29" i="3"/>
  <c r="AX29" i="3"/>
  <c r="AY29" i="3" s="1"/>
  <c r="AU29" i="3"/>
  <c r="AS29" i="3"/>
  <c r="AN29" i="3"/>
  <c r="AO29" i="3" s="1"/>
  <c r="AM29" i="3"/>
  <c r="AK29" i="3"/>
  <c r="AF29" i="3"/>
  <c r="AG29" i="3" s="1"/>
  <c r="AE29" i="3"/>
  <c r="AC29" i="3"/>
  <c r="P29" i="3"/>
  <c r="V29" i="3" s="1"/>
  <c r="BB29" i="3" s="1"/>
  <c r="N29" i="3"/>
  <c r="R29" i="3" s="1"/>
  <c r="W29" i="3" s="1"/>
  <c r="M29" i="3"/>
  <c r="J29" i="3"/>
  <c r="K29" i="3" s="1"/>
  <c r="I29" i="3"/>
  <c r="G29" i="3"/>
  <c r="BL28" i="3"/>
  <c r="BN28" i="3" s="1"/>
  <c r="BD28" i="3"/>
  <c r="AZ28" i="3"/>
  <c r="AX28" i="3"/>
  <c r="AY28" i="3" s="1"/>
  <c r="AU28" i="3"/>
  <c r="AS28" i="3"/>
  <c r="AO28" i="3"/>
  <c r="AN28" i="3"/>
  <c r="AM28" i="3"/>
  <c r="AK28" i="3"/>
  <c r="AF28" i="3"/>
  <c r="AG28" i="3" s="1"/>
  <c r="AE28" i="3"/>
  <c r="AC28" i="3"/>
  <c r="U28" i="3"/>
  <c r="BA28" i="3" s="1"/>
  <c r="T28" i="3"/>
  <c r="P28" i="3"/>
  <c r="V28" i="3" s="1"/>
  <c r="BB28" i="3" s="1"/>
  <c r="N28" i="3"/>
  <c r="M28" i="3"/>
  <c r="O28" i="3" s="1"/>
  <c r="J28" i="3"/>
  <c r="I28" i="3"/>
  <c r="G28" i="3"/>
  <c r="BL27" i="3"/>
  <c r="BN27" i="3" s="1"/>
  <c r="BD27" i="3"/>
  <c r="AX27" i="3"/>
  <c r="AY27" i="3" s="1"/>
  <c r="AU27" i="3"/>
  <c r="AS27" i="3"/>
  <c r="AO27" i="3"/>
  <c r="AN27" i="3"/>
  <c r="AM27" i="3"/>
  <c r="AK27" i="3"/>
  <c r="AF27" i="3"/>
  <c r="AG27" i="3" s="1"/>
  <c r="AE27" i="3"/>
  <c r="AC27" i="3"/>
  <c r="U27" i="3"/>
  <c r="BA27" i="3" s="1"/>
  <c r="P27" i="3"/>
  <c r="Q27" i="3" s="1"/>
  <c r="N27" i="3"/>
  <c r="R27" i="3" s="1"/>
  <c r="W27" i="3" s="1"/>
  <c r="BC27" i="3" s="1"/>
  <c r="M27" i="3"/>
  <c r="J27" i="3"/>
  <c r="K27" i="3" s="1"/>
  <c r="I27" i="3"/>
  <c r="G27" i="3"/>
  <c r="BL26" i="3"/>
  <c r="BN26" i="3" s="1"/>
  <c r="BD26" i="3"/>
  <c r="AX26" i="3"/>
  <c r="AY26" i="3" s="1"/>
  <c r="AU26" i="3"/>
  <c r="AS26" i="3"/>
  <c r="AN26" i="3"/>
  <c r="AO26" i="3" s="1"/>
  <c r="AM26" i="3"/>
  <c r="AK26" i="3"/>
  <c r="AF26" i="3"/>
  <c r="AG26" i="3" s="1"/>
  <c r="AE26" i="3"/>
  <c r="AC26" i="3"/>
  <c r="P26" i="3"/>
  <c r="V26" i="3" s="1"/>
  <c r="BB26" i="3" s="1"/>
  <c r="N26" i="3"/>
  <c r="M26" i="3"/>
  <c r="T26" i="3" s="1"/>
  <c r="J26" i="3"/>
  <c r="I26" i="3"/>
  <c r="G26" i="3"/>
  <c r="BL25" i="3"/>
  <c r="BN25" i="3" s="1"/>
  <c r="BD25" i="3"/>
  <c r="AX25" i="3"/>
  <c r="AY25" i="3" s="1"/>
  <c r="AU25" i="3"/>
  <c r="AS25" i="3"/>
  <c r="AO25" i="3"/>
  <c r="AN25" i="3"/>
  <c r="AM25" i="3"/>
  <c r="AK25" i="3"/>
  <c r="AF25" i="3"/>
  <c r="AG25" i="3" s="1"/>
  <c r="AE25" i="3"/>
  <c r="AC25" i="3"/>
  <c r="P25" i="3"/>
  <c r="V25" i="3" s="1"/>
  <c r="BB25" i="3" s="1"/>
  <c r="N25" i="3"/>
  <c r="M25" i="3"/>
  <c r="J25" i="3"/>
  <c r="K25" i="3" s="1"/>
  <c r="I25" i="3"/>
  <c r="G25" i="3"/>
  <c r="BL24" i="3"/>
  <c r="BN24" i="3" s="1"/>
  <c r="BD24" i="3"/>
  <c r="BA24" i="3"/>
  <c r="AX24" i="3"/>
  <c r="AY24" i="3" s="1"/>
  <c r="AU24" i="3"/>
  <c r="AS24" i="3"/>
  <c r="AO24" i="3"/>
  <c r="AN24" i="3"/>
  <c r="AM24" i="3"/>
  <c r="AK24" i="3"/>
  <c r="AF24" i="3"/>
  <c r="AG24" i="3" s="1"/>
  <c r="AE24" i="3"/>
  <c r="AC24" i="3"/>
  <c r="U24" i="3"/>
  <c r="P24" i="3"/>
  <c r="V24" i="3" s="1"/>
  <c r="BB24" i="3" s="1"/>
  <c r="N24" i="3"/>
  <c r="M24" i="3"/>
  <c r="J24" i="3"/>
  <c r="I24" i="3"/>
  <c r="G24" i="3"/>
  <c r="BL23" i="3"/>
  <c r="BN23" i="3" s="1"/>
  <c r="BD23" i="3"/>
  <c r="AY23" i="3"/>
  <c r="AX23" i="3"/>
  <c r="AU23" i="3"/>
  <c r="AS23" i="3"/>
  <c r="AO23" i="3"/>
  <c r="AN23" i="3"/>
  <c r="AM23" i="3"/>
  <c r="AK23" i="3"/>
  <c r="AF23" i="3"/>
  <c r="AG23" i="3" s="1"/>
  <c r="AE23" i="3"/>
  <c r="AC23" i="3"/>
  <c r="Q23" i="3"/>
  <c r="P23" i="3"/>
  <c r="V23" i="3" s="1"/>
  <c r="BB23" i="3" s="1"/>
  <c r="N23" i="3"/>
  <c r="R23" i="3" s="1"/>
  <c r="M23" i="3"/>
  <c r="J23" i="3"/>
  <c r="K23" i="3" s="1"/>
  <c r="I23" i="3"/>
  <c r="G23" i="3"/>
  <c r="BL22" i="3"/>
  <c r="BN22" i="3" s="1"/>
  <c r="BD22" i="3"/>
  <c r="AZ22" i="3"/>
  <c r="AY22" i="3"/>
  <c r="AX22" i="3"/>
  <c r="AU22" i="3"/>
  <c r="AS22" i="3"/>
  <c r="AO22" i="3"/>
  <c r="AN22" i="3"/>
  <c r="AM22" i="3"/>
  <c r="AK22" i="3"/>
  <c r="AF22" i="3"/>
  <c r="AG22" i="3" s="1"/>
  <c r="AE22" i="3"/>
  <c r="AC22" i="3"/>
  <c r="U22" i="3"/>
  <c r="BA22" i="3" s="1"/>
  <c r="T22" i="3"/>
  <c r="P22" i="3"/>
  <c r="V22" i="3" s="1"/>
  <c r="BB22" i="3" s="1"/>
  <c r="N22" i="3"/>
  <c r="R22" i="3" s="1"/>
  <c r="M22" i="3"/>
  <c r="J22" i="3"/>
  <c r="I22" i="3"/>
  <c r="G22" i="3"/>
  <c r="BL21" i="3"/>
  <c r="BN21" i="3" s="1"/>
  <c r="BD21" i="3"/>
  <c r="AY21" i="3"/>
  <c r="AX21" i="3"/>
  <c r="AU21" i="3"/>
  <c r="AS21" i="3"/>
  <c r="AN21" i="3"/>
  <c r="AO21" i="3" s="1"/>
  <c r="AM21" i="3"/>
  <c r="AK21" i="3"/>
  <c r="AG21" i="3"/>
  <c r="AF21" i="3"/>
  <c r="AE21" i="3"/>
  <c r="AC21" i="3"/>
  <c r="U21" i="3"/>
  <c r="BA21" i="3" s="1"/>
  <c r="P21" i="3"/>
  <c r="V21" i="3" s="1"/>
  <c r="BB21" i="3" s="1"/>
  <c r="N21" i="3"/>
  <c r="O21" i="3" s="1"/>
  <c r="M21" i="3"/>
  <c r="J21" i="3"/>
  <c r="K21" i="3" s="1"/>
  <c r="I21" i="3"/>
  <c r="G21" i="3"/>
  <c r="BN20" i="3"/>
  <c r="BL20" i="3"/>
  <c r="BD20" i="3"/>
  <c r="AY20" i="3"/>
  <c r="AX20" i="3"/>
  <c r="AU20" i="3"/>
  <c r="AS20" i="3"/>
  <c r="AN20" i="3"/>
  <c r="AO20" i="3" s="1"/>
  <c r="AM20" i="3"/>
  <c r="AK20" i="3"/>
  <c r="AF20" i="3"/>
  <c r="AG20" i="3" s="1"/>
  <c r="AE20" i="3"/>
  <c r="AC20" i="3"/>
  <c r="V20" i="3"/>
  <c r="BB20" i="3" s="1"/>
  <c r="U20" i="3"/>
  <c r="BA20" i="3" s="1"/>
  <c r="P20" i="3"/>
  <c r="N20" i="3"/>
  <c r="R20" i="3" s="1"/>
  <c r="M20" i="3"/>
  <c r="J20" i="3"/>
  <c r="W20" i="3" s="1"/>
  <c r="BC20" i="3" s="1"/>
  <c r="I20" i="3"/>
  <c r="G20" i="3"/>
  <c r="BL19" i="3"/>
  <c r="BN19" i="3" s="1"/>
  <c r="BD19" i="3"/>
  <c r="AX19" i="3"/>
  <c r="AY19" i="3" s="1"/>
  <c r="AU19" i="3"/>
  <c r="AS19" i="3"/>
  <c r="AO19" i="3"/>
  <c r="AN19" i="3"/>
  <c r="AM19" i="3"/>
  <c r="AK19" i="3"/>
  <c r="AG19" i="3"/>
  <c r="AF19" i="3"/>
  <c r="AE19" i="3"/>
  <c r="AC19" i="3"/>
  <c r="V19" i="3"/>
  <c r="BB19" i="3" s="1"/>
  <c r="U19" i="3"/>
  <c r="BA19" i="3" s="1"/>
  <c r="P19" i="3"/>
  <c r="Q19" i="3" s="1"/>
  <c r="N19" i="3"/>
  <c r="R19" i="3" s="1"/>
  <c r="M19" i="3"/>
  <c r="J19" i="3"/>
  <c r="K19" i="3" s="1"/>
  <c r="I19" i="3"/>
  <c r="G19" i="3"/>
  <c r="BL18" i="3"/>
  <c r="BN18" i="3" s="1"/>
  <c r="BD18" i="3"/>
  <c r="AY18" i="3"/>
  <c r="AX18" i="3"/>
  <c r="AU18" i="3"/>
  <c r="AS18" i="3"/>
  <c r="AO18" i="3"/>
  <c r="AN18" i="3"/>
  <c r="AM18" i="3"/>
  <c r="AK18" i="3"/>
  <c r="AF18" i="3"/>
  <c r="AG18" i="3" s="1"/>
  <c r="AE18" i="3"/>
  <c r="AC18" i="3"/>
  <c r="V18" i="3"/>
  <c r="BB18" i="3" s="1"/>
  <c r="P18" i="3"/>
  <c r="N18" i="3"/>
  <c r="U18" i="3" s="1"/>
  <c r="BA18" i="3" s="1"/>
  <c r="M18" i="3"/>
  <c r="J18" i="3"/>
  <c r="I18" i="3"/>
  <c r="G18" i="3"/>
  <c r="BL17" i="3"/>
  <c r="BN17" i="3" s="1"/>
  <c r="BD17" i="3"/>
  <c r="AX17" i="3"/>
  <c r="AY17" i="3" s="1"/>
  <c r="AU17" i="3"/>
  <c r="AS17" i="3"/>
  <c r="AN17" i="3"/>
  <c r="AO17" i="3" s="1"/>
  <c r="AM17" i="3"/>
  <c r="AK17" i="3"/>
  <c r="AF17" i="3"/>
  <c r="AG17" i="3" s="1"/>
  <c r="AE17" i="3"/>
  <c r="AC17" i="3"/>
  <c r="P17" i="3"/>
  <c r="Q17" i="3" s="1"/>
  <c r="N17" i="3"/>
  <c r="R17" i="3" s="1"/>
  <c r="W17" i="3" s="1"/>
  <c r="BC17" i="3" s="1"/>
  <c r="M17" i="3"/>
  <c r="J17" i="3"/>
  <c r="K17" i="3" s="1"/>
  <c r="I17" i="3"/>
  <c r="G17" i="3"/>
  <c r="BL16" i="3"/>
  <c r="BN16" i="3" s="1"/>
  <c r="BD16" i="3"/>
  <c r="AX16" i="3"/>
  <c r="AY16" i="3" s="1"/>
  <c r="AU16" i="3"/>
  <c r="AS16" i="3"/>
  <c r="AN16" i="3"/>
  <c r="AO16" i="3" s="1"/>
  <c r="AM16" i="3"/>
  <c r="AK16" i="3"/>
  <c r="AF16" i="3"/>
  <c r="AG16" i="3" s="1"/>
  <c r="AE16" i="3"/>
  <c r="AC16" i="3"/>
  <c r="P16" i="3"/>
  <c r="N16" i="3"/>
  <c r="U16" i="3" s="1"/>
  <c r="BA16" i="3" s="1"/>
  <c r="M16" i="3"/>
  <c r="AZ16" i="3" s="1"/>
  <c r="J16" i="3"/>
  <c r="K16" i="3" s="1"/>
  <c r="I16" i="3"/>
  <c r="G16" i="3"/>
  <c r="BL15" i="3"/>
  <c r="BN15" i="3" s="1"/>
  <c r="BD15" i="3"/>
  <c r="AX15" i="3"/>
  <c r="AY15" i="3" s="1"/>
  <c r="AU15" i="3"/>
  <c r="AS15" i="3"/>
  <c r="AO15" i="3"/>
  <c r="AN15" i="3"/>
  <c r="AM15" i="3"/>
  <c r="AK15" i="3"/>
  <c r="AF15" i="3"/>
  <c r="AG15" i="3" s="1"/>
  <c r="AE15" i="3"/>
  <c r="AC15" i="3"/>
  <c r="P15" i="3"/>
  <c r="V15" i="3" s="1"/>
  <c r="BB15" i="3" s="1"/>
  <c r="N15" i="3"/>
  <c r="R15" i="3" s="1"/>
  <c r="M15" i="3"/>
  <c r="J15" i="3"/>
  <c r="W15" i="3" s="1"/>
  <c r="BC15" i="3" s="1"/>
  <c r="I15" i="3"/>
  <c r="G15" i="3"/>
  <c r="BL14" i="3"/>
  <c r="BN14" i="3" s="1"/>
  <c r="BD14" i="3"/>
  <c r="AX14" i="3"/>
  <c r="AY14" i="3" s="1"/>
  <c r="AU14" i="3"/>
  <c r="AS14" i="3"/>
  <c r="AN14" i="3"/>
  <c r="AO14" i="3" s="1"/>
  <c r="AM14" i="3"/>
  <c r="AK14" i="3"/>
  <c r="AF14" i="3"/>
  <c r="AG14" i="3" s="1"/>
  <c r="AE14" i="3"/>
  <c r="AC14" i="3"/>
  <c r="P14" i="3"/>
  <c r="V14" i="3" s="1"/>
  <c r="BB14" i="3" s="1"/>
  <c r="N14" i="3"/>
  <c r="M14" i="3"/>
  <c r="T14" i="3" s="1"/>
  <c r="J14" i="3"/>
  <c r="K14" i="3" s="1"/>
  <c r="I14" i="3"/>
  <c r="G14" i="3"/>
  <c r="BL13" i="3"/>
  <c r="BN13" i="3" s="1"/>
  <c r="BD13" i="3"/>
  <c r="AX13" i="3"/>
  <c r="AY13" i="3" s="1"/>
  <c r="AU13" i="3"/>
  <c r="AS13" i="3"/>
  <c r="AO13" i="3"/>
  <c r="AN13" i="3"/>
  <c r="AM13" i="3"/>
  <c r="AK13" i="3"/>
  <c r="AF13" i="3"/>
  <c r="AG13" i="3" s="1"/>
  <c r="AE13" i="3"/>
  <c r="AC13" i="3"/>
  <c r="P13" i="3"/>
  <c r="V13" i="3" s="1"/>
  <c r="BB13" i="3" s="1"/>
  <c r="N13" i="3"/>
  <c r="R13" i="3" s="1"/>
  <c r="M13" i="3"/>
  <c r="K13" i="3"/>
  <c r="J13" i="3"/>
  <c r="I13" i="3"/>
  <c r="G13" i="3"/>
  <c r="BL12" i="3"/>
  <c r="BN12" i="3" s="1"/>
  <c r="BD12" i="3"/>
  <c r="AX12" i="3"/>
  <c r="AY12" i="3" s="1"/>
  <c r="AU12" i="3"/>
  <c r="AS12" i="3"/>
  <c r="AO12" i="3"/>
  <c r="AN12" i="3"/>
  <c r="AM12" i="3"/>
  <c r="AK12" i="3"/>
  <c r="AG12" i="3"/>
  <c r="AF12" i="3"/>
  <c r="AE12" i="3"/>
  <c r="AC12" i="3"/>
  <c r="P12" i="3"/>
  <c r="V12" i="3" s="1"/>
  <c r="BB12" i="3" s="1"/>
  <c r="N12" i="3"/>
  <c r="M12" i="3"/>
  <c r="T12" i="3" s="1"/>
  <c r="J12" i="3"/>
  <c r="I12" i="3"/>
  <c r="G12" i="3"/>
  <c r="BL11" i="3"/>
  <c r="BN11" i="3" s="1"/>
  <c r="BD11" i="3"/>
  <c r="AX11" i="3"/>
  <c r="AY11" i="3" s="1"/>
  <c r="AU11" i="3"/>
  <c r="AS11" i="3"/>
  <c r="AO11" i="3"/>
  <c r="AN11" i="3"/>
  <c r="AM11" i="3"/>
  <c r="AK11" i="3"/>
  <c r="AF11" i="3"/>
  <c r="AG11" i="3" s="1"/>
  <c r="AE11" i="3"/>
  <c r="AC11" i="3"/>
  <c r="U11" i="3"/>
  <c r="BA11" i="3" s="1"/>
  <c r="P11" i="3"/>
  <c r="V11" i="3" s="1"/>
  <c r="BB11" i="3" s="1"/>
  <c r="O11" i="3"/>
  <c r="N11" i="3"/>
  <c r="M11" i="3"/>
  <c r="J11" i="3"/>
  <c r="K11" i="3" s="1"/>
  <c r="I11" i="3"/>
  <c r="G11" i="3"/>
  <c r="BL10" i="3"/>
  <c r="BN10" i="3" s="1"/>
  <c r="BD10" i="3"/>
  <c r="AZ10" i="3"/>
  <c r="AX10" i="3"/>
  <c r="AY10" i="3" s="1"/>
  <c r="AU10" i="3"/>
  <c r="AS10" i="3"/>
  <c r="AO10" i="3"/>
  <c r="AN10" i="3"/>
  <c r="AM10" i="3"/>
  <c r="AK10" i="3"/>
  <c r="AF10" i="3"/>
  <c r="AG10" i="3" s="1"/>
  <c r="AE10" i="3"/>
  <c r="AC10" i="3"/>
  <c r="U10" i="3"/>
  <c r="BA10" i="3" s="1"/>
  <c r="T10" i="3"/>
  <c r="R10" i="3"/>
  <c r="S10" i="3" s="1"/>
  <c r="Q10" i="3"/>
  <c r="P10" i="3"/>
  <c r="V10" i="3" s="1"/>
  <c r="BB10" i="3" s="1"/>
  <c r="N10" i="3"/>
  <c r="O10" i="3" s="1"/>
  <c r="M10" i="3"/>
  <c r="J10" i="3"/>
  <c r="I10" i="3"/>
  <c r="G10" i="3"/>
  <c r="BL9" i="3"/>
  <c r="BN9" i="3" s="1"/>
  <c r="BD9" i="3"/>
  <c r="AX9" i="3"/>
  <c r="AY9" i="3" s="1"/>
  <c r="AU9" i="3"/>
  <c r="AS9" i="3"/>
  <c r="AO9" i="3"/>
  <c r="AN9" i="3"/>
  <c r="AM9" i="3"/>
  <c r="AK9" i="3"/>
  <c r="AF9" i="3"/>
  <c r="AG9" i="3" s="1"/>
  <c r="AE9" i="3"/>
  <c r="AC9" i="3"/>
  <c r="V9" i="3"/>
  <c r="BB9" i="3" s="1"/>
  <c r="U9" i="3"/>
  <c r="BA9" i="3" s="1"/>
  <c r="Q9" i="3"/>
  <c r="P9" i="3"/>
  <c r="N9" i="3"/>
  <c r="M9" i="3"/>
  <c r="J9" i="3"/>
  <c r="K9" i="3" s="1"/>
  <c r="I9" i="3"/>
  <c r="G9" i="3"/>
  <c r="BL8" i="3"/>
  <c r="BN8" i="3" s="1"/>
  <c r="BD8" i="3"/>
  <c r="AZ8" i="3"/>
  <c r="AY8" i="3"/>
  <c r="AX8" i="3"/>
  <c r="AU8" i="3"/>
  <c r="AS8" i="3"/>
  <c r="AN8" i="3"/>
  <c r="AO8" i="3" s="1"/>
  <c r="AM8" i="3"/>
  <c r="AK8" i="3"/>
  <c r="AF8" i="3"/>
  <c r="AG8" i="3" s="1"/>
  <c r="AE8" i="3"/>
  <c r="AC8" i="3"/>
  <c r="V8" i="3"/>
  <c r="BB8" i="3" s="1"/>
  <c r="U8" i="3"/>
  <c r="BA8" i="3" s="1"/>
  <c r="T8" i="3"/>
  <c r="P8" i="3"/>
  <c r="R8" i="3" s="1"/>
  <c r="S8" i="3" s="1"/>
  <c r="O8" i="3"/>
  <c r="N8" i="3"/>
  <c r="M8" i="3"/>
  <c r="J8" i="3"/>
  <c r="I8" i="3"/>
  <c r="G8" i="3"/>
  <c r="BL7" i="3"/>
  <c r="BN7" i="3" s="1"/>
  <c r="BD7" i="3"/>
  <c r="AX7" i="3"/>
  <c r="AY7" i="3" s="1"/>
  <c r="AU7" i="3"/>
  <c r="AS7" i="3"/>
  <c r="AO7" i="3"/>
  <c r="AN7" i="3"/>
  <c r="AM7" i="3"/>
  <c r="AK7" i="3"/>
  <c r="AF7" i="3"/>
  <c r="AG7" i="3" s="1"/>
  <c r="AE7" i="3"/>
  <c r="AC7" i="3"/>
  <c r="P7" i="3"/>
  <c r="N7" i="3"/>
  <c r="R7" i="3" s="1"/>
  <c r="M7" i="3"/>
  <c r="J7" i="3"/>
  <c r="K7" i="3" s="1"/>
  <c r="I7" i="3"/>
  <c r="G7" i="3"/>
  <c r="BL6" i="3"/>
  <c r="BN6" i="3" s="1"/>
  <c r="BD6" i="3"/>
  <c r="AX6" i="3"/>
  <c r="AY6" i="3" s="1"/>
  <c r="AU6" i="3"/>
  <c r="AS6" i="3"/>
  <c r="AN6" i="3"/>
  <c r="AM6" i="3"/>
  <c r="AK6" i="3"/>
  <c r="AF6" i="3"/>
  <c r="AG6" i="3" s="1"/>
  <c r="AE6" i="3"/>
  <c r="AC6" i="3"/>
  <c r="P6" i="3"/>
  <c r="N6" i="3"/>
  <c r="U6" i="3" s="1"/>
  <c r="BA6" i="3" s="1"/>
  <c r="M6" i="3"/>
  <c r="J6" i="3"/>
  <c r="K6" i="3" s="1"/>
  <c r="I6" i="3"/>
  <c r="G6" i="3"/>
  <c r="BL5" i="3"/>
  <c r="BD5" i="3"/>
  <c r="AX5" i="3"/>
  <c r="AY5" i="3" s="1"/>
  <c r="AU5" i="3"/>
  <c r="AS5" i="3"/>
  <c r="AO5" i="3"/>
  <c r="AN5" i="3"/>
  <c r="AM5" i="3"/>
  <c r="AK5" i="3"/>
  <c r="AF5" i="3"/>
  <c r="AE5" i="3"/>
  <c r="AC5" i="3"/>
  <c r="P5" i="3"/>
  <c r="V5" i="3" s="1"/>
  <c r="N5" i="3"/>
  <c r="M5" i="3"/>
  <c r="K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O77" i="2"/>
  <c r="Q76" i="2"/>
  <c r="Q77" i="2" s="1"/>
  <c r="P76" i="2"/>
  <c r="P77" i="2" s="1"/>
  <c r="O76" i="2"/>
  <c r="N76" i="2"/>
  <c r="N77" i="2" s="1"/>
  <c r="I76" i="2"/>
  <c r="I77" i="2" s="1"/>
  <c r="H76" i="2"/>
  <c r="H77" i="2" s="1"/>
  <c r="G76" i="2"/>
  <c r="G77" i="2" s="1"/>
  <c r="F76" i="2"/>
  <c r="F77" i="2" s="1"/>
  <c r="BK70" i="2"/>
  <c r="BJ70" i="2"/>
  <c r="BL70" i="2" s="1"/>
  <c r="BK69" i="2"/>
  <c r="BJ69" i="2"/>
  <c r="BL69" i="2" s="1"/>
  <c r="BL68" i="2"/>
  <c r="BK68" i="2"/>
  <c r="BJ68" i="2"/>
  <c r="BK67" i="2"/>
  <c r="BJ67" i="2"/>
  <c r="BK66" i="2"/>
  <c r="BJ66" i="2"/>
  <c r="BK65" i="2"/>
  <c r="BJ65" i="2"/>
  <c r="BK64" i="2"/>
  <c r="BJ64" i="2"/>
  <c r="BL64" i="2" s="1"/>
  <c r="BK63" i="2"/>
  <c r="BJ63" i="2"/>
  <c r="BL63" i="2" s="1"/>
  <c r="BK62" i="2"/>
  <c r="BJ62" i="2"/>
  <c r="BL62" i="2" s="1"/>
  <c r="BK61" i="2"/>
  <c r="BJ61" i="2"/>
  <c r="BL61" i="2" s="1"/>
  <c r="BL60" i="2"/>
  <c r="BK60" i="2"/>
  <c r="BJ60" i="2"/>
  <c r="BK59" i="2"/>
  <c r="BJ59" i="2"/>
  <c r="BL59" i="2" s="1"/>
  <c r="BK58" i="2"/>
  <c r="BJ58" i="2"/>
  <c r="BL58" i="2" s="1"/>
  <c r="BK57" i="2"/>
  <c r="BJ57" i="2"/>
  <c r="BA57" i="2"/>
  <c r="BK56" i="2"/>
  <c r="BJ56" i="2"/>
  <c r="BL56" i="2" s="1"/>
  <c r="Y56" i="2"/>
  <c r="X57" i="2" s="1"/>
  <c r="BK55" i="2"/>
  <c r="BJ55" i="2"/>
  <c r="AY55" i="2"/>
  <c r="BK54" i="2"/>
  <c r="BJ54" i="2"/>
  <c r="BL54" i="2" s="1"/>
  <c r="Y54" i="2"/>
  <c r="BK53" i="2"/>
  <c r="BJ53" i="2"/>
  <c r="BL53" i="2" s="1"/>
  <c r="BK52" i="2"/>
  <c r="BJ52" i="2"/>
  <c r="Y52" i="2"/>
  <c r="X52" i="2" s="1"/>
  <c r="BK51" i="2"/>
  <c r="BJ51" i="2"/>
  <c r="BK50" i="2"/>
  <c r="BJ50" i="2"/>
  <c r="AX49" i="2"/>
  <c r="AR49" i="2"/>
  <c r="AR50" i="2" s="1"/>
  <c r="AF49" i="2"/>
  <c r="S48" i="2"/>
  <c r="Q48" i="2"/>
  <c r="K48" i="2"/>
  <c r="I48" i="2"/>
  <c r="K46" i="2"/>
  <c r="AG46" i="2" s="1"/>
  <c r="AO46" i="2" s="1"/>
  <c r="AY46" i="2" s="1"/>
  <c r="AW47" i="2" s="1"/>
  <c r="BI45" i="2"/>
  <c r="W45" i="2"/>
  <c r="BI44" i="2"/>
  <c r="BC44" i="2"/>
  <c r="BG43" i="2"/>
  <c r="BI43" i="2" s="1"/>
  <c r="BG42" i="2"/>
  <c r="BG46" i="2" s="1"/>
  <c r="V41" i="2"/>
  <c r="AR38" i="2"/>
  <c r="AJ38" i="2"/>
  <c r="AB38" i="2"/>
  <c r="O38" i="2"/>
  <c r="U38" i="2" s="1"/>
  <c r="BK36" i="2"/>
  <c r="BJ36" i="2"/>
  <c r="BI36" i="2"/>
  <c r="BH36" i="2"/>
  <c r="BH38" i="2" s="1"/>
  <c r="BG36" i="2"/>
  <c r="BF36" i="2"/>
  <c r="BE36" i="2"/>
  <c r="AW36" i="2"/>
  <c r="AW37" i="2" s="1"/>
  <c r="AV36" i="2"/>
  <c r="AV37" i="2" s="1"/>
  <c r="AT36" i="2"/>
  <c r="AT37" i="2" s="1"/>
  <c r="AR36" i="2"/>
  <c r="AR37" i="2" s="1"/>
  <c r="AQ36" i="2"/>
  <c r="AP36" i="2"/>
  <c r="AL36" i="2"/>
  <c r="AL37" i="2" s="1"/>
  <c r="AJ36" i="2"/>
  <c r="AJ37" i="2" s="1"/>
  <c r="AI36" i="2"/>
  <c r="AH36" i="2"/>
  <c r="AD36" i="2"/>
  <c r="AD37" i="2" s="1"/>
  <c r="AE37" i="2" s="1"/>
  <c r="AB36" i="2"/>
  <c r="AB37" i="2" s="1"/>
  <c r="Z36" i="2"/>
  <c r="Y36" i="2"/>
  <c r="X36" i="2"/>
  <c r="L36" i="2"/>
  <c r="E36" i="2"/>
  <c r="F38" i="2" s="1"/>
  <c r="D36" i="2"/>
  <c r="C36" i="2"/>
  <c r="BL35" i="2"/>
  <c r="BN35" i="2" s="1"/>
  <c r="BD35" i="2"/>
  <c r="AZ35" i="2"/>
  <c r="AX35" i="2"/>
  <c r="AY35" i="2" s="1"/>
  <c r="AU35" i="2"/>
  <c r="AS35" i="2"/>
  <c r="AO35" i="2"/>
  <c r="AN35" i="2"/>
  <c r="AM35" i="2"/>
  <c r="AK35" i="2"/>
  <c r="AF35" i="2"/>
  <c r="AG35" i="2" s="1"/>
  <c r="AE35" i="2"/>
  <c r="AC35" i="2"/>
  <c r="T35" i="2"/>
  <c r="P35" i="2"/>
  <c r="Q35" i="2" s="1"/>
  <c r="N35" i="2"/>
  <c r="O35" i="2" s="1"/>
  <c r="M35" i="2"/>
  <c r="J35" i="2"/>
  <c r="K35" i="2" s="1"/>
  <c r="I35" i="2"/>
  <c r="G35" i="2"/>
  <c r="BL34" i="2"/>
  <c r="BN34" i="2" s="1"/>
  <c r="BD34" i="2"/>
  <c r="AX34" i="2"/>
  <c r="AY34" i="2" s="1"/>
  <c r="AU34" i="2"/>
  <c r="AS34" i="2"/>
  <c r="AN34" i="2"/>
  <c r="AO34" i="2" s="1"/>
  <c r="AM34" i="2"/>
  <c r="AK34" i="2"/>
  <c r="AG34" i="2"/>
  <c r="AF34" i="2"/>
  <c r="AE34" i="2"/>
  <c r="AC34" i="2"/>
  <c r="U34" i="2"/>
  <c r="BA34" i="2" s="1"/>
  <c r="T34" i="2"/>
  <c r="P34" i="2"/>
  <c r="V34" i="2" s="1"/>
  <c r="BB34" i="2" s="1"/>
  <c r="N34" i="2"/>
  <c r="M34" i="2"/>
  <c r="AZ34" i="2" s="1"/>
  <c r="J34" i="2"/>
  <c r="K34" i="2" s="1"/>
  <c r="I34" i="2"/>
  <c r="G34" i="2"/>
  <c r="BL33" i="2"/>
  <c r="BN33" i="2" s="1"/>
  <c r="BD33" i="2"/>
  <c r="AZ33" i="2"/>
  <c r="AX33" i="2"/>
  <c r="AY33" i="2" s="1"/>
  <c r="AU33" i="2"/>
  <c r="AS33" i="2"/>
  <c r="AO33" i="2"/>
  <c r="AN33" i="2"/>
  <c r="AM33" i="2"/>
  <c r="AK33" i="2"/>
  <c r="AG33" i="2"/>
  <c r="AF33" i="2"/>
  <c r="AE33" i="2"/>
  <c r="AC33" i="2"/>
  <c r="U33" i="2"/>
  <c r="BA33" i="2" s="1"/>
  <c r="T33" i="2"/>
  <c r="P33" i="2"/>
  <c r="Q33" i="2" s="1"/>
  <c r="N33" i="2"/>
  <c r="M33" i="2"/>
  <c r="J33" i="2"/>
  <c r="I33" i="2"/>
  <c r="G33" i="2"/>
  <c r="BL32" i="2"/>
  <c r="BD32" i="2"/>
  <c r="AX32" i="2"/>
  <c r="AY32" i="2" s="1"/>
  <c r="AU32" i="2"/>
  <c r="AS32" i="2"/>
  <c r="AO32" i="2"/>
  <c r="AN32" i="2"/>
  <c r="AM32" i="2"/>
  <c r="AK32" i="2"/>
  <c r="AF32" i="2"/>
  <c r="AG32" i="2" s="1"/>
  <c r="AE32" i="2"/>
  <c r="AC32" i="2"/>
  <c r="P32" i="2"/>
  <c r="V32" i="2" s="1"/>
  <c r="BB32" i="2" s="1"/>
  <c r="N32" i="2"/>
  <c r="U32" i="2" s="1"/>
  <c r="BA32" i="2" s="1"/>
  <c r="M32" i="2"/>
  <c r="AZ32" i="2" s="1"/>
  <c r="K32" i="2"/>
  <c r="J32" i="2"/>
  <c r="I32" i="2"/>
  <c r="G32" i="2"/>
  <c r="BL31" i="2"/>
  <c r="BN31" i="2" s="1"/>
  <c r="BD31" i="2"/>
  <c r="AX31" i="2"/>
  <c r="AY31" i="2" s="1"/>
  <c r="AU31" i="2"/>
  <c r="AS31" i="2"/>
  <c r="AO31" i="2"/>
  <c r="AN31" i="2"/>
  <c r="AM31" i="2"/>
  <c r="AK31" i="2"/>
  <c r="AF31" i="2"/>
  <c r="AG31" i="2" s="1"/>
  <c r="AE31" i="2"/>
  <c r="AC31" i="2"/>
  <c r="P31" i="2"/>
  <c r="V31" i="2" s="1"/>
  <c r="BB31" i="2" s="1"/>
  <c r="N31" i="2"/>
  <c r="M31" i="2"/>
  <c r="AZ31" i="2" s="1"/>
  <c r="J31" i="2"/>
  <c r="K31" i="2" s="1"/>
  <c r="I31" i="2"/>
  <c r="G31" i="2"/>
  <c r="BN30" i="2"/>
  <c r="BL30" i="2"/>
  <c r="BD30" i="2"/>
  <c r="AX30" i="2"/>
  <c r="AY30" i="2" s="1"/>
  <c r="AU30" i="2"/>
  <c r="AS30" i="2"/>
  <c r="AO30" i="2"/>
  <c r="AN30" i="2"/>
  <c r="AM30" i="2"/>
  <c r="AK30" i="2"/>
  <c r="AF30" i="2"/>
  <c r="AG30" i="2" s="1"/>
  <c r="AE30" i="2"/>
  <c r="AC30" i="2"/>
  <c r="P30" i="2"/>
  <c r="V30" i="2" s="1"/>
  <c r="BB30" i="2" s="1"/>
  <c r="N30" i="2"/>
  <c r="R30" i="2" s="1"/>
  <c r="M30" i="2"/>
  <c r="T30" i="2" s="1"/>
  <c r="K30" i="2"/>
  <c r="J30" i="2"/>
  <c r="I30" i="2"/>
  <c r="G30" i="2"/>
  <c r="BL29" i="2"/>
  <c r="BN29" i="2" s="1"/>
  <c r="BD29" i="2"/>
  <c r="AX29" i="2"/>
  <c r="AY29" i="2" s="1"/>
  <c r="AU29" i="2"/>
  <c r="AS29" i="2"/>
  <c r="AO29" i="2"/>
  <c r="AN29" i="2"/>
  <c r="AM29" i="2"/>
  <c r="AK29" i="2"/>
  <c r="AF29" i="2"/>
  <c r="AG29" i="2" s="1"/>
  <c r="AE29" i="2"/>
  <c r="AC29" i="2"/>
  <c r="P29" i="2"/>
  <c r="V29" i="2" s="1"/>
  <c r="BB29" i="2" s="1"/>
  <c r="N29" i="2"/>
  <c r="U29" i="2" s="1"/>
  <c r="BA29" i="2" s="1"/>
  <c r="M29" i="2"/>
  <c r="T29" i="2" s="1"/>
  <c r="J29" i="2"/>
  <c r="K29" i="2" s="1"/>
  <c r="I29" i="2"/>
  <c r="G29" i="2"/>
  <c r="BL28" i="2"/>
  <c r="BN28" i="2" s="1"/>
  <c r="BD28" i="2"/>
  <c r="AX28" i="2"/>
  <c r="AY28" i="2" s="1"/>
  <c r="AU28" i="2"/>
  <c r="AS28" i="2"/>
  <c r="AO28" i="2"/>
  <c r="AN28" i="2"/>
  <c r="AM28" i="2"/>
  <c r="AK28" i="2"/>
  <c r="AF28" i="2"/>
  <c r="AG28" i="2" s="1"/>
  <c r="AE28" i="2"/>
  <c r="AC28" i="2"/>
  <c r="P28" i="2"/>
  <c r="N28" i="2"/>
  <c r="U28" i="2" s="1"/>
  <c r="BA28" i="2" s="1"/>
  <c r="M28" i="2"/>
  <c r="AZ28" i="2" s="1"/>
  <c r="J28" i="2"/>
  <c r="I28" i="2"/>
  <c r="G28" i="2"/>
  <c r="BL27" i="2"/>
  <c r="BN27" i="2" s="1"/>
  <c r="BD27" i="2"/>
  <c r="AX27" i="2"/>
  <c r="AY27" i="2" s="1"/>
  <c r="AU27" i="2"/>
  <c r="AS27" i="2"/>
  <c r="AO27" i="2"/>
  <c r="AN27" i="2"/>
  <c r="AM27" i="2"/>
  <c r="AK27" i="2"/>
  <c r="AF27" i="2"/>
  <c r="AG27" i="2" s="1"/>
  <c r="AE27" i="2"/>
  <c r="AC27" i="2"/>
  <c r="R27" i="2"/>
  <c r="S27" i="2" s="1"/>
  <c r="Q27" i="2"/>
  <c r="P27" i="2"/>
  <c r="V27" i="2" s="1"/>
  <c r="BB27" i="2" s="1"/>
  <c r="N27" i="2"/>
  <c r="M27" i="2"/>
  <c r="J27" i="2"/>
  <c r="K27" i="2" s="1"/>
  <c r="I27" i="2"/>
  <c r="G27" i="2"/>
  <c r="BL26" i="2"/>
  <c r="BN26" i="2" s="1"/>
  <c r="BD26" i="2"/>
  <c r="AX26" i="2"/>
  <c r="AY26" i="2" s="1"/>
  <c r="AU26" i="2"/>
  <c r="AS26" i="2"/>
  <c r="AN26" i="2"/>
  <c r="AO26" i="2" s="1"/>
  <c r="AM26" i="2"/>
  <c r="AK26" i="2"/>
  <c r="AF26" i="2"/>
  <c r="AG26" i="2" s="1"/>
  <c r="AE26" i="2"/>
  <c r="AC26" i="2"/>
  <c r="P26" i="2"/>
  <c r="V26" i="2" s="1"/>
  <c r="BB26" i="2" s="1"/>
  <c r="N26" i="2"/>
  <c r="M26" i="2"/>
  <c r="J26" i="2"/>
  <c r="I26" i="2"/>
  <c r="G26" i="2"/>
  <c r="BL25" i="2"/>
  <c r="BN25" i="2" s="1"/>
  <c r="BD25" i="2"/>
  <c r="AX25" i="2"/>
  <c r="AY25" i="2" s="1"/>
  <c r="AU25" i="2"/>
  <c r="AS25" i="2"/>
  <c r="AO25" i="2"/>
  <c r="AN25" i="2"/>
  <c r="AM25" i="2"/>
  <c r="AK25" i="2"/>
  <c r="AF25" i="2"/>
  <c r="AG25" i="2" s="1"/>
  <c r="AE25" i="2"/>
  <c r="AC25" i="2"/>
  <c r="U25" i="2"/>
  <c r="BA25" i="2" s="1"/>
  <c r="P25" i="2"/>
  <c r="V25" i="2" s="1"/>
  <c r="BB25" i="2" s="1"/>
  <c r="N25" i="2"/>
  <c r="M25" i="2"/>
  <c r="T25" i="2" s="1"/>
  <c r="J25" i="2"/>
  <c r="K25" i="2" s="1"/>
  <c r="I25" i="2"/>
  <c r="G25" i="2"/>
  <c r="BL24" i="2"/>
  <c r="BN24" i="2" s="1"/>
  <c r="BD24" i="2"/>
  <c r="AZ24" i="2"/>
  <c r="AX24" i="2"/>
  <c r="AY24" i="2" s="1"/>
  <c r="AU24" i="2"/>
  <c r="AS24" i="2"/>
  <c r="AN24" i="2"/>
  <c r="AO24" i="2" s="1"/>
  <c r="AM24" i="2"/>
  <c r="AK24" i="2"/>
  <c r="AF24" i="2"/>
  <c r="AG24" i="2" s="1"/>
  <c r="AE24" i="2"/>
  <c r="AC24" i="2"/>
  <c r="P24" i="2"/>
  <c r="N24" i="2"/>
  <c r="U24" i="2" s="1"/>
  <c r="BA24" i="2" s="1"/>
  <c r="M24" i="2"/>
  <c r="T24" i="2" s="1"/>
  <c r="J24" i="2"/>
  <c r="K24" i="2" s="1"/>
  <c r="I24" i="2"/>
  <c r="G24" i="2"/>
  <c r="BL23" i="2"/>
  <c r="BN23" i="2" s="1"/>
  <c r="BD23" i="2"/>
  <c r="AX23" i="2"/>
  <c r="AY23" i="2" s="1"/>
  <c r="AU23" i="2"/>
  <c r="AS23" i="2"/>
  <c r="AN23" i="2"/>
  <c r="AO23" i="2" s="1"/>
  <c r="AM23" i="2"/>
  <c r="AK23" i="2"/>
  <c r="AF23" i="2"/>
  <c r="AG23" i="2" s="1"/>
  <c r="AE23" i="2"/>
  <c r="AC23" i="2"/>
  <c r="P23" i="2"/>
  <c r="V23" i="2" s="1"/>
  <c r="BB23" i="2" s="1"/>
  <c r="N23" i="2"/>
  <c r="U23" i="2" s="1"/>
  <c r="BA23" i="2" s="1"/>
  <c r="M23" i="2"/>
  <c r="J23" i="2"/>
  <c r="K23" i="2" s="1"/>
  <c r="I23" i="2"/>
  <c r="G23" i="2"/>
  <c r="BL22" i="2"/>
  <c r="BN22" i="2" s="1"/>
  <c r="BD22" i="2"/>
  <c r="AX22" i="2"/>
  <c r="AY22" i="2" s="1"/>
  <c r="AU22" i="2"/>
  <c r="AS22" i="2"/>
  <c r="AN22" i="2"/>
  <c r="AO22" i="2" s="1"/>
  <c r="AM22" i="2"/>
  <c r="AK22" i="2"/>
  <c r="AF22" i="2"/>
  <c r="AG22" i="2" s="1"/>
  <c r="AE22" i="2"/>
  <c r="AC22" i="2"/>
  <c r="U22" i="2"/>
  <c r="BA22" i="2" s="1"/>
  <c r="P22" i="2"/>
  <c r="N22" i="2"/>
  <c r="M22" i="2"/>
  <c r="O22" i="2" s="1"/>
  <c r="J22" i="2"/>
  <c r="I22" i="2"/>
  <c r="G22" i="2"/>
  <c r="BL21" i="2"/>
  <c r="BN21" i="2" s="1"/>
  <c r="BD21" i="2"/>
  <c r="AX21" i="2"/>
  <c r="AY21" i="2" s="1"/>
  <c r="AU21" i="2"/>
  <c r="AS21" i="2"/>
  <c r="AS49" i="2" s="1"/>
  <c r="AS50" i="2" s="1"/>
  <c r="AO21" i="2"/>
  <c r="AN21" i="2"/>
  <c r="AM21" i="2"/>
  <c r="AK21" i="2"/>
  <c r="AF21" i="2"/>
  <c r="AG21" i="2" s="1"/>
  <c r="AE21" i="2"/>
  <c r="AC21" i="2"/>
  <c r="P21" i="2"/>
  <c r="V21" i="2" s="1"/>
  <c r="BB21" i="2" s="1"/>
  <c r="N21" i="2"/>
  <c r="R21" i="2" s="1"/>
  <c r="M21" i="2"/>
  <c r="AZ21" i="2" s="1"/>
  <c r="J21" i="2"/>
  <c r="K21" i="2" s="1"/>
  <c r="I21" i="2"/>
  <c r="G21" i="2"/>
  <c r="BL20" i="2"/>
  <c r="BN20" i="2" s="1"/>
  <c r="BD20" i="2"/>
  <c r="AX20" i="2"/>
  <c r="AY20" i="2" s="1"/>
  <c r="AU20" i="2"/>
  <c r="AS20" i="2"/>
  <c r="AO20" i="2"/>
  <c r="AN20" i="2"/>
  <c r="AM20" i="2"/>
  <c r="AK20" i="2"/>
  <c r="AF20" i="2"/>
  <c r="AG20" i="2" s="1"/>
  <c r="AE20" i="2"/>
  <c r="AC20" i="2"/>
  <c r="V20" i="2"/>
  <c r="BB20" i="2" s="1"/>
  <c r="U20" i="2"/>
  <c r="BA20" i="2" s="1"/>
  <c r="P20" i="2"/>
  <c r="N20" i="2"/>
  <c r="M20" i="2"/>
  <c r="T20" i="2" s="1"/>
  <c r="J20" i="2"/>
  <c r="K20" i="2" s="1"/>
  <c r="I20" i="2"/>
  <c r="G20" i="2"/>
  <c r="BL19" i="2"/>
  <c r="BN19" i="2" s="1"/>
  <c r="BD19" i="2"/>
  <c r="AX19" i="2"/>
  <c r="AY19" i="2" s="1"/>
  <c r="AU19" i="2"/>
  <c r="AS19" i="2"/>
  <c r="AO19" i="2"/>
  <c r="AN19" i="2"/>
  <c r="AM19" i="2"/>
  <c r="AK19" i="2"/>
  <c r="AF19" i="2"/>
  <c r="AG19" i="2" s="1"/>
  <c r="AE19" i="2"/>
  <c r="AC19" i="2"/>
  <c r="P19" i="2"/>
  <c r="V19" i="2" s="1"/>
  <c r="BB19" i="2" s="1"/>
  <c r="N19" i="2"/>
  <c r="U19" i="2" s="1"/>
  <c r="BA19" i="2" s="1"/>
  <c r="M19" i="2"/>
  <c r="T19" i="2" s="1"/>
  <c r="J19" i="2"/>
  <c r="K19" i="2" s="1"/>
  <c r="I19" i="2"/>
  <c r="G19" i="2"/>
  <c r="BL18" i="2"/>
  <c r="BN18" i="2" s="1"/>
  <c r="BD18" i="2"/>
  <c r="AX18" i="2"/>
  <c r="AY18" i="2" s="1"/>
  <c r="AU18" i="2"/>
  <c r="AS18" i="2"/>
  <c r="AO18" i="2"/>
  <c r="AN18" i="2"/>
  <c r="AM18" i="2"/>
  <c r="AK18" i="2"/>
  <c r="AF18" i="2"/>
  <c r="AG18" i="2" s="1"/>
  <c r="AE18" i="2"/>
  <c r="AC18" i="2"/>
  <c r="P18" i="2"/>
  <c r="N18" i="2"/>
  <c r="R18" i="2" s="1"/>
  <c r="M18" i="2"/>
  <c r="AZ18" i="2" s="1"/>
  <c r="J18" i="2"/>
  <c r="I18" i="2"/>
  <c r="G18" i="2"/>
  <c r="BL17" i="2"/>
  <c r="BN17" i="2" s="1"/>
  <c r="BD17" i="2"/>
  <c r="AX17" i="2"/>
  <c r="AY17" i="2" s="1"/>
  <c r="AU17" i="2"/>
  <c r="AS17" i="2"/>
  <c r="AO17" i="2"/>
  <c r="AN17" i="2"/>
  <c r="AM17" i="2"/>
  <c r="AK17" i="2"/>
  <c r="AF17" i="2"/>
  <c r="AG17" i="2" s="1"/>
  <c r="AE17" i="2"/>
  <c r="AC17" i="2"/>
  <c r="U17" i="2"/>
  <c r="BA17" i="2" s="1"/>
  <c r="T17" i="2"/>
  <c r="P17" i="2"/>
  <c r="V17" i="2" s="1"/>
  <c r="BB17" i="2" s="1"/>
  <c r="N17" i="2"/>
  <c r="O17" i="2" s="1"/>
  <c r="M17" i="2"/>
  <c r="AZ17" i="2" s="1"/>
  <c r="J17" i="2"/>
  <c r="K17" i="2" s="1"/>
  <c r="I17" i="2"/>
  <c r="G17" i="2"/>
  <c r="BL16" i="2"/>
  <c r="BN16" i="2" s="1"/>
  <c r="BD16" i="2"/>
  <c r="AX16" i="2"/>
  <c r="AY16" i="2" s="1"/>
  <c r="AU16" i="2"/>
  <c r="AS16" i="2"/>
  <c r="AO16" i="2"/>
  <c r="AN16" i="2"/>
  <c r="AM16" i="2"/>
  <c r="AK16" i="2"/>
  <c r="AF16" i="2"/>
  <c r="AG16" i="2" s="1"/>
  <c r="AE16" i="2"/>
  <c r="AC16" i="2"/>
  <c r="V16" i="2"/>
  <c r="BB16" i="2" s="1"/>
  <c r="U16" i="2"/>
  <c r="BA16" i="2" s="1"/>
  <c r="P16" i="2"/>
  <c r="N16" i="2"/>
  <c r="M16" i="2"/>
  <c r="AZ16" i="2" s="1"/>
  <c r="J16" i="2"/>
  <c r="I16" i="2"/>
  <c r="G16" i="2"/>
  <c r="BL15" i="2"/>
  <c r="BN15" i="2" s="1"/>
  <c r="BD15" i="2"/>
  <c r="AX15" i="2"/>
  <c r="AY15" i="2" s="1"/>
  <c r="AU15" i="2"/>
  <c r="AS15" i="2"/>
  <c r="AO15" i="2"/>
  <c r="AN15" i="2"/>
  <c r="AM15" i="2"/>
  <c r="AK15" i="2"/>
  <c r="AF15" i="2"/>
  <c r="AG15" i="2" s="1"/>
  <c r="AE15" i="2"/>
  <c r="AC15" i="2"/>
  <c r="P15" i="2"/>
  <c r="V15" i="2" s="1"/>
  <c r="BB15" i="2" s="1"/>
  <c r="N15" i="2"/>
  <c r="R15" i="2" s="1"/>
  <c r="M15" i="2"/>
  <c r="T15" i="2" s="1"/>
  <c r="J15" i="2"/>
  <c r="K15" i="2" s="1"/>
  <c r="I15" i="2"/>
  <c r="G15" i="2"/>
  <c r="BL14" i="2"/>
  <c r="BN14" i="2" s="1"/>
  <c r="BD14" i="2"/>
  <c r="AX14" i="2"/>
  <c r="AY14" i="2" s="1"/>
  <c r="AU14" i="2"/>
  <c r="AS14" i="2"/>
  <c r="AO14" i="2"/>
  <c r="AN14" i="2"/>
  <c r="AM14" i="2"/>
  <c r="AK14" i="2"/>
  <c r="AF14" i="2"/>
  <c r="AG14" i="2" s="1"/>
  <c r="AE14" i="2"/>
  <c r="AC14" i="2"/>
  <c r="P14" i="2"/>
  <c r="N14" i="2"/>
  <c r="U14" i="2" s="1"/>
  <c r="BA14" i="2" s="1"/>
  <c r="M14" i="2"/>
  <c r="AZ14" i="2" s="1"/>
  <c r="K14" i="2"/>
  <c r="J14" i="2"/>
  <c r="I14" i="2"/>
  <c r="G14" i="2"/>
  <c r="BL13" i="2"/>
  <c r="BN13" i="2" s="1"/>
  <c r="BD13" i="2"/>
  <c r="AZ13" i="2"/>
  <c r="AY13" i="2"/>
  <c r="AX13" i="2"/>
  <c r="AU13" i="2"/>
  <c r="AS13" i="2"/>
  <c r="AO13" i="2"/>
  <c r="AN13" i="2"/>
  <c r="AM13" i="2"/>
  <c r="AK13" i="2"/>
  <c r="AF13" i="2"/>
  <c r="AG13" i="2" s="1"/>
  <c r="AE13" i="2"/>
  <c r="AC13" i="2"/>
  <c r="U13" i="2"/>
  <c r="BA13" i="2" s="1"/>
  <c r="P13" i="2"/>
  <c r="V13" i="2" s="1"/>
  <c r="BB13" i="2" s="1"/>
  <c r="N13" i="2"/>
  <c r="O13" i="2" s="1"/>
  <c r="M13" i="2"/>
  <c r="T13" i="2" s="1"/>
  <c r="J13" i="2"/>
  <c r="K13" i="2" s="1"/>
  <c r="I13" i="2"/>
  <c r="G13" i="2"/>
  <c r="BL12" i="2"/>
  <c r="BN12" i="2" s="1"/>
  <c r="BD12" i="2"/>
  <c r="AX12" i="2"/>
  <c r="AY12" i="2" s="1"/>
  <c r="AU12" i="2"/>
  <c r="AS12" i="2"/>
  <c r="AO12" i="2"/>
  <c r="AN12" i="2"/>
  <c r="AM12" i="2"/>
  <c r="AK12" i="2"/>
  <c r="AF12" i="2"/>
  <c r="AG12" i="2" s="1"/>
  <c r="AE12" i="2"/>
  <c r="AC12" i="2"/>
  <c r="U12" i="2"/>
  <c r="BA12" i="2" s="1"/>
  <c r="T12" i="2"/>
  <c r="R12" i="2"/>
  <c r="S12" i="2" s="1"/>
  <c r="Q12" i="2"/>
  <c r="P12" i="2"/>
  <c r="V12" i="2" s="1"/>
  <c r="BB12" i="2" s="1"/>
  <c r="N12" i="2"/>
  <c r="O12" i="2" s="1"/>
  <c r="M12" i="2"/>
  <c r="AZ12" i="2" s="1"/>
  <c r="K12" i="2"/>
  <c r="J12" i="2"/>
  <c r="I12" i="2"/>
  <c r="G12" i="2"/>
  <c r="BL11" i="2"/>
  <c r="BN11" i="2" s="1"/>
  <c r="BD11" i="2"/>
  <c r="AX11" i="2"/>
  <c r="AY11" i="2" s="1"/>
  <c r="AU11" i="2"/>
  <c r="AS11" i="2"/>
  <c r="AO11" i="2"/>
  <c r="AN11" i="2"/>
  <c r="AM11" i="2"/>
  <c r="AK11" i="2"/>
  <c r="AF11" i="2"/>
  <c r="AG11" i="2" s="1"/>
  <c r="AE11" i="2"/>
  <c r="AC11" i="2"/>
  <c r="P11" i="2"/>
  <c r="N11" i="2"/>
  <c r="U11" i="2" s="1"/>
  <c r="BA11" i="2" s="1"/>
  <c r="M11" i="2"/>
  <c r="T11" i="2" s="1"/>
  <c r="K11" i="2"/>
  <c r="J11" i="2"/>
  <c r="I11" i="2"/>
  <c r="G11" i="2"/>
  <c r="BL10" i="2"/>
  <c r="BN10" i="2" s="1"/>
  <c r="BD10" i="2"/>
  <c r="AX10" i="2"/>
  <c r="AY10" i="2" s="1"/>
  <c r="AU10" i="2"/>
  <c r="AS10" i="2"/>
  <c r="AO10" i="2"/>
  <c r="AN10" i="2"/>
  <c r="AM10" i="2"/>
  <c r="AK10" i="2"/>
  <c r="AG10" i="2"/>
  <c r="AF10" i="2"/>
  <c r="AE10" i="2"/>
  <c r="AC10" i="2"/>
  <c r="M10" i="2"/>
  <c r="AZ10" i="2" s="1"/>
  <c r="H10" i="2"/>
  <c r="P10" i="2" s="1"/>
  <c r="Q10" i="2" s="1"/>
  <c r="F10" i="2"/>
  <c r="N10" i="2" s="1"/>
  <c r="BL9" i="2"/>
  <c r="BN9" i="2" s="1"/>
  <c r="BD9" i="2"/>
  <c r="AX9" i="2"/>
  <c r="AY9" i="2" s="1"/>
  <c r="AU9" i="2"/>
  <c r="AS9" i="2"/>
  <c r="AN9" i="2"/>
  <c r="AO9" i="2" s="1"/>
  <c r="AM9" i="2"/>
  <c r="AK9" i="2"/>
  <c r="AF9" i="2"/>
  <c r="AG9" i="2" s="1"/>
  <c r="AE9" i="2"/>
  <c r="AC9" i="2"/>
  <c r="P9" i="2"/>
  <c r="V9" i="2" s="1"/>
  <c r="BB9" i="2" s="1"/>
  <c r="N9" i="2"/>
  <c r="U9" i="2" s="1"/>
  <c r="BA9" i="2" s="1"/>
  <c r="M9" i="2"/>
  <c r="T9" i="2" s="1"/>
  <c r="J9" i="2"/>
  <c r="I9" i="2"/>
  <c r="G9" i="2"/>
  <c r="BL8" i="2"/>
  <c r="BN8" i="2" s="1"/>
  <c r="BD8" i="2"/>
  <c r="AX8" i="2"/>
  <c r="AY8" i="2" s="1"/>
  <c r="AU8" i="2"/>
  <c r="AS8" i="2"/>
  <c r="AO8" i="2"/>
  <c r="AN8" i="2"/>
  <c r="AM8" i="2"/>
  <c r="AK8" i="2"/>
  <c r="AF8" i="2"/>
  <c r="AG8" i="2" s="1"/>
  <c r="AE8" i="2"/>
  <c r="AC8" i="2"/>
  <c r="P8" i="2"/>
  <c r="N8" i="2"/>
  <c r="M8" i="2"/>
  <c r="J8" i="2"/>
  <c r="I8" i="2"/>
  <c r="G8" i="2"/>
  <c r="BL7" i="2"/>
  <c r="BN7" i="2" s="1"/>
  <c r="BD7" i="2"/>
  <c r="AZ7" i="2"/>
  <c r="AX7" i="2"/>
  <c r="AY7" i="2" s="1"/>
  <c r="AU7" i="2"/>
  <c r="AS7" i="2"/>
  <c r="AO7" i="2"/>
  <c r="AN7" i="2"/>
  <c r="AM7" i="2"/>
  <c r="AK7" i="2"/>
  <c r="AF7" i="2"/>
  <c r="AG7" i="2" s="1"/>
  <c r="AE7" i="2"/>
  <c r="AC7" i="2"/>
  <c r="T7" i="2"/>
  <c r="P7" i="2"/>
  <c r="Q7" i="2" s="1"/>
  <c r="N7" i="2"/>
  <c r="U7" i="2" s="1"/>
  <c r="BA7" i="2" s="1"/>
  <c r="M7" i="2"/>
  <c r="J7" i="2"/>
  <c r="I7" i="2"/>
  <c r="G7" i="2"/>
  <c r="BL6" i="2"/>
  <c r="BN6" i="2" s="1"/>
  <c r="BD6" i="2"/>
  <c r="AX6" i="2"/>
  <c r="AY6" i="2" s="1"/>
  <c r="AU6" i="2"/>
  <c r="AS6" i="2"/>
  <c r="AO6" i="2"/>
  <c r="AN6" i="2"/>
  <c r="AM6" i="2"/>
  <c r="AK6" i="2"/>
  <c r="AF6" i="2"/>
  <c r="AG6" i="2" s="1"/>
  <c r="AE6" i="2"/>
  <c r="AC6" i="2"/>
  <c r="P6" i="2"/>
  <c r="V6" i="2" s="1"/>
  <c r="BB6" i="2" s="1"/>
  <c r="N6" i="2"/>
  <c r="R6" i="2" s="1"/>
  <c r="M6" i="2"/>
  <c r="AZ6" i="2" s="1"/>
  <c r="J6" i="2"/>
  <c r="I6" i="2"/>
  <c r="G6" i="2"/>
  <c r="BL5" i="2"/>
  <c r="BN5" i="2" s="1"/>
  <c r="BD5" i="2"/>
  <c r="AX5" i="2"/>
  <c r="AU5" i="2"/>
  <c r="AS5" i="2"/>
  <c r="AO5" i="2"/>
  <c r="AN5" i="2"/>
  <c r="AM5" i="2"/>
  <c r="AK5" i="2"/>
  <c r="AF5" i="2"/>
  <c r="AE5" i="2"/>
  <c r="AC5" i="2"/>
  <c r="P5" i="2"/>
  <c r="V5" i="2" s="1"/>
  <c r="N5" i="2"/>
  <c r="U5" i="2" s="1"/>
  <c r="M5" i="2"/>
  <c r="T5" i="2" s="1"/>
  <c r="J5" i="2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Q76" i="1"/>
  <c r="Q77" i="1" s="1"/>
  <c r="P76" i="1"/>
  <c r="P77" i="1" s="1"/>
  <c r="O76" i="1"/>
  <c r="O77" i="1" s="1"/>
  <c r="N76" i="1"/>
  <c r="N77" i="1" s="1"/>
  <c r="I76" i="1"/>
  <c r="I77" i="1" s="1"/>
  <c r="H76" i="1"/>
  <c r="H77" i="1" s="1"/>
  <c r="G76" i="1"/>
  <c r="G77" i="1" s="1"/>
  <c r="F76" i="1"/>
  <c r="F77" i="1" s="1"/>
  <c r="BK70" i="1"/>
  <c r="BJ70" i="1"/>
  <c r="BL70" i="1" s="1"/>
  <c r="BK69" i="1"/>
  <c r="BJ69" i="1"/>
  <c r="BK68" i="1"/>
  <c r="BJ68" i="1"/>
  <c r="BK67" i="1"/>
  <c r="BJ67" i="1"/>
  <c r="BL67" i="1" s="1"/>
  <c r="BK66" i="1"/>
  <c r="BJ66" i="1"/>
  <c r="BL66" i="1" s="1"/>
  <c r="BK65" i="1"/>
  <c r="BJ65" i="1"/>
  <c r="BL65" i="1" s="1"/>
  <c r="BK64" i="1"/>
  <c r="BJ64" i="1"/>
  <c r="BK63" i="1"/>
  <c r="BJ63" i="1"/>
  <c r="BL63" i="1" s="1"/>
  <c r="BK62" i="1"/>
  <c r="BJ62" i="1"/>
  <c r="BK61" i="1"/>
  <c r="BJ61" i="1"/>
  <c r="BL61" i="1" s="1"/>
  <c r="BK60" i="1"/>
  <c r="BJ60" i="1"/>
  <c r="BL60" i="1" s="1"/>
  <c r="BK59" i="1"/>
  <c r="BJ59" i="1"/>
  <c r="BL59" i="1" s="1"/>
  <c r="BK58" i="1"/>
  <c r="BJ58" i="1"/>
  <c r="BL58" i="1" s="1"/>
  <c r="BK57" i="1"/>
  <c r="BJ57" i="1"/>
  <c r="BA57" i="1"/>
  <c r="X57" i="1"/>
  <c r="BK56" i="1"/>
  <c r="BL56" i="1" s="1"/>
  <c r="BJ56" i="1"/>
  <c r="Y56" i="1"/>
  <c r="X56" i="1"/>
  <c r="BK55" i="1"/>
  <c r="BJ55" i="1"/>
  <c r="AY55" i="1"/>
  <c r="BK54" i="1"/>
  <c r="BJ54" i="1"/>
  <c r="BL54" i="1" s="1"/>
  <c r="Y54" i="1"/>
  <c r="X55" i="1" s="1"/>
  <c r="BK53" i="1"/>
  <c r="BL53" i="1" s="1"/>
  <c r="BJ53" i="1"/>
  <c r="BK52" i="1"/>
  <c r="BJ52" i="1"/>
  <c r="BL52" i="1" s="1"/>
  <c r="Y52" i="1"/>
  <c r="X53" i="1" s="1"/>
  <c r="X52" i="1"/>
  <c r="BK51" i="1"/>
  <c r="BJ51" i="1"/>
  <c r="BK50" i="1"/>
  <c r="BL50" i="1" s="1"/>
  <c r="BJ50" i="1"/>
  <c r="AX49" i="1"/>
  <c r="AR49" i="1"/>
  <c r="AR50" i="1" s="1"/>
  <c r="AF49" i="1"/>
  <c r="S48" i="1"/>
  <c r="Q48" i="1"/>
  <c r="K48" i="1"/>
  <c r="I48" i="1"/>
  <c r="K46" i="1"/>
  <c r="AG46" i="1" s="1"/>
  <c r="AO46" i="1" s="1"/>
  <c r="AY46" i="1" s="1"/>
  <c r="AW47" i="1" s="1"/>
  <c r="BI45" i="1"/>
  <c r="W45" i="1"/>
  <c r="BI44" i="1"/>
  <c r="BC44" i="1"/>
  <c r="BG43" i="1"/>
  <c r="BI43" i="1" s="1"/>
  <c r="V41" i="1"/>
  <c r="BH38" i="1"/>
  <c r="AR38" i="1"/>
  <c r="AB38" i="1"/>
  <c r="AJ38" i="1" s="1"/>
  <c r="O38" i="1"/>
  <c r="U38" i="1" s="1"/>
  <c r="BO37" i="1"/>
  <c r="AT37" i="1"/>
  <c r="BG42" i="1" s="1"/>
  <c r="BG46" i="1" s="1"/>
  <c r="BK36" i="1"/>
  <c r="BJ36" i="1"/>
  <c r="BI36" i="1"/>
  <c r="BH36" i="1"/>
  <c r="BG36" i="1"/>
  <c r="BF36" i="1"/>
  <c r="BE36" i="1"/>
  <c r="AW36" i="1"/>
  <c r="AW37" i="1" s="1"/>
  <c r="AV36" i="1"/>
  <c r="AV37" i="1" s="1"/>
  <c r="AT36" i="1"/>
  <c r="AQ36" i="1"/>
  <c r="AP36" i="1"/>
  <c r="AL36" i="1"/>
  <c r="AL37" i="1" s="1"/>
  <c r="AJ36" i="1"/>
  <c r="AJ37" i="1" s="1"/>
  <c r="AI36" i="1"/>
  <c r="AH36" i="1"/>
  <c r="AD36" i="1"/>
  <c r="AD37" i="1" s="1"/>
  <c r="AB36" i="1"/>
  <c r="AB37" i="1" s="1"/>
  <c r="Z36" i="1"/>
  <c r="Y36" i="1"/>
  <c r="X36" i="1"/>
  <c r="L36" i="1"/>
  <c r="E36" i="1"/>
  <c r="F38" i="1" s="1"/>
  <c r="D36" i="1"/>
  <c r="C36" i="1"/>
  <c r="BL35" i="1"/>
  <c r="BN35" i="1" s="1"/>
  <c r="BD35" i="1"/>
  <c r="AZ35" i="1"/>
  <c r="AX35" i="1"/>
  <c r="AY35" i="1" s="1"/>
  <c r="AU35" i="1"/>
  <c r="AS35" i="1"/>
  <c r="AO35" i="1"/>
  <c r="AN35" i="1"/>
  <c r="AM35" i="1"/>
  <c r="AK35" i="1"/>
  <c r="AF35" i="1"/>
  <c r="AG35" i="1" s="1"/>
  <c r="AE35" i="1"/>
  <c r="AC35" i="1"/>
  <c r="U35" i="1"/>
  <c r="BA35" i="1" s="1"/>
  <c r="T35" i="1"/>
  <c r="R35" i="1"/>
  <c r="S35" i="1" s="1"/>
  <c r="Q35" i="1"/>
  <c r="P35" i="1"/>
  <c r="V35" i="1" s="1"/>
  <c r="BB35" i="1" s="1"/>
  <c r="N35" i="1"/>
  <c r="O35" i="1" s="1"/>
  <c r="M35" i="1"/>
  <c r="J35" i="1"/>
  <c r="I35" i="1"/>
  <c r="G35" i="1"/>
  <c r="BL34" i="1"/>
  <c r="BN34" i="1" s="1"/>
  <c r="BD34" i="1"/>
  <c r="AX34" i="1"/>
  <c r="AY34" i="1" s="1"/>
  <c r="AU34" i="1"/>
  <c r="AS34" i="1"/>
  <c r="AO34" i="1"/>
  <c r="AN34" i="1"/>
  <c r="AM34" i="1"/>
  <c r="AK34" i="1"/>
  <c r="AF34" i="1"/>
  <c r="AG34" i="1" s="1"/>
  <c r="AE34" i="1"/>
  <c r="AC34" i="1"/>
  <c r="P34" i="1"/>
  <c r="V34" i="1" s="1"/>
  <c r="BB34" i="1" s="1"/>
  <c r="N34" i="1"/>
  <c r="R34" i="1" s="1"/>
  <c r="M34" i="1"/>
  <c r="AZ34" i="1" s="1"/>
  <c r="J34" i="1"/>
  <c r="K34" i="1" s="1"/>
  <c r="I34" i="1"/>
  <c r="G34" i="1"/>
  <c r="BL33" i="1"/>
  <c r="BN33" i="1" s="1"/>
  <c r="BD33" i="1"/>
  <c r="AY33" i="1"/>
  <c r="AX33" i="1"/>
  <c r="AU33" i="1"/>
  <c r="AS33" i="1"/>
  <c r="AN33" i="1"/>
  <c r="AO33" i="1" s="1"/>
  <c r="AM33" i="1"/>
  <c r="AK33" i="1"/>
  <c r="AF33" i="1"/>
  <c r="AG33" i="1" s="1"/>
  <c r="AE33" i="1"/>
  <c r="AC33" i="1"/>
  <c r="P33" i="1"/>
  <c r="V33" i="1" s="1"/>
  <c r="BB33" i="1" s="1"/>
  <c r="N33" i="1"/>
  <c r="U33" i="1" s="1"/>
  <c r="BA33" i="1" s="1"/>
  <c r="M33" i="1"/>
  <c r="AZ33" i="1" s="1"/>
  <c r="J33" i="1"/>
  <c r="I33" i="1"/>
  <c r="G33" i="1"/>
  <c r="BL32" i="1"/>
  <c r="BD32" i="1"/>
  <c r="AX32" i="1"/>
  <c r="AY32" i="1" s="1"/>
  <c r="AU32" i="1"/>
  <c r="AS32" i="1"/>
  <c r="AO32" i="1"/>
  <c r="AN32" i="1"/>
  <c r="AM32" i="1"/>
  <c r="AK32" i="1"/>
  <c r="AF32" i="1"/>
  <c r="AG32" i="1" s="1"/>
  <c r="AE32" i="1"/>
  <c r="AC32" i="1"/>
  <c r="T32" i="1"/>
  <c r="P32" i="1"/>
  <c r="N32" i="1"/>
  <c r="M32" i="1"/>
  <c r="AZ32" i="1" s="1"/>
  <c r="J32" i="1"/>
  <c r="I32" i="1"/>
  <c r="G32" i="1"/>
  <c r="BL31" i="1"/>
  <c r="BN31" i="1" s="1"/>
  <c r="BD31" i="1"/>
  <c r="AX31" i="1"/>
  <c r="AY31" i="1" s="1"/>
  <c r="AU31" i="1"/>
  <c r="AS31" i="1"/>
  <c r="AO31" i="1"/>
  <c r="AN31" i="1"/>
  <c r="AM31" i="1"/>
  <c r="AK31" i="1"/>
  <c r="AF31" i="1"/>
  <c r="AG31" i="1" s="1"/>
  <c r="AE31" i="1"/>
  <c r="AC31" i="1"/>
  <c r="P31" i="1"/>
  <c r="V31" i="1" s="1"/>
  <c r="BB31" i="1" s="1"/>
  <c r="N31" i="1"/>
  <c r="U31" i="1" s="1"/>
  <c r="BA31" i="1" s="1"/>
  <c r="M31" i="1"/>
  <c r="J31" i="1"/>
  <c r="K31" i="1" s="1"/>
  <c r="I31" i="1"/>
  <c r="G31" i="1"/>
  <c r="BL30" i="1"/>
  <c r="BN30" i="1" s="1"/>
  <c r="BD30" i="1"/>
  <c r="AX30" i="1"/>
  <c r="AY30" i="1" s="1"/>
  <c r="AU30" i="1"/>
  <c r="AS30" i="1"/>
  <c r="AO30" i="1"/>
  <c r="AN30" i="1"/>
  <c r="AM30" i="1"/>
  <c r="AK30" i="1"/>
  <c r="AF30" i="1"/>
  <c r="AG30" i="1" s="1"/>
  <c r="AE30" i="1"/>
  <c r="AC30" i="1"/>
  <c r="P30" i="1"/>
  <c r="V30" i="1" s="1"/>
  <c r="BB30" i="1" s="1"/>
  <c r="N30" i="1"/>
  <c r="R30" i="1" s="1"/>
  <c r="M30" i="1"/>
  <c r="J30" i="1"/>
  <c r="K30" i="1" s="1"/>
  <c r="I30" i="1"/>
  <c r="G30" i="1"/>
  <c r="BL29" i="1"/>
  <c r="BN29" i="1" s="1"/>
  <c r="BD29" i="1"/>
  <c r="AZ29" i="1"/>
  <c r="AX29" i="1"/>
  <c r="AY29" i="1" s="1"/>
  <c r="AU29" i="1"/>
  <c r="AS29" i="1"/>
  <c r="AO29" i="1"/>
  <c r="AN29" i="1"/>
  <c r="AM29" i="1"/>
  <c r="AK29" i="1"/>
  <c r="AF29" i="1"/>
  <c r="AG29" i="1" s="1"/>
  <c r="AE29" i="1"/>
  <c r="AC29" i="1"/>
  <c r="T29" i="1"/>
  <c r="P29" i="1"/>
  <c r="V29" i="1" s="1"/>
  <c r="BB29" i="1" s="1"/>
  <c r="N29" i="1"/>
  <c r="U29" i="1" s="1"/>
  <c r="BA29" i="1" s="1"/>
  <c r="M29" i="1"/>
  <c r="J29" i="1"/>
  <c r="K29" i="1" s="1"/>
  <c r="I29" i="1"/>
  <c r="G29" i="1"/>
  <c r="BL28" i="1"/>
  <c r="BN28" i="1" s="1"/>
  <c r="BD28" i="1"/>
  <c r="AX28" i="1"/>
  <c r="AY28" i="1" s="1"/>
  <c r="AU28" i="1"/>
  <c r="AS28" i="1"/>
  <c r="AN28" i="1"/>
  <c r="AO28" i="1" s="1"/>
  <c r="AM28" i="1"/>
  <c r="AK28" i="1"/>
  <c r="AF28" i="1"/>
  <c r="AG28" i="1" s="1"/>
  <c r="AE28" i="1"/>
  <c r="AC28" i="1"/>
  <c r="P28" i="1"/>
  <c r="V28" i="1" s="1"/>
  <c r="BB28" i="1" s="1"/>
  <c r="N28" i="1"/>
  <c r="R28" i="1" s="1"/>
  <c r="M28" i="1"/>
  <c r="AZ28" i="1" s="1"/>
  <c r="J28" i="1"/>
  <c r="W28" i="1" s="1"/>
  <c r="BC28" i="1" s="1"/>
  <c r="I28" i="1"/>
  <c r="G28" i="1"/>
  <c r="BL27" i="1"/>
  <c r="BN27" i="1" s="1"/>
  <c r="BD27" i="1"/>
  <c r="AX27" i="1"/>
  <c r="AY27" i="1" s="1"/>
  <c r="AU27" i="1"/>
  <c r="AS27" i="1"/>
  <c r="AN27" i="1"/>
  <c r="AO27" i="1" s="1"/>
  <c r="AM27" i="1"/>
  <c r="AK27" i="1"/>
  <c r="AF27" i="1"/>
  <c r="AG27" i="1" s="1"/>
  <c r="AE27" i="1"/>
  <c r="AC27" i="1"/>
  <c r="P27" i="1"/>
  <c r="V27" i="1" s="1"/>
  <c r="BB27" i="1" s="1"/>
  <c r="N27" i="1"/>
  <c r="U27" i="1" s="1"/>
  <c r="BA27" i="1" s="1"/>
  <c r="M27" i="1"/>
  <c r="AZ27" i="1" s="1"/>
  <c r="J27" i="1"/>
  <c r="K27" i="1" s="1"/>
  <c r="I27" i="1"/>
  <c r="G27" i="1"/>
  <c r="BL26" i="1"/>
  <c r="BN26" i="1" s="1"/>
  <c r="BD26" i="1"/>
  <c r="AU26" i="1"/>
  <c r="AR26" i="1"/>
  <c r="AX26" i="1" s="1"/>
  <c r="AY26" i="1" s="1"/>
  <c r="AO26" i="1"/>
  <c r="AN26" i="1"/>
  <c r="AM26" i="1"/>
  <c r="AK26" i="1"/>
  <c r="AF26" i="1"/>
  <c r="AG26" i="1" s="1"/>
  <c r="AE26" i="1"/>
  <c r="AC26" i="1"/>
  <c r="P26" i="1"/>
  <c r="N26" i="1"/>
  <c r="M26" i="1"/>
  <c r="J26" i="1"/>
  <c r="K26" i="1" s="1"/>
  <c r="I26" i="1"/>
  <c r="G26" i="1"/>
  <c r="BL25" i="1"/>
  <c r="BN25" i="1" s="1"/>
  <c r="BD25" i="1"/>
  <c r="AX25" i="1"/>
  <c r="AY25" i="1" s="1"/>
  <c r="AU25" i="1"/>
  <c r="AS25" i="1"/>
  <c r="AO25" i="1"/>
  <c r="AN25" i="1"/>
  <c r="AM25" i="1"/>
  <c r="AK25" i="1"/>
  <c r="AF25" i="1"/>
  <c r="AG25" i="1" s="1"/>
  <c r="AE25" i="1"/>
  <c r="AC25" i="1"/>
  <c r="P25" i="1"/>
  <c r="V25" i="1" s="1"/>
  <c r="BB25" i="1" s="1"/>
  <c r="N25" i="1"/>
  <c r="M25" i="1"/>
  <c r="T25" i="1" s="1"/>
  <c r="J25" i="1"/>
  <c r="I25" i="1"/>
  <c r="G25" i="1"/>
  <c r="BL24" i="1"/>
  <c r="BN24" i="1" s="1"/>
  <c r="BD24" i="1"/>
  <c r="AX24" i="1"/>
  <c r="AY24" i="1" s="1"/>
  <c r="AU24" i="1"/>
  <c r="AS24" i="1"/>
  <c r="AN24" i="1"/>
  <c r="AO24" i="1" s="1"/>
  <c r="AM24" i="1"/>
  <c r="AK24" i="1"/>
  <c r="AF24" i="1"/>
  <c r="AG24" i="1" s="1"/>
  <c r="AE24" i="1"/>
  <c r="AC24" i="1"/>
  <c r="V24" i="1"/>
  <c r="BB24" i="1" s="1"/>
  <c r="U24" i="1"/>
  <c r="BA24" i="1" s="1"/>
  <c r="P24" i="1"/>
  <c r="N24" i="1"/>
  <c r="R24" i="1" s="1"/>
  <c r="M24" i="1"/>
  <c r="S24" i="1" s="1"/>
  <c r="J24" i="1"/>
  <c r="K24" i="1" s="1"/>
  <c r="I24" i="1"/>
  <c r="G24" i="1"/>
  <c r="BL23" i="1"/>
  <c r="BN23" i="1" s="1"/>
  <c r="BD23" i="1"/>
  <c r="AY23" i="1"/>
  <c r="AX23" i="1"/>
  <c r="AU23" i="1"/>
  <c r="AS23" i="1"/>
  <c r="AO23" i="1"/>
  <c r="AN23" i="1"/>
  <c r="AM23" i="1"/>
  <c r="AK23" i="1"/>
  <c r="AF23" i="1"/>
  <c r="AG23" i="1" s="1"/>
  <c r="AE23" i="1"/>
  <c r="AC23" i="1"/>
  <c r="P23" i="1"/>
  <c r="V23" i="1" s="1"/>
  <c r="BB23" i="1" s="1"/>
  <c r="N23" i="1"/>
  <c r="R23" i="1" s="1"/>
  <c r="M23" i="1"/>
  <c r="S23" i="1" s="1"/>
  <c r="J23" i="1"/>
  <c r="I23" i="1"/>
  <c r="G23" i="1"/>
  <c r="BN22" i="1"/>
  <c r="BL22" i="1"/>
  <c r="BD22" i="1"/>
  <c r="AX22" i="1"/>
  <c r="AY22" i="1" s="1"/>
  <c r="AU22" i="1"/>
  <c r="AS22" i="1"/>
  <c r="AN22" i="1"/>
  <c r="AO22" i="1" s="1"/>
  <c r="AM22" i="1"/>
  <c r="AK22" i="1"/>
  <c r="AF22" i="1"/>
  <c r="AG22" i="1" s="1"/>
  <c r="AE22" i="1"/>
  <c r="AC22" i="1"/>
  <c r="P22" i="1"/>
  <c r="N22" i="1"/>
  <c r="U22" i="1" s="1"/>
  <c r="BA22" i="1" s="1"/>
  <c r="M22" i="1"/>
  <c r="J22" i="1"/>
  <c r="K22" i="1" s="1"/>
  <c r="I22" i="1"/>
  <c r="G22" i="1"/>
  <c r="BL21" i="1"/>
  <c r="BN21" i="1" s="1"/>
  <c r="BD21" i="1"/>
  <c r="AX21" i="1"/>
  <c r="AY21" i="1" s="1"/>
  <c r="AU21" i="1"/>
  <c r="AS21" i="1"/>
  <c r="AN21" i="1"/>
  <c r="AO21" i="1" s="1"/>
  <c r="AM21" i="1"/>
  <c r="AK21" i="1"/>
  <c r="AF21" i="1"/>
  <c r="AG21" i="1" s="1"/>
  <c r="AE21" i="1"/>
  <c r="AC21" i="1"/>
  <c r="P21" i="1"/>
  <c r="V21" i="1" s="1"/>
  <c r="BB21" i="1" s="1"/>
  <c r="N21" i="1"/>
  <c r="R21" i="1" s="1"/>
  <c r="M21" i="1"/>
  <c r="J21" i="1"/>
  <c r="I21" i="1"/>
  <c r="G21" i="1"/>
  <c r="BL20" i="1"/>
  <c r="BN20" i="1" s="1"/>
  <c r="BD20" i="1"/>
  <c r="AX20" i="1"/>
  <c r="AY20" i="1" s="1"/>
  <c r="AU20" i="1"/>
  <c r="AS20" i="1"/>
  <c r="AO20" i="1"/>
  <c r="AN20" i="1"/>
  <c r="AM20" i="1"/>
  <c r="AK20" i="1"/>
  <c r="AF20" i="1"/>
  <c r="AG20" i="1" s="1"/>
  <c r="AE20" i="1"/>
  <c r="AC20" i="1"/>
  <c r="U20" i="1"/>
  <c r="BA20" i="1" s="1"/>
  <c r="P20" i="1"/>
  <c r="N20" i="1"/>
  <c r="M20" i="1"/>
  <c r="J20" i="1"/>
  <c r="K20" i="1" s="1"/>
  <c r="I20" i="1"/>
  <c r="G20" i="1"/>
  <c r="BL19" i="1"/>
  <c r="BN19" i="1" s="1"/>
  <c r="BD19" i="1"/>
  <c r="AX19" i="1"/>
  <c r="AY19" i="1" s="1"/>
  <c r="AU19" i="1"/>
  <c r="AS19" i="1"/>
  <c r="AO19" i="1"/>
  <c r="AN19" i="1"/>
  <c r="AM19" i="1"/>
  <c r="AK19" i="1"/>
  <c r="AF19" i="1"/>
  <c r="AG19" i="1" s="1"/>
  <c r="AE19" i="1"/>
  <c r="AC19" i="1"/>
  <c r="P19" i="1"/>
  <c r="V19" i="1" s="1"/>
  <c r="BB19" i="1" s="1"/>
  <c r="N19" i="1"/>
  <c r="M19" i="1"/>
  <c r="AZ19" i="1" s="1"/>
  <c r="J19" i="1"/>
  <c r="I19" i="1"/>
  <c r="G19" i="1"/>
  <c r="BL18" i="1"/>
  <c r="BN18" i="1" s="1"/>
  <c r="BD18" i="1"/>
  <c r="AX18" i="1"/>
  <c r="AY18" i="1" s="1"/>
  <c r="AU18" i="1"/>
  <c r="AS18" i="1"/>
  <c r="AO18" i="1"/>
  <c r="AN18" i="1"/>
  <c r="AM18" i="1"/>
  <c r="AK18" i="1"/>
  <c r="AF18" i="1"/>
  <c r="AG18" i="1" s="1"/>
  <c r="AE18" i="1"/>
  <c r="AC18" i="1"/>
  <c r="U18" i="1"/>
  <c r="BA18" i="1" s="1"/>
  <c r="T18" i="1"/>
  <c r="P18" i="1"/>
  <c r="N18" i="1"/>
  <c r="O18" i="1" s="1"/>
  <c r="M18" i="1"/>
  <c r="AZ18" i="1" s="1"/>
  <c r="J18" i="1"/>
  <c r="K18" i="1" s="1"/>
  <c r="I18" i="1"/>
  <c r="G18" i="1"/>
  <c r="BL17" i="1"/>
  <c r="BN17" i="1" s="1"/>
  <c r="BD17" i="1"/>
  <c r="AZ17" i="1"/>
  <c r="AX17" i="1"/>
  <c r="AY17" i="1" s="1"/>
  <c r="AU17" i="1"/>
  <c r="AS17" i="1"/>
  <c r="AO17" i="1"/>
  <c r="AN17" i="1"/>
  <c r="AM17" i="1"/>
  <c r="AK17" i="1"/>
  <c r="AF17" i="1"/>
  <c r="AG17" i="1" s="1"/>
  <c r="AE17" i="1"/>
  <c r="AC17" i="1"/>
  <c r="U17" i="1"/>
  <c r="BA17" i="1" s="1"/>
  <c r="T17" i="1"/>
  <c r="R17" i="1"/>
  <c r="S17" i="1" s="1"/>
  <c r="P17" i="1"/>
  <c r="V17" i="1" s="1"/>
  <c r="BB17" i="1" s="1"/>
  <c r="N17" i="1"/>
  <c r="O17" i="1" s="1"/>
  <c r="M17" i="1"/>
  <c r="J17" i="1"/>
  <c r="I17" i="1"/>
  <c r="G17" i="1"/>
  <c r="BL16" i="1"/>
  <c r="BN16" i="1" s="1"/>
  <c r="BD16" i="1"/>
  <c r="AX16" i="1"/>
  <c r="AY16" i="1" s="1"/>
  <c r="AU16" i="1"/>
  <c r="AS16" i="1"/>
  <c r="AO16" i="1"/>
  <c r="AN16" i="1"/>
  <c r="AM16" i="1"/>
  <c r="AK16" i="1"/>
  <c r="AF16" i="1"/>
  <c r="AG16" i="1" s="1"/>
  <c r="AE16" i="1"/>
  <c r="AC16" i="1"/>
  <c r="U16" i="1"/>
  <c r="BA16" i="1" s="1"/>
  <c r="T16" i="1"/>
  <c r="P16" i="1"/>
  <c r="Q16" i="1" s="1"/>
  <c r="N16" i="1"/>
  <c r="O16" i="1" s="1"/>
  <c r="M16" i="1"/>
  <c r="AZ16" i="1" s="1"/>
  <c r="J16" i="1"/>
  <c r="K16" i="1" s="1"/>
  <c r="I16" i="1"/>
  <c r="G16" i="1"/>
  <c r="BL15" i="1"/>
  <c r="BN15" i="1" s="1"/>
  <c r="BD15" i="1"/>
  <c r="AZ15" i="1"/>
  <c r="AX15" i="1"/>
  <c r="AY15" i="1" s="1"/>
  <c r="AU15" i="1"/>
  <c r="AS15" i="1"/>
  <c r="AO15" i="1"/>
  <c r="AN15" i="1"/>
  <c r="AM15" i="1"/>
  <c r="AK15" i="1"/>
  <c r="AG15" i="1"/>
  <c r="AF15" i="1"/>
  <c r="AE15" i="1"/>
  <c r="AC15" i="1"/>
  <c r="U15" i="1"/>
  <c r="BA15" i="1" s="1"/>
  <c r="T15" i="1"/>
  <c r="R15" i="1"/>
  <c r="S15" i="1" s="1"/>
  <c r="Q15" i="1"/>
  <c r="P15" i="1"/>
  <c r="V15" i="1" s="1"/>
  <c r="BB15" i="1" s="1"/>
  <c r="N15" i="1"/>
  <c r="O15" i="1" s="1"/>
  <c r="M15" i="1"/>
  <c r="J15" i="1"/>
  <c r="I15" i="1"/>
  <c r="G15" i="1"/>
  <c r="BL14" i="1"/>
  <c r="BN14" i="1" s="1"/>
  <c r="BD14" i="1"/>
  <c r="AX14" i="1"/>
  <c r="AY14" i="1" s="1"/>
  <c r="AU14" i="1"/>
  <c r="AT49" i="1" s="1"/>
  <c r="AT50" i="1" s="1"/>
  <c r="AS14" i="1"/>
  <c r="AO14" i="1"/>
  <c r="AN14" i="1"/>
  <c r="AM14" i="1"/>
  <c r="AK14" i="1"/>
  <c r="AF14" i="1"/>
  <c r="AG14" i="1" s="1"/>
  <c r="AE14" i="1"/>
  <c r="AC14" i="1"/>
  <c r="T14" i="1"/>
  <c r="M14" i="1"/>
  <c r="AZ14" i="1" s="1"/>
  <c r="H14" i="1"/>
  <c r="F14" i="1"/>
  <c r="BL13" i="1"/>
  <c r="BN13" i="1" s="1"/>
  <c r="BD13" i="1"/>
  <c r="AZ13" i="1"/>
  <c r="AU13" i="1"/>
  <c r="AR13" i="1"/>
  <c r="AX13" i="1" s="1"/>
  <c r="AY13" i="1" s="1"/>
  <c r="AO13" i="1"/>
  <c r="AN13" i="1"/>
  <c r="AM13" i="1"/>
  <c r="AK13" i="1"/>
  <c r="AF13" i="1"/>
  <c r="AG13" i="1" s="1"/>
  <c r="AE13" i="1"/>
  <c r="AC13" i="1"/>
  <c r="V13" i="1"/>
  <c r="BB13" i="1" s="1"/>
  <c r="U13" i="1"/>
  <c r="T13" i="1"/>
  <c r="Q13" i="1"/>
  <c r="P13" i="1"/>
  <c r="N13" i="1"/>
  <c r="M13" i="1"/>
  <c r="J13" i="1"/>
  <c r="K13" i="1" s="1"/>
  <c r="I13" i="1"/>
  <c r="G13" i="1"/>
  <c r="BL12" i="1"/>
  <c r="BN12" i="1" s="1"/>
  <c r="BD12" i="1"/>
  <c r="AX12" i="1"/>
  <c r="AY12" i="1" s="1"/>
  <c r="AU12" i="1"/>
  <c r="AS12" i="1"/>
  <c r="AO12" i="1"/>
  <c r="AN12" i="1"/>
  <c r="AM12" i="1"/>
  <c r="AK12" i="1"/>
  <c r="AF12" i="1"/>
  <c r="AG12" i="1" s="1"/>
  <c r="AE12" i="1"/>
  <c r="AC12" i="1"/>
  <c r="P12" i="1"/>
  <c r="V12" i="1" s="1"/>
  <c r="BB12" i="1" s="1"/>
  <c r="N12" i="1"/>
  <c r="U12" i="1" s="1"/>
  <c r="BA12" i="1" s="1"/>
  <c r="M12" i="1"/>
  <c r="T12" i="1" s="1"/>
  <c r="J12" i="1"/>
  <c r="K12" i="1" s="1"/>
  <c r="I12" i="1"/>
  <c r="G12" i="1"/>
  <c r="BL11" i="1"/>
  <c r="BN11" i="1" s="1"/>
  <c r="BD11" i="1"/>
  <c r="BB11" i="1"/>
  <c r="AX11" i="1"/>
  <c r="AY11" i="1" s="1"/>
  <c r="AU11" i="1"/>
  <c r="AS11" i="1"/>
  <c r="AO11" i="1"/>
  <c r="AN11" i="1"/>
  <c r="AM11" i="1"/>
  <c r="AK11" i="1"/>
  <c r="AF11" i="1"/>
  <c r="AG11" i="1" s="1"/>
  <c r="AE11" i="1"/>
  <c r="AC11" i="1"/>
  <c r="V11" i="1"/>
  <c r="T11" i="1"/>
  <c r="Q11" i="1"/>
  <c r="P11" i="1"/>
  <c r="N11" i="1"/>
  <c r="O11" i="1" s="1"/>
  <c r="M11" i="1"/>
  <c r="AZ11" i="1" s="1"/>
  <c r="J11" i="1"/>
  <c r="I11" i="1"/>
  <c r="G11" i="1"/>
  <c r="BL10" i="1"/>
  <c r="BN10" i="1" s="1"/>
  <c r="BD10" i="1"/>
  <c r="AX10" i="1"/>
  <c r="AY10" i="1" s="1"/>
  <c r="AU10" i="1"/>
  <c r="AS10" i="1"/>
  <c r="AO10" i="1"/>
  <c r="AN10" i="1"/>
  <c r="AM10" i="1"/>
  <c r="AK10" i="1"/>
  <c r="AF10" i="1"/>
  <c r="AG10" i="1" s="1"/>
  <c r="AE10" i="1"/>
  <c r="AC10" i="1"/>
  <c r="P10" i="1"/>
  <c r="Q10" i="1" s="1"/>
  <c r="N10" i="1"/>
  <c r="U10" i="1" s="1"/>
  <c r="BA10" i="1" s="1"/>
  <c r="M10" i="1"/>
  <c r="T10" i="1" s="1"/>
  <c r="J10" i="1"/>
  <c r="K10" i="1" s="1"/>
  <c r="I10" i="1"/>
  <c r="G10" i="1"/>
  <c r="BL9" i="1"/>
  <c r="BN9" i="1" s="1"/>
  <c r="BD9" i="1"/>
  <c r="AX9" i="1"/>
  <c r="AY9" i="1" s="1"/>
  <c r="AU9" i="1"/>
  <c r="AS9" i="1"/>
  <c r="AO9" i="1"/>
  <c r="AN9" i="1"/>
  <c r="AM9" i="1"/>
  <c r="AK9" i="1"/>
  <c r="AF9" i="1"/>
  <c r="AG9" i="1" s="1"/>
  <c r="AE9" i="1"/>
  <c r="AC9" i="1"/>
  <c r="T9" i="1"/>
  <c r="P9" i="1"/>
  <c r="V9" i="1" s="1"/>
  <c r="BB9" i="1" s="1"/>
  <c r="N9" i="1"/>
  <c r="O9" i="1" s="1"/>
  <c r="M9" i="1"/>
  <c r="AZ9" i="1" s="1"/>
  <c r="J9" i="1"/>
  <c r="I9" i="1"/>
  <c r="G9" i="1"/>
  <c r="BL8" i="1"/>
  <c r="BN8" i="1" s="1"/>
  <c r="BD8" i="1"/>
  <c r="AX8" i="1"/>
  <c r="AY8" i="1" s="1"/>
  <c r="AU8" i="1"/>
  <c r="AS8" i="1"/>
  <c r="AN8" i="1"/>
  <c r="AO8" i="1" s="1"/>
  <c r="AM8" i="1"/>
  <c r="AK8" i="1"/>
  <c r="AF8" i="1"/>
  <c r="AG8" i="1" s="1"/>
  <c r="AE8" i="1"/>
  <c r="AC8" i="1"/>
  <c r="P8" i="1"/>
  <c r="V8" i="1" s="1"/>
  <c r="BB8" i="1" s="1"/>
  <c r="N8" i="1"/>
  <c r="U8" i="1" s="1"/>
  <c r="BA8" i="1" s="1"/>
  <c r="M8" i="1"/>
  <c r="T8" i="1" s="1"/>
  <c r="J8" i="1"/>
  <c r="K8" i="1" s="1"/>
  <c r="I8" i="1"/>
  <c r="G8" i="1"/>
  <c r="BL7" i="1"/>
  <c r="BN7" i="1" s="1"/>
  <c r="BD7" i="1"/>
  <c r="AX7" i="1"/>
  <c r="AY7" i="1" s="1"/>
  <c r="AU7" i="1"/>
  <c r="AS7" i="1"/>
  <c r="AN7" i="1"/>
  <c r="AO7" i="1" s="1"/>
  <c r="AM7" i="1"/>
  <c r="AK7" i="1"/>
  <c r="AF7" i="1"/>
  <c r="AG7" i="1" s="1"/>
  <c r="AE7" i="1"/>
  <c r="AC7" i="1"/>
  <c r="P7" i="1"/>
  <c r="V7" i="1" s="1"/>
  <c r="BB7" i="1" s="1"/>
  <c r="N7" i="1"/>
  <c r="M7" i="1"/>
  <c r="AZ7" i="1" s="1"/>
  <c r="J7" i="1"/>
  <c r="K7" i="1" s="1"/>
  <c r="I7" i="1"/>
  <c r="G7" i="1"/>
  <c r="BL6" i="1"/>
  <c r="BN6" i="1" s="1"/>
  <c r="BD6" i="1"/>
  <c r="AX6" i="1"/>
  <c r="AY6" i="1" s="1"/>
  <c r="AU6" i="1"/>
  <c r="AS6" i="1"/>
  <c r="AO6" i="1"/>
  <c r="AN6" i="1"/>
  <c r="AM6" i="1"/>
  <c r="AK6" i="1"/>
  <c r="AF6" i="1"/>
  <c r="AG6" i="1" s="1"/>
  <c r="AE6" i="1"/>
  <c r="AC6" i="1"/>
  <c r="P6" i="1"/>
  <c r="V6" i="1" s="1"/>
  <c r="BB6" i="1" s="1"/>
  <c r="N6" i="1"/>
  <c r="U6" i="1" s="1"/>
  <c r="BA6" i="1" s="1"/>
  <c r="M6" i="1"/>
  <c r="T6" i="1" s="1"/>
  <c r="K6" i="1"/>
  <c r="J6" i="1"/>
  <c r="I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L5" i="1"/>
  <c r="BD5" i="1"/>
  <c r="AX5" i="1"/>
  <c r="AU5" i="1"/>
  <c r="AS5" i="1"/>
  <c r="AO5" i="1"/>
  <c r="AN5" i="1"/>
  <c r="AM5" i="1"/>
  <c r="AK5" i="1"/>
  <c r="AF5" i="1"/>
  <c r="AG5" i="1" s="1"/>
  <c r="AE5" i="1"/>
  <c r="AC5" i="1"/>
  <c r="P5" i="1"/>
  <c r="V5" i="1" s="1"/>
  <c r="N5" i="1"/>
  <c r="U5" i="1" s="1"/>
  <c r="BA5" i="1" s="1"/>
  <c r="M5" i="1"/>
  <c r="T5" i="1" s="1"/>
  <c r="J5" i="1"/>
  <c r="I5" i="1"/>
  <c r="G5" i="1"/>
  <c r="B5" i="1"/>
  <c r="BL57" i="1" l="1"/>
  <c r="AZ31" i="1"/>
  <c r="T31" i="1"/>
  <c r="O26" i="3"/>
  <c r="U26" i="3"/>
  <c r="BA26" i="3" s="1"/>
  <c r="AX36" i="3"/>
  <c r="Q9" i="1"/>
  <c r="R10" i="1"/>
  <c r="BD36" i="1"/>
  <c r="BD37" i="1" s="1"/>
  <c r="O21" i="1"/>
  <c r="AZ25" i="1"/>
  <c r="O31" i="1"/>
  <c r="BJ71" i="1"/>
  <c r="BL64" i="1"/>
  <c r="S6" i="2"/>
  <c r="AZ9" i="2"/>
  <c r="R33" i="2"/>
  <c r="S33" i="2" s="1"/>
  <c r="Q34" i="2"/>
  <c r="O16" i="3"/>
  <c r="V17" i="3"/>
  <c r="BB17" i="3" s="1"/>
  <c r="Y58" i="3"/>
  <c r="X58" i="3" s="1"/>
  <c r="X53" i="3"/>
  <c r="Q11" i="2"/>
  <c r="W26" i="2"/>
  <c r="BC26" i="2" s="1"/>
  <c r="U35" i="2"/>
  <c r="BA35" i="2" s="1"/>
  <c r="J50" i="3"/>
  <c r="Q7" i="3"/>
  <c r="K15" i="3"/>
  <c r="R16" i="3"/>
  <c r="S16" i="3" s="1"/>
  <c r="O20" i="3"/>
  <c r="S20" i="3"/>
  <c r="R26" i="3"/>
  <c r="S26" i="3" s="1"/>
  <c r="AZ26" i="3"/>
  <c r="AF36" i="3"/>
  <c r="AF37" i="3" s="1"/>
  <c r="V7" i="3"/>
  <c r="BB7" i="3" s="1"/>
  <c r="T16" i="3"/>
  <c r="K5" i="1"/>
  <c r="K28" i="1"/>
  <c r="V11" i="2"/>
  <c r="BB11" i="2" s="1"/>
  <c r="X55" i="2"/>
  <c r="X54" i="2"/>
  <c r="O20" i="1"/>
  <c r="AC37" i="1"/>
  <c r="U6" i="2"/>
  <c r="BA6" i="2" s="1"/>
  <c r="R26" i="2"/>
  <c r="S26" i="2" s="1"/>
  <c r="U26" i="2"/>
  <c r="BA26" i="2" s="1"/>
  <c r="R32" i="2"/>
  <c r="W32" i="2" s="1"/>
  <c r="BC32" i="2" s="1"/>
  <c r="V33" i="2"/>
  <c r="BB33" i="2" s="1"/>
  <c r="AM37" i="2"/>
  <c r="AZ12" i="3"/>
  <c r="BC31" i="3"/>
  <c r="AK37" i="3"/>
  <c r="AZ20" i="1"/>
  <c r="T20" i="1"/>
  <c r="BL51" i="1"/>
  <c r="BL71" i="1" s="1"/>
  <c r="BH46" i="1" s="1"/>
  <c r="AZ26" i="2"/>
  <c r="T26" i="2"/>
  <c r="BJ71" i="2"/>
  <c r="S21" i="1"/>
  <c r="U25" i="1"/>
  <c r="BA25" i="1" s="1"/>
  <c r="O25" i="1"/>
  <c r="G14" i="1"/>
  <c r="N14" i="1"/>
  <c r="O14" i="1" s="1"/>
  <c r="F36" i="1"/>
  <c r="G36" i="1" s="1"/>
  <c r="J14" i="1"/>
  <c r="K14" i="1" s="1"/>
  <c r="H36" i="1"/>
  <c r="I14" i="1"/>
  <c r="V10" i="1"/>
  <c r="BB10" i="1" s="1"/>
  <c r="P14" i="1"/>
  <c r="Q14" i="1" s="1"/>
  <c r="O23" i="1"/>
  <c r="AZ23" i="2"/>
  <c r="T23" i="2"/>
  <c r="V16" i="3"/>
  <c r="BB16" i="3" s="1"/>
  <c r="O18" i="3"/>
  <c r="T18" i="3"/>
  <c r="Q30" i="3"/>
  <c r="R19" i="1"/>
  <c r="S19" i="1" s="1"/>
  <c r="O19" i="1"/>
  <c r="AS26" i="1"/>
  <c r="S30" i="1"/>
  <c r="AE37" i="1"/>
  <c r="AZ5" i="2"/>
  <c r="AZ8" i="2"/>
  <c r="T8" i="2"/>
  <c r="Q18" i="2"/>
  <c r="T21" i="2"/>
  <c r="R31" i="2"/>
  <c r="W31" i="2" s="1"/>
  <c r="BC31" i="2" s="1"/>
  <c r="U31" i="2"/>
  <c r="BA31" i="2" s="1"/>
  <c r="AZ20" i="3"/>
  <c r="AZ21" i="1"/>
  <c r="T21" i="1"/>
  <c r="Q32" i="1"/>
  <c r="V32" i="1"/>
  <c r="BB32" i="1" s="1"/>
  <c r="U14" i="1"/>
  <c r="BA14" i="1" s="1"/>
  <c r="AZ22" i="1"/>
  <c r="T22" i="1"/>
  <c r="T23" i="1"/>
  <c r="O33" i="1"/>
  <c r="AE36" i="1"/>
  <c r="BD36" i="2"/>
  <c r="BD37" i="2" s="1"/>
  <c r="R8" i="2"/>
  <c r="S8" i="2" s="1"/>
  <c r="U8" i="2"/>
  <c r="BA8" i="2" s="1"/>
  <c r="Q17" i="2"/>
  <c r="T18" i="2"/>
  <c r="U21" i="2"/>
  <c r="BA21" i="2" s="1"/>
  <c r="O23" i="2"/>
  <c r="AS37" i="2"/>
  <c r="O6" i="3"/>
  <c r="AZ24" i="3"/>
  <c r="T24" i="3"/>
  <c r="R28" i="3"/>
  <c r="S28" i="3" s="1"/>
  <c r="BL67" i="3"/>
  <c r="BL36" i="1"/>
  <c r="BL37" i="1" s="1"/>
  <c r="Q27" i="1"/>
  <c r="BN5" i="1"/>
  <c r="T27" i="1"/>
  <c r="AC36" i="1"/>
  <c r="U34" i="1"/>
  <c r="BA34" i="1" s="1"/>
  <c r="J50" i="1"/>
  <c r="T19" i="1"/>
  <c r="T36" i="1" s="1"/>
  <c r="U23" i="1"/>
  <c r="BA23" i="1" s="1"/>
  <c r="AZ23" i="1"/>
  <c r="W24" i="1"/>
  <c r="BC24" i="1" s="1"/>
  <c r="K32" i="1"/>
  <c r="R16" i="2"/>
  <c r="S16" i="2" s="1"/>
  <c r="R17" i="2"/>
  <c r="S17" i="2" s="1"/>
  <c r="R20" i="2"/>
  <c r="AZ27" i="2"/>
  <c r="T27" i="2"/>
  <c r="Q28" i="2"/>
  <c r="T31" i="2"/>
  <c r="AU37" i="2"/>
  <c r="S46" i="2"/>
  <c r="X46" i="2" s="1"/>
  <c r="BL51" i="2"/>
  <c r="BL55" i="2"/>
  <c r="BL65" i="2"/>
  <c r="R6" i="3"/>
  <c r="S6" i="3" s="1"/>
  <c r="O14" i="3"/>
  <c r="U14" i="3"/>
  <c r="BA14" i="3" s="1"/>
  <c r="AZ14" i="3"/>
  <c r="Q34" i="3"/>
  <c r="BL57" i="3"/>
  <c r="BL62" i="3"/>
  <c r="BK71" i="1"/>
  <c r="Q6" i="2"/>
  <c r="U9" i="1"/>
  <c r="BA9" i="1" s="1"/>
  <c r="U21" i="1"/>
  <c r="BA21" i="1" s="1"/>
  <c r="R31" i="1"/>
  <c r="W31" i="1" s="1"/>
  <c r="BC31" i="1" s="1"/>
  <c r="T6" i="2"/>
  <c r="AK37" i="2"/>
  <c r="AZ30" i="1"/>
  <c r="T30" i="1"/>
  <c r="AX36" i="2"/>
  <c r="AX37" i="2" s="1"/>
  <c r="S18" i="2"/>
  <c r="AZ6" i="3"/>
  <c r="T6" i="3"/>
  <c r="T20" i="3"/>
  <c r="Q31" i="3"/>
  <c r="W34" i="3"/>
  <c r="BC34" i="3" s="1"/>
  <c r="AZ12" i="1"/>
  <c r="BA13" i="1"/>
  <c r="U19" i="1"/>
  <c r="BA19" i="1" s="1"/>
  <c r="O22" i="1"/>
  <c r="T33" i="1"/>
  <c r="BL62" i="1"/>
  <c r="Q23" i="2"/>
  <c r="R25" i="2"/>
  <c r="S25" i="2" s="1"/>
  <c r="O27" i="2"/>
  <c r="U27" i="2"/>
  <c r="BA27" i="2" s="1"/>
  <c r="T28" i="2"/>
  <c r="X56" i="2"/>
  <c r="BL66" i="2"/>
  <c r="AZ18" i="3"/>
  <c r="O22" i="3"/>
  <c r="S22" i="3"/>
  <c r="X55" i="3"/>
  <c r="T32" i="2"/>
  <c r="J49" i="1"/>
  <c r="AN36" i="1"/>
  <c r="AN37" i="1" s="1"/>
  <c r="R32" i="1"/>
  <c r="S32" i="1" s="1"/>
  <c r="U32" i="1"/>
  <c r="BA32" i="1" s="1"/>
  <c r="X54" i="1"/>
  <c r="BL68" i="1"/>
  <c r="T16" i="2"/>
  <c r="Q14" i="3"/>
  <c r="T34" i="3"/>
  <c r="BL63" i="3"/>
  <c r="Q22" i="1"/>
  <c r="BL55" i="1"/>
  <c r="BL69" i="1"/>
  <c r="Q8" i="2"/>
  <c r="W30" i="2"/>
  <c r="BC30" i="2" s="1"/>
  <c r="O12" i="3"/>
  <c r="O24" i="3"/>
  <c r="O34" i="3"/>
  <c r="AM37" i="3"/>
  <c r="AK37" i="1"/>
  <c r="Q23" i="1"/>
  <c r="BD36" i="3"/>
  <c r="BD37" i="3" s="1"/>
  <c r="BE45" i="3" s="1"/>
  <c r="W13" i="3"/>
  <c r="BC13" i="3" s="1"/>
  <c r="R18" i="3"/>
  <c r="S18" i="3" s="1"/>
  <c r="Q20" i="3"/>
  <c r="Q22" i="3"/>
  <c r="O7" i="1"/>
  <c r="AX36" i="1"/>
  <c r="AX37" i="1" s="1"/>
  <c r="AM37" i="1"/>
  <c r="Q6" i="1"/>
  <c r="O13" i="1"/>
  <c r="Q19" i="1"/>
  <c r="Q20" i="1"/>
  <c r="AF36" i="2"/>
  <c r="J50" i="2"/>
  <c r="T10" i="2"/>
  <c r="T36" i="2" s="1"/>
  <c r="U15" i="2"/>
  <c r="BA15" i="2" s="1"/>
  <c r="Q22" i="2"/>
  <c r="U30" i="2"/>
  <c r="BA30" i="2" s="1"/>
  <c r="BL36" i="3"/>
  <c r="BL37" i="3" s="1"/>
  <c r="AT49" i="3"/>
  <c r="AT50" i="3" s="1"/>
  <c r="W23" i="3"/>
  <c r="BC23" i="3" s="1"/>
  <c r="R24" i="3"/>
  <c r="S24" i="3" s="1"/>
  <c r="Q32" i="3"/>
  <c r="Q26" i="1"/>
  <c r="Q30" i="1"/>
  <c r="Q21" i="1"/>
  <c r="V26" i="1"/>
  <c r="BB26" i="1" s="1"/>
  <c r="BL67" i="2"/>
  <c r="G37" i="3"/>
  <c r="AY5" i="1"/>
  <c r="R6" i="1"/>
  <c r="W6" i="1" s="1"/>
  <c r="BC6" i="1" s="1"/>
  <c r="AS49" i="1"/>
  <c r="AS50" i="1" s="1"/>
  <c r="Q17" i="1"/>
  <c r="Q18" i="1"/>
  <c r="T24" i="1"/>
  <c r="W6" i="2"/>
  <c r="BC6" i="2" s="1"/>
  <c r="V8" i="2"/>
  <c r="BB8" i="2" s="1"/>
  <c r="W12" i="2"/>
  <c r="BC12" i="2" s="1"/>
  <c r="W18" i="2"/>
  <c r="BC18" i="2" s="1"/>
  <c r="T22" i="2"/>
  <c r="O33" i="2"/>
  <c r="R34" i="2"/>
  <c r="AC36" i="2"/>
  <c r="BL57" i="2"/>
  <c r="U12" i="3"/>
  <c r="BA12" i="3" s="1"/>
  <c r="O30" i="3"/>
  <c r="R34" i="3"/>
  <c r="S34" i="3" s="1"/>
  <c r="BL66" i="3"/>
  <c r="BB5" i="3"/>
  <c r="V6" i="3"/>
  <c r="BB6" i="3" s="1"/>
  <c r="R11" i="3"/>
  <c r="W11" i="3" s="1"/>
  <c r="BC11" i="3" s="1"/>
  <c r="W16" i="3"/>
  <c r="BC16" i="3" s="1"/>
  <c r="T23" i="3"/>
  <c r="S23" i="3"/>
  <c r="AZ23" i="3"/>
  <c r="T27" i="3"/>
  <c r="S27" i="3"/>
  <c r="K30" i="3"/>
  <c r="P36" i="3"/>
  <c r="T5" i="3"/>
  <c r="AG37" i="3"/>
  <c r="AF46" i="3"/>
  <c r="AF47" i="3" s="1"/>
  <c r="AG47" i="3"/>
  <c r="AG38" i="3"/>
  <c r="AZ5" i="3"/>
  <c r="W7" i="3"/>
  <c r="BC7" i="3" s="1"/>
  <c r="T13" i="3"/>
  <c r="S13" i="3"/>
  <c r="AZ13" i="3"/>
  <c r="T25" i="3"/>
  <c r="AZ25" i="3"/>
  <c r="BC29" i="3"/>
  <c r="T31" i="3"/>
  <c r="S31" i="3"/>
  <c r="I37" i="3"/>
  <c r="K37" i="3" s="1"/>
  <c r="AG46" i="3"/>
  <c r="AO46" i="3" s="1"/>
  <c r="AY46" i="3" s="1"/>
  <c r="AW47" i="3" s="1"/>
  <c r="S46" i="3"/>
  <c r="X46" i="3" s="1"/>
  <c r="R5" i="3"/>
  <c r="S5" i="3" s="1"/>
  <c r="AG5" i="3"/>
  <c r="W8" i="3"/>
  <c r="BC8" i="3" s="1"/>
  <c r="Q12" i="3"/>
  <c r="T15" i="3"/>
  <c r="S15" i="3"/>
  <c r="AZ15" i="3"/>
  <c r="W18" i="3"/>
  <c r="BC18" i="3" s="1"/>
  <c r="Q21" i="3"/>
  <c r="O23" i="3"/>
  <c r="R25" i="3"/>
  <c r="W25" i="3" s="1"/>
  <c r="BC25" i="3" s="1"/>
  <c r="O27" i="3"/>
  <c r="BL65" i="3"/>
  <c r="O5" i="3"/>
  <c r="K8" i="3"/>
  <c r="Q11" i="3"/>
  <c r="R12" i="3"/>
  <c r="S12" i="3" s="1"/>
  <c r="O13" i="3"/>
  <c r="K18" i="3"/>
  <c r="W19" i="3"/>
  <c r="BC19" i="3" s="1"/>
  <c r="Q24" i="3"/>
  <c r="O25" i="3"/>
  <c r="Q26" i="3"/>
  <c r="O31" i="3"/>
  <c r="BK71" i="3"/>
  <c r="BL50" i="3"/>
  <c r="T7" i="3"/>
  <c r="S7" i="3"/>
  <c r="AZ7" i="3"/>
  <c r="O15" i="3"/>
  <c r="G36" i="3"/>
  <c r="T17" i="3"/>
  <c r="S17" i="3"/>
  <c r="Q5" i="3"/>
  <c r="BN5" i="3"/>
  <c r="BN36" i="3" s="1"/>
  <c r="Q6" i="3"/>
  <c r="W10" i="3"/>
  <c r="BC10" i="3" s="1"/>
  <c r="Q13" i="3"/>
  <c r="R14" i="3"/>
  <c r="S14" i="3" s="1"/>
  <c r="K20" i="3"/>
  <c r="U23" i="3"/>
  <c r="BA23" i="3" s="1"/>
  <c r="Q25" i="3"/>
  <c r="V27" i="3"/>
  <c r="BB27" i="3" s="1"/>
  <c r="K28" i="3"/>
  <c r="T29" i="3"/>
  <c r="S29" i="3"/>
  <c r="R30" i="3"/>
  <c r="S30" i="3" s="1"/>
  <c r="U31" i="3"/>
  <c r="BA31" i="3" s="1"/>
  <c r="K34" i="3"/>
  <c r="I36" i="3"/>
  <c r="BL51" i="3"/>
  <c r="BJ71" i="3"/>
  <c r="AZ17" i="3"/>
  <c r="U5" i="3"/>
  <c r="O7" i="3"/>
  <c r="K10" i="3"/>
  <c r="U13" i="3"/>
  <c r="BA13" i="3" s="1"/>
  <c r="Q15" i="3"/>
  <c r="Q16" i="3"/>
  <c r="O17" i="3"/>
  <c r="T19" i="3"/>
  <c r="S19" i="3"/>
  <c r="AZ19" i="3"/>
  <c r="W22" i="3"/>
  <c r="BC22" i="3" s="1"/>
  <c r="U25" i="3"/>
  <c r="BA25" i="3" s="1"/>
  <c r="V31" i="3"/>
  <c r="BB31" i="3" s="1"/>
  <c r="W32" i="3"/>
  <c r="BC32" i="3" s="1"/>
  <c r="K32" i="3"/>
  <c r="T35" i="3"/>
  <c r="AN36" i="3"/>
  <c r="T9" i="3"/>
  <c r="AZ9" i="3"/>
  <c r="W12" i="3"/>
  <c r="BC12" i="3" s="1"/>
  <c r="U15" i="3"/>
  <c r="BA15" i="3" s="1"/>
  <c r="Q18" i="3"/>
  <c r="K22" i="3"/>
  <c r="O29" i="3"/>
  <c r="T33" i="3"/>
  <c r="U35" i="3"/>
  <c r="BA35" i="3" s="1"/>
  <c r="R35" i="3"/>
  <c r="W35" i="3" s="1"/>
  <c r="BC35" i="3" s="1"/>
  <c r="M36" i="3"/>
  <c r="N38" i="3" s="1"/>
  <c r="AC36" i="3"/>
  <c r="AU37" i="3"/>
  <c r="BG42" i="3"/>
  <c r="BG46" i="3" s="1"/>
  <c r="AX37" i="3"/>
  <c r="X59" i="3"/>
  <c r="J49" i="3"/>
  <c r="AO6" i="3"/>
  <c r="Q8" i="3"/>
  <c r="R9" i="3"/>
  <c r="W9" i="3" s="1"/>
  <c r="BC9" i="3" s="1"/>
  <c r="K12" i="3"/>
  <c r="AS49" i="3"/>
  <c r="AS50" i="3" s="1"/>
  <c r="O19" i="3"/>
  <c r="T21" i="3"/>
  <c r="AZ21" i="3"/>
  <c r="AZ27" i="3"/>
  <c r="Q29" i="3"/>
  <c r="U33" i="3"/>
  <c r="BA33" i="3" s="1"/>
  <c r="R33" i="3"/>
  <c r="W33" i="3" s="1"/>
  <c r="BC33" i="3" s="1"/>
  <c r="O35" i="3"/>
  <c r="N36" i="3"/>
  <c r="AE36" i="3"/>
  <c r="AC37" i="3"/>
  <c r="J36" i="3"/>
  <c r="W6" i="3"/>
  <c r="BC6" i="3" s="1"/>
  <c r="U7" i="3"/>
  <c r="BA7" i="3" s="1"/>
  <c r="O9" i="3"/>
  <c r="T11" i="3"/>
  <c r="AZ11" i="3"/>
  <c r="U17" i="3"/>
  <c r="BA17" i="3" s="1"/>
  <c r="R21" i="3"/>
  <c r="S21" i="3" s="1"/>
  <c r="K24" i="3"/>
  <c r="K26" i="3"/>
  <c r="W26" i="3"/>
  <c r="BC26" i="3" s="1"/>
  <c r="Q28" i="3"/>
  <c r="U29" i="3"/>
  <c r="BA29" i="3" s="1"/>
  <c r="AZ31" i="3"/>
  <c r="O33" i="3"/>
  <c r="AG36" i="3"/>
  <c r="AE37" i="3"/>
  <c r="AF37" i="2"/>
  <c r="AG36" i="2"/>
  <c r="BN36" i="2"/>
  <c r="BA5" i="2"/>
  <c r="W7" i="2"/>
  <c r="BC7" i="2" s="1"/>
  <c r="W22" i="2"/>
  <c r="BC22" i="2" s="1"/>
  <c r="BB5" i="2"/>
  <c r="AX55" i="2"/>
  <c r="BA55" i="2" s="1"/>
  <c r="AY36" i="2"/>
  <c r="S21" i="2"/>
  <c r="W21" i="2"/>
  <c r="BC21" i="2" s="1"/>
  <c r="O10" i="2"/>
  <c r="R10" i="2"/>
  <c r="S10" i="2" s="1"/>
  <c r="BD45" i="2"/>
  <c r="BE45" i="2"/>
  <c r="W16" i="2"/>
  <c r="BC16" i="2" s="1"/>
  <c r="O5" i="2"/>
  <c r="AY5" i="2"/>
  <c r="O7" i="2"/>
  <c r="O9" i="2"/>
  <c r="G10" i="2"/>
  <c r="W15" i="2"/>
  <c r="BC15" i="2" s="1"/>
  <c r="O18" i="2"/>
  <c r="R22" i="2"/>
  <c r="S22" i="2" s="1"/>
  <c r="W25" i="2"/>
  <c r="BC25" i="2" s="1"/>
  <c r="O28" i="2"/>
  <c r="S32" i="2"/>
  <c r="R35" i="2"/>
  <c r="S35" i="2" s="1"/>
  <c r="Q13" i="2"/>
  <c r="O29" i="2"/>
  <c r="AZ29" i="2"/>
  <c r="N36" i="2"/>
  <c r="R13" i="2"/>
  <c r="S13" i="2" s="1"/>
  <c r="O24" i="2"/>
  <c r="W20" i="2"/>
  <c r="BC20" i="2" s="1"/>
  <c r="Q5" i="2"/>
  <c r="AG5" i="2"/>
  <c r="K6" i="2"/>
  <c r="K8" i="2"/>
  <c r="O11" i="2"/>
  <c r="O14" i="2"/>
  <c r="R28" i="2"/>
  <c r="S28" i="2" s="1"/>
  <c r="BL36" i="2"/>
  <c r="BL37" i="2" s="1"/>
  <c r="R5" i="2"/>
  <c r="R7" i="2"/>
  <c r="S7" i="2" s="1"/>
  <c r="R9" i="2"/>
  <c r="S9" i="2" s="1"/>
  <c r="J10" i="2"/>
  <c r="U10" i="2"/>
  <c r="BA10" i="2" s="1"/>
  <c r="AZ11" i="2"/>
  <c r="Q14" i="2"/>
  <c r="O15" i="2"/>
  <c r="AZ15" i="2"/>
  <c r="K16" i="2"/>
  <c r="Q19" i="2"/>
  <c r="AZ20" i="2"/>
  <c r="Q24" i="2"/>
  <c r="O25" i="2"/>
  <c r="AZ25" i="2"/>
  <c r="K26" i="2"/>
  <c r="Q29" i="2"/>
  <c r="AZ30" i="2"/>
  <c r="W33" i="2"/>
  <c r="BC33" i="2" s="1"/>
  <c r="P36" i="2"/>
  <c r="Y58" i="2"/>
  <c r="V10" i="2"/>
  <c r="BB10" i="2" s="1"/>
  <c r="R14" i="2"/>
  <c r="W14" i="2" s="1"/>
  <c r="BC14" i="2" s="1"/>
  <c r="R19" i="2"/>
  <c r="W19" i="2" s="1"/>
  <c r="BC19" i="2" s="1"/>
  <c r="O20" i="2"/>
  <c r="V22" i="2"/>
  <c r="BB22" i="2" s="1"/>
  <c r="R24" i="2"/>
  <c r="W24" i="2" s="1"/>
  <c r="BC24" i="2" s="1"/>
  <c r="W27" i="2"/>
  <c r="BC27" i="2" s="1"/>
  <c r="R29" i="2"/>
  <c r="W29" i="2" s="1"/>
  <c r="BC29" i="2" s="1"/>
  <c r="O30" i="2"/>
  <c r="K33" i="2"/>
  <c r="V35" i="2"/>
  <c r="BB35" i="2" s="1"/>
  <c r="AZ19" i="2"/>
  <c r="AN36" i="2"/>
  <c r="O6" i="2"/>
  <c r="O8" i="2"/>
  <c r="R11" i="2"/>
  <c r="W11" i="2" s="1"/>
  <c r="BC11" i="2" s="1"/>
  <c r="Q15" i="2"/>
  <c r="U18" i="2"/>
  <c r="BA18" i="2" s="1"/>
  <c r="Q20" i="2"/>
  <c r="O21" i="2"/>
  <c r="K22" i="2"/>
  <c r="Q25" i="2"/>
  <c r="Q30" i="2"/>
  <c r="O31" i="2"/>
  <c r="F36" i="2"/>
  <c r="AE36" i="2"/>
  <c r="AC37" i="2"/>
  <c r="O19" i="2"/>
  <c r="I10" i="2"/>
  <c r="J49" i="2" s="1"/>
  <c r="R23" i="2"/>
  <c r="S23" i="2" s="1"/>
  <c r="W13" i="2"/>
  <c r="BC13" i="2" s="1"/>
  <c r="T14" i="2"/>
  <c r="O16" i="2"/>
  <c r="V18" i="2"/>
  <c r="BB18" i="2" s="1"/>
  <c r="W23" i="2"/>
  <c r="BC23" i="2" s="1"/>
  <c r="O26" i="2"/>
  <c r="V28" i="2"/>
  <c r="BB28" i="2" s="1"/>
  <c r="H36" i="2"/>
  <c r="BL52" i="2"/>
  <c r="Q9" i="2"/>
  <c r="K5" i="2"/>
  <c r="K7" i="2"/>
  <c r="V7" i="2"/>
  <c r="BB7" i="2" s="1"/>
  <c r="K9" i="2"/>
  <c r="S15" i="2"/>
  <c r="Q16" i="2"/>
  <c r="K18" i="2"/>
  <c r="S20" i="2"/>
  <c r="Q21" i="2"/>
  <c r="AZ22" i="2"/>
  <c r="Q26" i="2"/>
  <c r="K28" i="2"/>
  <c r="S30" i="2"/>
  <c r="Q31" i="2"/>
  <c r="O32" i="2"/>
  <c r="O34" i="2"/>
  <c r="BK71" i="2"/>
  <c r="X53" i="2"/>
  <c r="M36" i="2"/>
  <c r="N38" i="2" s="1"/>
  <c r="W5" i="2"/>
  <c r="V14" i="2"/>
  <c r="BB14" i="2" s="1"/>
  <c r="AT49" i="2"/>
  <c r="AT50" i="2" s="1"/>
  <c r="V24" i="2"/>
  <c r="BB24" i="2" s="1"/>
  <c r="Q32" i="2"/>
  <c r="BL50" i="2"/>
  <c r="AX55" i="1"/>
  <c r="BA55" i="1" s="1"/>
  <c r="BD45" i="1"/>
  <c r="BE45" i="1"/>
  <c r="H37" i="1"/>
  <c r="I37" i="1" s="1"/>
  <c r="I36" i="1"/>
  <c r="BN36" i="1"/>
  <c r="AO36" i="1"/>
  <c r="P36" i="1"/>
  <c r="O29" i="1"/>
  <c r="O30" i="1"/>
  <c r="Q31" i="1"/>
  <c r="W35" i="1"/>
  <c r="BC35" i="1" s="1"/>
  <c r="K35" i="1"/>
  <c r="AZ8" i="1"/>
  <c r="K25" i="1"/>
  <c r="W34" i="1"/>
  <c r="BC34" i="1" s="1"/>
  <c r="AR36" i="1"/>
  <c r="AR37" i="1" s="1"/>
  <c r="AS37" i="1" s="1"/>
  <c r="M36" i="1"/>
  <c r="N38" i="1" s="1"/>
  <c r="AZ5" i="1"/>
  <c r="K9" i="1"/>
  <c r="R11" i="1"/>
  <c r="S11" i="1" s="1"/>
  <c r="O12" i="1"/>
  <c r="Q29" i="1"/>
  <c r="S31" i="1"/>
  <c r="W33" i="1"/>
  <c r="BC33" i="1" s="1"/>
  <c r="K33" i="1"/>
  <c r="AF36" i="1"/>
  <c r="AU37" i="1"/>
  <c r="AS13" i="1"/>
  <c r="O28" i="1"/>
  <c r="N36" i="1"/>
  <c r="R7" i="1"/>
  <c r="W7" i="1" s="1"/>
  <c r="BC7" i="1" s="1"/>
  <c r="O8" i="1"/>
  <c r="V22" i="1"/>
  <c r="BB22" i="1" s="1"/>
  <c r="W23" i="1"/>
  <c r="BC23" i="1" s="1"/>
  <c r="K23" i="1"/>
  <c r="AZ26" i="1"/>
  <c r="O27" i="1"/>
  <c r="Q28" i="1"/>
  <c r="R29" i="1"/>
  <c r="O5" i="1"/>
  <c r="Q12" i="1"/>
  <c r="V14" i="1"/>
  <c r="BB14" i="1" s="1"/>
  <c r="V16" i="1"/>
  <c r="BB16" i="1" s="1"/>
  <c r="V18" i="1"/>
  <c r="BB18" i="1" s="1"/>
  <c r="V20" i="1"/>
  <c r="BB20" i="1" s="1"/>
  <c r="W22" i="1"/>
  <c r="BC22" i="1" s="1"/>
  <c r="AZ24" i="1"/>
  <c r="R26" i="1"/>
  <c r="W26" i="1" s="1"/>
  <c r="BC26" i="1" s="1"/>
  <c r="S28" i="1"/>
  <c r="U30" i="1"/>
  <c r="BA30" i="1" s="1"/>
  <c r="S34" i="1"/>
  <c r="T7" i="1"/>
  <c r="Q8" i="1"/>
  <c r="U11" i="1"/>
  <c r="BA11" i="1" s="1"/>
  <c r="R12" i="1"/>
  <c r="W12" i="1" s="1"/>
  <c r="BC12" i="1" s="1"/>
  <c r="W15" i="1"/>
  <c r="BC15" i="1" s="1"/>
  <c r="K15" i="1"/>
  <c r="W17" i="1"/>
  <c r="BC17" i="1" s="1"/>
  <c r="K17" i="1"/>
  <c r="W18" i="1"/>
  <c r="BC18" i="1" s="1"/>
  <c r="W19" i="1"/>
  <c r="BC19" i="1" s="1"/>
  <c r="K19" i="1"/>
  <c r="W21" i="1"/>
  <c r="BC21" i="1" s="1"/>
  <c r="K21" i="1"/>
  <c r="O26" i="1"/>
  <c r="T28" i="1"/>
  <c r="Q7" i="1"/>
  <c r="BB5" i="1"/>
  <c r="U7" i="1"/>
  <c r="BA7" i="1" s="1"/>
  <c r="Q25" i="1"/>
  <c r="R27" i="1"/>
  <c r="U28" i="1"/>
  <c r="BA28" i="1" s="1"/>
  <c r="W30" i="1"/>
  <c r="BC30" i="1" s="1"/>
  <c r="O34" i="1"/>
  <c r="Q5" i="1"/>
  <c r="R5" i="1"/>
  <c r="W5" i="1" s="1"/>
  <c r="AZ6" i="1"/>
  <c r="R9" i="1"/>
  <c r="W9" i="1" s="1"/>
  <c r="BC9" i="1" s="1"/>
  <c r="O10" i="1"/>
  <c r="K11" i="1"/>
  <c r="R13" i="1"/>
  <c r="W13" i="1" s="1"/>
  <c r="BC13" i="1" s="1"/>
  <c r="O24" i="1"/>
  <c r="R25" i="1"/>
  <c r="S25" i="1" s="1"/>
  <c r="T26" i="1"/>
  <c r="Q33" i="1"/>
  <c r="Q34" i="1"/>
  <c r="S46" i="1"/>
  <c r="X46" i="1" s="1"/>
  <c r="R8" i="1"/>
  <c r="W8" i="1" s="1"/>
  <c r="BC8" i="1" s="1"/>
  <c r="AZ10" i="1"/>
  <c r="S5" i="1"/>
  <c r="O6" i="1"/>
  <c r="R14" i="1"/>
  <c r="S14" i="1" s="1"/>
  <c r="R16" i="1"/>
  <c r="S16" i="1" s="1"/>
  <c r="R18" i="1"/>
  <c r="S18" i="1" s="1"/>
  <c r="R20" i="1"/>
  <c r="S20" i="1" s="1"/>
  <c r="R22" i="1"/>
  <c r="S22" i="1" s="1"/>
  <c r="Q24" i="1"/>
  <c r="U26" i="1"/>
  <c r="BA26" i="1" s="1"/>
  <c r="O32" i="1"/>
  <c r="R33" i="1"/>
  <c r="S33" i="1" s="1"/>
  <c r="T34" i="1"/>
  <c r="Y58" i="1"/>
  <c r="BI46" i="1" l="1"/>
  <c r="BJ46" i="1"/>
  <c r="W17" i="2"/>
  <c r="BC17" i="2" s="1"/>
  <c r="W24" i="3"/>
  <c r="BC24" i="3" s="1"/>
  <c r="W21" i="3"/>
  <c r="BC21" i="3" s="1"/>
  <c r="W20" i="1"/>
  <c r="BC20" i="1" s="1"/>
  <c r="S7" i="1"/>
  <c r="S6" i="1"/>
  <c r="S25" i="3"/>
  <c r="W10" i="1"/>
  <c r="BC10" i="1" s="1"/>
  <c r="S10" i="1"/>
  <c r="F37" i="1"/>
  <c r="G37" i="1" s="1"/>
  <c r="K37" i="1" s="1"/>
  <c r="AY36" i="1"/>
  <c r="S29" i="2"/>
  <c r="S31" i="2"/>
  <c r="S26" i="1"/>
  <c r="AX55" i="3"/>
  <c r="BA55" i="3" s="1"/>
  <c r="AY36" i="3"/>
  <c r="S35" i="3"/>
  <c r="AZ36" i="2"/>
  <c r="BE38" i="2" s="1"/>
  <c r="W14" i="1"/>
  <c r="BC14" i="1" s="1"/>
  <c r="W25" i="1"/>
  <c r="BC25" i="1" s="1"/>
  <c r="S33" i="3"/>
  <c r="W28" i="3"/>
  <c r="BC28" i="3" s="1"/>
  <c r="W34" i="2"/>
  <c r="BC34" i="2" s="1"/>
  <c r="S34" i="2"/>
  <c r="W32" i="1"/>
  <c r="BC32" i="1" s="1"/>
  <c r="BL71" i="2"/>
  <c r="BH46" i="2" s="1"/>
  <c r="J36" i="1"/>
  <c r="BA36" i="1"/>
  <c r="BA37" i="1" s="1"/>
  <c r="W8" i="2"/>
  <c r="BC8" i="2" s="1"/>
  <c r="BL71" i="3"/>
  <c r="BH46" i="3" s="1"/>
  <c r="BI46" i="3" s="1"/>
  <c r="AO36" i="3"/>
  <c r="AN37" i="3"/>
  <c r="T36" i="3"/>
  <c r="K36" i="3"/>
  <c r="J37" i="3"/>
  <c r="N37" i="3"/>
  <c r="O37" i="3" s="1"/>
  <c r="O36" i="3"/>
  <c r="P37" i="3"/>
  <c r="Q37" i="3" s="1"/>
  <c r="Q36" i="3"/>
  <c r="W30" i="3"/>
  <c r="BC30" i="3" s="1"/>
  <c r="V36" i="3"/>
  <c r="V37" i="3" s="1"/>
  <c r="AY50" i="3"/>
  <c r="AY51" i="3" s="1"/>
  <c r="AY48" i="3"/>
  <c r="AY38" i="3"/>
  <c r="AY37" i="3"/>
  <c r="AX46" i="3"/>
  <c r="AX47" i="3" s="1"/>
  <c r="AY47" i="3"/>
  <c r="U36" i="3"/>
  <c r="U37" i="3" s="1"/>
  <c r="BA5" i="3"/>
  <c r="BA36" i="3" s="1"/>
  <c r="BA37" i="3" s="1"/>
  <c r="BB36" i="3"/>
  <c r="BB37" i="3" s="1"/>
  <c r="R36" i="3"/>
  <c r="W5" i="3"/>
  <c r="W14" i="3"/>
  <c r="BC14" i="3" s="1"/>
  <c r="S11" i="3"/>
  <c r="S9" i="3"/>
  <c r="AZ36" i="3"/>
  <c r="W35" i="2"/>
  <c r="BC35" i="2" s="1"/>
  <c r="W10" i="2"/>
  <c r="BC10" i="2" s="1"/>
  <c r="K10" i="2"/>
  <c r="S19" i="2"/>
  <c r="J36" i="2"/>
  <c r="G36" i="2"/>
  <c r="F37" i="2"/>
  <c r="G37" i="2" s="1"/>
  <c r="U36" i="2"/>
  <c r="U37" i="2" s="1"/>
  <c r="BC5" i="2"/>
  <c r="S14" i="2"/>
  <c r="X58" i="2"/>
  <c r="X59" i="2"/>
  <c r="R36" i="2"/>
  <c r="S5" i="2"/>
  <c r="W9" i="2"/>
  <c r="BC9" i="2" s="1"/>
  <c r="W28" i="2"/>
  <c r="BC28" i="2" s="1"/>
  <c r="BA56" i="2"/>
  <c r="BA58" i="2"/>
  <c r="AY38" i="2"/>
  <c r="AY47" i="2"/>
  <c r="AX46" i="2"/>
  <c r="AX47" i="2" s="1"/>
  <c r="AY50" i="2"/>
  <c r="AY51" i="2" s="1"/>
  <c r="AY48" i="2"/>
  <c r="AY37" i="2"/>
  <c r="S11" i="2"/>
  <c r="N37" i="2"/>
  <c r="O37" i="2" s="1"/>
  <c r="O36" i="2"/>
  <c r="V36" i="2"/>
  <c r="V37" i="2" s="1"/>
  <c r="V39" i="2" s="1"/>
  <c r="Q36" i="2"/>
  <c r="P37" i="2"/>
  <c r="Q37" i="2" s="1"/>
  <c r="BB36" i="2"/>
  <c r="BB37" i="2" s="1"/>
  <c r="S24" i="2"/>
  <c r="AG38" i="2"/>
  <c r="AG47" i="2"/>
  <c r="AG37" i="2"/>
  <c r="AF46" i="2"/>
  <c r="AF47" i="2" s="1"/>
  <c r="BA36" i="2"/>
  <c r="BA37" i="2" s="1"/>
  <c r="H37" i="2"/>
  <c r="I37" i="2" s="1"/>
  <c r="I36" i="2"/>
  <c r="AN37" i="2"/>
  <c r="AO36" i="2"/>
  <c r="P37" i="1"/>
  <c r="Q37" i="1" s="1"/>
  <c r="Q36" i="1"/>
  <c r="S12" i="1"/>
  <c r="AG36" i="1"/>
  <c r="AF37" i="1"/>
  <c r="BB36" i="1"/>
  <c r="BB37" i="1" s="1"/>
  <c r="AZ36" i="1"/>
  <c r="BE38" i="1" s="1"/>
  <c r="W27" i="1"/>
  <c r="BC27" i="1" s="1"/>
  <c r="S27" i="1"/>
  <c r="W11" i="1"/>
  <c r="BC11" i="1" s="1"/>
  <c r="BC5" i="1"/>
  <c r="AO47" i="1"/>
  <c r="AO38" i="1"/>
  <c r="AN46" i="1"/>
  <c r="AN47" i="1" s="1"/>
  <c r="AO37" i="1"/>
  <c r="V36" i="1"/>
  <c r="V37" i="1" s="1"/>
  <c r="V39" i="1" s="1"/>
  <c r="BA56" i="1"/>
  <c r="BA58" i="1"/>
  <c r="S9" i="1"/>
  <c r="S13" i="1"/>
  <c r="S8" i="1"/>
  <c r="U36" i="1"/>
  <c r="U37" i="1" s="1"/>
  <c r="R36" i="1"/>
  <c r="X58" i="1"/>
  <c r="X59" i="1"/>
  <c r="W16" i="1"/>
  <c r="BC16" i="1" s="1"/>
  <c r="W29" i="1"/>
  <c r="BC29" i="1" s="1"/>
  <c r="S29" i="1"/>
  <c r="O36" i="1"/>
  <c r="N37" i="1"/>
  <c r="O37" i="1" s="1"/>
  <c r="AY50" i="1"/>
  <c r="AY51" i="1" s="1"/>
  <c r="AY38" i="1"/>
  <c r="AY47" i="1"/>
  <c r="AY37" i="1"/>
  <c r="AX46" i="1"/>
  <c r="AX47" i="1" s="1"/>
  <c r="AY48" i="1"/>
  <c r="BE38" i="3" l="1"/>
  <c r="W36" i="2"/>
  <c r="K36" i="1"/>
  <c r="J37" i="1"/>
  <c r="BA56" i="3"/>
  <c r="BA58" i="3"/>
  <c r="BJ46" i="3"/>
  <c r="BI46" i="2"/>
  <c r="BJ46" i="2"/>
  <c r="K47" i="3"/>
  <c r="J46" i="3"/>
  <c r="J47" i="3" s="1"/>
  <c r="K38" i="3"/>
  <c r="BC5" i="3"/>
  <c r="BC36" i="3" s="1"/>
  <c r="W36" i="3"/>
  <c r="W37" i="3" s="1"/>
  <c r="R37" i="3"/>
  <c r="S36" i="3"/>
  <c r="AO47" i="3"/>
  <c r="AO38" i="3"/>
  <c r="AO37" i="3"/>
  <c r="AN46" i="3"/>
  <c r="AN47" i="3" s="1"/>
  <c r="V39" i="3"/>
  <c r="BC36" i="2"/>
  <c r="W41" i="2"/>
  <c r="W37" i="2"/>
  <c r="K37" i="2"/>
  <c r="J37" i="2"/>
  <c r="K36" i="2"/>
  <c r="S36" i="2"/>
  <c r="R37" i="2"/>
  <c r="AO47" i="2"/>
  <c r="AO37" i="2"/>
  <c r="AN46" i="2"/>
  <c r="AN47" i="2" s="1"/>
  <c r="AO38" i="2"/>
  <c r="R37" i="1"/>
  <c r="S36" i="1"/>
  <c r="AF46" i="1"/>
  <c r="AF47" i="1" s="1"/>
  <c r="AG38" i="1"/>
  <c r="AG37" i="1"/>
  <c r="AG47" i="1"/>
  <c r="BC36" i="1"/>
  <c r="W36" i="1"/>
  <c r="W37" i="1" s="1"/>
  <c r="J46" i="1" l="1"/>
  <c r="J47" i="1" s="1"/>
  <c r="K38" i="1"/>
  <c r="K47" i="1"/>
  <c r="W46" i="3"/>
  <c r="W47" i="3" s="1"/>
  <c r="U41" i="3"/>
  <c r="X47" i="3"/>
  <c r="W38" i="3"/>
  <c r="BC37" i="3"/>
  <c r="BC39" i="3"/>
  <c r="BD39" i="3" s="1"/>
  <c r="S47" i="3"/>
  <c r="S37" i="3"/>
  <c r="R46" i="3"/>
  <c r="R47" i="3" s="1"/>
  <c r="S38" i="3"/>
  <c r="S47" i="2"/>
  <c r="S38" i="2"/>
  <c r="S37" i="2"/>
  <c r="R46" i="2"/>
  <c r="R47" i="2" s="1"/>
  <c r="J46" i="2"/>
  <c r="J47" i="2" s="1"/>
  <c r="K38" i="2"/>
  <c r="K47" i="2"/>
  <c r="W38" i="2"/>
  <c r="X47" i="2"/>
  <c r="W39" i="2"/>
  <c r="W46" i="2"/>
  <c r="W47" i="2" s="1"/>
  <c r="BC39" i="2"/>
  <c r="BD39" i="2" s="1"/>
  <c r="BC37" i="2"/>
  <c r="W38" i="1"/>
  <c r="AO39" i="1"/>
  <c r="X47" i="1"/>
  <c r="W46" i="1"/>
  <c r="W47" i="1" s="1"/>
  <c r="BC37" i="1"/>
  <c r="BC39" i="1"/>
  <c r="BD39" i="1" s="1"/>
  <c r="S37" i="1"/>
  <c r="R46" i="1"/>
  <c r="R47" i="1" s="1"/>
  <c r="S38" i="1"/>
  <c r="S47" i="1"/>
  <c r="BC40" i="3" l="1"/>
  <c r="BD41" i="3" s="1"/>
  <c r="BD46" i="3"/>
  <c r="BD38" i="3"/>
  <c r="BC43" i="3"/>
  <c r="BC45" i="3"/>
  <c r="BC46" i="3" s="1"/>
  <c r="BC43" i="2"/>
  <c r="BD46" i="2"/>
  <c r="BC40" i="2"/>
  <c r="BD41" i="2" s="1"/>
  <c r="BD38" i="2"/>
  <c r="BC45" i="2"/>
  <c r="BC46" i="2" s="1"/>
  <c r="BC40" i="1"/>
  <c r="BD41" i="1" s="1"/>
  <c r="BD38" i="1"/>
  <c r="BC43" i="1"/>
  <c r="BD46" i="1"/>
  <c r="BC45" i="1"/>
  <c r="BC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FDEEF786-909A-B24E-BB95-6686DE602825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D7AC539-2D8C-DF49-B193-6614AA51E0F4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3169579-5C66-604D-B57C-0C9B51CA3514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<sst xmlns="http://schemas.openxmlformats.org/spreadsheetml/2006/main" count="502" uniqueCount="104">
  <si>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</si>
  <si>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</si>
  <si>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</si>
  <si>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</si>
  <si>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</si>
  <si>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</si>
  <si>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アフターランチ・T/O（税込）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</si>
  <si>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</si>
  <si>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9/8まで　ピコレコラボ9/14~10/6まで</t>
    <phoneticPr fontId="8"/>
  </si>
  <si>
    <t>L+D＋T/O＋宴会場+BG（人数は含まず）TOTAL</t>
    <rPh sb="19" eb="22">
      <t xml:space="preserve">エンカイジョウ </t>
    </rPh>
    <phoneticPr fontId="8"/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</si>
  <si>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</si>
  <si>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</si>
  <si>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</si>
  <si>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</si>
  <si>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</si>
  <si>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</si>
  <si>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</si>
  <si>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</si>
  <si>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</si>
  <si>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</si>
  <si>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</si>
  <si>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</si>
  <si>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</si>
  <si>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</si>
  <si>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</si>
  <si>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r>
      <rPr>
        <b/>
        <sz val="6"/>
        <color rgb="FF000000"/>
        <rFont val="游ゴシック"/>
        <family val="3"/>
        <charset val="128"/>
        <scheme val="minor"/>
      </rPr>
      <t>アフタヌーンティー</t>
    </r>
    <r>
      <rPr>
        <b/>
        <sz val="9"/>
        <color indexed="8"/>
        <rFont val="游ゴシック"/>
        <family val="3"/>
        <charset val="128"/>
        <scheme val="minor"/>
      </rPr>
      <t>実績</t>
    </r>
    <rPh sb="9" eb="11">
      <t>ジッセキ</t>
    </rPh>
    <phoneticPr fontId="11"/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</si>
  <si>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</si>
  <si>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</si>
  <si>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</si>
  <si>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</si>
  <si>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</si>
  <si>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</si>
  <si>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</si>
  <si>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</si>
  <si>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</si>
  <si>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</si>
  <si>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</si>
  <si>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</si>
  <si>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</si>
  <si>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</si>
  <si>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</si>
  <si>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</si>
  <si>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</si>
  <si>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</si>
  <si>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</si>
  <si>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</si>
  <si>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</si>
  <si>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</si>
  <si>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</si>
  <si>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</si>
  <si>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</si>
  <si>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</si>
  <si>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</si>
  <si>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</si>
  <si>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</si>
  <si>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</si>
  <si>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</si>
  <si>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</si>
  <si>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</si>
  <si>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</si>
  <si>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</si>
  <si>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</si>
  <si>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</si>
  <si>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</si>
  <si>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</si>
  <si>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</si>
  <si>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</si>
  <si>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</si>
  <si>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</si>
  <si>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</si>
  <si>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</si>
  <si>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</si>
  <si>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</si>
  <si>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</si>
  <si>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</si>
  <si>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</si>
  <si>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</si>
  <si>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</si>
  <si>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</si>
  <si>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</si>
  <si>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</si>
  <si>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</si>
  <si>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</si>
  <si>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</si>
  <si>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</si>
  <si>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</si>
  <si>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</si>
  <si>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</si>
  <si>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</si>
  <si>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</si>
  <si>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</si>
  <si>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</si>
  <si>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</si>
  <si>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</si>
  <si>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</si>
  <si>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</si>
  <si>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</si>
  <si>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</si>
  <si>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</si>
  <si>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</si>
  <si>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</si>
  <si>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レストラン営業終了後トータル売上（アフターランチ除く・入力用税込）</t>
    <rPh sb="24" eb="25">
      <t>ノゾ</t>
    </rPh>
    <phoneticPr fontId="11"/>
  </si>
  <si>
    <t>TEAタイム予算</t>
    <phoneticPr fontId="11"/>
  </si>
  <si>
    <t>ランチ貸切料金</t>
    <rPh sb="3" eb="5">
      <t>カシキリ</t>
    </rPh>
    <rPh sb="5" eb="7">
      <t>リョウキン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</si>
</sst>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6"/>
      <color rgb="FF00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4"/>
      <color indexed="8"/>
      <name val="Meiryo U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2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2" fillId="0" borderId="24" xfId="3" applyNumberFormat="1" applyFont="1" applyBorder="1" applyAlignment="1">
      <alignment horizontal="left"/>
    </xf>
    <xf numFmtId="38" fontId="3" fillId="0" borderId="24" xfId="3" applyNumberFormat="1" applyFont="1" applyBorder="1"/>
    <xf numFmtId="179" fontId="3" fillId="0" borderId="25" xfId="3" applyNumberFormat="1" applyFont="1" applyBorder="1"/>
    <xf numFmtId="180" fontId="3" fillId="2" borderId="25" xfId="4" applyNumberFormat="1" applyFont="1" applyFill="1" applyBorder="1"/>
    <xf numFmtId="38" fontId="3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3" fillId="0" borderId="27" xfId="3" applyNumberFormat="1" applyFont="1" applyBorder="1"/>
    <xf numFmtId="181" fontId="3" fillId="0" borderId="25" xfId="3" applyNumberFormat="1" applyFont="1" applyBorder="1"/>
    <xf numFmtId="180" fontId="3" fillId="3" borderId="25" xfId="4" applyNumberFormat="1" applyFont="1" applyFill="1" applyBorder="1"/>
    <xf numFmtId="38" fontId="3" fillId="0" borderId="25" xfId="4" applyFont="1" applyBorder="1"/>
    <xf numFmtId="38" fontId="9" fillId="0" borderId="22" xfId="4" applyFont="1" applyBorder="1"/>
    <xf numFmtId="180" fontId="3" fillId="0" borderId="28" xfId="4" applyNumberFormat="1" applyFont="1" applyBorder="1"/>
    <xf numFmtId="38" fontId="3" fillId="9" borderId="24" xfId="4" applyFont="1" applyFill="1" applyBorder="1"/>
    <xf numFmtId="179" fontId="3" fillId="4" borderId="25" xfId="3" applyNumberFormat="1" applyFont="1" applyFill="1" applyBorder="1"/>
    <xf numFmtId="180" fontId="3" fillId="10" borderId="25" xfId="4" applyNumberFormat="1" applyFont="1" applyFill="1" applyBorder="1"/>
    <xf numFmtId="38" fontId="3" fillId="3" borderId="22" xfId="4" applyFont="1" applyFill="1" applyBorder="1"/>
    <xf numFmtId="40" fontId="3" fillId="11" borderId="22" xfId="3" applyNumberFormat="1" applyFont="1" applyFill="1" applyBorder="1"/>
    <xf numFmtId="40" fontId="3" fillId="0" borderId="26" xfId="3" applyNumberFormat="1" applyFont="1" applyBorder="1"/>
    <xf numFmtId="38" fontId="3" fillId="12" borderId="22" xfId="3" applyNumberFormat="1" applyFont="1" applyFill="1" applyBorder="1"/>
    <xf numFmtId="38" fontId="5" fillId="3" borderId="22" xfId="4" applyFont="1" applyFill="1" applyBorder="1"/>
    <xf numFmtId="180" fontId="3" fillId="0" borderId="26" xfId="4" applyNumberFormat="1" applyFont="1" applyBorder="1"/>
    <xf numFmtId="38" fontId="9" fillId="0" borderId="24" xfId="4" applyFont="1" applyBorder="1"/>
    <xf numFmtId="38" fontId="3" fillId="0" borderId="24" xfId="4" applyFont="1" applyBorder="1"/>
    <xf numFmtId="38" fontId="3" fillId="13" borderId="4" xfId="4" applyFont="1" applyFill="1" applyBorder="1"/>
    <xf numFmtId="38" fontId="3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3" fillId="0" borderId="0" xfId="4" applyFont="1"/>
    <xf numFmtId="178" fontId="12" fillId="0" borderId="7" xfId="3" applyNumberFormat="1" applyFont="1" applyBorder="1" applyAlignment="1">
      <alignment horizontal="left"/>
    </xf>
    <xf numFmtId="38" fontId="3" fillId="0" borderId="7" xfId="3" applyNumberFormat="1" applyFont="1" applyBorder="1"/>
    <xf numFmtId="180" fontId="3" fillId="0" borderId="4" xfId="4" applyNumberFormat="1" applyFont="1" applyBorder="1"/>
    <xf numFmtId="38" fontId="3" fillId="0" borderId="22" xfId="4" applyFont="1" applyBorder="1"/>
    <xf numFmtId="180" fontId="3" fillId="0" borderId="9" xfId="4" applyNumberFormat="1" applyFont="1" applyBorder="1"/>
    <xf numFmtId="38" fontId="3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179" fontId="3" fillId="4" borderId="22" xfId="3" applyNumberFormat="1" applyFont="1" applyFill="1" applyBorder="1"/>
    <xf numFmtId="180" fontId="3" fillId="10" borderId="22" xfId="4" applyNumberFormat="1" applyFont="1" applyFill="1" applyBorder="1"/>
    <xf numFmtId="38" fontId="3" fillId="8" borderId="22" xfId="4" applyFont="1" applyFill="1" applyBorder="1"/>
    <xf numFmtId="180" fontId="3" fillId="3" borderId="2" xfId="4" applyNumberFormat="1" applyFont="1" applyFill="1" applyBorder="1"/>
    <xf numFmtId="180" fontId="3" fillId="0" borderId="29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30" xfId="4" applyNumberFormat="1" applyFont="1" applyBorder="1"/>
    <xf numFmtId="38" fontId="3" fillId="13" borderId="32" xfId="4" applyFont="1" applyFill="1" applyBorder="1"/>
    <xf numFmtId="38" fontId="3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3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3" fillId="0" borderId="12" xfId="3" applyNumberFormat="1" applyFont="1" applyBorder="1"/>
    <xf numFmtId="38" fontId="9" fillId="7" borderId="12" xfId="3" applyNumberFormat="1" applyFont="1" applyFill="1" applyBorder="1"/>
    <xf numFmtId="182" fontId="14" fillId="0" borderId="34" xfId="3" applyNumberFormat="1" applyFont="1" applyBorder="1" applyAlignment="1">
      <alignment shrinkToFit="1"/>
    </xf>
    <xf numFmtId="0" fontId="5" fillId="0" borderId="12" xfId="3" applyFont="1" applyBorder="1"/>
    <xf numFmtId="180" fontId="5" fillId="0" borderId="34" xfId="3" applyNumberFormat="1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5" fillId="12" borderId="34" xfId="3" applyNumberFormat="1" applyFont="1" applyFill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3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3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6" xfId="3" applyFont="1" applyBorder="1"/>
    <xf numFmtId="0" fontId="3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6" xfId="3" applyFont="1" applyBorder="1"/>
    <xf numFmtId="185" fontId="3" fillId="0" borderId="0" xfId="4" applyNumberFormat="1" applyFont="1"/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38" fontId="19" fillId="0" borderId="0" xfId="3" applyNumberFormat="1" applyFont="1"/>
    <xf numFmtId="38" fontId="19" fillId="0" borderId="0" xfId="1" applyFont="1" applyAlignment="1"/>
    <xf numFmtId="10" fontId="19" fillId="0" borderId="0" xfId="2" applyNumberFormat="1" applyFont="1" applyAlignment="1"/>
    <xf numFmtId="38" fontId="19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20" fillId="0" borderId="0" xfId="5" applyFont="1" applyAlignment="1">
      <alignment vertical="center"/>
    </xf>
    <xf numFmtId="10" fontId="20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1" fillId="0" borderId="0" xfId="4" applyFont="1" applyAlignment="1">
      <alignment vertical="center"/>
    </xf>
    <xf numFmtId="0" fontId="21" fillId="0" borderId="0" xfId="3" applyFont="1" applyAlignment="1">
      <alignment vertical="center"/>
    </xf>
    <xf numFmtId="38" fontId="5" fillId="0" borderId="37" xfId="4" applyFont="1" applyBorder="1" applyAlignment="1">
      <alignment horizontal="center" vertical="center"/>
    </xf>
    <xf numFmtId="38" fontId="21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21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0" borderId="37" xfId="3" applyFont="1" applyBorder="1" applyAlignment="1">
      <alignment horizontal="center" vertical="center"/>
    </xf>
    <xf numFmtId="38" fontId="9" fillId="0" borderId="0" xfId="3" applyNumberFormat="1" applyFont="1"/>
    <xf numFmtId="0" fontId="5" fillId="0" borderId="37" xfId="3" applyFont="1" applyBorder="1" applyAlignment="1">
      <alignment horizontal="center" vertical="center"/>
    </xf>
    <xf numFmtId="38" fontId="22" fillId="0" borderId="37" xfId="3" applyNumberFormat="1" applyFont="1" applyBorder="1" applyAlignment="1">
      <alignment horizontal="right" vertical="center"/>
    </xf>
    <xf numFmtId="0" fontId="22" fillId="0" borderId="37" xfId="3" applyFont="1" applyBorder="1" applyAlignment="1">
      <alignment horizontal="right" vertical="center"/>
    </xf>
    <xf numFmtId="38" fontId="5" fillId="15" borderId="37" xfId="4" applyFont="1" applyFill="1" applyBorder="1" applyAlignment="1">
      <alignment horizontal="center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6" borderId="37" xfId="4" applyFont="1" applyFill="1" applyBorder="1" applyAlignment="1">
      <alignment horizontal="center" vertical="center"/>
    </xf>
    <xf numFmtId="0" fontId="5" fillId="17" borderId="37" xfId="3" applyFont="1" applyFill="1" applyBorder="1" applyAlignment="1">
      <alignment horizontal="center" vertical="center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left" vertical="top" wrapText="1"/>
    </xf>
    <xf numFmtId="177" fontId="7" fillId="0" borderId="1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</cellXfs>
  <cellStyles count="6">
    <cellStyle name="Excel Built-in Comma [0]" xfId="4" xr:uid="{16763EBF-6B82-B74A-B44B-406D207FE96F}"/>
    <cellStyle name="Excel Built-in Currency [0]" xfId="5" xr:uid="{CDF7C23D-3DD2-4949-9303-F2C7C2CD1B5E}"/>
    <cellStyle name="Excel Built-in Normal 1" xfId="3" xr:uid="{0FC61FC9-1748-CD4A-B2A0-D0B27A81813E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apporoshinkoukousha77/Downloads/GA&#22770;&#19978;&#26085;&#22577;.xlsx" TargetMode="External"/><Relationship Id="rId2" Type="http://schemas.openxmlformats.org/officeDocument/2006/relationships/externalLinkPath" Target="/Users/sapporoshinkoukousha77/Downloads/GA&#22770;&#19978;&#26085;&#22577;.xlsx" TargetMode="External"/><Relationship Id="rId1" Type="http://schemas.openxmlformats.org/officeDocument/2006/relationships/externalLinkPath" Target="/Users/sapporoshinkoukousha77/Downloads/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>
        <row r="34">
          <cell r="AX34">
            <v>971270</v>
          </cell>
        </row>
        <row r="35">
          <cell r="AX35">
            <v>1876020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993-60E1-0243-93D2-76D4B1C31B2E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32"/>
    <col min="2" max="2" width="10.42578125" style="114" customWidth="1"/>
    <col min="3" max="3" width="12.42578125" style="32" customWidth="1"/>
    <col min="4" max="4" width="4.140625" style="32" customWidth="1"/>
    <col min="5" max="9" width="8.42578125" style="32" customWidth="1"/>
    <col min="10" max="10" width="12" style="32" customWidth="1"/>
    <col min="11" max="11" width="8.42578125" style="32" customWidth="1"/>
    <col min="12" max="12" width="3.85546875" style="32" customWidth="1"/>
    <col min="13" max="17" width="8.42578125" style="32" customWidth="1"/>
    <col min="18" max="18" width="12.42578125" style="32" customWidth="1"/>
    <col min="19" max="19" width="8.42578125" style="32" customWidth="1"/>
    <col min="20" max="23" width="11.140625" style="32"/>
    <col min="24" max="24" width="7.5703125" style="32" customWidth="1"/>
    <col min="25" max="25" width="3" style="32" customWidth="1"/>
    <col min="26" max="26" width="7" style="32" customWidth="1"/>
    <col min="27" max="27" width="6.7109375" style="32" customWidth="1"/>
    <col min="28" max="31" width="7.5703125" style="32" customWidth="1"/>
    <col min="32" max="32" width="10" style="32" customWidth="1"/>
    <col min="33" max="33" width="7.5703125" style="32" customWidth="1"/>
    <col min="34" max="34" width="3.5703125" style="32" customWidth="1"/>
    <col min="35" max="39" width="7.5703125" style="32" customWidth="1"/>
    <col min="40" max="40" width="11.85546875" style="32" customWidth="1"/>
    <col min="41" max="41" width="10" style="32" customWidth="1"/>
    <col min="42" max="42" width="4.140625" style="32" customWidth="1"/>
    <col min="43" max="43" width="7.5703125" style="32" customWidth="1"/>
    <col min="44" max="44" width="15.85546875" style="32" customWidth="1"/>
    <col min="45" max="47" width="7.5703125" style="32" customWidth="1"/>
    <col min="48" max="49" width="9.140625" style="32" customWidth="1"/>
    <col min="50" max="50" width="11.28515625" style="32" customWidth="1"/>
    <col min="51" max="51" width="9.85546875" style="32" customWidth="1"/>
    <col min="52" max="52" width="5.7109375" style="32" customWidth="1"/>
    <col min="53" max="54" width="9.140625" style="32" customWidth="1"/>
    <col min="55" max="55" width="13.5703125" style="32" customWidth="1"/>
    <col min="56" max="56" width="11.140625" style="32"/>
    <col min="57" max="57" width="14.85546875" style="32" customWidth="1"/>
    <col min="58" max="63" width="11.140625" style="32"/>
    <col min="64" max="64" width="11.140625" style="62"/>
    <col min="65" max="65" width="11.140625" style="32"/>
    <col min="66" max="66" width="11.140625" style="62"/>
    <col min="67" max="16384" width="11.140625" style="32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214" t="s">
        <v>2</v>
      </c>
      <c r="C3" s="10"/>
      <c r="D3" s="215" t="s">
        <v>3</v>
      </c>
      <c r="E3" s="215"/>
      <c r="F3" s="215"/>
      <c r="G3" s="215"/>
      <c r="H3" s="215"/>
      <c r="I3" s="215"/>
      <c r="J3" s="215"/>
      <c r="K3" s="215"/>
      <c r="L3" s="216" t="s">
        <v>4</v>
      </c>
      <c r="M3" s="216"/>
      <c r="N3" s="216"/>
      <c r="O3" s="216"/>
      <c r="P3" s="216"/>
      <c r="Q3" s="216"/>
      <c r="R3" s="216"/>
      <c r="S3" s="216"/>
      <c r="T3" s="208" t="s">
        <v>5</v>
      </c>
      <c r="U3" s="208"/>
      <c r="V3" s="208"/>
      <c r="W3" s="208"/>
      <c r="X3" s="208"/>
      <c r="Y3" s="217" t="s">
        <v>6</v>
      </c>
      <c r="Z3" s="217"/>
      <c r="AA3" s="217"/>
      <c r="AB3" s="217"/>
      <c r="AC3" s="217"/>
      <c r="AD3" s="217"/>
      <c r="AE3" s="217"/>
      <c r="AF3" s="217"/>
      <c r="AG3" s="218"/>
      <c r="AH3" s="219" t="s">
        <v>7</v>
      </c>
      <c r="AI3" s="220"/>
      <c r="AJ3" s="220"/>
      <c r="AK3" s="220"/>
      <c r="AL3" s="220"/>
      <c r="AM3" s="220"/>
      <c r="AN3" s="220"/>
      <c r="AO3" s="221"/>
      <c r="AP3" s="204" t="s">
        <v>8</v>
      </c>
      <c r="AQ3" s="205"/>
      <c r="AR3" s="205"/>
      <c r="AS3" s="205"/>
      <c r="AT3" s="205"/>
      <c r="AU3" s="205"/>
      <c r="AV3" s="205"/>
      <c r="AW3" s="205"/>
      <c r="AX3" s="205"/>
      <c r="AY3" s="206"/>
      <c r="AZ3" s="207" t="s">
        <v>9</v>
      </c>
      <c r="BA3" s="208"/>
      <c r="BB3" s="208"/>
      <c r="BC3" s="208"/>
      <c r="BD3" s="209"/>
      <c r="BE3" s="210" t="s">
        <v>101</v>
      </c>
      <c r="BF3" s="211"/>
      <c r="BG3" s="211"/>
      <c r="BH3" s="211"/>
      <c r="BI3" s="211"/>
      <c r="BJ3" s="211"/>
      <c r="BK3" s="211"/>
      <c r="BL3" s="212"/>
      <c r="BN3" s="4"/>
    </row>
    <row r="4" spans="1:68" s="8" customFormat="1" ht="53.25" customHeight="1" thickTop="1" thickBot="1">
      <c r="A4" s="11"/>
      <c r="B4" s="214"/>
      <c r="C4" s="12" t="s">
        <v>10</v>
      </c>
      <c r="D4" s="13" t="s">
        <v>11</v>
      </c>
      <c r="E4" s="14" t="s">
        <v>12</v>
      </c>
      <c r="F4" s="13" t="s">
        <v>13</v>
      </c>
      <c r="G4" s="15" t="s">
        <v>14</v>
      </c>
      <c r="H4" s="13" t="s">
        <v>15</v>
      </c>
      <c r="I4" s="16" t="s">
        <v>16</v>
      </c>
      <c r="J4" s="14" t="s">
        <v>17</v>
      </c>
      <c r="K4" s="13" t="s">
        <v>18</v>
      </c>
      <c r="L4" s="13" t="s">
        <v>19</v>
      </c>
      <c r="M4" s="17" t="s">
        <v>12</v>
      </c>
      <c r="N4" s="13" t="s">
        <v>13</v>
      </c>
      <c r="O4" s="15" t="s">
        <v>14</v>
      </c>
      <c r="P4" s="13" t="s">
        <v>15</v>
      </c>
      <c r="Q4" s="16" t="s">
        <v>16</v>
      </c>
      <c r="R4" s="14" t="s">
        <v>17</v>
      </c>
      <c r="S4" s="18" t="s">
        <v>18</v>
      </c>
      <c r="T4" s="19" t="s">
        <v>20</v>
      </c>
      <c r="U4" s="20" t="s">
        <v>21</v>
      </c>
      <c r="V4" s="20" t="s">
        <v>22</v>
      </c>
      <c r="W4" s="21" t="s">
        <v>23</v>
      </c>
      <c r="X4" s="20"/>
      <c r="Y4" s="22" t="s">
        <v>24</v>
      </c>
      <c r="Z4" s="20" t="s">
        <v>12</v>
      </c>
      <c r="AA4" s="20" t="s">
        <v>25</v>
      </c>
      <c r="AB4" s="20" t="s">
        <v>21</v>
      </c>
      <c r="AC4" s="23" t="s">
        <v>26</v>
      </c>
      <c r="AD4" s="20" t="s">
        <v>22</v>
      </c>
      <c r="AE4" s="21" t="s">
        <v>27</v>
      </c>
      <c r="AF4" s="24" t="s">
        <v>28</v>
      </c>
      <c r="AG4" s="25" t="s">
        <v>18</v>
      </c>
      <c r="AH4" s="26" t="s">
        <v>29</v>
      </c>
      <c r="AI4" s="13" t="s">
        <v>12</v>
      </c>
      <c r="AJ4" s="13" t="s">
        <v>21</v>
      </c>
      <c r="AK4" s="15" t="s">
        <v>26</v>
      </c>
      <c r="AL4" s="13" t="s">
        <v>22</v>
      </c>
      <c r="AM4" s="16" t="s">
        <v>27</v>
      </c>
      <c r="AN4" s="17" t="s">
        <v>28</v>
      </c>
      <c r="AO4" s="23" t="s">
        <v>18</v>
      </c>
      <c r="AP4" s="27" t="s">
        <v>29</v>
      </c>
      <c r="AQ4" s="13" t="s">
        <v>12</v>
      </c>
      <c r="AR4" s="13" t="s">
        <v>21</v>
      </c>
      <c r="AS4" s="15" t="s">
        <v>26</v>
      </c>
      <c r="AT4" s="13" t="s">
        <v>22</v>
      </c>
      <c r="AU4" s="16" t="s">
        <v>27</v>
      </c>
      <c r="AV4" s="16" t="s">
        <v>30</v>
      </c>
      <c r="AW4" s="16" t="s">
        <v>31</v>
      </c>
      <c r="AX4" s="17" t="s">
        <v>28</v>
      </c>
      <c r="AY4" s="23" t="s">
        <v>18</v>
      </c>
      <c r="AZ4" s="23" t="s">
        <v>20</v>
      </c>
      <c r="BA4" s="20" t="s">
        <v>21</v>
      </c>
      <c r="BB4" s="20" t="s">
        <v>22</v>
      </c>
      <c r="BC4" s="21" t="s">
        <v>23</v>
      </c>
      <c r="BD4" s="21" t="s">
        <v>32</v>
      </c>
      <c r="BE4" s="28" t="s">
        <v>33</v>
      </c>
      <c r="BF4" s="29" t="s">
        <v>34</v>
      </c>
      <c r="BG4" s="29" t="s">
        <v>35</v>
      </c>
      <c r="BH4" s="29" t="s">
        <v>36</v>
      </c>
      <c r="BI4" s="29" t="s">
        <v>37</v>
      </c>
      <c r="BJ4" s="29" t="s">
        <v>38</v>
      </c>
      <c r="BK4" s="29" t="s">
        <v>39</v>
      </c>
      <c r="BL4" s="30" t="s">
        <v>40</v>
      </c>
      <c r="BN4" s="31"/>
    </row>
    <row r="5" spans="1:68" ht="20" customHeight="1" thickTop="1">
      <c r="B5" s="33">
        <f>DATE($A$2,$B$2,1)</f>
        <v>45839</v>
      </c>
      <c r="C5" s="34"/>
      <c r="D5" s="35"/>
      <c r="E5" s="36">
        <v>18</v>
      </c>
      <c r="F5" s="37">
        <v>77000</v>
      </c>
      <c r="G5" s="38">
        <f t="shared" ref="G5:G35" si="0">ROUNDDOWN(F5/1.1,0)/E5</f>
        <v>3888.8888888888887</v>
      </c>
      <c r="H5" s="37">
        <v>11900</v>
      </c>
      <c r="I5" s="39">
        <f>ROUNDDOWN(H5/1.1,0)/E5</f>
        <v>601</v>
      </c>
      <c r="J5" s="40">
        <f t="shared" ref="J5:J35" si="1">F5+H5</f>
        <v>88900</v>
      </c>
      <c r="K5" s="41">
        <f t="shared" ref="K5:K35" si="2">IF(E5="","",J5/E5)</f>
        <v>4938.8888888888887</v>
      </c>
      <c r="L5" s="42"/>
      <c r="M5" s="43">
        <f t="shared" ref="M5:N35" si="3">BE5-E5</f>
        <v>16</v>
      </c>
      <c r="N5" s="44">
        <f t="shared" si="3"/>
        <v>142120</v>
      </c>
      <c r="O5" s="38">
        <f t="shared" ref="O5:O35" si="4">ROUNDDOWN(N5/1.1,0)/M5</f>
        <v>8075</v>
      </c>
      <c r="P5" s="44">
        <f t="shared" ref="P5:P35" si="5">BG5-H5</f>
        <v>29810</v>
      </c>
      <c r="Q5" s="39">
        <f t="shared" ref="Q5:Q35" si="6">ROUNDDOWN(P5/1.1,0)/M5</f>
        <v>1693.75</v>
      </c>
      <c r="R5" s="45">
        <f t="shared" ref="R5:R35" si="7">N5+P5</f>
        <v>171930</v>
      </c>
      <c r="S5" s="41">
        <f t="shared" ref="S5:S35" si="8">IF(M5="","",R5/M5)</f>
        <v>10745.625</v>
      </c>
      <c r="T5" s="46">
        <f t="shared" ref="T5:U35" si="9">E5+M5</f>
        <v>34</v>
      </c>
      <c r="U5" s="44">
        <f t="shared" si="9"/>
        <v>219120</v>
      </c>
      <c r="V5" s="44">
        <f t="shared" ref="V5:V35" si="10">H5+P5</f>
        <v>41710</v>
      </c>
      <c r="W5" s="47">
        <f t="shared" ref="W5:W35" si="11">J5+R5</f>
        <v>260830</v>
      </c>
      <c r="X5" s="44"/>
      <c r="Y5" s="48"/>
      <c r="Z5" s="49">
        <v>1</v>
      </c>
      <c r="AA5" s="49"/>
      <c r="AB5" s="37">
        <v>2500</v>
      </c>
      <c r="AC5" s="38">
        <f t="shared" ref="AC5:AC35" si="12">AB5/Z5</f>
        <v>2500</v>
      </c>
      <c r="AD5" s="37">
        <v>250</v>
      </c>
      <c r="AE5" s="39">
        <f t="shared" ref="AE5:AE35" si="13">AD5/Z5</f>
        <v>250</v>
      </c>
      <c r="AF5" s="50">
        <f t="shared" ref="AF5:AF35" si="14">AB5+AD5</f>
        <v>2750</v>
      </c>
      <c r="AG5" s="41">
        <f t="shared" ref="AG5:AG35" si="15">IF(Z5="","",AF5/Z5)</f>
        <v>2750</v>
      </c>
      <c r="AH5" s="51"/>
      <c r="AI5" s="49"/>
      <c r="AJ5" s="37"/>
      <c r="AK5" s="38" t="e">
        <f t="shared" ref="AK5:AK35" si="16">AJ5/AI5</f>
        <v>#DIV/0!</v>
      </c>
      <c r="AL5" s="37"/>
      <c r="AM5" s="39" t="e">
        <f t="shared" ref="AM5:AM35" si="17">AL5/AI5</f>
        <v>#DIV/0!</v>
      </c>
      <c r="AN5" s="50">
        <f>AJ5+AL5</f>
        <v>0</v>
      </c>
      <c r="AO5" s="52" t="str">
        <f t="shared" ref="AO5:AO35" si="18">IF(AI5="","",AN5/AI5)</f>
        <v/>
      </c>
      <c r="AP5" s="53"/>
      <c r="AQ5" s="49">
        <v>268</v>
      </c>
      <c r="AR5" s="37">
        <v>740050</v>
      </c>
      <c r="AS5" s="38">
        <f t="shared" ref="AS5:AS35" si="19">AR5/AQ5</f>
        <v>2761.3805970149256</v>
      </c>
      <c r="AT5" s="37">
        <v>438750</v>
      </c>
      <c r="AU5" s="39">
        <f t="shared" ref="AU5:AU35" si="20">AT5/AQ5</f>
        <v>1637.1268656716418</v>
      </c>
      <c r="AV5" s="39">
        <v>37290</v>
      </c>
      <c r="AW5" s="39"/>
      <c r="AX5" s="54">
        <f>AR5+AT5+AV5+AW5</f>
        <v>1216090</v>
      </c>
      <c r="AY5" s="52">
        <f t="shared" ref="AY5:AY35" si="21">IF(AQ5="","",AX5/AQ5)</f>
        <v>4537.6492537313434</v>
      </c>
      <c r="AZ5" s="55">
        <f t="shared" ref="AZ5:AZ35" si="22">SUM(E5,M5)</f>
        <v>34</v>
      </c>
      <c r="BA5" s="44">
        <f t="shared" ref="BA5:BA35" si="23">U5+AB5+AJ5+AR5</f>
        <v>961670</v>
      </c>
      <c r="BB5" s="44">
        <f t="shared" ref="BB5:BB35" si="24">V5+AD5+AL5+AT5</f>
        <v>480710</v>
      </c>
      <c r="BC5" s="56">
        <f>W5+AF5+AN5+AX5</f>
        <v>1479670</v>
      </c>
      <c r="BD5" s="57">
        <f>BH5+BI5</f>
        <v>4950</v>
      </c>
      <c r="BE5" s="58">
        <v>34</v>
      </c>
      <c r="BF5" s="59">
        <v>219120</v>
      </c>
      <c r="BG5" s="59">
        <v>41710</v>
      </c>
      <c r="BH5" s="60">
        <v>4950</v>
      </c>
      <c r="BI5" s="60"/>
      <c r="BJ5" s="60"/>
      <c r="BK5" s="60"/>
      <c r="BL5" s="61">
        <f>SUM(BF5:BI5)</f>
        <v>265780</v>
      </c>
      <c r="BM5" s="32">
        <v>1</v>
      </c>
      <c r="BN5" s="62">
        <f t="shared" ref="BN5:BN35" si="25">BK5+BL5</f>
        <v>265780</v>
      </c>
    </row>
    <row r="6" spans="1:68" ht="20" customHeight="1">
      <c r="B6" s="63">
        <f t="shared" ref="B6:B35" si="26">B5+1</f>
        <v>45840</v>
      </c>
      <c r="C6" s="64"/>
      <c r="D6" s="35"/>
      <c r="E6" s="36">
        <v>26</v>
      </c>
      <c r="F6" s="37">
        <v>100980</v>
      </c>
      <c r="G6" s="38">
        <f t="shared" si="0"/>
        <v>3530.7692307692309</v>
      </c>
      <c r="H6" s="37">
        <v>10640</v>
      </c>
      <c r="I6" s="39">
        <f t="shared" ref="I6:I35" si="27">ROUNDDOWN(H6/1.1,0)/E6</f>
        <v>372</v>
      </c>
      <c r="J6" s="40">
        <f t="shared" si="1"/>
        <v>111620</v>
      </c>
      <c r="K6" s="41">
        <f t="shared" si="2"/>
        <v>4293.0769230769229</v>
      </c>
      <c r="L6" s="42"/>
      <c r="M6" s="43">
        <f t="shared" si="3"/>
        <v>5</v>
      </c>
      <c r="N6" s="44">
        <f t="shared" si="3"/>
        <v>110660</v>
      </c>
      <c r="O6" s="38">
        <f t="shared" si="4"/>
        <v>20120</v>
      </c>
      <c r="P6" s="44">
        <f t="shared" si="5"/>
        <v>13460</v>
      </c>
      <c r="Q6" s="39">
        <f t="shared" si="6"/>
        <v>2447.1999999999998</v>
      </c>
      <c r="R6" s="45">
        <f t="shared" si="7"/>
        <v>124120</v>
      </c>
      <c r="S6" s="41">
        <f t="shared" si="8"/>
        <v>24824</v>
      </c>
      <c r="T6" s="65">
        <f t="shared" si="9"/>
        <v>31</v>
      </c>
      <c r="U6" s="44">
        <f t="shared" si="9"/>
        <v>211640</v>
      </c>
      <c r="V6" s="44">
        <f t="shared" si="10"/>
        <v>24100</v>
      </c>
      <c r="W6" s="47">
        <f t="shared" si="11"/>
        <v>235740</v>
      </c>
      <c r="X6" s="66"/>
      <c r="Y6" s="48"/>
      <c r="Z6" s="49">
        <v>2</v>
      </c>
      <c r="AA6" s="49"/>
      <c r="AB6" s="37">
        <v>5000</v>
      </c>
      <c r="AC6" s="38">
        <f t="shared" si="12"/>
        <v>2500</v>
      </c>
      <c r="AD6" s="37">
        <v>500</v>
      </c>
      <c r="AE6" s="39">
        <f t="shared" si="13"/>
        <v>250</v>
      </c>
      <c r="AF6" s="50">
        <f>AB6+AD6</f>
        <v>5500</v>
      </c>
      <c r="AG6" s="41">
        <f t="shared" si="15"/>
        <v>2750</v>
      </c>
      <c r="AH6" s="51"/>
      <c r="AI6" s="49"/>
      <c r="AJ6" s="37"/>
      <c r="AK6" s="38" t="e">
        <f t="shared" si="16"/>
        <v>#DIV/0!</v>
      </c>
      <c r="AL6" s="37"/>
      <c r="AM6" s="39" t="e">
        <f t="shared" si="17"/>
        <v>#DIV/0!</v>
      </c>
      <c r="AN6" s="50">
        <f t="shared" ref="AN6:AN35" si="28">AJ6+AL6</f>
        <v>0</v>
      </c>
      <c r="AO6" s="52" t="str">
        <f t="shared" si="18"/>
        <v/>
      </c>
      <c r="AP6" s="53"/>
      <c r="AQ6" s="49">
        <v>372</v>
      </c>
      <c r="AR6" s="37">
        <v>945550</v>
      </c>
      <c r="AS6" s="38">
        <f t="shared" si="19"/>
        <v>2541.8010752688174</v>
      </c>
      <c r="AT6" s="37">
        <v>505800</v>
      </c>
      <c r="AU6" s="39">
        <f t="shared" si="20"/>
        <v>1359.6774193548388</v>
      </c>
      <c r="AV6" s="39">
        <v>27940</v>
      </c>
      <c r="AW6" s="39"/>
      <c r="AX6" s="54">
        <f>AR6+AT6+AV6+AW6-BP6</f>
        <v>1479290</v>
      </c>
      <c r="AY6" s="52">
        <f t="shared" si="21"/>
        <v>3976.5860215053763</v>
      </c>
      <c r="AZ6" s="67">
        <f t="shared" si="22"/>
        <v>31</v>
      </c>
      <c r="BA6" s="44">
        <f t="shared" si="23"/>
        <v>1162190</v>
      </c>
      <c r="BB6" s="44">
        <f t="shared" si="24"/>
        <v>530400</v>
      </c>
      <c r="BC6" s="56">
        <f>W6+AF6+AN6+AX6</f>
        <v>1720530</v>
      </c>
      <c r="BD6" s="57">
        <f>BH6+BI6</f>
        <v>2750</v>
      </c>
      <c r="BE6" s="58">
        <v>31</v>
      </c>
      <c r="BF6" s="59">
        <v>211640</v>
      </c>
      <c r="BG6" s="59">
        <v>24100</v>
      </c>
      <c r="BH6" s="60">
        <v>2750</v>
      </c>
      <c r="BI6" s="60"/>
      <c r="BJ6" s="60"/>
      <c r="BK6" s="60"/>
      <c r="BL6" s="61">
        <f t="shared" ref="BL6:BL35" si="29">SUM(BF6:BI6)</f>
        <v>238490</v>
      </c>
      <c r="BM6" s="32">
        <v>2</v>
      </c>
      <c r="BN6" s="62">
        <f t="shared" si="25"/>
        <v>238490</v>
      </c>
    </row>
    <row r="7" spans="1:68" ht="20" customHeight="1">
      <c r="B7" s="63">
        <f>B6+1</f>
        <v>45841</v>
      </c>
      <c r="C7" s="64"/>
      <c r="D7" s="35"/>
      <c r="E7" s="36">
        <v>29</v>
      </c>
      <c r="F7" s="37">
        <v>104280</v>
      </c>
      <c r="G7" s="38">
        <f t="shared" si="0"/>
        <v>3268.9655172413795</v>
      </c>
      <c r="H7" s="37">
        <v>5780</v>
      </c>
      <c r="I7" s="39">
        <f t="shared" si="27"/>
        <v>181.17241379310346</v>
      </c>
      <c r="J7" s="40">
        <f t="shared" si="1"/>
        <v>110060</v>
      </c>
      <c r="K7" s="41">
        <f t="shared" si="2"/>
        <v>3795.1724137931033</v>
      </c>
      <c r="L7" s="42"/>
      <c r="M7" s="43">
        <f t="shared" si="3"/>
        <v>11</v>
      </c>
      <c r="N7" s="44">
        <f t="shared" si="3"/>
        <v>116270</v>
      </c>
      <c r="O7" s="38">
        <f t="shared" si="4"/>
        <v>9609.0909090909099</v>
      </c>
      <c r="P7" s="44">
        <f t="shared" si="5"/>
        <v>25640</v>
      </c>
      <c r="Q7" s="39">
        <f t="shared" si="6"/>
        <v>2119</v>
      </c>
      <c r="R7" s="45">
        <f t="shared" si="7"/>
        <v>141910</v>
      </c>
      <c r="S7" s="41">
        <f t="shared" si="8"/>
        <v>12900.90909090909</v>
      </c>
      <c r="T7" s="65">
        <f t="shared" si="9"/>
        <v>40</v>
      </c>
      <c r="U7" s="44">
        <f t="shared" si="9"/>
        <v>220550</v>
      </c>
      <c r="V7" s="44">
        <f t="shared" si="10"/>
        <v>31420</v>
      </c>
      <c r="W7" s="47">
        <f t="shared" si="11"/>
        <v>251970</v>
      </c>
      <c r="X7" s="66"/>
      <c r="Y7" s="48"/>
      <c r="Z7" s="49">
        <v>5</v>
      </c>
      <c r="AA7" s="49"/>
      <c r="AB7" s="37">
        <v>12500</v>
      </c>
      <c r="AC7" s="38">
        <f t="shared" si="12"/>
        <v>2500</v>
      </c>
      <c r="AD7" s="37">
        <v>1250</v>
      </c>
      <c r="AE7" s="39">
        <f t="shared" si="13"/>
        <v>250</v>
      </c>
      <c r="AF7" s="50">
        <f t="shared" si="14"/>
        <v>13750</v>
      </c>
      <c r="AG7" s="41">
        <f t="shared" si="15"/>
        <v>2750</v>
      </c>
      <c r="AH7" s="51"/>
      <c r="AI7" s="49">
        <v>177</v>
      </c>
      <c r="AJ7" s="37">
        <v>791700</v>
      </c>
      <c r="AK7" s="38">
        <f t="shared" si="16"/>
        <v>4472.8813559322034</v>
      </c>
      <c r="AL7" s="37">
        <v>281845</v>
      </c>
      <c r="AM7" s="39">
        <f t="shared" si="17"/>
        <v>1592.3446327683616</v>
      </c>
      <c r="AN7" s="50">
        <f t="shared" si="28"/>
        <v>1073545</v>
      </c>
      <c r="AO7" s="52">
        <f t="shared" si="18"/>
        <v>6065.2259887005648</v>
      </c>
      <c r="AP7" s="53"/>
      <c r="AQ7" s="49">
        <v>331</v>
      </c>
      <c r="AR7" s="37">
        <v>1059750</v>
      </c>
      <c r="AS7" s="38">
        <f t="shared" si="19"/>
        <v>3201.6616314199396</v>
      </c>
      <c r="AT7" s="37">
        <v>545500</v>
      </c>
      <c r="AU7" s="39">
        <f t="shared" si="20"/>
        <v>1648.0362537764349</v>
      </c>
      <c r="AV7" s="39">
        <v>17710</v>
      </c>
      <c r="AW7" s="39"/>
      <c r="AX7" s="54">
        <f>AR7+AT7+AV7+AW7</f>
        <v>1622960</v>
      </c>
      <c r="AY7" s="52">
        <f t="shared" si="21"/>
        <v>4903.2024169184288</v>
      </c>
      <c r="AZ7" s="67">
        <f t="shared" si="22"/>
        <v>40</v>
      </c>
      <c r="BA7" s="44">
        <f t="shared" si="23"/>
        <v>2084500</v>
      </c>
      <c r="BB7" s="44">
        <f t="shared" si="24"/>
        <v>860015</v>
      </c>
      <c r="BC7" s="56">
        <f>W7+AF7+AN7+AX7-BO7</f>
        <v>2962225</v>
      </c>
      <c r="BD7" s="57">
        <f t="shared" ref="BD7:BD35" si="30">BH7+BI7</f>
        <v>3300</v>
      </c>
      <c r="BE7" s="58">
        <v>40</v>
      </c>
      <c r="BF7" s="59">
        <v>220550</v>
      </c>
      <c r="BG7" s="59">
        <v>31420</v>
      </c>
      <c r="BH7" s="60">
        <v>3300</v>
      </c>
      <c r="BI7" s="60"/>
      <c r="BJ7" s="60"/>
      <c r="BK7" s="60"/>
      <c r="BL7" s="61">
        <f>SUM(BF7:BI7)</f>
        <v>255270</v>
      </c>
      <c r="BM7" s="32">
        <v>3</v>
      </c>
      <c r="BN7" s="62">
        <f t="shared" si="25"/>
        <v>255270</v>
      </c>
    </row>
    <row r="8" spans="1:68" ht="20" customHeight="1">
      <c r="B8" s="63">
        <f t="shared" si="26"/>
        <v>45842</v>
      </c>
      <c r="C8" s="64"/>
      <c r="D8" s="35"/>
      <c r="E8" s="36">
        <v>27</v>
      </c>
      <c r="F8" s="37">
        <v>117260</v>
      </c>
      <c r="G8" s="38">
        <f t="shared" si="0"/>
        <v>3948.1481481481483</v>
      </c>
      <c r="H8" s="37">
        <v>16680</v>
      </c>
      <c r="I8" s="39">
        <f t="shared" si="27"/>
        <v>561.59259259259261</v>
      </c>
      <c r="J8" s="40">
        <f t="shared" si="1"/>
        <v>133940</v>
      </c>
      <c r="K8" s="41">
        <f t="shared" si="2"/>
        <v>4960.7407407407409</v>
      </c>
      <c r="L8" s="42"/>
      <c r="M8" s="43">
        <f t="shared" si="3"/>
        <v>36</v>
      </c>
      <c r="N8" s="44">
        <f t="shared" si="3"/>
        <v>323510</v>
      </c>
      <c r="O8" s="38">
        <f t="shared" si="4"/>
        <v>8169.4444444444443</v>
      </c>
      <c r="P8" s="44">
        <f t="shared" si="5"/>
        <v>86470</v>
      </c>
      <c r="Q8" s="39">
        <f t="shared" si="6"/>
        <v>2183.5833333333335</v>
      </c>
      <c r="R8" s="45">
        <f t="shared" si="7"/>
        <v>409980</v>
      </c>
      <c r="S8" s="41">
        <f t="shared" si="8"/>
        <v>11388.333333333334</v>
      </c>
      <c r="T8" s="65">
        <f t="shared" si="9"/>
        <v>63</v>
      </c>
      <c r="U8" s="44">
        <f t="shared" si="9"/>
        <v>440770</v>
      </c>
      <c r="V8" s="44">
        <f t="shared" si="10"/>
        <v>103150</v>
      </c>
      <c r="W8" s="47">
        <f t="shared" si="11"/>
        <v>543920</v>
      </c>
      <c r="X8" s="66"/>
      <c r="Y8" s="48"/>
      <c r="Z8" s="49">
        <v>0</v>
      </c>
      <c r="AA8" s="49"/>
      <c r="AB8" s="37"/>
      <c r="AC8" s="38" t="e">
        <f t="shared" si="12"/>
        <v>#DIV/0!</v>
      </c>
      <c r="AD8" s="37"/>
      <c r="AE8" s="39" t="e">
        <f t="shared" si="13"/>
        <v>#DIV/0!</v>
      </c>
      <c r="AF8" s="50">
        <f t="shared" si="14"/>
        <v>0</v>
      </c>
      <c r="AG8" s="41" t="e">
        <f t="shared" si="15"/>
        <v>#DIV/0!</v>
      </c>
      <c r="AH8" s="51"/>
      <c r="AI8" s="49">
        <v>27</v>
      </c>
      <c r="AJ8" s="37">
        <v>105705</v>
      </c>
      <c r="AK8" s="38">
        <f t="shared" si="16"/>
        <v>3915</v>
      </c>
      <c r="AL8" s="37">
        <v>35235</v>
      </c>
      <c r="AM8" s="39">
        <f t="shared" si="17"/>
        <v>1305</v>
      </c>
      <c r="AN8" s="50">
        <f t="shared" si="28"/>
        <v>140940</v>
      </c>
      <c r="AO8" s="52">
        <f t="shared" si="18"/>
        <v>5220</v>
      </c>
      <c r="AP8" s="53"/>
      <c r="AQ8" s="49">
        <v>463</v>
      </c>
      <c r="AR8" s="37">
        <v>1273500</v>
      </c>
      <c r="AS8" s="38">
        <f t="shared" si="19"/>
        <v>2750.5399568034559</v>
      </c>
      <c r="AT8" s="37">
        <v>696600</v>
      </c>
      <c r="AU8" s="39">
        <f t="shared" si="20"/>
        <v>1504.5356371490282</v>
      </c>
      <c r="AV8" s="39">
        <v>39380</v>
      </c>
      <c r="AW8" s="39"/>
      <c r="AX8" s="54">
        <f t="shared" ref="AX8:AX16" si="31">AR8+AT8+AV8+AW8</f>
        <v>2009480</v>
      </c>
      <c r="AY8" s="52">
        <f t="shared" si="21"/>
        <v>4340.1295896328293</v>
      </c>
      <c r="AZ8" s="67">
        <f t="shared" si="22"/>
        <v>63</v>
      </c>
      <c r="BA8" s="44">
        <f t="shared" si="23"/>
        <v>1819975</v>
      </c>
      <c r="BB8" s="44">
        <f t="shared" si="24"/>
        <v>834985</v>
      </c>
      <c r="BC8" s="56">
        <f>W8+AF8+AN8+AX8</f>
        <v>2694340</v>
      </c>
      <c r="BD8" s="57">
        <f t="shared" si="30"/>
        <v>15400</v>
      </c>
      <c r="BE8" s="58">
        <v>63</v>
      </c>
      <c r="BF8" s="59">
        <v>440770</v>
      </c>
      <c r="BG8" s="59">
        <v>103150</v>
      </c>
      <c r="BH8" s="60">
        <v>13200</v>
      </c>
      <c r="BI8" s="60">
        <v>2200</v>
      </c>
      <c r="BJ8" s="60"/>
      <c r="BK8" s="60"/>
      <c r="BL8" s="61">
        <f>SUM(BF8:BI8)</f>
        <v>559320</v>
      </c>
      <c r="BM8" s="32">
        <v>4</v>
      </c>
      <c r="BN8" s="62">
        <f t="shared" si="25"/>
        <v>559320</v>
      </c>
      <c r="BO8" s="68"/>
      <c r="BP8" s="68"/>
    </row>
    <row r="9" spans="1:68" ht="20" customHeight="1">
      <c r="B9" s="63">
        <f t="shared" si="26"/>
        <v>45843</v>
      </c>
      <c r="C9" s="64"/>
      <c r="D9" s="35"/>
      <c r="E9" s="36">
        <v>31</v>
      </c>
      <c r="F9" s="37">
        <v>144870</v>
      </c>
      <c r="G9" s="38">
        <f t="shared" si="0"/>
        <v>4248.3870967741932</v>
      </c>
      <c r="H9" s="37">
        <v>15260</v>
      </c>
      <c r="I9" s="39">
        <f t="shared" si="27"/>
        <v>447.48387096774195</v>
      </c>
      <c r="J9" s="40">
        <f t="shared" si="1"/>
        <v>160130</v>
      </c>
      <c r="K9" s="41">
        <f t="shared" si="2"/>
        <v>5165.4838709677415</v>
      </c>
      <c r="L9" s="42"/>
      <c r="M9" s="43">
        <f t="shared" si="3"/>
        <v>32</v>
      </c>
      <c r="N9" s="44">
        <f t="shared" si="3"/>
        <v>365970</v>
      </c>
      <c r="O9" s="38">
        <f t="shared" si="4"/>
        <v>10396.875</v>
      </c>
      <c r="P9" s="44">
        <f t="shared" si="5"/>
        <v>79800</v>
      </c>
      <c r="Q9" s="39">
        <f>ROUNDDOWN(P9/1.1,0)/M9</f>
        <v>2267.03125</v>
      </c>
      <c r="R9" s="45">
        <f t="shared" si="7"/>
        <v>445770</v>
      </c>
      <c r="S9" s="41">
        <f t="shared" si="8"/>
        <v>13930.3125</v>
      </c>
      <c r="T9" s="65">
        <f t="shared" si="9"/>
        <v>63</v>
      </c>
      <c r="U9" s="44">
        <f t="shared" si="9"/>
        <v>510840</v>
      </c>
      <c r="V9" s="44">
        <f t="shared" si="10"/>
        <v>95060</v>
      </c>
      <c r="W9" s="47">
        <f t="shared" si="11"/>
        <v>605900</v>
      </c>
      <c r="X9" s="66"/>
      <c r="Y9" s="48"/>
      <c r="Z9" s="49">
        <v>6</v>
      </c>
      <c r="AA9" s="49"/>
      <c r="AB9" s="37">
        <v>15000</v>
      </c>
      <c r="AC9" s="38">
        <f t="shared" si="12"/>
        <v>2500</v>
      </c>
      <c r="AD9" s="37">
        <v>1500</v>
      </c>
      <c r="AE9" s="39">
        <f t="shared" si="13"/>
        <v>250</v>
      </c>
      <c r="AF9" s="50">
        <f t="shared" si="14"/>
        <v>16500</v>
      </c>
      <c r="AG9" s="41">
        <f t="shared" si="15"/>
        <v>2750</v>
      </c>
      <c r="AH9" s="51"/>
      <c r="AI9" s="49">
        <v>12</v>
      </c>
      <c r="AJ9" s="37">
        <v>46980</v>
      </c>
      <c r="AK9" s="38">
        <f t="shared" si="16"/>
        <v>3915</v>
      </c>
      <c r="AL9" s="37">
        <v>15660</v>
      </c>
      <c r="AM9" s="39">
        <f t="shared" si="17"/>
        <v>1305</v>
      </c>
      <c r="AN9" s="50">
        <f t="shared" si="28"/>
        <v>62640</v>
      </c>
      <c r="AO9" s="52">
        <f t="shared" si="18"/>
        <v>5220</v>
      </c>
      <c r="AP9" s="53"/>
      <c r="AQ9" s="49">
        <v>642</v>
      </c>
      <c r="AR9" s="37">
        <v>1983800</v>
      </c>
      <c r="AS9" s="38">
        <f t="shared" si="19"/>
        <v>3090.031152647975</v>
      </c>
      <c r="AT9" s="37">
        <v>1108450</v>
      </c>
      <c r="AU9" s="39">
        <f t="shared" si="20"/>
        <v>1726.5576323987539</v>
      </c>
      <c r="AV9" s="39">
        <v>66440</v>
      </c>
      <c r="AW9" s="39"/>
      <c r="AX9" s="54">
        <f t="shared" si="31"/>
        <v>3158690</v>
      </c>
      <c r="AY9" s="52">
        <f>IF(AQ9="","",AX9/AQ9)</f>
        <v>4920.0778816199381</v>
      </c>
      <c r="AZ9" s="67">
        <f t="shared" si="22"/>
        <v>63</v>
      </c>
      <c r="BA9" s="44">
        <f t="shared" si="23"/>
        <v>2556620</v>
      </c>
      <c r="BB9" s="44">
        <f t="shared" si="24"/>
        <v>1220670</v>
      </c>
      <c r="BC9" s="56">
        <f>W9+AF9+AN9+AX9-BO9</f>
        <v>3843730</v>
      </c>
      <c r="BD9" s="57">
        <f t="shared" si="30"/>
        <v>11000</v>
      </c>
      <c r="BE9" s="58">
        <v>63</v>
      </c>
      <c r="BF9" s="59">
        <v>510840</v>
      </c>
      <c r="BG9" s="59">
        <v>95060</v>
      </c>
      <c r="BH9" s="60">
        <v>9900</v>
      </c>
      <c r="BI9" s="60">
        <v>1100</v>
      </c>
      <c r="BJ9" s="60">
        <v>4400</v>
      </c>
      <c r="BK9" s="60"/>
      <c r="BL9" s="61">
        <f t="shared" si="29"/>
        <v>616900</v>
      </c>
      <c r="BM9" s="32">
        <v>5</v>
      </c>
      <c r="BN9" s="62">
        <f t="shared" si="25"/>
        <v>616900</v>
      </c>
    </row>
    <row r="10" spans="1:68" ht="19.5" customHeight="1">
      <c r="B10" s="63">
        <f t="shared" si="26"/>
        <v>45844</v>
      </c>
      <c r="C10" s="64"/>
      <c r="D10" s="35"/>
      <c r="E10" s="36">
        <v>31</v>
      </c>
      <c r="F10" s="37">
        <v>138820</v>
      </c>
      <c r="G10" s="38">
        <f t="shared" si="0"/>
        <v>4070.9677419354839</v>
      </c>
      <c r="H10" s="37">
        <v>28430</v>
      </c>
      <c r="I10" s="39">
        <f t="shared" si="27"/>
        <v>833.70967741935488</v>
      </c>
      <c r="J10" s="40">
        <f t="shared" si="1"/>
        <v>167250</v>
      </c>
      <c r="K10" s="41">
        <f t="shared" si="2"/>
        <v>5395.1612903225805</v>
      </c>
      <c r="L10" s="42"/>
      <c r="M10" s="43">
        <f t="shared" si="3"/>
        <v>28</v>
      </c>
      <c r="N10" s="44">
        <f t="shared" si="3"/>
        <v>307780</v>
      </c>
      <c r="O10" s="38">
        <f t="shared" si="4"/>
        <v>9992.8571428571431</v>
      </c>
      <c r="P10" s="44">
        <f t="shared" si="5"/>
        <v>83270</v>
      </c>
      <c r="Q10" s="39">
        <f t="shared" si="6"/>
        <v>2703.5714285714284</v>
      </c>
      <c r="R10" s="45">
        <f t="shared" si="7"/>
        <v>391050</v>
      </c>
      <c r="S10" s="41">
        <f t="shared" si="8"/>
        <v>13966.071428571429</v>
      </c>
      <c r="T10" s="65">
        <f t="shared" si="9"/>
        <v>59</v>
      </c>
      <c r="U10" s="44">
        <f t="shared" si="9"/>
        <v>446600</v>
      </c>
      <c r="V10" s="44">
        <f t="shared" si="10"/>
        <v>111700</v>
      </c>
      <c r="W10" s="47">
        <f t="shared" si="11"/>
        <v>558300</v>
      </c>
      <c r="X10" s="66"/>
      <c r="Y10" s="48"/>
      <c r="Z10" s="49">
        <v>0</v>
      </c>
      <c r="AA10" s="49"/>
      <c r="AB10" s="37"/>
      <c r="AC10" s="38" t="e">
        <f t="shared" si="12"/>
        <v>#DIV/0!</v>
      </c>
      <c r="AD10" s="37"/>
      <c r="AE10" s="39" t="e">
        <f t="shared" si="13"/>
        <v>#DIV/0!</v>
      </c>
      <c r="AF10" s="50">
        <f t="shared" si="14"/>
        <v>0</v>
      </c>
      <c r="AG10" s="41" t="e">
        <f t="shared" si="15"/>
        <v>#DIV/0!</v>
      </c>
      <c r="AH10" s="51"/>
      <c r="AI10" s="49"/>
      <c r="AJ10" s="37"/>
      <c r="AK10" s="38" t="e">
        <f t="shared" si="16"/>
        <v>#DIV/0!</v>
      </c>
      <c r="AL10" s="37"/>
      <c r="AM10" s="39" t="e">
        <f t="shared" si="17"/>
        <v>#DIV/0!</v>
      </c>
      <c r="AN10" s="50">
        <f t="shared" si="28"/>
        <v>0</v>
      </c>
      <c r="AO10" s="52" t="str">
        <f t="shared" si="18"/>
        <v/>
      </c>
      <c r="AP10" s="53"/>
      <c r="AQ10" s="49">
        <v>566</v>
      </c>
      <c r="AR10" s="37">
        <v>1469900</v>
      </c>
      <c r="AS10" s="38">
        <f t="shared" si="19"/>
        <v>2596.9964664310955</v>
      </c>
      <c r="AT10" s="37">
        <v>771050</v>
      </c>
      <c r="AU10" s="39">
        <f t="shared" si="20"/>
        <v>1362.2791519434629</v>
      </c>
      <c r="AV10" s="39">
        <v>40370</v>
      </c>
      <c r="AW10" s="39">
        <v>2970</v>
      </c>
      <c r="AX10" s="54">
        <f t="shared" si="31"/>
        <v>2284290</v>
      </c>
      <c r="AY10" s="52">
        <f t="shared" si="21"/>
        <v>4035.8480565371024</v>
      </c>
      <c r="AZ10" s="67">
        <f t="shared" si="22"/>
        <v>59</v>
      </c>
      <c r="BA10" s="44">
        <f t="shared" si="23"/>
        <v>1916500</v>
      </c>
      <c r="BB10" s="44">
        <f t="shared" si="24"/>
        <v>882750</v>
      </c>
      <c r="BC10" s="56">
        <f>W10+AF10+AN10+AX10-BO10</f>
        <v>2842590</v>
      </c>
      <c r="BD10" s="57">
        <f t="shared" si="30"/>
        <v>5500</v>
      </c>
      <c r="BE10" s="58">
        <v>59</v>
      </c>
      <c r="BF10" s="59">
        <v>446600</v>
      </c>
      <c r="BG10" s="59">
        <v>111700</v>
      </c>
      <c r="BH10" s="60">
        <v>3300</v>
      </c>
      <c r="BI10" s="60">
        <v>2200</v>
      </c>
      <c r="BJ10" s="60"/>
      <c r="BK10" s="60"/>
      <c r="BL10" s="61">
        <f t="shared" si="29"/>
        <v>563800</v>
      </c>
      <c r="BM10" s="32">
        <v>6</v>
      </c>
      <c r="BN10" s="62">
        <f t="shared" si="25"/>
        <v>563800</v>
      </c>
    </row>
    <row r="11" spans="1:68" ht="20" customHeight="1">
      <c r="B11" s="63">
        <f t="shared" si="26"/>
        <v>45845</v>
      </c>
      <c r="C11" s="64"/>
      <c r="D11" s="35"/>
      <c r="E11" s="36">
        <v>29</v>
      </c>
      <c r="F11" s="37">
        <v>112640</v>
      </c>
      <c r="G11" s="38">
        <f t="shared" si="0"/>
        <v>3531.0344827586205</v>
      </c>
      <c r="H11" s="37">
        <v>19810</v>
      </c>
      <c r="I11" s="39">
        <f t="shared" si="27"/>
        <v>621</v>
      </c>
      <c r="J11" s="40">
        <f t="shared" si="1"/>
        <v>132450</v>
      </c>
      <c r="K11" s="41">
        <f t="shared" si="2"/>
        <v>4567.2413793103451</v>
      </c>
      <c r="L11" s="42"/>
      <c r="M11" s="43">
        <f t="shared" si="3"/>
        <v>24</v>
      </c>
      <c r="N11" s="44">
        <f t="shared" si="3"/>
        <v>236170</v>
      </c>
      <c r="O11" s="38">
        <f t="shared" si="4"/>
        <v>8945.8333333333339</v>
      </c>
      <c r="P11" s="44">
        <f t="shared" si="5"/>
        <v>50260</v>
      </c>
      <c r="Q11" s="39">
        <f t="shared" si="6"/>
        <v>1903.75</v>
      </c>
      <c r="R11" s="45">
        <f t="shared" si="7"/>
        <v>286430</v>
      </c>
      <c r="S11" s="41">
        <f t="shared" si="8"/>
        <v>11934.583333333334</v>
      </c>
      <c r="T11" s="65">
        <f t="shared" si="9"/>
        <v>53</v>
      </c>
      <c r="U11" s="44">
        <f t="shared" si="9"/>
        <v>348810</v>
      </c>
      <c r="V11" s="44">
        <f t="shared" si="10"/>
        <v>70070</v>
      </c>
      <c r="W11" s="47">
        <f t="shared" si="11"/>
        <v>418880</v>
      </c>
      <c r="X11" s="66"/>
      <c r="Y11" s="48"/>
      <c r="Z11" s="49">
        <v>0</v>
      </c>
      <c r="AA11" s="49"/>
      <c r="AB11" s="37"/>
      <c r="AC11" s="38" t="e">
        <f t="shared" si="12"/>
        <v>#DIV/0!</v>
      </c>
      <c r="AD11" s="37"/>
      <c r="AE11" s="39" t="e">
        <f t="shared" si="13"/>
        <v>#DIV/0!</v>
      </c>
      <c r="AF11" s="50">
        <f t="shared" si="14"/>
        <v>0</v>
      </c>
      <c r="AG11" s="41" t="e">
        <f t="shared" si="15"/>
        <v>#DIV/0!</v>
      </c>
      <c r="AH11" s="51"/>
      <c r="AI11" s="49"/>
      <c r="AJ11" s="37"/>
      <c r="AK11" s="38" t="e">
        <f t="shared" si="16"/>
        <v>#DIV/0!</v>
      </c>
      <c r="AL11" s="37"/>
      <c r="AM11" s="39" t="e">
        <f t="shared" si="17"/>
        <v>#DIV/0!</v>
      </c>
      <c r="AN11" s="50">
        <f t="shared" si="28"/>
        <v>0</v>
      </c>
      <c r="AO11" s="52" t="str">
        <f t="shared" si="18"/>
        <v/>
      </c>
      <c r="AP11" s="53"/>
      <c r="AQ11" s="49">
        <v>393</v>
      </c>
      <c r="AR11" s="37">
        <v>1106150</v>
      </c>
      <c r="AS11" s="38">
        <f t="shared" si="19"/>
        <v>2814.6310432569976</v>
      </c>
      <c r="AT11" s="37">
        <v>623700</v>
      </c>
      <c r="AU11" s="39">
        <f t="shared" si="20"/>
        <v>1587.0229007633588</v>
      </c>
      <c r="AV11" s="39">
        <v>7700</v>
      </c>
      <c r="AW11" s="39"/>
      <c r="AX11" s="54">
        <f t="shared" si="31"/>
        <v>1737550</v>
      </c>
      <c r="AY11" s="52">
        <f t="shared" si="21"/>
        <v>4421.246819338422</v>
      </c>
      <c r="AZ11" s="67">
        <f t="shared" si="22"/>
        <v>53</v>
      </c>
      <c r="BA11" s="44">
        <f t="shared" si="23"/>
        <v>1454960</v>
      </c>
      <c r="BB11" s="44">
        <f t="shared" si="24"/>
        <v>693770</v>
      </c>
      <c r="BC11" s="56">
        <f t="shared" ref="BC11:BC13" si="32">W11+AF11+AN11+AX11</f>
        <v>2156430</v>
      </c>
      <c r="BD11" s="57">
        <f t="shared" si="30"/>
        <v>5500</v>
      </c>
      <c r="BE11" s="58">
        <v>53</v>
      </c>
      <c r="BF11" s="59">
        <v>348810</v>
      </c>
      <c r="BG11" s="59">
        <v>70070</v>
      </c>
      <c r="BH11" s="60">
        <v>3300</v>
      </c>
      <c r="BI11" s="60">
        <v>2200</v>
      </c>
      <c r="BJ11" s="60">
        <v>3300</v>
      </c>
      <c r="BK11" s="60"/>
      <c r="BL11" s="61">
        <f t="shared" si="29"/>
        <v>424380</v>
      </c>
      <c r="BM11" s="32">
        <v>7</v>
      </c>
      <c r="BN11" s="62">
        <f t="shared" si="25"/>
        <v>424380</v>
      </c>
    </row>
    <row r="12" spans="1:68" ht="20" customHeight="1">
      <c r="B12" s="63">
        <f t="shared" si="26"/>
        <v>45846</v>
      </c>
      <c r="C12" s="69"/>
      <c r="D12" s="35"/>
      <c r="E12" s="36">
        <v>23</v>
      </c>
      <c r="F12" s="37">
        <v>87450</v>
      </c>
      <c r="G12" s="38">
        <f t="shared" si="0"/>
        <v>3456.521739130435</v>
      </c>
      <c r="H12" s="37">
        <v>27640</v>
      </c>
      <c r="I12" s="39">
        <f t="shared" si="27"/>
        <v>1092.4782608695652</v>
      </c>
      <c r="J12" s="40">
        <f t="shared" si="1"/>
        <v>115090</v>
      </c>
      <c r="K12" s="41">
        <f t="shared" si="2"/>
        <v>5003.913043478261</v>
      </c>
      <c r="L12" s="42"/>
      <c r="M12" s="43">
        <f t="shared" si="3"/>
        <v>15</v>
      </c>
      <c r="N12" s="44">
        <f t="shared" si="3"/>
        <v>151030</v>
      </c>
      <c r="O12" s="38">
        <f t="shared" si="4"/>
        <v>9153.3333333333339</v>
      </c>
      <c r="P12" s="44">
        <f t="shared" si="5"/>
        <v>29650</v>
      </c>
      <c r="Q12" s="70">
        <f t="shared" si="6"/>
        <v>1796.9333333333334</v>
      </c>
      <c r="R12" s="45">
        <f t="shared" si="7"/>
        <v>180680</v>
      </c>
      <c r="S12" s="41">
        <f t="shared" si="8"/>
        <v>12045.333333333334</v>
      </c>
      <c r="T12" s="65">
        <f t="shared" si="9"/>
        <v>38</v>
      </c>
      <c r="U12" s="44">
        <f t="shared" si="9"/>
        <v>238480</v>
      </c>
      <c r="V12" s="44">
        <f t="shared" si="10"/>
        <v>57290</v>
      </c>
      <c r="W12" s="47">
        <f t="shared" si="11"/>
        <v>295770</v>
      </c>
      <c r="X12" s="66"/>
      <c r="Y12" s="48"/>
      <c r="Z12" s="49">
        <v>0</v>
      </c>
      <c r="AA12" s="49"/>
      <c r="AB12" s="37"/>
      <c r="AC12" s="38" t="e">
        <f t="shared" si="12"/>
        <v>#DIV/0!</v>
      </c>
      <c r="AD12" s="37"/>
      <c r="AE12" s="39" t="e">
        <f t="shared" si="13"/>
        <v>#DIV/0!</v>
      </c>
      <c r="AF12" s="50">
        <f t="shared" si="14"/>
        <v>0</v>
      </c>
      <c r="AG12" s="41" t="e">
        <f t="shared" si="15"/>
        <v>#DIV/0!</v>
      </c>
      <c r="AH12" s="51"/>
      <c r="AI12" s="49"/>
      <c r="AJ12" s="37"/>
      <c r="AK12" s="38" t="e">
        <f t="shared" si="16"/>
        <v>#DIV/0!</v>
      </c>
      <c r="AL12" s="37"/>
      <c r="AM12" s="39" t="e">
        <f t="shared" si="17"/>
        <v>#DIV/0!</v>
      </c>
      <c r="AN12" s="50">
        <f t="shared" si="28"/>
        <v>0</v>
      </c>
      <c r="AO12" s="52" t="str">
        <f t="shared" si="18"/>
        <v/>
      </c>
      <c r="AP12" s="53"/>
      <c r="AQ12" s="49">
        <v>480</v>
      </c>
      <c r="AR12" s="37">
        <v>1417650</v>
      </c>
      <c r="AS12" s="38">
        <f t="shared" si="19"/>
        <v>2953.4375</v>
      </c>
      <c r="AT12" s="37">
        <v>778050</v>
      </c>
      <c r="AU12" s="39">
        <f t="shared" si="20"/>
        <v>1620.9375</v>
      </c>
      <c r="AV12" s="39">
        <v>79640</v>
      </c>
      <c r="AW12" s="39"/>
      <c r="AX12" s="54">
        <f>AR12+AT12+AV12+AW12</f>
        <v>2275340</v>
      </c>
      <c r="AY12" s="52">
        <f t="shared" si="21"/>
        <v>4740.291666666667</v>
      </c>
      <c r="AZ12" s="67">
        <f t="shared" si="22"/>
        <v>38</v>
      </c>
      <c r="BA12" s="44">
        <f t="shared" si="23"/>
        <v>1656130</v>
      </c>
      <c r="BB12" s="44">
        <f t="shared" si="24"/>
        <v>835340</v>
      </c>
      <c r="BC12" s="56">
        <f>W12+AF12+AN12+AX12-BO12</f>
        <v>2571110</v>
      </c>
      <c r="BD12" s="57">
        <f t="shared" si="30"/>
        <v>1100</v>
      </c>
      <c r="BE12" s="58">
        <v>38</v>
      </c>
      <c r="BF12" s="59">
        <v>238480</v>
      </c>
      <c r="BG12" s="59">
        <v>57290</v>
      </c>
      <c r="BH12" s="60">
        <v>1100</v>
      </c>
      <c r="BI12" s="60"/>
      <c r="BJ12" s="60"/>
      <c r="BK12" s="60"/>
      <c r="BL12" s="61">
        <f t="shared" si="29"/>
        <v>296870</v>
      </c>
      <c r="BM12" s="32">
        <v>8</v>
      </c>
      <c r="BN12" s="62">
        <f t="shared" si="25"/>
        <v>296870</v>
      </c>
    </row>
    <row r="13" spans="1:68" ht="20" customHeight="1">
      <c r="B13" s="63">
        <f t="shared" si="26"/>
        <v>45847</v>
      </c>
      <c r="C13" s="64"/>
      <c r="D13" s="35"/>
      <c r="E13" s="36">
        <v>28</v>
      </c>
      <c r="F13" s="37">
        <v>102520</v>
      </c>
      <c r="G13" s="38">
        <f t="shared" si="0"/>
        <v>3328.5714285714284</v>
      </c>
      <c r="H13" s="37">
        <v>13320</v>
      </c>
      <c r="I13" s="39">
        <f t="shared" si="27"/>
        <v>432.46428571428572</v>
      </c>
      <c r="J13" s="40">
        <f t="shared" si="1"/>
        <v>115840</v>
      </c>
      <c r="K13" s="41">
        <f t="shared" si="2"/>
        <v>4137.1428571428569</v>
      </c>
      <c r="L13" s="42"/>
      <c r="M13" s="43">
        <f t="shared" si="3"/>
        <v>22</v>
      </c>
      <c r="N13" s="44">
        <f t="shared" si="3"/>
        <v>152130</v>
      </c>
      <c r="O13" s="38">
        <f t="shared" si="4"/>
        <v>6286.363636363636</v>
      </c>
      <c r="P13" s="44">
        <f t="shared" si="5"/>
        <v>49930</v>
      </c>
      <c r="Q13" s="39">
        <f t="shared" si="6"/>
        <v>2063.181818181818</v>
      </c>
      <c r="R13" s="45">
        <f t="shared" si="7"/>
        <v>202060</v>
      </c>
      <c r="S13" s="41">
        <f t="shared" si="8"/>
        <v>9184.545454545454</v>
      </c>
      <c r="T13" s="65">
        <f t="shared" si="9"/>
        <v>50</v>
      </c>
      <c r="U13" s="44">
        <f t="shared" si="9"/>
        <v>254650</v>
      </c>
      <c r="V13" s="44">
        <f t="shared" si="10"/>
        <v>63250</v>
      </c>
      <c r="W13" s="47">
        <f t="shared" si="11"/>
        <v>317900</v>
      </c>
      <c r="X13" s="66"/>
      <c r="Y13" s="48"/>
      <c r="Z13" s="49">
        <v>6</v>
      </c>
      <c r="AA13" s="49"/>
      <c r="AB13" s="37">
        <v>15000</v>
      </c>
      <c r="AC13" s="38">
        <f t="shared" si="12"/>
        <v>2500</v>
      </c>
      <c r="AD13" s="37">
        <v>1500</v>
      </c>
      <c r="AE13" s="39">
        <f t="shared" si="13"/>
        <v>250</v>
      </c>
      <c r="AF13" s="50">
        <f t="shared" si="14"/>
        <v>16500</v>
      </c>
      <c r="AG13" s="41">
        <f t="shared" si="15"/>
        <v>2750</v>
      </c>
      <c r="AH13" s="51"/>
      <c r="AI13" s="49"/>
      <c r="AJ13" s="37"/>
      <c r="AK13" s="38" t="e">
        <f t="shared" si="16"/>
        <v>#DIV/0!</v>
      </c>
      <c r="AL13" s="37"/>
      <c r="AM13" s="39" t="e">
        <f t="shared" si="17"/>
        <v>#DIV/0!</v>
      </c>
      <c r="AN13" s="50">
        <f t="shared" si="28"/>
        <v>0</v>
      </c>
      <c r="AO13" s="52" t="str">
        <f t="shared" si="18"/>
        <v/>
      </c>
      <c r="AP13" s="53"/>
      <c r="AQ13" s="49">
        <v>365</v>
      </c>
      <c r="AR13" s="37">
        <f>1027950+330</f>
        <v>1028280</v>
      </c>
      <c r="AS13" s="38">
        <f t="shared" si="19"/>
        <v>2817.205479452055</v>
      </c>
      <c r="AT13" s="37">
        <v>564650</v>
      </c>
      <c r="AU13" s="39">
        <f t="shared" si="20"/>
        <v>1546.986301369863</v>
      </c>
      <c r="AV13" s="39">
        <v>8690</v>
      </c>
      <c r="AW13" s="39"/>
      <c r="AX13" s="54">
        <f>AR13+AT13+AV13+AW13-BP13</f>
        <v>1601620</v>
      </c>
      <c r="AY13" s="52">
        <f t="shared" si="21"/>
        <v>4388</v>
      </c>
      <c r="AZ13" s="67">
        <f t="shared" si="22"/>
        <v>50</v>
      </c>
      <c r="BA13" s="44">
        <f t="shared" si="23"/>
        <v>1297930</v>
      </c>
      <c r="BB13" s="44">
        <f t="shared" si="24"/>
        <v>629400</v>
      </c>
      <c r="BC13" s="56">
        <f t="shared" si="32"/>
        <v>1936020</v>
      </c>
      <c r="BD13" s="57">
        <f t="shared" si="30"/>
        <v>10450</v>
      </c>
      <c r="BE13" s="58">
        <v>50</v>
      </c>
      <c r="BF13" s="59">
        <v>254650</v>
      </c>
      <c r="BG13" s="59">
        <v>63250</v>
      </c>
      <c r="BH13" s="60">
        <v>10450</v>
      </c>
      <c r="BI13" s="60"/>
      <c r="BJ13" s="60"/>
      <c r="BK13" s="60"/>
      <c r="BL13" s="61">
        <f t="shared" si="29"/>
        <v>328350</v>
      </c>
      <c r="BM13" s="32">
        <v>9</v>
      </c>
      <c r="BN13" s="62">
        <f t="shared" si="25"/>
        <v>328350</v>
      </c>
    </row>
    <row r="14" spans="1:68" ht="20" customHeight="1">
      <c r="B14" s="63">
        <f t="shared" si="26"/>
        <v>45848</v>
      </c>
      <c r="C14" s="64"/>
      <c r="D14" s="35"/>
      <c r="E14" s="36">
        <v>24</v>
      </c>
      <c r="F14" s="37">
        <f>14850+85360</f>
        <v>100210</v>
      </c>
      <c r="G14" s="38">
        <f t="shared" si="0"/>
        <v>3795.8333333333335</v>
      </c>
      <c r="H14" s="37">
        <f>11720+150</f>
        <v>11870</v>
      </c>
      <c r="I14" s="39">
        <f>ROUNDDOWN(H14/1.1,0)/E14</f>
        <v>449.58333333333331</v>
      </c>
      <c r="J14" s="40">
        <f t="shared" si="1"/>
        <v>112080</v>
      </c>
      <c r="K14" s="41">
        <f t="shared" si="2"/>
        <v>4670</v>
      </c>
      <c r="L14" s="42"/>
      <c r="M14" s="43">
        <f t="shared" si="3"/>
        <v>12</v>
      </c>
      <c r="N14" s="44">
        <f t="shared" si="3"/>
        <v>134270</v>
      </c>
      <c r="O14" s="38">
        <f t="shared" si="4"/>
        <v>10171.916666666666</v>
      </c>
      <c r="P14" s="44">
        <f t="shared" si="5"/>
        <v>19100</v>
      </c>
      <c r="Q14" s="39">
        <f t="shared" si="6"/>
        <v>1446.9166666666667</v>
      </c>
      <c r="R14" s="45">
        <f t="shared" si="7"/>
        <v>153370</v>
      </c>
      <c r="S14" s="41">
        <f t="shared" si="8"/>
        <v>12780.833333333334</v>
      </c>
      <c r="T14" s="65">
        <f t="shared" si="9"/>
        <v>36</v>
      </c>
      <c r="U14" s="44">
        <f t="shared" si="9"/>
        <v>234480</v>
      </c>
      <c r="V14" s="44">
        <f t="shared" si="10"/>
        <v>30970</v>
      </c>
      <c r="W14" s="47">
        <f t="shared" si="11"/>
        <v>265450</v>
      </c>
      <c r="X14" s="66"/>
      <c r="Y14" s="48"/>
      <c r="Z14" s="49">
        <v>0</v>
      </c>
      <c r="AA14" s="49"/>
      <c r="AB14" s="37"/>
      <c r="AC14" s="38" t="e">
        <f t="shared" si="12"/>
        <v>#DIV/0!</v>
      </c>
      <c r="AD14" s="37"/>
      <c r="AE14" s="39" t="e">
        <f t="shared" si="13"/>
        <v>#DIV/0!</v>
      </c>
      <c r="AF14" s="50">
        <f t="shared" si="14"/>
        <v>0</v>
      </c>
      <c r="AG14" s="41" t="e">
        <f t="shared" si="15"/>
        <v>#DIV/0!</v>
      </c>
      <c r="AH14" s="51"/>
      <c r="AI14" s="49"/>
      <c r="AJ14" s="37"/>
      <c r="AK14" s="38" t="e">
        <f t="shared" si="16"/>
        <v>#DIV/0!</v>
      </c>
      <c r="AL14" s="37"/>
      <c r="AM14" s="39" t="e">
        <f t="shared" si="17"/>
        <v>#DIV/0!</v>
      </c>
      <c r="AN14" s="50">
        <f t="shared" si="28"/>
        <v>0</v>
      </c>
      <c r="AO14" s="52" t="str">
        <f t="shared" si="18"/>
        <v/>
      </c>
      <c r="AP14" s="53"/>
      <c r="AQ14" s="49">
        <v>416</v>
      </c>
      <c r="AR14" s="37">
        <v>1289560</v>
      </c>
      <c r="AS14" s="38">
        <f t="shared" si="19"/>
        <v>3099.9038461538462</v>
      </c>
      <c r="AT14" s="37">
        <v>652650</v>
      </c>
      <c r="AU14" s="39">
        <f t="shared" si="20"/>
        <v>1568.8701923076924</v>
      </c>
      <c r="AV14" s="39">
        <v>13420</v>
      </c>
      <c r="AW14" s="39"/>
      <c r="AX14" s="54">
        <f t="shared" si="31"/>
        <v>1955630</v>
      </c>
      <c r="AY14" s="52">
        <f t="shared" si="21"/>
        <v>4701.0336538461543</v>
      </c>
      <c r="AZ14" s="67">
        <f t="shared" si="22"/>
        <v>36</v>
      </c>
      <c r="BA14" s="44">
        <f t="shared" si="23"/>
        <v>1524040</v>
      </c>
      <c r="BB14" s="44">
        <f t="shared" si="24"/>
        <v>683620</v>
      </c>
      <c r="BC14" s="56">
        <f t="shared" ref="BC14:BC19" si="33">W14+AF14+AN14+AX14-BO14</f>
        <v>2221080</v>
      </c>
      <c r="BD14" s="57">
        <f t="shared" si="30"/>
        <v>2200</v>
      </c>
      <c r="BE14" s="58">
        <v>36</v>
      </c>
      <c r="BF14" s="59">
        <v>234480</v>
      </c>
      <c r="BG14" s="59">
        <v>30970</v>
      </c>
      <c r="BH14" s="60">
        <v>2200</v>
      </c>
      <c r="BI14" s="60"/>
      <c r="BJ14" s="60"/>
      <c r="BK14" s="60"/>
      <c r="BL14" s="61">
        <f t="shared" si="29"/>
        <v>267650</v>
      </c>
      <c r="BM14" s="32">
        <v>10</v>
      </c>
      <c r="BN14" s="62">
        <f t="shared" si="25"/>
        <v>267650</v>
      </c>
    </row>
    <row r="15" spans="1:68" ht="20" customHeight="1">
      <c r="B15" s="63">
        <f t="shared" si="26"/>
        <v>45849</v>
      </c>
      <c r="C15" s="69"/>
      <c r="D15" s="35"/>
      <c r="E15" s="36">
        <v>12</v>
      </c>
      <c r="F15" s="37">
        <v>49280</v>
      </c>
      <c r="G15" s="38">
        <f t="shared" si="0"/>
        <v>3733.3333333333335</v>
      </c>
      <c r="H15" s="37">
        <v>5020</v>
      </c>
      <c r="I15" s="39">
        <f t="shared" si="27"/>
        <v>380.25</v>
      </c>
      <c r="J15" s="40">
        <f t="shared" si="1"/>
        <v>54300</v>
      </c>
      <c r="K15" s="41">
        <f t="shared" si="2"/>
        <v>4525</v>
      </c>
      <c r="L15" s="42"/>
      <c r="M15" s="43">
        <f t="shared" si="3"/>
        <v>27</v>
      </c>
      <c r="N15" s="44">
        <f t="shared" si="3"/>
        <v>231000</v>
      </c>
      <c r="O15" s="38">
        <f t="shared" si="4"/>
        <v>7777.7777777777774</v>
      </c>
      <c r="P15" s="44">
        <f t="shared" si="5"/>
        <v>66450</v>
      </c>
      <c r="Q15" s="39">
        <f t="shared" si="6"/>
        <v>2237.3703703703704</v>
      </c>
      <c r="R15" s="45">
        <f t="shared" si="7"/>
        <v>297450</v>
      </c>
      <c r="S15" s="41">
        <f t="shared" si="8"/>
        <v>11016.666666666666</v>
      </c>
      <c r="T15" s="65">
        <f t="shared" si="9"/>
        <v>39</v>
      </c>
      <c r="U15" s="44">
        <f t="shared" si="9"/>
        <v>280280</v>
      </c>
      <c r="V15" s="44">
        <f t="shared" si="10"/>
        <v>71470</v>
      </c>
      <c r="W15" s="47">
        <f t="shared" si="11"/>
        <v>351750</v>
      </c>
      <c r="X15" s="66"/>
      <c r="Y15" s="48"/>
      <c r="Z15" s="49">
        <v>0</v>
      </c>
      <c r="AA15" s="49"/>
      <c r="AB15" s="37"/>
      <c r="AC15" s="38" t="e">
        <f t="shared" si="12"/>
        <v>#DIV/0!</v>
      </c>
      <c r="AD15" s="37"/>
      <c r="AE15" s="39" t="e">
        <f t="shared" si="13"/>
        <v>#DIV/0!</v>
      </c>
      <c r="AF15" s="50">
        <f t="shared" si="14"/>
        <v>0</v>
      </c>
      <c r="AG15" s="41" t="e">
        <f t="shared" si="15"/>
        <v>#DIV/0!</v>
      </c>
      <c r="AH15" s="51"/>
      <c r="AI15" s="49"/>
      <c r="AJ15" s="37"/>
      <c r="AK15" s="38" t="e">
        <f t="shared" si="16"/>
        <v>#DIV/0!</v>
      </c>
      <c r="AL15" s="37"/>
      <c r="AM15" s="39" t="e">
        <f t="shared" si="17"/>
        <v>#DIV/0!</v>
      </c>
      <c r="AN15" s="50">
        <f t="shared" si="28"/>
        <v>0</v>
      </c>
      <c r="AO15" s="52" t="str">
        <f t="shared" si="18"/>
        <v/>
      </c>
      <c r="AP15" s="53"/>
      <c r="AQ15" s="49">
        <v>541</v>
      </c>
      <c r="AR15" s="37">
        <v>1747190</v>
      </c>
      <c r="AS15" s="38">
        <f t="shared" si="19"/>
        <v>3229.5563770794824</v>
      </c>
      <c r="AT15" s="37">
        <v>905450</v>
      </c>
      <c r="AU15" s="39">
        <f t="shared" si="20"/>
        <v>1673.6598890942698</v>
      </c>
      <c r="AV15" s="39">
        <v>48510</v>
      </c>
      <c r="AW15" s="39">
        <v>2970</v>
      </c>
      <c r="AX15" s="54">
        <f t="shared" si="31"/>
        <v>2704120</v>
      </c>
      <c r="AY15" s="52">
        <f t="shared" si="21"/>
        <v>4998.373382624769</v>
      </c>
      <c r="AZ15" s="67">
        <f t="shared" si="22"/>
        <v>39</v>
      </c>
      <c r="BA15" s="44">
        <f t="shared" si="23"/>
        <v>2027470</v>
      </c>
      <c r="BB15" s="44">
        <f t="shared" si="24"/>
        <v>976920</v>
      </c>
      <c r="BC15" s="56">
        <f t="shared" si="33"/>
        <v>3055870</v>
      </c>
      <c r="BD15" s="57">
        <f t="shared" si="30"/>
        <v>1100</v>
      </c>
      <c r="BE15" s="58">
        <v>39</v>
      </c>
      <c r="BF15" s="59">
        <v>280280</v>
      </c>
      <c r="BG15" s="59">
        <v>71470</v>
      </c>
      <c r="BH15" s="60"/>
      <c r="BI15" s="60">
        <v>1100</v>
      </c>
      <c r="BJ15" s="60"/>
      <c r="BK15" s="60"/>
      <c r="BL15" s="61">
        <f t="shared" si="29"/>
        <v>352850</v>
      </c>
      <c r="BM15" s="32">
        <v>11</v>
      </c>
      <c r="BN15" s="62">
        <f t="shared" si="25"/>
        <v>352850</v>
      </c>
    </row>
    <row r="16" spans="1:68" ht="20" customHeight="1">
      <c r="B16" s="63">
        <f t="shared" si="26"/>
        <v>45850</v>
      </c>
      <c r="C16" s="64"/>
      <c r="D16" s="35"/>
      <c r="E16" s="36">
        <v>27</v>
      </c>
      <c r="F16" s="37">
        <v>129690</v>
      </c>
      <c r="G16" s="38">
        <f t="shared" si="0"/>
        <v>4366.666666666667</v>
      </c>
      <c r="H16" s="37">
        <v>42330</v>
      </c>
      <c r="I16" s="39">
        <f t="shared" si="27"/>
        <v>1425.2222222222222</v>
      </c>
      <c r="J16" s="40">
        <f t="shared" si="1"/>
        <v>172020</v>
      </c>
      <c r="K16" s="41">
        <f t="shared" si="2"/>
        <v>6371.1111111111113</v>
      </c>
      <c r="L16" s="42"/>
      <c r="M16" s="43">
        <f t="shared" si="3"/>
        <v>28</v>
      </c>
      <c r="N16" s="44">
        <f t="shared" si="3"/>
        <v>256190</v>
      </c>
      <c r="O16" s="38">
        <f t="shared" si="4"/>
        <v>8317.8571428571431</v>
      </c>
      <c r="P16" s="44">
        <f t="shared" si="5"/>
        <v>72740</v>
      </c>
      <c r="Q16" s="39">
        <f t="shared" si="6"/>
        <v>2361.6785714285716</v>
      </c>
      <c r="R16" s="45">
        <f t="shared" si="7"/>
        <v>328930</v>
      </c>
      <c r="S16" s="41">
        <f t="shared" si="8"/>
        <v>11747.5</v>
      </c>
      <c r="T16" s="65">
        <f t="shared" si="9"/>
        <v>55</v>
      </c>
      <c r="U16" s="44">
        <f t="shared" si="9"/>
        <v>385880</v>
      </c>
      <c r="V16" s="44">
        <f t="shared" si="10"/>
        <v>115070</v>
      </c>
      <c r="W16" s="47">
        <f t="shared" si="11"/>
        <v>500950</v>
      </c>
      <c r="X16" s="66"/>
      <c r="Y16" s="48"/>
      <c r="Z16" s="49">
        <v>6</v>
      </c>
      <c r="AA16" s="49"/>
      <c r="AB16" s="37">
        <v>15000</v>
      </c>
      <c r="AC16" s="38">
        <f t="shared" si="12"/>
        <v>2500</v>
      </c>
      <c r="AD16" s="37">
        <v>1500</v>
      </c>
      <c r="AE16" s="39">
        <f t="shared" si="13"/>
        <v>250</v>
      </c>
      <c r="AF16" s="50">
        <f t="shared" si="14"/>
        <v>16500</v>
      </c>
      <c r="AG16" s="41">
        <f t="shared" si="15"/>
        <v>2750</v>
      </c>
      <c r="AH16" s="51"/>
      <c r="AI16" s="49"/>
      <c r="AJ16" s="37"/>
      <c r="AK16" s="38" t="e">
        <f t="shared" si="16"/>
        <v>#DIV/0!</v>
      </c>
      <c r="AL16" s="37"/>
      <c r="AM16" s="39" t="e">
        <f t="shared" si="17"/>
        <v>#DIV/0!</v>
      </c>
      <c r="AN16" s="50">
        <f t="shared" si="28"/>
        <v>0</v>
      </c>
      <c r="AO16" s="52" t="str">
        <f t="shared" si="18"/>
        <v/>
      </c>
      <c r="AP16" s="53"/>
      <c r="AQ16" s="49">
        <v>692</v>
      </c>
      <c r="AR16" s="37">
        <v>2112900</v>
      </c>
      <c r="AS16" s="38">
        <f t="shared" si="19"/>
        <v>3053.3236994219651</v>
      </c>
      <c r="AT16" s="37">
        <v>1147650</v>
      </c>
      <c r="AU16" s="39">
        <f t="shared" si="20"/>
        <v>1658.4537572254335</v>
      </c>
      <c r="AV16" s="39">
        <v>103400</v>
      </c>
      <c r="AW16" s="39">
        <v>2970</v>
      </c>
      <c r="AX16" s="54">
        <f t="shared" si="31"/>
        <v>3366920</v>
      </c>
      <c r="AY16" s="52">
        <f t="shared" si="21"/>
        <v>4865.4913294797689</v>
      </c>
      <c r="AZ16" s="67">
        <f t="shared" si="22"/>
        <v>55</v>
      </c>
      <c r="BA16" s="44">
        <f t="shared" si="23"/>
        <v>2513780</v>
      </c>
      <c r="BB16" s="44">
        <f t="shared" si="24"/>
        <v>1264220</v>
      </c>
      <c r="BC16" s="56">
        <f t="shared" si="33"/>
        <v>3884370</v>
      </c>
      <c r="BD16" s="57">
        <f t="shared" si="30"/>
        <v>14300</v>
      </c>
      <c r="BE16" s="58">
        <v>55</v>
      </c>
      <c r="BF16" s="59">
        <v>385880</v>
      </c>
      <c r="BG16" s="59">
        <v>115070</v>
      </c>
      <c r="BH16" s="60">
        <v>14300</v>
      </c>
      <c r="BI16" s="60"/>
      <c r="BJ16" s="60"/>
      <c r="BK16" s="60"/>
      <c r="BL16" s="61">
        <f t="shared" si="29"/>
        <v>515250</v>
      </c>
      <c r="BM16" s="32">
        <v>12</v>
      </c>
      <c r="BN16" s="62">
        <f t="shared" si="25"/>
        <v>515250</v>
      </c>
    </row>
    <row r="17" spans="2:68" ht="20" customHeight="1">
      <c r="B17" s="63">
        <f t="shared" si="26"/>
        <v>45851</v>
      </c>
      <c r="C17" s="69"/>
      <c r="D17" s="35"/>
      <c r="E17" s="36">
        <v>33</v>
      </c>
      <c r="F17" s="37">
        <v>147620</v>
      </c>
      <c r="G17" s="38">
        <f t="shared" si="0"/>
        <v>4066.6666666666665</v>
      </c>
      <c r="H17" s="37">
        <v>23140</v>
      </c>
      <c r="I17" s="39">
        <f t="shared" si="27"/>
        <v>637.4545454545455</v>
      </c>
      <c r="J17" s="40">
        <f t="shared" si="1"/>
        <v>170760</v>
      </c>
      <c r="K17" s="41">
        <f t="shared" si="2"/>
        <v>5174.545454545455</v>
      </c>
      <c r="L17" s="42"/>
      <c r="M17" s="43">
        <f t="shared" si="3"/>
        <v>22</v>
      </c>
      <c r="N17" s="44">
        <f t="shared" si="3"/>
        <v>233200</v>
      </c>
      <c r="O17" s="38">
        <f t="shared" si="4"/>
        <v>9636.363636363636</v>
      </c>
      <c r="P17" s="44">
        <f t="shared" si="5"/>
        <v>64040</v>
      </c>
      <c r="Q17" s="39">
        <f t="shared" si="6"/>
        <v>2646.2727272727275</v>
      </c>
      <c r="R17" s="45">
        <f t="shared" si="7"/>
        <v>297240</v>
      </c>
      <c r="S17" s="41">
        <f t="shared" si="8"/>
        <v>13510.90909090909</v>
      </c>
      <c r="T17" s="65">
        <f>E17+M17</f>
        <v>55</v>
      </c>
      <c r="U17" s="44">
        <f t="shared" si="9"/>
        <v>380820</v>
      </c>
      <c r="V17" s="44">
        <f t="shared" si="10"/>
        <v>87180</v>
      </c>
      <c r="W17" s="47">
        <f t="shared" si="11"/>
        <v>468000</v>
      </c>
      <c r="X17" s="66"/>
      <c r="Y17" s="48"/>
      <c r="Z17" s="49">
        <v>6</v>
      </c>
      <c r="AA17" s="49"/>
      <c r="AB17" s="37">
        <v>15000</v>
      </c>
      <c r="AC17" s="38">
        <f t="shared" si="12"/>
        <v>2500</v>
      </c>
      <c r="AD17" s="37">
        <v>1500</v>
      </c>
      <c r="AE17" s="39">
        <f t="shared" si="13"/>
        <v>250</v>
      </c>
      <c r="AF17" s="50">
        <f t="shared" si="14"/>
        <v>16500</v>
      </c>
      <c r="AG17" s="41">
        <f t="shared" si="15"/>
        <v>2750</v>
      </c>
      <c r="AH17" s="51"/>
      <c r="AI17" s="49"/>
      <c r="AJ17" s="37"/>
      <c r="AK17" s="38" t="e">
        <f>AJ17/AI17</f>
        <v>#DIV/0!</v>
      </c>
      <c r="AL17" s="37"/>
      <c r="AM17" s="39" t="e">
        <f>AL17/AI17</f>
        <v>#DIV/0!</v>
      </c>
      <c r="AN17" s="50">
        <f>AJ17+AL17</f>
        <v>0</v>
      </c>
      <c r="AO17" s="52" t="str">
        <f>IF(AI17="","",AN17/AI17)</f>
        <v/>
      </c>
      <c r="AP17" s="53"/>
      <c r="AQ17" s="49">
        <v>508</v>
      </c>
      <c r="AR17" s="37">
        <v>1447500</v>
      </c>
      <c r="AS17" s="38">
        <f t="shared" si="19"/>
        <v>2849.4094488188975</v>
      </c>
      <c r="AT17" s="37">
        <v>804150</v>
      </c>
      <c r="AU17" s="39">
        <f t="shared" si="20"/>
        <v>1582.9724409448818</v>
      </c>
      <c r="AV17" s="39">
        <v>23650</v>
      </c>
      <c r="AW17" s="39"/>
      <c r="AX17" s="54">
        <f>AR17+AT17+AV17+AW17-BP17</f>
        <v>2275300</v>
      </c>
      <c r="AY17" s="52">
        <f t="shared" si="21"/>
        <v>4478.9370078740158</v>
      </c>
      <c r="AZ17" s="67">
        <f t="shared" si="22"/>
        <v>55</v>
      </c>
      <c r="BA17" s="44">
        <f>U17+AB17+AJ17+AR17</f>
        <v>1843320</v>
      </c>
      <c r="BB17" s="44">
        <f t="shared" si="24"/>
        <v>892830</v>
      </c>
      <c r="BC17" s="56">
        <f t="shared" si="33"/>
        <v>2759800</v>
      </c>
      <c r="BD17" s="57">
        <f t="shared" si="30"/>
        <v>4400</v>
      </c>
      <c r="BE17" s="58">
        <v>55</v>
      </c>
      <c r="BF17" s="59">
        <v>380820</v>
      </c>
      <c r="BG17" s="59">
        <v>87180</v>
      </c>
      <c r="BH17" s="60">
        <v>4400</v>
      </c>
      <c r="BI17" s="60"/>
      <c r="BJ17" s="60"/>
      <c r="BK17" s="60"/>
      <c r="BL17" s="61">
        <f t="shared" si="29"/>
        <v>472400</v>
      </c>
      <c r="BM17" s="32">
        <v>13</v>
      </c>
      <c r="BN17" s="62">
        <f t="shared" si="25"/>
        <v>472400</v>
      </c>
    </row>
    <row r="18" spans="2:68" ht="20" customHeight="1">
      <c r="B18" s="63">
        <f t="shared" si="26"/>
        <v>45852</v>
      </c>
      <c r="C18" s="64"/>
      <c r="D18" s="35"/>
      <c r="E18" s="36">
        <v>31</v>
      </c>
      <c r="F18" s="37">
        <v>115940</v>
      </c>
      <c r="G18" s="38">
        <f t="shared" si="0"/>
        <v>3400</v>
      </c>
      <c r="H18" s="37">
        <v>21300</v>
      </c>
      <c r="I18" s="39">
        <f t="shared" si="27"/>
        <v>624.61290322580646</v>
      </c>
      <c r="J18" s="40">
        <f t="shared" si="1"/>
        <v>137240</v>
      </c>
      <c r="K18" s="41">
        <f t="shared" si="2"/>
        <v>4427.0967741935483</v>
      </c>
      <c r="L18" s="42"/>
      <c r="M18" s="43">
        <f t="shared" si="3"/>
        <v>22</v>
      </c>
      <c r="N18" s="44">
        <f t="shared" si="3"/>
        <v>220330</v>
      </c>
      <c r="O18" s="38">
        <f t="shared" si="4"/>
        <v>9104.545454545454</v>
      </c>
      <c r="P18" s="44">
        <f t="shared" si="5"/>
        <v>51820</v>
      </c>
      <c r="Q18" s="39">
        <f t="shared" si="6"/>
        <v>2141.318181818182</v>
      </c>
      <c r="R18" s="45">
        <f t="shared" si="7"/>
        <v>272150</v>
      </c>
      <c r="S18" s="41">
        <f t="shared" si="8"/>
        <v>12370.454545454546</v>
      </c>
      <c r="T18" s="65">
        <f t="shared" si="9"/>
        <v>53</v>
      </c>
      <c r="U18" s="44">
        <f t="shared" si="9"/>
        <v>336270</v>
      </c>
      <c r="V18" s="44">
        <f t="shared" si="10"/>
        <v>73120</v>
      </c>
      <c r="W18" s="47">
        <f t="shared" si="11"/>
        <v>409390</v>
      </c>
      <c r="X18" s="66"/>
      <c r="Y18" s="48"/>
      <c r="Z18" s="49">
        <v>4</v>
      </c>
      <c r="AA18" s="49"/>
      <c r="AB18" s="37">
        <v>10000</v>
      </c>
      <c r="AC18" s="38">
        <f t="shared" si="12"/>
        <v>2500</v>
      </c>
      <c r="AD18" s="37">
        <v>1000</v>
      </c>
      <c r="AE18" s="39">
        <f t="shared" si="13"/>
        <v>250</v>
      </c>
      <c r="AF18" s="50">
        <f t="shared" si="14"/>
        <v>11000</v>
      </c>
      <c r="AG18" s="41">
        <f t="shared" si="15"/>
        <v>2750</v>
      </c>
      <c r="AH18" s="51"/>
      <c r="AI18" s="49"/>
      <c r="AJ18" s="37"/>
      <c r="AK18" s="38" t="e">
        <f t="shared" si="16"/>
        <v>#DIV/0!</v>
      </c>
      <c r="AL18" s="37"/>
      <c r="AM18" s="39" t="e">
        <f t="shared" si="17"/>
        <v>#DIV/0!</v>
      </c>
      <c r="AN18" s="50">
        <f t="shared" si="28"/>
        <v>0</v>
      </c>
      <c r="AO18" s="52" t="str">
        <f t="shared" si="18"/>
        <v/>
      </c>
      <c r="AP18" s="53"/>
      <c r="AQ18" s="49">
        <v>402</v>
      </c>
      <c r="AR18" s="37">
        <v>1124700</v>
      </c>
      <c r="AS18" s="38">
        <f t="shared" si="19"/>
        <v>2797.7611940298507</v>
      </c>
      <c r="AT18" s="37">
        <v>598300</v>
      </c>
      <c r="AU18" s="39">
        <f t="shared" si="20"/>
        <v>1488.3084577114428</v>
      </c>
      <c r="AV18" s="39">
        <v>17600</v>
      </c>
      <c r="AW18" s="39"/>
      <c r="AX18" s="54">
        <f t="shared" ref="AX18:AX35" si="34">AR18+AT18+AV18+AW18</f>
        <v>1740600</v>
      </c>
      <c r="AY18" s="52">
        <f t="shared" si="21"/>
        <v>4329.8507462686566</v>
      </c>
      <c r="AZ18" s="67">
        <f t="shared" si="22"/>
        <v>53</v>
      </c>
      <c r="BA18" s="44">
        <f t="shared" si="23"/>
        <v>1470970</v>
      </c>
      <c r="BB18" s="44">
        <f t="shared" si="24"/>
        <v>672420</v>
      </c>
      <c r="BC18" s="56">
        <f t="shared" si="33"/>
        <v>2160990</v>
      </c>
      <c r="BD18" s="57">
        <f t="shared" si="30"/>
        <v>9900</v>
      </c>
      <c r="BE18" s="58">
        <v>53</v>
      </c>
      <c r="BF18" s="59">
        <v>336270</v>
      </c>
      <c r="BG18" s="59">
        <v>73120</v>
      </c>
      <c r="BH18" s="60">
        <v>8800</v>
      </c>
      <c r="BI18" s="60">
        <v>1100</v>
      </c>
      <c r="BJ18" s="60"/>
      <c r="BK18" s="60"/>
      <c r="BL18" s="61">
        <f t="shared" si="29"/>
        <v>419290</v>
      </c>
      <c r="BM18" s="32">
        <v>14</v>
      </c>
      <c r="BN18" s="62">
        <f t="shared" si="25"/>
        <v>419290</v>
      </c>
    </row>
    <row r="19" spans="2:68" ht="20" customHeight="1">
      <c r="B19" s="63">
        <f t="shared" si="26"/>
        <v>45853</v>
      </c>
      <c r="C19" s="64"/>
      <c r="D19" s="35"/>
      <c r="E19" s="36">
        <v>26</v>
      </c>
      <c r="F19" s="37">
        <v>115720</v>
      </c>
      <c r="G19" s="38">
        <f t="shared" si="0"/>
        <v>4046.1538461538462</v>
      </c>
      <c r="H19" s="37">
        <v>16780</v>
      </c>
      <c r="I19" s="39">
        <f t="shared" si="27"/>
        <v>586.69230769230774</v>
      </c>
      <c r="J19" s="40">
        <f t="shared" si="1"/>
        <v>132500</v>
      </c>
      <c r="K19" s="41">
        <f t="shared" si="2"/>
        <v>5096.1538461538457</v>
      </c>
      <c r="L19" s="42"/>
      <c r="M19" s="43">
        <f t="shared" si="3"/>
        <v>12</v>
      </c>
      <c r="N19" s="44">
        <f t="shared" si="3"/>
        <v>139370</v>
      </c>
      <c r="O19" s="38">
        <f t="shared" si="4"/>
        <v>10558.333333333334</v>
      </c>
      <c r="P19" s="44">
        <f t="shared" si="5"/>
        <v>35800</v>
      </c>
      <c r="Q19" s="70">
        <f t="shared" si="6"/>
        <v>2712.0833333333335</v>
      </c>
      <c r="R19" s="45">
        <f t="shared" si="7"/>
        <v>175170</v>
      </c>
      <c r="S19" s="41">
        <f t="shared" si="8"/>
        <v>14597.5</v>
      </c>
      <c r="T19" s="65">
        <f t="shared" si="9"/>
        <v>38</v>
      </c>
      <c r="U19" s="44">
        <f t="shared" si="9"/>
        <v>255090</v>
      </c>
      <c r="V19" s="44">
        <f t="shared" si="10"/>
        <v>52580</v>
      </c>
      <c r="W19" s="47">
        <f t="shared" si="11"/>
        <v>307670</v>
      </c>
      <c r="X19" s="66"/>
      <c r="Y19" s="48"/>
      <c r="Z19" s="49">
        <v>0</v>
      </c>
      <c r="AA19" s="49"/>
      <c r="AB19" s="37"/>
      <c r="AC19" s="38" t="e">
        <f t="shared" si="12"/>
        <v>#DIV/0!</v>
      </c>
      <c r="AD19" s="37"/>
      <c r="AE19" s="39" t="e">
        <f t="shared" si="13"/>
        <v>#DIV/0!</v>
      </c>
      <c r="AF19" s="50">
        <f t="shared" si="14"/>
        <v>0</v>
      </c>
      <c r="AG19" s="41" t="e">
        <f t="shared" si="15"/>
        <v>#DIV/0!</v>
      </c>
      <c r="AH19" s="51"/>
      <c r="AI19" s="49"/>
      <c r="AJ19" s="37"/>
      <c r="AK19" s="38" t="e">
        <f t="shared" si="16"/>
        <v>#DIV/0!</v>
      </c>
      <c r="AL19" s="37"/>
      <c r="AM19" s="39" t="e">
        <f t="shared" si="17"/>
        <v>#DIV/0!</v>
      </c>
      <c r="AN19" s="50">
        <f t="shared" si="28"/>
        <v>0</v>
      </c>
      <c r="AO19" s="52" t="str">
        <f t="shared" si="18"/>
        <v/>
      </c>
      <c r="AP19" s="53"/>
      <c r="AQ19" s="49">
        <v>325</v>
      </c>
      <c r="AR19" s="37">
        <v>923300</v>
      </c>
      <c r="AS19" s="38">
        <f t="shared" si="19"/>
        <v>2840.9230769230771</v>
      </c>
      <c r="AT19" s="37">
        <v>540000</v>
      </c>
      <c r="AU19" s="39">
        <f t="shared" si="20"/>
        <v>1661.5384615384614</v>
      </c>
      <c r="AV19" s="39">
        <v>34760</v>
      </c>
      <c r="AW19" s="39"/>
      <c r="AX19" s="54">
        <f>AR19+AT19+AV19+AW19</f>
        <v>1498060</v>
      </c>
      <c r="AY19" s="52">
        <f t="shared" si="21"/>
        <v>4609.4153846153849</v>
      </c>
      <c r="AZ19" s="67">
        <f t="shared" si="22"/>
        <v>38</v>
      </c>
      <c r="BA19" s="44">
        <f t="shared" si="23"/>
        <v>1178390</v>
      </c>
      <c r="BB19" s="44">
        <f t="shared" si="24"/>
        <v>592580</v>
      </c>
      <c r="BC19" s="56">
        <f t="shared" si="33"/>
        <v>1805730</v>
      </c>
      <c r="BD19" s="57">
        <f t="shared" si="30"/>
        <v>4400</v>
      </c>
      <c r="BE19" s="58">
        <v>38</v>
      </c>
      <c r="BF19" s="59">
        <v>255090</v>
      </c>
      <c r="BG19" s="59">
        <v>52580</v>
      </c>
      <c r="BH19" s="60">
        <v>3300</v>
      </c>
      <c r="BI19" s="60">
        <v>1100</v>
      </c>
      <c r="BJ19" s="60"/>
      <c r="BK19" s="60"/>
      <c r="BL19" s="61">
        <f t="shared" si="29"/>
        <v>312070</v>
      </c>
      <c r="BM19" s="32">
        <v>15</v>
      </c>
      <c r="BN19" s="62">
        <f t="shared" si="25"/>
        <v>312070</v>
      </c>
    </row>
    <row r="20" spans="2:68" ht="20" customHeight="1">
      <c r="B20" s="63">
        <f t="shared" si="26"/>
        <v>45854</v>
      </c>
      <c r="C20" s="64"/>
      <c r="D20" s="35"/>
      <c r="E20" s="36">
        <v>31</v>
      </c>
      <c r="F20" s="37">
        <v>116940</v>
      </c>
      <c r="G20" s="38">
        <f t="shared" si="0"/>
        <v>3429.3225806451615</v>
      </c>
      <c r="H20" s="37">
        <v>15840</v>
      </c>
      <c r="I20" s="39">
        <f t="shared" si="27"/>
        <v>464.51612903225805</v>
      </c>
      <c r="J20" s="40">
        <f t="shared" si="1"/>
        <v>132780</v>
      </c>
      <c r="K20" s="41">
        <f t="shared" si="2"/>
        <v>4283.2258064516127</v>
      </c>
      <c r="L20" s="42"/>
      <c r="M20" s="43">
        <f t="shared" si="3"/>
        <v>25</v>
      </c>
      <c r="N20" s="44">
        <f t="shared" si="3"/>
        <v>214060</v>
      </c>
      <c r="O20" s="38">
        <f t="shared" si="4"/>
        <v>7784</v>
      </c>
      <c r="P20" s="44">
        <f t="shared" si="5"/>
        <v>66460</v>
      </c>
      <c r="Q20" s="70">
        <f t="shared" si="6"/>
        <v>2416.7199999999998</v>
      </c>
      <c r="R20" s="45">
        <f t="shared" si="7"/>
        <v>280520</v>
      </c>
      <c r="S20" s="41">
        <f t="shared" si="8"/>
        <v>11220.8</v>
      </c>
      <c r="T20" s="65">
        <f t="shared" si="9"/>
        <v>56</v>
      </c>
      <c r="U20" s="44">
        <f t="shared" si="9"/>
        <v>331000</v>
      </c>
      <c r="V20" s="44">
        <f t="shared" si="10"/>
        <v>82300</v>
      </c>
      <c r="W20" s="47">
        <f t="shared" si="11"/>
        <v>413300</v>
      </c>
      <c r="X20" s="66"/>
      <c r="Y20" s="48"/>
      <c r="Z20" s="49">
        <v>3</v>
      </c>
      <c r="AA20" s="49"/>
      <c r="AB20" s="37">
        <v>7500</v>
      </c>
      <c r="AC20" s="38">
        <f t="shared" si="12"/>
        <v>2500</v>
      </c>
      <c r="AD20" s="37">
        <v>750</v>
      </c>
      <c r="AE20" s="39">
        <f t="shared" si="13"/>
        <v>250</v>
      </c>
      <c r="AF20" s="50">
        <f t="shared" si="14"/>
        <v>8250</v>
      </c>
      <c r="AG20" s="41">
        <f t="shared" si="15"/>
        <v>2750</v>
      </c>
      <c r="AH20" s="51"/>
      <c r="AI20" s="49"/>
      <c r="AJ20" s="37"/>
      <c r="AK20" s="38" t="e">
        <f t="shared" si="16"/>
        <v>#DIV/0!</v>
      </c>
      <c r="AL20" s="37"/>
      <c r="AM20" s="39" t="e">
        <f t="shared" si="17"/>
        <v>#DIV/0!</v>
      </c>
      <c r="AN20" s="50">
        <f t="shared" si="28"/>
        <v>0</v>
      </c>
      <c r="AO20" s="52" t="str">
        <f t="shared" si="18"/>
        <v/>
      </c>
      <c r="AP20" s="53"/>
      <c r="AQ20" s="49">
        <v>598</v>
      </c>
      <c r="AR20" s="37">
        <v>1522800</v>
      </c>
      <c r="AS20" s="38">
        <f t="shared" si="19"/>
        <v>2546.4882943143812</v>
      </c>
      <c r="AT20" s="37">
        <v>855500</v>
      </c>
      <c r="AU20" s="39">
        <f t="shared" si="20"/>
        <v>1430.6020066889632</v>
      </c>
      <c r="AV20" s="39">
        <v>35750</v>
      </c>
      <c r="AW20" s="39"/>
      <c r="AX20" s="54">
        <f t="shared" si="34"/>
        <v>2414050</v>
      </c>
      <c r="AY20" s="52">
        <f t="shared" si="21"/>
        <v>4036.8729096989969</v>
      </c>
      <c r="AZ20" s="67">
        <f t="shared" si="22"/>
        <v>56</v>
      </c>
      <c r="BA20" s="44">
        <f t="shared" si="23"/>
        <v>1861300</v>
      </c>
      <c r="BB20" s="44">
        <f t="shared" si="24"/>
        <v>938550</v>
      </c>
      <c r="BC20" s="56">
        <f>W20+AF20+AN20+AX20</f>
        <v>2835600</v>
      </c>
      <c r="BD20" s="57">
        <f t="shared" si="30"/>
        <v>8800</v>
      </c>
      <c r="BE20" s="58">
        <v>56</v>
      </c>
      <c r="BF20" s="59">
        <v>331000</v>
      </c>
      <c r="BG20" s="59">
        <v>82300</v>
      </c>
      <c r="BH20" s="60">
        <v>8800</v>
      </c>
      <c r="BI20" s="60"/>
      <c r="BJ20" s="60"/>
      <c r="BK20" s="60"/>
      <c r="BL20" s="61">
        <f t="shared" si="29"/>
        <v>422100</v>
      </c>
      <c r="BM20" s="32">
        <v>16</v>
      </c>
      <c r="BN20" s="62">
        <f t="shared" si="25"/>
        <v>422100</v>
      </c>
    </row>
    <row r="21" spans="2:68" ht="20" customHeight="1">
      <c r="B21" s="63">
        <f t="shared" si="26"/>
        <v>45855</v>
      </c>
      <c r="C21" s="64"/>
      <c r="D21" s="35"/>
      <c r="E21" s="36">
        <v>27</v>
      </c>
      <c r="F21" s="37">
        <v>113300</v>
      </c>
      <c r="G21" s="38">
        <f>ROUNDDOWN(F21/1.1,0)/E21</f>
        <v>3814.8148148148148</v>
      </c>
      <c r="H21" s="37">
        <v>19290</v>
      </c>
      <c r="I21" s="39">
        <f t="shared" si="27"/>
        <v>649.48148148148152</v>
      </c>
      <c r="J21" s="40">
        <f t="shared" si="1"/>
        <v>132590</v>
      </c>
      <c r="K21" s="41">
        <f t="shared" si="2"/>
        <v>4910.7407407407409</v>
      </c>
      <c r="L21" s="42"/>
      <c r="M21" s="43">
        <f t="shared" si="3"/>
        <v>16</v>
      </c>
      <c r="N21" s="44">
        <f t="shared" si="3"/>
        <v>190740</v>
      </c>
      <c r="O21" s="38">
        <f t="shared" si="4"/>
        <v>10837.5</v>
      </c>
      <c r="P21" s="44">
        <f t="shared" si="5"/>
        <v>76610</v>
      </c>
      <c r="Q21" s="70">
        <f t="shared" si="6"/>
        <v>4352.8125</v>
      </c>
      <c r="R21" s="45">
        <f>N21+P21</f>
        <v>267350</v>
      </c>
      <c r="S21" s="41">
        <f t="shared" si="8"/>
        <v>16709.375</v>
      </c>
      <c r="T21" s="65">
        <f t="shared" si="9"/>
        <v>43</v>
      </c>
      <c r="U21" s="44">
        <f t="shared" si="9"/>
        <v>304040</v>
      </c>
      <c r="V21" s="44">
        <f t="shared" si="10"/>
        <v>95900</v>
      </c>
      <c r="W21" s="47">
        <f t="shared" si="11"/>
        <v>399940</v>
      </c>
      <c r="X21" s="66"/>
      <c r="Y21" s="48"/>
      <c r="Z21" s="49">
        <v>0</v>
      </c>
      <c r="AA21" s="49"/>
      <c r="AB21" s="37"/>
      <c r="AC21" s="38" t="e">
        <f t="shared" si="12"/>
        <v>#DIV/0!</v>
      </c>
      <c r="AD21" s="37"/>
      <c r="AE21" s="39" t="e">
        <f t="shared" si="13"/>
        <v>#DIV/0!</v>
      </c>
      <c r="AF21" s="50">
        <f t="shared" si="14"/>
        <v>0</v>
      </c>
      <c r="AG21" s="41" t="e">
        <f t="shared" si="15"/>
        <v>#DIV/0!</v>
      </c>
      <c r="AH21" s="51"/>
      <c r="AI21" s="49">
        <v>42</v>
      </c>
      <c r="AJ21" s="37">
        <v>237510</v>
      </c>
      <c r="AK21" s="38">
        <f t="shared" si="16"/>
        <v>5655</v>
      </c>
      <c r="AL21" s="37">
        <v>73080</v>
      </c>
      <c r="AM21" s="39">
        <f t="shared" si="17"/>
        <v>1740</v>
      </c>
      <c r="AN21" s="50">
        <f t="shared" si="28"/>
        <v>310590</v>
      </c>
      <c r="AO21" s="52">
        <f t="shared" si="18"/>
        <v>7395</v>
      </c>
      <c r="AP21" s="53"/>
      <c r="AQ21" s="49">
        <v>342</v>
      </c>
      <c r="AR21" s="37">
        <v>1105850</v>
      </c>
      <c r="AS21" s="38">
        <f t="shared" si="19"/>
        <v>3233.4795321637425</v>
      </c>
      <c r="AT21" s="37">
        <v>618900</v>
      </c>
      <c r="AU21" s="39">
        <f t="shared" si="20"/>
        <v>1809.6491228070176</v>
      </c>
      <c r="AV21" s="39">
        <v>47630</v>
      </c>
      <c r="AW21" s="39"/>
      <c r="AX21" s="54">
        <f t="shared" si="34"/>
        <v>1772380</v>
      </c>
      <c r="AY21" s="52">
        <f t="shared" si="21"/>
        <v>5182.3976608187131</v>
      </c>
      <c r="AZ21" s="67">
        <f t="shared" si="22"/>
        <v>43</v>
      </c>
      <c r="BA21" s="44">
        <f t="shared" si="23"/>
        <v>1647400</v>
      </c>
      <c r="BB21" s="44">
        <f t="shared" si="24"/>
        <v>787880</v>
      </c>
      <c r="BC21" s="56">
        <f>W21+AF21+AN21+AX21-BO21</f>
        <v>2472350</v>
      </c>
      <c r="BD21" s="57">
        <f t="shared" si="30"/>
        <v>6600</v>
      </c>
      <c r="BE21" s="58">
        <v>43</v>
      </c>
      <c r="BF21" s="59">
        <v>304040</v>
      </c>
      <c r="BG21" s="59">
        <v>95900</v>
      </c>
      <c r="BH21" s="60">
        <v>5500</v>
      </c>
      <c r="BI21" s="60">
        <v>1100</v>
      </c>
      <c r="BJ21" s="60"/>
      <c r="BK21" s="60"/>
      <c r="BL21" s="61">
        <f t="shared" si="29"/>
        <v>406540</v>
      </c>
      <c r="BM21" s="32">
        <v>17</v>
      </c>
      <c r="BN21" s="62">
        <f t="shared" si="25"/>
        <v>406540</v>
      </c>
      <c r="BO21" s="32">
        <v>10560</v>
      </c>
    </row>
    <row r="22" spans="2:68" ht="20" customHeight="1">
      <c r="B22" s="63">
        <f t="shared" si="26"/>
        <v>45856</v>
      </c>
      <c r="C22" s="64"/>
      <c r="D22" s="35"/>
      <c r="E22" s="36">
        <v>19</v>
      </c>
      <c r="F22" s="37">
        <v>78320</v>
      </c>
      <c r="G22" s="38">
        <f t="shared" si="0"/>
        <v>3747.3684210526317</v>
      </c>
      <c r="H22" s="37">
        <v>4180</v>
      </c>
      <c r="I22" s="39">
        <f t="shared" si="27"/>
        <v>200</v>
      </c>
      <c r="J22" s="40">
        <f t="shared" si="1"/>
        <v>82500</v>
      </c>
      <c r="K22" s="41">
        <f t="shared" si="2"/>
        <v>4342.105263157895</v>
      </c>
      <c r="L22" s="42"/>
      <c r="M22" s="43">
        <f>BE22-E22</f>
        <v>9</v>
      </c>
      <c r="N22" s="44">
        <f t="shared" si="3"/>
        <v>87230</v>
      </c>
      <c r="O22" s="38">
        <f t="shared" si="4"/>
        <v>8811.1111111111113</v>
      </c>
      <c r="P22" s="44">
        <f t="shared" si="5"/>
        <v>18610</v>
      </c>
      <c r="Q22" s="70">
        <f t="shared" si="6"/>
        <v>1879.7777777777778</v>
      </c>
      <c r="R22" s="45">
        <f t="shared" si="7"/>
        <v>105840</v>
      </c>
      <c r="S22" s="41">
        <f t="shared" si="8"/>
        <v>11760</v>
      </c>
      <c r="T22" s="65">
        <f t="shared" si="9"/>
        <v>28</v>
      </c>
      <c r="U22" s="44">
        <f t="shared" si="9"/>
        <v>165550</v>
      </c>
      <c r="V22" s="44">
        <f t="shared" si="10"/>
        <v>22790</v>
      </c>
      <c r="W22" s="47">
        <f t="shared" si="11"/>
        <v>188340</v>
      </c>
      <c r="X22" s="66"/>
      <c r="Y22" s="48"/>
      <c r="Z22" s="49">
        <v>0</v>
      </c>
      <c r="AA22" s="49"/>
      <c r="AB22" s="37"/>
      <c r="AC22" s="38" t="e">
        <f t="shared" si="12"/>
        <v>#DIV/0!</v>
      </c>
      <c r="AD22" s="37"/>
      <c r="AE22" s="39" t="e">
        <f t="shared" si="13"/>
        <v>#DIV/0!</v>
      </c>
      <c r="AF22" s="50">
        <f t="shared" si="14"/>
        <v>0</v>
      </c>
      <c r="AG22" s="41" t="e">
        <f t="shared" si="15"/>
        <v>#DIV/0!</v>
      </c>
      <c r="AH22" s="51"/>
      <c r="AI22" s="49">
        <v>59</v>
      </c>
      <c r="AJ22" s="37">
        <v>230985</v>
      </c>
      <c r="AK22" s="38">
        <f t="shared" si="16"/>
        <v>3915</v>
      </c>
      <c r="AL22" s="37">
        <v>76995</v>
      </c>
      <c r="AM22" s="39">
        <f t="shared" si="17"/>
        <v>1305</v>
      </c>
      <c r="AN22" s="50">
        <f t="shared" si="28"/>
        <v>307980</v>
      </c>
      <c r="AO22" s="52">
        <f t="shared" si="18"/>
        <v>5220</v>
      </c>
      <c r="AP22" s="53"/>
      <c r="AQ22" s="49">
        <v>481</v>
      </c>
      <c r="AR22" s="37">
        <v>1546850</v>
      </c>
      <c r="AS22" s="38">
        <f t="shared" si="19"/>
        <v>3215.9043659043659</v>
      </c>
      <c r="AT22" s="37">
        <v>806700</v>
      </c>
      <c r="AU22" s="39">
        <f t="shared" si="20"/>
        <v>1677.130977130977</v>
      </c>
      <c r="AV22" s="39">
        <v>43340</v>
      </c>
      <c r="AW22" s="39"/>
      <c r="AX22" s="54">
        <f t="shared" si="34"/>
        <v>2396890</v>
      </c>
      <c r="AY22" s="52">
        <f t="shared" si="21"/>
        <v>4983.1392931392929</v>
      </c>
      <c r="AZ22" s="67">
        <f t="shared" si="22"/>
        <v>28</v>
      </c>
      <c r="BA22" s="44">
        <f>U22+AB22+AJ22+AR22</f>
        <v>1943385</v>
      </c>
      <c r="BB22" s="44">
        <f t="shared" si="24"/>
        <v>906485</v>
      </c>
      <c r="BC22" s="56">
        <f>W22+AF22+AN22+AX22-BO22</f>
        <v>2893210</v>
      </c>
      <c r="BD22" s="57">
        <f t="shared" si="30"/>
        <v>4400</v>
      </c>
      <c r="BE22" s="58">
        <v>28</v>
      </c>
      <c r="BF22" s="59">
        <v>165550</v>
      </c>
      <c r="BG22" s="59">
        <v>22790</v>
      </c>
      <c r="BH22" s="60">
        <v>3300</v>
      </c>
      <c r="BI22" s="60">
        <v>1100</v>
      </c>
      <c r="BJ22" s="60"/>
      <c r="BK22" s="60"/>
      <c r="BL22" s="61">
        <f t="shared" si="29"/>
        <v>192740</v>
      </c>
      <c r="BM22" s="32">
        <v>18</v>
      </c>
      <c r="BN22" s="62">
        <f t="shared" si="25"/>
        <v>192740</v>
      </c>
      <c r="BP22" s="68"/>
    </row>
    <row r="23" spans="2:68" ht="20" customHeight="1">
      <c r="B23" s="63">
        <f t="shared" si="26"/>
        <v>45857</v>
      </c>
      <c r="C23" s="64"/>
      <c r="D23" s="35"/>
      <c r="E23" s="36">
        <v>32</v>
      </c>
      <c r="F23" s="37">
        <v>114620</v>
      </c>
      <c r="G23" s="38">
        <f t="shared" si="0"/>
        <v>3256.25</v>
      </c>
      <c r="H23" s="37">
        <v>20930</v>
      </c>
      <c r="I23" s="39">
        <f t="shared" si="27"/>
        <v>594.59375</v>
      </c>
      <c r="J23" s="40">
        <f t="shared" si="1"/>
        <v>135550</v>
      </c>
      <c r="K23" s="41">
        <f t="shared" si="2"/>
        <v>4235.9375</v>
      </c>
      <c r="L23" s="42"/>
      <c r="M23" s="43">
        <f t="shared" si="3"/>
        <v>29</v>
      </c>
      <c r="N23" s="44">
        <f t="shared" si="3"/>
        <v>270050</v>
      </c>
      <c r="O23" s="38">
        <f t="shared" si="4"/>
        <v>8465.5172413793098</v>
      </c>
      <c r="P23" s="44">
        <f t="shared" si="5"/>
        <v>76800</v>
      </c>
      <c r="Q23" s="70">
        <f t="shared" si="6"/>
        <v>2407.5172413793102</v>
      </c>
      <c r="R23" s="45">
        <f t="shared" si="7"/>
        <v>346850</v>
      </c>
      <c r="S23" s="41">
        <f t="shared" si="8"/>
        <v>11960.344827586207</v>
      </c>
      <c r="T23" s="65">
        <f t="shared" si="9"/>
        <v>61</v>
      </c>
      <c r="U23" s="44">
        <f t="shared" si="9"/>
        <v>384670</v>
      </c>
      <c r="V23" s="44">
        <f t="shared" si="10"/>
        <v>97730</v>
      </c>
      <c r="W23" s="47">
        <f t="shared" si="11"/>
        <v>482400</v>
      </c>
      <c r="X23" s="66"/>
      <c r="Y23" s="48"/>
      <c r="Z23" s="49">
        <v>2</v>
      </c>
      <c r="AA23" s="49"/>
      <c r="AB23" s="37">
        <v>5000</v>
      </c>
      <c r="AC23" s="38">
        <f t="shared" si="12"/>
        <v>2500</v>
      </c>
      <c r="AD23" s="37">
        <v>500</v>
      </c>
      <c r="AE23" s="39">
        <f t="shared" si="13"/>
        <v>250</v>
      </c>
      <c r="AF23" s="50">
        <f t="shared" si="14"/>
        <v>5500</v>
      </c>
      <c r="AG23" s="41">
        <f t="shared" si="15"/>
        <v>2750</v>
      </c>
      <c r="AH23" s="51"/>
      <c r="AI23" s="49"/>
      <c r="AJ23" s="37"/>
      <c r="AK23" s="38" t="e">
        <f t="shared" si="16"/>
        <v>#DIV/0!</v>
      </c>
      <c r="AL23" s="37"/>
      <c r="AM23" s="39" t="e">
        <f t="shared" si="17"/>
        <v>#DIV/0!</v>
      </c>
      <c r="AN23" s="50">
        <f t="shared" si="28"/>
        <v>0</v>
      </c>
      <c r="AO23" s="52" t="str">
        <f t="shared" si="18"/>
        <v/>
      </c>
      <c r="AP23" s="53"/>
      <c r="AQ23" s="49">
        <v>754</v>
      </c>
      <c r="AR23" s="37">
        <v>2342650</v>
      </c>
      <c r="AS23" s="38">
        <f t="shared" si="19"/>
        <v>3106.9628647214854</v>
      </c>
      <c r="AT23" s="37">
        <v>1229650</v>
      </c>
      <c r="AU23" s="39">
        <f t="shared" si="20"/>
        <v>1630.8355437665782</v>
      </c>
      <c r="AV23" s="39">
        <v>122540</v>
      </c>
      <c r="AW23" s="39"/>
      <c r="AX23" s="54">
        <f t="shared" si="34"/>
        <v>3694840</v>
      </c>
      <c r="AY23" s="52">
        <f>IF(AQ23="","",AX23/AQ23)</f>
        <v>4900.318302387268</v>
      </c>
      <c r="AZ23" s="67">
        <f t="shared" si="22"/>
        <v>61</v>
      </c>
      <c r="BA23" s="44">
        <f t="shared" si="23"/>
        <v>2732320</v>
      </c>
      <c r="BB23" s="44">
        <f t="shared" si="24"/>
        <v>1327880</v>
      </c>
      <c r="BC23" s="56">
        <f>W23+AF23+AN23+AX23</f>
        <v>4182740</v>
      </c>
      <c r="BD23" s="57">
        <f t="shared" si="30"/>
        <v>7150</v>
      </c>
      <c r="BE23" s="58">
        <v>61</v>
      </c>
      <c r="BF23" s="59">
        <v>384670</v>
      </c>
      <c r="BG23" s="59">
        <v>97730</v>
      </c>
      <c r="BH23" s="60">
        <v>6050</v>
      </c>
      <c r="BI23" s="60">
        <v>1100</v>
      </c>
      <c r="BJ23" s="60"/>
      <c r="BK23" s="60"/>
      <c r="BL23" s="61">
        <f>SUM(BF23:BI23)</f>
        <v>489550</v>
      </c>
      <c r="BM23" s="32">
        <v>19</v>
      </c>
      <c r="BN23" s="62">
        <f t="shared" si="25"/>
        <v>489550</v>
      </c>
    </row>
    <row r="24" spans="2:68" ht="20" customHeight="1">
      <c r="B24" s="63">
        <f t="shared" si="26"/>
        <v>45858</v>
      </c>
      <c r="C24" s="64"/>
      <c r="D24" s="35"/>
      <c r="E24" s="36">
        <v>32</v>
      </c>
      <c r="F24" s="37">
        <v>127820</v>
      </c>
      <c r="G24" s="38">
        <f t="shared" si="0"/>
        <v>3631.25</v>
      </c>
      <c r="H24" s="37">
        <v>29440</v>
      </c>
      <c r="I24" s="39">
        <f t="shared" si="27"/>
        <v>836.34375</v>
      </c>
      <c r="J24" s="40">
        <f t="shared" si="1"/>
        <v>157260</v>
      </c>
      <c r="K24" s="41">
        <f t="shared" si="2"/>
        <v>4914.375</v>
      </c>
      <c r="L24" s="42"/>
      <c r="M24" s="43">
        <f t="shared" si="3"/>
        <v>21</v>
      </c>
      <c r="N24" s="44">
        <f t="shared" si="3"/>
        <v>242770</v>
      </c>
      <c r="O24" s="38">
        <f t="shared" si="4"/>
        <v>10509.523809523809</v>
      </c>
      <c r="P24" s="44">
        <f t="shared" si="5"/>
        <v>44720</v>
      </c>
      <c r="Q24" s="70">
        <f t="shared" si="6"/>
        <v>1935.9047619047619</v>
      </c>
      <c r="R24" s="45">
        <f t="shared" si="7"/>
        <v>287490</v>
      </c>
      <c r="S24" s="41">
        <f t="shared" si="8"/>
        <v>13690</v>
      </c>
      <c r="T24" s="65">
        <f t="shared" si="9"/>
        <v>53</v>
      </c>
      <c r="U24" s="44">
        <f t="shared" si="9"/>
        <v>370590</v>
      </c>
      <c r="V24" s="44">
        <f t="shared" si="10"/>
        <v>74160</v>
      </c>
      <c r="W24" s="47">
        <f t="shared" si="11"/>
        <v>444750</v>
      </c>
      <c r="X24" s="66"/>
      <c r="Y24" s="48"/>
      <c r="Z24" s="49">
        <v>2</v>
      </c>
      <c r="AA24" s="49"/>
      <c r="AB24" s="37">
        <v>5600</v>
      </c>
      <c r="AC24" s="38">
        <f t="shared" si="12"/>
        <v>2800</v>
      </c>
      <c r="AD24" s="37">
        <v>500</v>
      </c>
      <c r="AE24" s="39">
        <f t="shared" si="13"/>
        <v>250</v>
      </c>
      <c r="AF24" s="50">
        <f t="shared" si="14"/>
        <v>6100</v>
      </c>
      <c r="AG24" s="41">
        <f t="shared" si="15"/>
        <v>3050</v>
      </c>
      <c r="AH24" s="51"/>
      <c r="AI24" s="49">
        <v>37</v>
      </c>
      <c r="AJ24" s="37">
        <v>144855</v>
      </c>
      <c r="AK24" s="38">
        <f t="shared" si="16"/>
        <v>3915</v>
      </c>
      <c r="AL24" s="37">
        <v>48285</v>
      </c>
      <c r="AM24" s="39">
        <f t="shared" si="17"/>
        <v>1305</v>
      </c>
      <c r="AN24" s="50">
        <f t="shared" si="28"/>
        <v>193140</v>
      </c>
      <c r="AO24" s="52">
        <f t="shared" si="18"/>
        <v>5220</v>
      </c>
      <c r="AP24" s="53"/>
      <c r="AQ24" s="49">
        <v>652</v>
      </c>
      <c r="AR24" s="37">
        <v>1948200</v>
      </c>
      <c r="AS24" s="38">
        <f t="shared" si="19"/>
        <v>2988.0368098159511</v>
      </c>
      <c r="AT24" s="37">
        <v>1023950</v>
      </c>
      <c r="AU24" s="39">
        <f t="shared" si="20"/>
        <v>1570.4754601226994</v>
      </c>
      <c r="AV24" s="39">
        <v>91960</v>
      </c>
      <c r="AW24" s="39">
        <v>5940</v>
      </c>
      <c r="AX24" s="54">
        <f t="shared" si="34"/>
        <v>3070050</v>
      </c>
      <c r="AY24" s="52">
        <f t="shared" si="21"/>
        <v>4708.6656441717787</v>
      </c>
      <c r="AZ24" s="67">
        <f t="shared" si="22"/>
        <v>53</v>
      </c>
      <c r="BA24" s="44">
        <f t="shared" si="23"/>
        <v>2469245</v>
      </c>
      <c r="BB24" s="44">
        <f t="shared" si="24"/>
        <v>1146895</v>
      </c>
      <c r="BC24" s="56">
        <f>W24+AF24+AN24+AX24-BO24</f>
        <v>3714040</v>
      </c>
      <c r="BD24" s="57">
        <f t="shared" si="30"/>
        <v>10450</v>
      </c>
      <c r="BE24" s="58">
        <v>53</v>
      </c>
      <c r="BF24" s="59">
        <v>370590</v>
      </c>
      <c r="BG24" s="59">
        <v>74160</v>
      </c>
      <c r="BH24" s="60">
        <v>5500</v>
      </c>
      <c r="BI24" s="60">
        <v>4950</v>
      </c>
      <c r="BJ24" s="60">
        <v>6600</v>
      </c>
      <c r="BK24" s="60"/>
      <c r="BL24" s="61">
        <f t="shared" si="29"/>
        <v>455200</v>
      </c>
      <c r="BM24" s="32">
        <v>20</v>
      </c>
      <c r="BN24" s="62">
        <f t="shared" si="25"/>
        <v>455200</v>
      </c>
    </row>
    <row r="25" spans="2:68" ht="20" customHeight="1">
      <c r="B25" s="63">
        <f t="shared" si="26"/>
        <v>45859</v>
      </c>
      <c r="C25" s="64"/>
      <c r="D25" s="35"/>
      <c r="E25" s="36">
        <v>37</v>
      </c>
      <c r="F25" s="37">
        <v>176110</v>
      </c>
      <c r="G25" s="38">
        <f t="shared" si="0"/>
        <v>4327.0270270270266</v>
      </c>
      <c r="H25" s="37">
        <v>20370</v>
      </c>
      <c r="I25" s="39">
        <f t="shared" si="27"/>
        <v>500.48648648648651</v>
      </c>
      <c r="J25" s="40">
        <f t="shared" si="1"/>
        <v>196480</v>
      </c>
      <c r="K25" s="41">
        <f t="shared" si="2"/>
        <v>5310.27027027027</v>
      </c>
      <c r="L25" s="42"/>
      <c r="M25" s="43">
        <f t="shared" si="3"/>
        <v>14</v>
      </c>
      <c r="N25" s="44">
        <f t="shared" si="3"/>
        <v>136840</v>
      </c>
      <c r="O25" s="38">
        <f t="shared" si="4"/>
        <v>8885.7142857142862</v>
      </c>
      <c r="P25" s="44">
        <f t="shared" si="5"/>
        <v>59150</v>
      </c>
      <c r="Q25" s="70">
        <f t="shared" si="6"/>
        <v>3840.8571428571427</v>
      </c>
      <c r="R25" s="45">
        <f t="shared" si="7"/>
        <v>195990</v>
      </c>
      <c r="S25" s="41">
        <f t="shared" si="8"/>
        <v>13999.285714285714</v>
      </c>
      <c r="T25" s="65">
        <f t="shared" si="9"/>
        <v>51</v>
      </c>
      <c r="U25" s="44">
        <f t="shared" si="9"/>
        <v>312950</v>
      </c>
      <c r="V25" s="44">
        <f t="shared" si="10"/>
        <v>79520</v>
      </c>
      <c r="W25" s="47">
        <f t="shared" si="11"/>
        <v>392470</v>
      </c>
      <c r="X25" s="66"/>
      <c r="Y25" s="48"/>
      <c r="Z25" s="49">
        <v>6</v>
      </c>
      <c r="AA25" s="49"/>
      <c r="AB25" s="37">
        <v>15000</v>
      </c>
      <c r="AC25" s="38">
        <f t="shared" si="12"/>
        <v>2500</v>
      </c>
      <c r="AD25" s="37">
        <v>1500</v>
      </c>
      <c r="AE25" s="39">
        <f t="shared" si="13"/>
        <v>250</v>
      </c>
      <c r="AF25" s="50">
        <f t="shared" si="14"/>
        <v>16500</v>
      </c>
      <c r="AG25" s="41">
        <f t="shared" si="15"/>
        <v>2750</v>
      </c>
      <c r="AH25" s="51"/>
      <c r="AI25" s="49"/>
      <c r="AJ25" s="37"/>
      <c r="AK25" s="38" t="e">
        <f t="shared" si="16"/>
        <v>#DIV/0!</v>
      </c>
      <c r="AL25" s="37"/>
      <c r="AM25" s="39" t="e">
        <f t="shared" si="17"/>
        <v>#DIV/0!</v>
      </c>
      <c r="AN25" s="50">
        <f t="shared" si="28"/>
        <v>0</v>
      </c>
      <c r="AO25" s="52" t="str">
        <f t="shared" si="18"/>
        <v/>
      </c>
      <c r="AP25" s="53"/>
      <c r="AQ25" s="49">
        <v>543</v>
      </c>
      <c r="AR25" s="37">
        <v>1507550</v>
      </c>
      <c r="AS25" s="38">
        <f t="shared" si="19"/>
        <v>2776.3351749539593</v>
      </c>
      <c r="AT25" s="37">
        <v>817700</v>
      </c>
      <c r="AU25" s="39">
        <f t="shared" si="20"/>
        <v>1505.8931860036832</v>
      </c>
      <c r="AV25" s="39">
        <v>21010</v>
      </c>
      <c r="AW25" s="39"/>
      <c r="AX25" s="54">
        <f t="shared" si="34"/>
        <v>2346260</v>
      </c>
      <c r="AY25" s="52">
        <f t="shared" si="21"/>
        <v>4320.9208103130759</v>
      </c>
      <c r="AZ25" s="67">
        <f t="shared" si="22"/>
        <v>51</v>
      </c>
      <c r="BA25" s="44">
        <f t="shared" si="23"/>
        <v>1835500</v>
      </c>
      <c r="BB25" s="44">
        <f t="shared" si="24"/>
        <v>898720</v>
      </c>
      <c r="BC25" s="56">
        <f>W25+AF25+AN25+AX25-BO25</f>
        <v>2755230</v>
      </c>
      <c r="BD25" s="57">
        <f t="shared" si="30"/>
        <v>3300</v>
      </c>
      <c r="BE25" s="58">
        <v>51</v>
      </c>
      <c r="BF25" s="59">
        <v>312950</v>
      </c>
      <c r="BG25" s="59">
        <v>79520</v>
      </c>
      <c r="BH25" s="60">
        <v>3300</v>
      </c>
      <c r="BI25" s="60"/>
      <c r="BJ25" s="60"/>
      <c r="BK25" s="60"/>
      <c r="BL25" s="61">
        <f t="shared" si="29"/>
        <v>395770</v>
      </c>
      <c r="BM25" s="32">
        <v>21</v>
      </c>
      <c r="BN25" s="62">
        <f t="shared" si="25"/>
        <v>395770</v>
      </c>
    </row>
    <row r="26" spans="2:68" ht="20" customHeight="1">
      <c r="B26" s="63">
        <f t="shared" si="26"/>
        <v>45860</v>
      </c>
      <c r="C26" s="64"/>
      <c r="D26" s="35"/>
      <c r="E26" s="36">
        <v>12</v>
      </c>
      <c r="F26" s="37">
        <v>36080</v>
      </c>
      <c r="G26" s="38">
        <f t="shared" si="0"/>
        <v>2733.3333333333335</v>
      </c>
      <c r="H26" s="37">
        <v>2970</v>
      </c>
      <c r="I26" s="39">
        <f t="shared" si="27"/>
        <v>225</v>
      </c>
      <c r="J26" s="40">
        <f t="shared" si="1"/>
        <v>39050</v>
      </c>
      <c r="K26" s="41">
        <f t="shared" si="2"/>
        <v>3254.1666666666665</v>
      </c>
      <c r="L26" s="42"/>
      <c r="M26" s="43">
        <f t="shared" si="3"/>
        <v>10</v>
      </c>
      <c r="N26" s="44">
        <f t="shared" si="3"/>
        <v>110770</v>
      </c>
      <c r="O26" s="38">
        <f t="shared" si="4"/>
        <v>10070</v>
      </c>
      <c r="P26" s="44">
        <f t="shared" si="5"/>
        <v>15050</v>
      </c>
      <c r="Q26" s="70">
        <f t="shared" si="6"/>
        <v>1368.1</v>
      </c>
      <c r="R26" s="45">
        <f t="shared" si="7"/>
        <v>125820</v>
      </c>
      <c r="S26" s="41">
        <f t="shared" si="8"/>
        <v>12582</v>
      </c>
      <c r="T26" s="65">
        <f t="shared" si="9"/>
        <v>22</v>
      </c>
      <c r="U26" s="44">
        <f t="shared" si="9"/>
        <v>146850</v>
      </c>
      <c r="V26" s="44">
        <f t="shared" si="10"/>
        <v>18020</v>
      </c>
      <c r="W26" s="47">
        <f t="shared" si="11"/>
        <v>164870</v>
      </c>
      <c r="X26" s="66"/>
      <c r="Y26" s="48"/>
      <c r="Z26" s="49">
        <v>0</v>
      </c>
      <c r="AA26" s="49"/>
      <c r="AB26" s="37"/>
      <c r="AC26" s="38" t="e">
        <f t="shared" si="12"/>
        <v>#DIV/0!</v>
      </c>
      <c r="AD26" s="37"/>
      <c r="AE26" s="39" t="e">
        <f t="shared" si="13"/>
        <v>#DIV/0!</v>
      </c>
      <c r="AF26" s="50">
        <f t="shared" si="14"/>
        <v>0</v>
      </c>
      <c r="AG26" s="41" t="e">
        <f t="shared" si="15"/>
        <v>#DIV/0!</v>
      </c>
      <c r="AH26" s="51"/>
      <c r="AI26" s="49"/>
      <c r="AJ26" s="37"/>
      <c r="AK26" s="38" t="e">
        <f t="shared" si="16"/>
        <v>#DIV/0!</v>
      </c>
      <c r="AL26" s="37"/>
      <c r="AM26" s="39" t="e">
        <f t="shared" si="17"/>
        <v>#DIV/0!</v>
      </c>
      <c r="AN26" s="50">
        <f t="shared" si="28"/>
        <v>0</v>
      </c>
      <c r="AO26" s="52" t="str">
        <f t="shared" si="18"/>
        <v/>
      </c>
      <c r="AP26" s="53"/>
      <c r="AQ26" s="49">
        <v>339</v>
      </c>
      <c r="AR26" s="37">
        <f>1130680+3000</f>
        <v>1133680</v>
      </c>
      <c r="AS26" s="38">
        <f t="shared" si="19"/>
        <v>3344.1887905604722</v>
      </c>
      <c r="AT26" s="37">
        <v>543050</v>
      </c>
      <c r="AU26" s="39">
        <f t="shared" si="20"/>
        <v>1601.9174041297936</v>
      </c>
      <c r="AV26" s="39">
        <v>51150</v>
      </c>
      <c r="AW26" s="39"/>
      <c r="AX26" s="54">
        <f t="shared" si="34"/>
        <v>1727880</v>
      </c>
      <c r="AY26" s="52">
        <f>IF(AQ26="","",AX26/AQ26)</f>
        <v>5096.9911504424781</v>
      </c>
      <c r="AZ26" s="67">
        <f t="shared" si="22"/>
        <v>22</v>
      </c>
      <c r="BA26" s="44">
        <f t="shared" si="23"/>
        <v>1280530</v>
      </c>
      <c r="BB26" s="44">
        <f t="shared" si="24"/>
        <v>561070</v>
      </c>
      <c r="BC26" s="56">
        <f>W26+AF26+AN26+AX26-BO26</f>
        <v>1892750</v>
      </c>
      <c r="BD26" s="57">
        <f>BH26+BI26</f>
        <v>0</v>
      </c>
      <c r="BE26" s="58">
        <v>22</v>
      </c>
      <c r="BF26" s="59">
        <v>146850</v>
      </c>
      <c r="BG26" s="59">
        <v>18020</v>
      </c>
      <c r="BH26" s="60"/>
      <c r="BI26" s="60"/>
      <c r="BJ26" s="60"/>
      <c r="BK26" s="60"/>
      <c r="BL26" s="61">
        <f t="shared" si="29"/>
        <v>164870</v>
      </c>
      <c r="BM26" s="32">
        <v>22</v>
      </c>
      <c r="BN26" s="62">
        <f t="shared" si="25"/>
        <v>164870</v>
      </c>
    </row>
    <row r="27" spans="2:68" ht="20" customHeight="1">
      <c r="B27" s="63">
        <f t="shared" si="26"/>
        <v>45861</v>
      </c>
      <c r="C27" s="64"/>
      <c r="D27" s="35"/>
      <c r="E27" s="36">
        <v>22</v>
      </c>
      <c r="F27" s="37">
        <v>93390</v>
      </c>
      <c r="G27" s="38">
        <f t="shared" si="0"/>
        <v>3859.090909090909</v>
      </c>
      <c r="H27" s="37">
        <v>20310</v>
      </c>
      <c r="I27" s="39">
        <f t="shared" si="27"/>
        <v>839.22727272727275</v>
      </c>
      <c r="J27" s="40">
        <f t="shared" si="1"/>
        <v>113700</v>
      </c>
      <c r="K27" s="41">
        <f t="shared" si="2"/>
        <v>5168.181818181818</v>
      </c>
      <c r="L27" s="42"/>
      <c r="M27" s="43">
        <f t="shared" si="3"/>
        <v>14</v>
      </c>
      <c r="N27" s="44">
        <f t="shared" si="3"/>
        <v>167310</v>
      </c>
      <c r="O27" s="38">
        <f t="shared" si="4"/>
        <v>10864.285714285714</v>
      </c>
      <c r="P27" s="44">
        <f t="shared" si="5"/>
        <v>36500</v>
      </c>
      <c r="Q27" s="39">
        <f t="shared" si="6"/>
        <v>2370.0714285714284</v>
      </c>
      <c r="R27" s="45">
        <f t="shared" si="7"/>
        <v>203810</v>
      </c>
      <c r="S27" s="41">
        <f t="shared" si="8"/>
        <v>14557.857142857143</v>
      </c>
      <c r="T27" s="65">
        <f t="shared" si="9"/>
        <v>36</v>
      </c>
      <c r="U27" s="44">
        <f t="shared" si="9"/>
        <v>260700</v>
      </c>
      <c r="V27" s="44">
        <f t="shared" si="10"/>
        <v>56810</v>
      </c>
      <c r="W27" s="47">
        <f t="shared" si="11"/>
        <v>317510</v>
      </c>
      <c r="X27" s="66"/>
      <c r="Y27" s="48"/>
      <c r="Z27" s="49">
        <v>0</v>
      </c>
      <c r="AA27" s="49"/>
      <c r="AB27" s="37"/>
      <c r="AC27" s="38" t="e">
        <f t="shared" si="12"/>
        <v>#DIV/0!</v>
      </c>
      <c r="AD27" s="37"/>
      <c r="AE27" s="39" t="e">
        <f t="shared" si="13"/>
        <v>#DIV/0!</v>
      </c>
      <c r="AF27" s="50">
        <f t="shared" si="14"/>
        <v>0</v>
      </c>
      <c r="AG27" s="41" t="e">
        <f t="shared" si="15"/>
        <v>#DIV/0!</v>
      </c>
      <c r="AH27" s="51"/>
      <c r="AI27" s="49">
        <v>34</v>
      </c>
      <c r="AJ27" s="37">
        <v>192270</v>
      </c>
      <c r="AK27" s="38">
        <f t="shared" si="16"/>
        <v>5655</v>
      </c>
      <c r="AL27" s="37">
        <v>44370</v>
      </c>
      <c r="AM27" s="39">
        <f t="shared" si="17"/>
        <v>1305</v>
      </c>
      <c r="AN27" s="50">
        <f t="shared" si="28"/>
        <v>236640</v>
      </c>
      <c r="AO27" s="52">
        <f t="shared" si="18"/>
        <v>6960</v>
      </c>
      <c r="AP27" s="53"/>
      <c r="AQ27" s="49">
        <v>320</v>
      </c>
      <c r="AR27" s="37">
        <v>1494850</v>
      </c>
      <c r="AS27" s="38">
        <f t="shared" si="19"/>
        <v>4671.40625</v>
      </c>
      <c r="AT27" s="37">
        <v>826550</v>
      </c>
      <c r="AU27" s="39">
        <f t="shared" si="20"/>
        <v>2582.96875</v>
      </c>
      <c r="AV27" s="39">
        <v>26510</v>
      </c>
      <c r="AW27" s="39">
        <v>2970</v>
      </c>
      <c r="AX27" s="54">
        <f>AR27+AT27+AV27+AW27-BP26</f>
        <v>2350880</v>
      </c>
      <c r="AY27" s="52">
        <f t="shared" si="21"/>
        <v>7346.5</v>
      </c>
      <c r="AZ27" s="67">
        <f t="shared" si="22"/>
        <v>36</v>
      </c>
      <c r="BA27" s="44">
        <f t="shared" si="23"/>
        <v>1947820</v>
      </c>
      <c r="BB27" s="44">
        <f t="shared" si="24"/>
        <v>927730</v>
      </c>
      <c r="BC27" s="56">
        <f>W27+AF27+AN27+AX27-BO27</f>
        <v>2905030</v>
      </c>
      <c r="BD27" s="57">
        <f t="shared" si="30"/>
        <v>7700</v>
      </c>
      <c r="BE27" s="58">
        <v>36</v>
      </c>
      <c r="BF27" s="59">
        <v>260700</v>
      </c>
      <c r="BG27" s="59">
        <v>56810</v>
      </c>
      <c r="BH27" s="60">
        <v>6600</v>
      </c>
      <c r="BI27" s="60">
        <v>1100</v>
      </c>
      <c r="BJ27" s="60">
        <v>5500</v>
      </c>
      <c r="BK27" s="60"/>
      <c r="BL27" s="61">
        <f t="shared" si="29"/>
        <v>325210</v>
      </c>
      <c r="BM27" s="32">
        <v>23</v>
      </c>
      <c r="BN27" s="62">
        <f t="shared" si="25"/>
        <v>325210</v>
      </c>
    </row>
    <row r="28" spans="2:68" ht="20" customHeight="1">
      <c r="B28" s="63">
        <f>B27+1</f>
        <v>45862</v>
      </c>
      <c r="C28" s="64"/>
      <c r="D28" s="35"/>
      <c r="E28" s="36">
        <v>28</v>
      </c>
      <c r="F28" s="37">
        <v>114950</v>
      </c>
      <c r="G28" s="38">
        <f t="shared" si="0"/>
        <v>3732.1428571428573</v>
      </c>
      <c r="H28" s="37">
        <v>27760</v>
      </c>
      <c r="I28" s="39">
        <f t="shared" si="27"/>
        <v>901.28571428571433</v>
      </c>
      <c r="J28" s="40">
        <f t="shared" si="1"/>
        <v>142710</v>
      </c>
      <c r="K28" s="41">
        <f t="shared" si="2"/>
        <v>5096.7857142857147</v>
      </c>
      <c r="L28" s="42"/>
      <c r="M28" s="43">
        <f t="shared" si="3"/>
        <v>14</v>
      </c>
      <c r="N28" s="44">
        <f t="shared" si="3"/>
        <v>124300</v>
      </c>
      <c r="O28" s="38">
        <f t="shared" si="4"/>
        <v>8071.4285714285716</v>
      </c>
      <c r="P28" s="44">
        <f t="shared" si="5"/>
        <v>31560</v>
      </c>
      <c r="Q28" s="39">
        <f>ROUNDDOWN(P28/1.1,0)/M28</f>
        <v>2049.2857142857142</v>
      </c>
      <c r="R28" s="45">
        <f t="shared" si="7"/>
        <v>155860</v>
      </c>
      <c r="S28" s="41">
        <f t="shared" si="8"/>
        <v>11132.857142857143</v>
      </c>
      <c r="T28" s="65">
        <f t="shared" si="9"/>
        <v>42</v>
      </c>
      <c r="U28" s="44">
        <f t="shared" si="9"/>
        <v>239250</v>
      </c>
      <c r="V28" s="44">
        <f t="shared" si="10"/>
        <v>59320</v>
      </c>
      <c r="W28" s="47">
        <f t="shared" si="11"/>
        <v>298570</v>
      </c>
      <c r="X28" s="66"/>
      <c r="Y28" s="48"/>
      <c r="Z28" s="49">
        <v>0</v>
      </c>
      <c r="AA28" s="49"/>
      <c r="AB28" s="37"/>
      <c r="AC28" s="38" t="e">
        <f t="shared" si="12"/>
        <v>#DIV/0!</v>
      </c>
      <c r="AD28" s="37"/>
      <c r="AE28" s="39" t="e">
        <f t="shared" si="13"/>
        <v>#DIV/0!</v>
      </c>
      <c r="AF28" s="50">
        <f t="shared" si="14"/>
        <v>0</v>
      </c>
      <c r="AG28" s="41" t="e">
        <f t="shared" si="15"/>
        <v>#DIV/0!</v>
      </c>
      <c r="AH28" s="51"/>
      <c r="AI28" s="49">
        <v>94</v>
      </c>
      <c r="AJ28" s="37">
        <v>531570</v>
      </c>
      <c r="AK28" s="38">
        <f t="shared" si="16"/>
        <v>5655</v>
      </c>
      <c r="AL28" s="37">
        <v>122670</v>
      </c>
      <c r="AM28" s="39">
        <f t="shared" si="17"/>
        <v>1305</v>
      </c>
      <c r="AN28" s="50">
        <f t="shared" si="28"/>
        <v>654240</v>
      </c>
      <c r="AO28" s="52">
        <f t="shared" si="18"/>
        <v>6960</v>
      </c>
      <c r="AP28" s="53"/>
      <c r="AQ28" s="49">
        <v>452</v>
      </c>
      <c r="AR28" s="37">
        <v>1258850</v>
      </c>
      <c r="AS28" s="38">
        <f t="shared" si="19"/>
        <v>2785.0663716814161</v>
      </c>
      <c r="AT28" s="37">
        <v>645700</v>
      </c>
      <c r="AU28" s="39">
        <f t="shared" si="20"/>
        <v>1428.5398230088495</v>
      </c>
      <c r="AV28" s="39">
        <v>37400</v>
      </c>
      <c r="AW28" s="39"/>
      <c r="AX28" s="54">
        <f>AR28+AT28+AV28+AW28</f>
        <v>1941950</v>
      </c>
      <c r="AY28" s="52">
        <f t="shared" si="21"/>
        <v>4296.3495575221241</v>
      </c>
      <c r="AZ28" s="67">
        <f t="shared" si="22"/>
        <v>42</v>
      </c>
      <c r="BA28" s="44">
        <f t="shared" si="23"/>
        <v>2029670</v>
      </c>
      <c r="BB28" s="44">
        <f t="shared" si="24"/>
        <v>827690</v>
      </c>
      <c r="BC28" s="56">
        <f>W28+AF28+AN28+AX28</f>
        <v>2894760</v>
      </c>
      <c r="BD28" s="57">
        <f t="shared" si="30"/>
        <v>7300</v>
      </c>
      <c r="BE28" s="58">
        <v>42</v>
      </c>
      <c r="BF28" s="59">
        <v>239250</v>
      </c>
      <c r="BG28" s="59">
        <v>59320</v>
      </c>
      <c r="BH28" s="60">
        <v>3300</v>
      </c>
      <c r="BI28" s="60">
        <v>4000</v>
      </c>
      <c r="BJ28" s="60"/>
      <c r="BK28" s="60"/>
      <c r="BL28" s="61">
        <f t="shared" si="29"/>
        <v>305870</v>
      </c>
      <c r="BM28" s="32">
        <v>24</v>
      </c>
      <c r="BN28" s="62">
        <f t="shared" si="25"/>
        <v>305870</v>
      </c>
    </row>
    <row r="29" spans="2:68" ht="20" customHeight="1">
      <c r="B29" s="63">
        <f t="shared" si="26"/>
        <v>45863</v>
      </c>
      <c r="C29" s="64"/>
      <c r="D29" s="35"/>
      <c r="E29" s="36">
        <v>11</v>
      </c>
      <c r="F29" s="37">
        <v>42460</v>
      </c>
      <c r="G29" s="38">
        <f t="shared" si="0"/>
        <v>3509.090909090909</v>
      </c>
      <c r="H29" s="37">
        <v>1500</v>
      </c>
      <c r="I29" s="38">
        <f t="shared" si="27"/>
        <v>123.90909090909091</v>
      </c>
      <c r="J29" s="40">
        <f t="shared" si="1"/>
        <v>43960</v>
      </c>
      <c r="K29" s="41">
        <f t="shared" si="2"/>
        <v>3996.3636363636365</v>
      </c>
      <c r="L29" s="42"/>
      <c r="M29" s="43">
        <f t="shared" si="3"/>
        <v>16</v>
      </c>
      <c r="N29" s="44">
        <f t="shared" si="3"/>
        <v>159500</v>
      </c>
      <c r="O29" s="38">
        <f t="shared" si="4"/>
        <v>9062.5</v>
      </c>
      <c r="P29" s="44">
        <f t="shared" si="5"/>
        <v>53160</v>
      </c>
      <c r="Q29" s="39">
        <f t="shared" si="6"/>
        <v>3020.4375</v>
      </c>
      <c r="R29" s="45">
        <f t="shared" si="7"/>
        <v>212660</v>
      </c>
      <c r="S29" s="41">
        <f t="shared" si="8"/>
        <v>13291.25</v>
      </c>
      <c r="T29" s="65">
        <f t="shared" si="9"/>
        <v>27</v>
      </c>
      <c r="U29" s="44">
        <f t="shared" si="9"/>
        <v>201960</v>
      </c>
      <c r="V29" s="44">
        <f t="shared" si="10"/>
        <v>54660</v>
      </c>
      <c r="W29" s="47">
        <f t="shared" si="11"/>
        <v>256620</v>
      </c>
      <c r="X29" s="66"/>
      <c r="Y29" s="48"/>
      <c r="Z29" s="49">
        <v>6</v>
      </c>
      <c r="AA29" s="49"/>
      <c r="AB29" s="37">
        <v>15000</v>
      </c>
      <c r="AC29" s="38">
        <f t="shared" si="12"/>
        <v>2500</v>
      </c>
      <c r="AD29" s="37">
        <v>1500</v>
      </c>
      <c r="AE29" s="39">
        <f t="shared" si="13"/>
        <v>250</v>
      </c>
      <c r="AF29" s="50">
        <f t="shared" si="14"/>
        <v>16500</v>
      </c>
      <c r="AG29" s="41">
        <f t="shared" si="15"/>
        <v>2750</v>
      </c>
      <c r="AH29" s="51"/>
      <c r="AI29" s="49"/>
      <c r="AJ29" s="37"/>
      <c r="AK29" s="38" t="e">
        <f t="shared" si="16"/>
        <v>#DIV/0!</v>
      </c>
      <c r="AL29" s="37"/>
      <c r="AM29" s="39" t="e">
        <f t="shared" si="17"/>
        <v>#DIV/0!</v>
      </c>
      <c r="AN29" s="50">
        <f t="shared" si="28"/>
        <v>0</v>
      </c>
      <c r="AO29" s="52" t="str">
        <f t="shared" si="18"/>
        <v/>
      </c>
      <c r="AP29" s="53"/>
      <c r="AQ29" s="49">
        <v>640</v>
      </c>
      <c r="AR29" s="37">
        <v>1800100</v>
      </c>
      <c r="AS29" s="38">
        <f t="shared" si="19"/>
        <v>2812.65625</v>
      </c>
      <c r="AT29" s="37">
        <v>995350</v>
      </c>
      <c r="AU29" s="39">
        <f t="shared" si="20"/>
        <v>1555.234375</v>
      </c>
      <c r="AV29" s="39">
        <v>68750</v>
      </c>
      <c r="AW29" s="39"/>
      <c r="AX29" s="54">
        <f>AR29+AT29+AV29+AW29-BP29</f>
        <v>2864200</v>
      </c>
      <c r="AY29" s="52">
        <f t="shared" si="21"/>
        <v>4475.3125</v>
      </c>
      <c r="AZ29" s="67">
        <f t="shared" si="22"/>
        <v>27</v>
      </c>
      <c r="BA29" s="44">
        <f t="shared" si="23"/>
        <v>2017060</v>
      </c>
      <c r="BB29" s="44">
        <f t="shared" si="24"/>
        <v>1051510</v>
      </c>
      <c r="BC29" s="56">
        <f>W29+AF29+AN29+AX29</f>
        <v>3137320</v>
      </c>
      <c r="BD29" s="57">
        <f t="shared" si="30"/>
        <v>6600</v>
      </c>
      <c r="BE29" s="58">
        <v>27</v>
      </c>
      <c r="BF29" s="59">
        <v>201960</v>
      </c>
      <c r="BG29" s="59">
        <v>54660</v>
      </c>
      <c r="BH29" s="60">
        <v>6600</v>
      </c>
      <c r="BI29" s="60"/>
      <c r="BJ29" s="60"/>
      <c r="BK29" s="60"/>
      <c r="BL29" s="61">
        <f t="shared" si="29"/>
        <v>263220</v>
      </c>
      <c r="BM29" s="32">
        <v>25</v>
      </c>
      <c r="BN29" s="62">
        <f t="shared" si="25"/>
        <v>263220</v>
      </c>
    </row>
    <row r="30" spans="2:68" ht="20" customHeight="1">
      <c r="B30" s="63">
        <f t="shared" si="26"/>
        <v>45864</v>
      </c>
      <c r="C30" s="64"/>
      <c r="D30" s="35"/>
      <c r="E30" s="36">
        <v>27</v>
      </c>
      <c r="F30" s="37">
        <v>121660</v>
      </c>
      <c r="G30" s="38">
        <f t="shared" si="0"/>
        <v>4096.2962962962965</v>
      </c>
      <c r="H30" s="37">
        <v>24880</v>
      </c>
      <c r="I30" s="38">
        <f t="shared" si="27"/>
        <v>837.7037037037037</v>
      </c>
      <c r="J30" s="40">
        <f t="shared" si="1"/>
        <v>146540</v>
      </c>
      <c r="K30" s="41">
        <f t="shared" si="2"/>
        <v>5427.4074074074078</v>
      </c>
      <c r="L30" s="42"/>
      <c r="M30" s="43">
        <f t="shared" si="3"/>
        <v>19</v>
      </c>
      <c r="N30" s="44">
        <f t="shared" si="3"/>
        <v>208670</v>
      </c>
      <c r="O30" s="38">
        <f t="shared" si="4"/>
        <v>9984.21052631579</v>
      </c>
      <c r="P30" s="44">
        <f t="shared" si="5"/>
        <v>61950</v>
      </c>
      <c r="Q30" s="38">
        <f t="shared" si="6"/>
        <v>2964.1052631578946</v>
      </c>
      <c r="R30" s="45">
        <f t="shared" si="7"/>
        <v>270620</v>
      </c>
      <c r="S30" s="41">
        <f t="shared" si="8"/>
        <v>14243.157894736842</v>
      </c>
      <c r="T30" s="65">
        <f t="shared" si="9"/>
        <v>46</v>
      </c>
      <c r="U30" s="44">
        <f t="shared" si="9"/>
        <v>330330</v>
      </c>
      <c r="V30" s="44">
        <f t="shared" si="10"/>
        <v>86830</v>
      </c>
      <c r="W30" s="47">
        <f t="shared" si="11"/>
        <v>417160</v>
      </c>
      <c r="X30" s="66"/>
      <c r="Y30" s="48"/>
      <c r="Z30" s="49">
        <v>6</v>
      </c>
      <c r="AA30" s="49"/>
      <c r="AB30" s="37">
        <v>16000</v>
      </c>
      <c r="AC30" s="38">
        <f t="shared" si="12"/>
        <v>2666.6666666666665</v>
      </c>
      <c r="AD30" s="37">
        <v>1500</v>
      </c>
      <c r="AE30" s="39">
        <f t="shared" si="13"/>
        <v>250</v>
      </c>
      <c r="AF30" s="50">
        <f t="shared" si="14"/>
        <v>17500</v>
      </c>
      <c r="AG30" s="41">
        <f t="shared" si="15"/>
        <v>2916.6666666666665</v>
      </c>
      <c r="AH30" s="51"/>
      <c r="AI30" s="49"/>
      <c r="AJ30" s="37"/>
      <c r="AK30" s="38" t="e">
        <f t="shared" si="16"/>
        <v>#DIV/0!</v>
      </c>
      <c r="AL30" s="37"/>
      <c r="AM30" s="39" t="e">
        <f t="shared" si="17"/>
        <v>#DIV/0!</v>
      </c>
      <c r="AN30" s="50">
        <f t="shared" si="28"/>
        <v>0</v>
      </c>
      <c r="AO30" s="52" t="str">
        <f t="shared" si="18"/>
        <v/>
      </c>
      <c r="AP30" s="53"/>
      <c r="AQ30" s="49">
        <v>710</v>
      </c>
      <c r="AR30" s="37">
        <v>2280000</v>
      </c>
      <c r="AS30" s="38">
        <f t="shared" si="19"/>
        <v>3211.2676056338028</v>
      </c>
      <c r="AT30" s="37">
        <v>1219700</v>
      </c>
      <c r="AU30" s="39">
        <f t="shared" si="20"/>
        <v>1717.8873239436621</v>
      </c>
      <c r="AV30" s="39">
        <v>95810</v>
      </c>
      <c r="AW30" s="39">
        <v>5940</v>
      </c>
      <c r="AX30" s="54">
        <f>AR30+AT30+AV30+AW30-BP30</f>
        <v>3601450</v>
      </c>
      <c r="AY30" s="52">
        <f t="shared" si="21"/>
        <v>5072.4647887323945</v>
      </c>
      <c r="AZ30" s="67">
        <f t="shared" si="22"/>
        <v>46</v>
      </c>
      <c r="BA30" s="44">
        <f t="shared" si="23"/>
        <v>2626330</v>
      </c>
      <c r="BB30" s="44">
        <f t="shared" si="24"/>
        <v>1308030</v>
      </c>
      <c r="BC30" s="56">
        <f>W30+AF30+AN30+AX30</f>
        <v>4036110</v>
      </c>
      <c r="BD30" s="57">
        <f>BH30+BI30</f>
        <v>12100</v>
      </c>
      <c r="BE30" s="58">
        <v>46</v>
      </c>
      <c r="BF30" s="59">
        <v>330330</v>
      </c>
      <c r="BG30" s="59">
        <v>86830</v>
      </c>
      <c r="BH30" s="60">
        <v>7700</v>
      </c>
      <c r="BI30" s="60">
        <v>4400</v>
      </c>
      <c r="BJ30" s="60">
        <v>3300</v>
      </c>
      <c r="BK30" s="60"/>
      <c r="BL30" s="61">
        <f t="shared" si="29"/>
        <v>429260</v>
      </c>
      <c r="BM30" s="32">
        <v>26</v>
      </c>
      <c r="BN30" s="62">
        <f t="shared" si="25"/>
        <v>429260</v>
      </c>
    </row>
    <row r="31" spans="2:68" ht="20" customHeight="1">
      <c r="B31" s="63">
        <f t="shared" si="26"/>
        <v>45865</v>
      </c>
      <c r="C31" s="64"/>
      <c r="D31" s="35"/>
      <c r="E31" s="36">
        <v>26</v>
      </c>
      <c r="F31" s="37">
        <v>137280</v>
      </c>
      <c r="G31" s="38">
        <f t="shared" si="0"/>
        <v>4800</v>
      </c>
      <c r="H31" s="37">
        <v>28680</v>
      </c>
      <c r="I31" s="38">
        <f t="shared" si="27"/>
        <v>1002.7692307692307</v>
      </c>
      <c r="J31" s="40">
        <f t="shared" si="1"/>
        <v>165960</v>
      </c>
      <c r="K31" s="41">
        <f t="shared" si="2"/>
        <v>6383.0769230769229</v>
      </c>
      <c r="L31" s="42"/>
      <c r="M31" s="43">
        <f t="shared" si="3"/>
        <v>15</v>
      </c>
      <c r="N31" s="44">
        <f t="shared" si="3"/>
        <v>180840</v>
      </c>
      <c r="O31" s="38">
        <f t="shared" si="4"/>
        <v>10960</v>
      </c>
      <c r="P31" s="44">
        <f t="shared" si="5"/>
        <v>21050</v>
      </c>
      <c r="Q31" s="38">
        <f t="shared" si="6"/>
        <v>1275.7333333333333</v>
      </c>
      <c r="R31" s="45">
        <f t="shared" si="7"/>
        <v>201890</v>
      </c>
      <c r="S31" s="41">
        <f t="shared" si="8"/>
        <v>13459.333333333334</v>
      </c>
      <c r="T31" s="65">
        <f t="shared" si="9"/>
        <v>41</v>
      </c>
      <c r="U31" s="44">
        <f t="shared" si="9"/>
        <v>318120</v>
      </c>
      <c r="V31" s="44">
        <f t="shared" si="10"/>
        <v>49730</v>
      </c>
      <c r="W31" s="47">
        <f t="shared" si="11"/>
        <v>367850</v>
      </c>
      <c r="X31" s="66"/>
      <c r="Y31" s="48"/>
      <c r="Z31" s="49">
        <v>4</v>
      </c>
      <c r="AA31" s="49"/>
      <c r="AB31" s="37">
        <v>10000</v>
      </c>
      <c r="AC31" s="38">
        <f t="shared" si="12"/>
        <v>2500</v>
      </c>
      <c r="AD31" s="37">
        <v>1000</v>
      </c>
      <c r="AE31" s="39">
        <f t="shared" si="13"/>
        <v>250</v>
      </c>
      <c r="AF31" s="50">
        <f t="shared" si="14"/>
        <v>11000</v>
      </c>
      <c r="AG31" s="41">
        <f t="shared" si="15"/>
        <v>2750</v>
      </c>
      <c r="AH31" s="51"/>
      <c r="AI31" s="49"/>
      <c r="AJ31" s="37"/>
      <c r="AK31" s="38" t="e">
        <f t="shared" si="16"/>
        <v>#DIV/0!</v>
      </c>
      <c r="AL31" s="37"/>
      <c r="AM31" s="39" t="e">
        <f t="shared" si="17"/>
        <v>#DIV/0!</v>
      </c>
      <c r="AN31" s="50">
        <f t="shared" si="28"/>
        <v>0</v>
      </c>
      <c r="AO31" s="52" t="str">
        <f t="shared" si="18"/>
        <v/>
      </c>
      <c r="AP31" s="53"/>
      <c r="AQ31" s="49">
        <v>525</v>
      </c>
      <c r="AR31" s="37">
        <v>1536250</v>
      </c>
      <c r="AS31" s="38">
        <f t="shared" si="19"/>
        <v>2926.1904761904761</v>
      </c>
      <c r="AT31" s="37">
        <v>829450</v>
      </c>
      <c r="AU31" s="39">
        <f t="shared" si="20"/>
        <v>1579.9047619047619</v>
      </c>
      <c r="AV31" s="39">
        <v>44110</v>
      </c>
      <c r="AW31" s="39"/>
      <c r="AX31" s="54">
        <f>AR31+AT31+AV31+AW31-BP31</f>
        <v>2409810</v>
      </c>
      <c r="AY31" s="52">
        <f t="shared" si="21"/>
        <v>4590.1142857142859</v>
      </c>
      <c r="AZ31" s="67">
        <f t="shared" si="22"/>
        <v>41</v>
      </c>
      <c r="BA31" s="44">
        <f t="shared" si="23"/>
        <v>1864370</v>
      </c>
      <c r="BB31" s="44">
        <f t="shared" si="24"/>
        <v>880180</v>
      </c>
      <c r="BC31" s="56">
        <f>W31+AF31+AN31+AX31-BO31</f>
        <v>2788660</v>
      </c>
      <c r="BD31" s="57">
        <f t="shared" ref="BD31:BD34" si="35">BH31+BI31</f>
        <v>0</v>
      </c>
      <c r="BE31" s="58">
        <v>41</v>
      </c>
      <c r="BF31" s="59">
        <v>318120</v>
      </c>
      <c r="BG31" s="59">
        <v>49730</v>
      </c>
      <c r="BH31" s="60"/>
      <c r="BI31" s="60"/>
      <c r="BJ31" s="60"/>
      <c r="BK31" s="60"/>
      <c r="BL31" s="61">
        <f t="shared" si="29"/>
        <v>367850</v>
      </c>
      <c r="BM31" s="32">
        <v>27</v>
      </c>
      <c r="BN31" s="62">
        <f t="shared" si="25"/>
        <v>367850</v>
      </c>
    </row>
    <row r="32" spans="2:68" ht="20" customHeight="1">
      <c r="B32" s="63">
        <f t="shared" si="26"/>
        <v>45866</v>
      </c>
      <c r="C32" s="64"/>
      <c r="D32" s="35"/>
      <c r="E32" s="36">
        <v>32</v>
      </c>
      <c r="F32" s="37">
        <v>129690</v>
      </c>
      <c r="G32" s="38">
        <f t="shared" si="0"/>
        <v>3684.375</v>
      </c>
      <c r="H32" s="37">
        <v>27330</v>
      </c>
      <c r="I32" s="38">
        <f t="shared" si="27"/>
        <v>776.40625</v>
      </c>
      <c r="J32" s="40">
        <f t="shared" si="1"/>
        <v>157020</v>
      </c>
      <c r="K32" s="41">
        <f t="shared" si="2"/>
        <v>4906.875</v>
      </c>
      <c r="L32" s="42"/>
      <c r="M32" s="43">
        <f t="shared" si="3"/>
        <v>18</v>
      </c>
      <c r="N32" s="44">
        <f t="shared" si="3"/>
        <v>188100</v>
      </c>
      <c r="O32" s="38">
        <f t="shared" si="4"/>
        <v>9500</v>
      </c>
      <c r="P32" s="44">
        <f t="shared" si="5"/>
        <v>35510</v>
      </c>
      <c r="Q32" s="38">
        <f t="shared" si="6"/>
        <v>1793.3888888888889</v>
      </c>
      <c r="R32" s="45">
        <f t="shared" si="7"/>
        <v>223610</v>
      </c>
      <c r="S32" s="41">
        <f t="shared" si="8"/>
        <v>12422.777777777777</v>
      </c>
      <c r="T32" s="65">
        <f t="shared" si="9"/>
        <v>50</v>
      </c>
      <c r="U32" s="44">
        <f t="shared" si="9"/>
        <v>317790</v>
      </c>
      <c r="V32" s="44">
        <f t="shared" si="10"/>
        <v>62840</v>
      </c>
      <c r="W32" s="47">
        <f t="shared" si="11"/>
        <v>380630</v>
      </c>
      <c r="X32" s="66"/>
      <c r="Y32" s="48"/>
      <c r="Z32" s="49">
        <v>6</v>
      </c>
      <c r="AA32" s="49"/>
      <c r="AB32" s="37">
        <v>15000</v>
      </c>
      <c r="AC32" s="38">
        <f t="shared" si="12"/>
        <v>2500</v>
      </c>
      <c r="AD32" s="37">
        <v>1500</v>
      </c>
      <c r="AE32" s="39">
        <f t="shared" si="13"/>
        <v>250</v>
      </c>
      <c r="AF32" s="50">
        <f t="shared" si="14"/>
        <v>16500</v>
      </c>
      <c r="AG32" s="41">
        <f t="shared" si="15"/>
        <v>2750</v>
      </c>
      <c r="AH32" s="51"/>
      <c r="AI32" s="49"/>
      <c r="AJ32" s="37"/>
      <c r="AK32" s="38" t="e">
        <f t="shared" si="16"/>
        <v>#DIV/0!</v>
      </c>
      <c r="AL32" s="37"/>
      <c r="AM32" s="39" t="e">
        <f t="shared" si="17"/>
        <v>#DIV/0!</v>
      </c>
      <c r="AN32" s="50">
        <f t="shared" si="28"/>
        <v>0</v>
      </c>
      <c r="AO32" s="52" t="str">
        <f t="shared" si="18"/>
        <v/>
      </c>
      <c r="AP32" s="53"/>
      <c r="AQ32" s="49">
        <v>305</v>
      </c>
      <c r="AR32" s="37">
        <v>842000</v>
      </c>
      <c r="AS32" s="38">
        <f t="shared" si="19"/>
        <v>2760.655737704918</v>
      </c>
      <c r="AT32" s="37">
        <v>441750</v>
      </c>
      <c r="AU32" s="39">
        <f t="shared" si="20"/>
        <v>1448.360655737705</v>
      </c>
      <c r="AV32" s="39">
        <v>26840</v>
      </c>
      <c r="AW32" s="39"/>
      <c r="AX32" s="54">
        <f t="shared" ref="AX32" si="36">AR32+AT32+AV32+AW32</f>
        <v>1310590</v>
      </c>
      <c r="AY32" s="52">
        <f t="shared" si="21"/>
        <v>4297.0163934426228</v>
      </c>
      <c r="AZ32" s="67">
        <f t="shared" si="22"/>
        <v>50</v>
      </c>
      <c r="BA32" s="44">
        <f>U32+AB32+AJ32+AR32</f>
        <v>1174790</v>
      </c>
      <c r="BB32" s="44">
        <f t="shared" si="24"/>
        <v>506090</v>
      </c>
      <c r="BC32" s="56">
        <f>W32+AF32+AN32+AX32-BO32</f>
        <v>1707720</v>
      </c>
      <c r="BD32" s="57">
        <f>BH32+BI32</f>
        <v>9350</v>
      </c>
      <c r="BE32" s="58">
        <v>50</v>
      </c>
      <c r="BF32" s="59">
        <v>317790</v>
      </c>
      <c r="BG32" s="59">
        <v>62840</v>
      </c>
      <c r="BH32" s="60">
        <v>7700</v>
      </c>
      <c r="BI32" s="60">
        <v>1650</v>
      </c>
      <c r="BJ32" s="60"/>
      <c r="BK32" s="60"/>
      <c r="BL32" s="61">
        <f>SUM(BF32:BI32)</f>
        <v>389980</v>
      </c>
      <c r="BM32" s="32">
        <v>28</v>
      </c>
    </row>
    <row r="33" spans="2:67" ht="20" customHeight="1">
      <c r="B33" s="63">
        <f t="shared" si="26"/>
        <v>45867</v>
      </c>
      <c r="C33" s="64"/>
      <c r="D33" s="35"/>
      <c r="E33" s="36">
        <v>18</v>
      </c>
      <c r="F33" s="37">
        <v>64460</v>
      </c>
      <c r="G33" s="38">
        <f t="shared" si="0"/>
        <v>3255.5555555555557</v>
      </c>
      <c r="H33" s="37">
        <v>9740</v>
      </c>
      <c r="I33" s="38">
        <f t="shared" si="27"/>
        <v>491.88888888888891</v>
      </c>
      <c r="J33" s="40">
        <f t="shared" si="1"/>
        <v>74200</v>
      </c>
      <c r="K33" s="41">
        <f t="shared" si="2"/>
        <v>4122.2222222222226</v>
      </c>
      <c r="L33" s="42"/>
      <c r="M33" s="43">
        <f t="shared" si="3"/>
        <v>6</v>
      </c>
      <c r="N33" s="44">
        <f t="shared" si="3"/>
        <v>79200</v>
      </c>
      <c r="O33" s="38">
        <f t="shared" si="4"/>
        <v>12000</v>
      </c>
      <c r="P33" s="44">
        <f t="shared" si="5"/>
        <v>18700</v>
      </c>
      <c r="Q33" s="38">
        <f t="shared" si="6"/>
        <v>2833.3333333333335</v>
      </c>
      <c r="R33" s="45">
        <f t="shared" si="7"/>
        <v>97900</v>
      </c>
      <c r="S33" s="41">
        <f t="shared" si="8"/>
        <v>16316.666666666666</v>
      </c>
      <c r="T33" s="65">
        <f t="shared" si="9"/>
        <v>24</v>
      </c>
      <c r="U33" s="44">
        <f t="shared" si="9"/>
        <v>143660</v>
      </c>
      <c r="V33" s="44">
        <f t="shared" si="10"/>
        <v>28440</v>
      </c>
      <c r="W33" s="47">
        <f>J33+R33</f>
        <v>172100</v>
      </c>
      <c r="X33" s="66"/>
      <c r="Y33" s="48"/>
      <c r="Z33" s="49">
        <v>0</v>
      </c>
      <c r="AA33" s="49"/>
      <c r="AB33" s="37"/>
      <c r="AC33" s="38" t="e">
        <f t="shared" si="12"/>
        <v>#DIV/0!</v>
      </c>
      <c r="AD33" s="37"/>
      <c r="AE33" s="39" t="e">
        <f t="shared" si="13"/>
        <v>#DIV/0!</v>
      </c>
      <c r="AF33" s="50">
        <f t="shared" si="14"/>
        <v>0</v>
      </c>
      <c r="AG33" s="41" t="e">
        <f t="shared" si="15"/>
        <v>#DIV/0!</v>
      </c>
      <c r="AH33" s="51"/>
      <c r="AI33" s="49">
        <v>124</v>
      </c>
      <c r="AJ33" s="37">
        <v>485460</v>
      </c>
      <c r="AK33" s="38">
        <f t="shared" si="16"/>
        <v>3915</v>
      </c>
      <c r="AL33" s="37">
        <v>161820</v>
      </c>
      <c r="AM33" s="39">
        <f t="shared" si="17"/>
        <v>1305</v>
      </c>
      <c r="AN33" s="50">
        <f t="shared" si="28"/>
        <v>647280</v>
      </c>
      <c r="AO33" s="52">
        <f t="shared" si="18"/>
        <v>5220</v>
      </c>
      <c r="AP33" s="53"/>
      <c r="AQ33" s="49">
        <v>449</v>
      </c>
      <c r="AR33" s="37">
        <v>1428500</v>
      </c>
      <c r="AS33" s="38">
        <f t="shared" si="19"/>
        <v>3181.5144766146991</v>
      </c>
      <c r="AT33" s="37">
        <v>716800</v>
      </c>
      <c r="AU33" s="39">
        <f t="shared" si="20"/>
        <v>1596.4365256124722</v>
      </c>
      <c r="AV33" s="39">
        <v>27390</v>
      </c>
      <c r="AW33" s="39"/>
      <c r="AX33" s="54">
        <f>AR33+AT33+AV33+AW33-BP33</f>
        <v>2172690</v>
      </c>
      <c r="AY33" s="52">
        <f t="shared" si="21"/>
        <v>4838.953229398664</v>
      </c>
      <c r="AZ33" s="67">
        <f t="shared" si="22"/>
        <v>24</v>
      </c>
      <c r="BA33" s="44">
        <f t="shared" si="23"/>
        <v>2057620</v>
      </c>
      <c r="BB33" s="44">
        <f t="shared" si="24"/>
        <v>907060</v>
      </c>
      <c r="BC33" s="56">
        <f>W33+AF33+AN33+AX33-BO33</f>
        <v>2992070</v>
      </c>
      <c r="BD33" s="57">
        <f t="shared" si="35"/>
        <v>1100</v>
      </c>
      <c r="BE33" s="58">
        <v>24</v>
      </c>
      <c r="BF33" s="59">
        <v>143660</v>
      </c>
      <c r="BG33" s="59">
        <v>28440</v>
      </c>
      <c r="BH33" s="60"/>
      <c r="BI33" s="60">
        <v>1100</v>
      </c>
      <c r="BJ33" s="60"/>
      <c r="BK33" s="60"/>
      <c r="BL33" s="61">
        <f t="shared" si="29"/>
        <v>173200</v>
      </c>
      <c r="BM33" s="32">
        <v>29</v>
      </c>
      <c r="BN33" s="62">
        <f t="shared" si="25"/>
        <v>173200</v>
      </c>
    </row>
    <row r="34" spans="2:67" ht="20" customHeight="1">
      <c r="B34" s="63">
        <f t="shared" si="26"/>
        <v>45868</v>
      </c>
      <c r="C34" s="64"/>
      <c r="D34" s="35"/>
      <c r="E34" s="36">
        <v>15</v>
      </c>
      <c r="F34" s="37">
        <v>53900</v>
      </c>
      <c r="G34" s="38">
        <f t="shared" si="0"/>
        <v>3266.6666666666665</v>
      </c>
      <c r="H34" s="37">
        <v>6840</v>
      </c>
      <c r="I34" s="38">
        <f t="shared" si="27"/>
        <v>414.53333333333336</v>
      </c>
      <c r="J34" s="40">
        <f t="shared" si="1"/>
        <v>60740</v>
      </c>
      <c r="K34" s="41">
        <f t="shared" si="2"/>
        <v>4049.3333333333335</v>
      </c>
      <c r="L34" s="42"/>
      <c r="M34" s="43">
        <f t="shared" si="3"/>
        <v>11</v>
      </c>
      <c r="N34" s="44">
        <f t="shared" si="3"/>
        <v>143110</v>
      </c>
      <c r="O34" s="38">
        <f t="shared" si="4"/>
        <v>11827.272727272728</v>
      </c>
      <c r="P34" s="44">
        <f t="shared" si="5"/>
        <v>21260</v>
      </c>
      <c r="Q34" s="38">
        <f t="shared" si="6"/>
        <v>1757</v>
      </c>
      <c r="R34" s="45">
        <f t="shared" si="7"/>
        <v>164370</v>
      </c>
      <c r="S34" s="41">
        <f t="shared" si="8"/>
        <v>14942.727272727272</v>
      </c>
      <c r="T34" s="65">
        <f t="shared" si="9"/>
        <v>26</v>
      </c>
      <c r="U34" s="44">
        <f t="shared" si="9"/>
        <v>197010</v>
      </c>
      <c r="V34" s="44">
        <f t="shared" si="10"/>
        <v>28100</v>
      </c>
      <c r="W34" s="47">
        <f t="shared" si="11"/>
        <v>225110</v>
      </c>
      <c r="X34" s="66"/>
      <c r="Y34" s="71"/>
      <c r="Z34" s="72">
        <v>4</v>
      </c>
      <c r="AA34" s="72"/>
      <c r="AB34" s="73">
        <v>10000</v>
      </c>
      <c r="AC34" s="38">
        <f t="shared" si="12"/>
        <v>2500</v>
      </c>
      <c r="AD34" s="73">
        <v>1000</v>
      </c>
      <c r="AE34" s="39">
        <f t="shared" si="13"/>
        <v>250</v>
      </c>
      <c r="AF34" s="50">
        <f t="shared" si="14"/>
        <v>11000</v>
      </c>
      <c r="AG34" s="41">
        <f t="shared" si="15"/>
        <v>2750</v>
      </c>
      <c r="AH34" s="51"/>
      <c r="AI34" s="72"/>
      <c r="AJ34" s="73"/>
      <c r="AK34" s="38" t="e">
        <f t="shared" si="16"/>
        <v>#DIV/0!</v>
      </c>
      <c r="AL34" s="73"/>
      <c r="AM34" s="39" t="e">
        <f t="shared" si="17"/>
        <v>#DIV/0!</v>
      </c>
      <c r="AN34" s="50">
        <f t="shared" si="28"/>
        <v>0</v>
      </c>
      <c r="AO34" s="52" t="str">
        <f t="shared" si="18"/>
        <v/>
      </c>
      <c r="AP34" s="53"/>
      <c r="AQ34" s="72">
        <v>479</v>
      </c>
      <c r="AR34" s="73">
        <v>1382050</v>
      </c>
      <c r="AS34" s="38">
        <f t="shared" si="19"/>
        <v>2885.2818371607514</v>
      </c>
      <c r="AT34" s="73">
        <v>728500</v>
      </c>
      <c r="AU34" s="39">
        <f t="shared" si="20"/>
        <v>1520.8768267223381</v>
      </c>
      <c r="AV34" s="39">
        <v>58520</v>
      </c>
      <c r="AW34" s="39"/>
      <c r="AX34" s="54">
        <f>AR34+AT34+AV34+AW34</f>
        <v>2169070</v>
      </c>
      <c r="AY34" s="52">
        <f t="shared" si="21"/>
        <v>4528.329853862213</v>
      </c>
      <c r="AZ34" s="67">
        <f t="shared" si="22"/>
        <v>26</v>
      </c>
      <c r="BA34" s="44">
        <f t="shared" si="23"/>
        <v>1589060</v>
      </c>
      <c r="BB34" s="44">
        <f t="shared" si="24"/>
        <v>757600</v>
      </c>
      <c r="BC34" s="56">
        <f>W34+AF34+AN34+AX34</f>
        <v>2405180</v>
      </c>
      <c r="BD34" s="57">
        <f t="shared" si="35"/>
        <v>2200</v>
      </c>
      <c r="BE34" s="58">
        <v>26</v>
      </c>
      <c r="BF34" s="59">
        <v>197010</v>
      </c>
      <c r="BG34" s="59">
        <v>28100</v>
      </c>
      <c r="BH34" s="60">
        <v>2200</v>
      </c>
      <c r="BI34" s="60"/>
      <c r="BJ34" s="60">
        <v>13300</v>
      </c>
      <c r="BK34" s="60"/>
      <c r="BL34" s="61">
        <f t="shared" si="29"/>
        <v>227310</v>
      </c>
      <c r="BM34" s="32">
        <v>30</v>
      </c>
      <c r="BN34" s="62">
        <f t="shared" si="25"/>
        <v>227310</v>
      </c>
    </row>
    <row r="35" spans="2:67" ht="20" customHeight="1" thickBot="1">
      <c r="B35" s="63">
        <f t="shared" si="26"/>
        <v>45869</v>
      </c>
      <c r="C35" s="64"/>
      <c r="D35" s="35"/>
      <c r="E35" s="36">
        <v>14</v>
      </c>
      <c r="F35" s="37">
        <v>44440</v>
      </c>
      <c r="G35" s="38">
        <f t="shared" si="0"/>
        <v>2885.7142857142858</v>
      </c>
      <c r="H35" s="37">
        <v>5290</v>
      </c>
      <c r="I35" s="38">
        <f t="shared" si="27"/>
        <v>343.5</v>
      </c>
      <c r="J35" s="40">
        <f t="shared" si="1"/>
        <v>49730</v>
      </c>
      <c r="K35" s="41">
        <f t="shared" si="2"/>
        <v>3552.1428571428573</v>
      </c>
      <c r="L35" s="42"/>
      <c r="M35" s="74">
        <f t="shared" si="3"/>
        <v>10</v>
      </c>
      <c r="N35" s="44">
        <f t="shared" si="3"/>
        <v>116710</v>
      </c>
      <c r="O35" s="38">
        <f t="shared" si="4"/>
        <v>10610</v>
      </c>
      <c r="P35" s="44">
        <f t="shared" si="5"/>
        <v>21030</v>
      </c>
      <c r="Q35" s="38">
        <f t="shared" si="6"/>
        <v>1911.8</v>
      </c>
      <c r="R35" s="45">
        <f t="shared" si="7"/>
        <v>137740</v>
      </c>
      <c r="S35" s="41">
        <f t="shared" si="8"/>
        <v>13774</v>
      </c>
      <c r="T35" s="75">
        <f t="shared" si="9"/>
        <v>24</v>
      </c>
      <c r="U35" s="76">
        <f t="shared" si="9"/>
        <v>161150</v>
      </c>
      <c r="V35" s="76">
        <f t="shared" si="10"/>
        <v>26320</v>
      </c>
      <c r="W35" s="77">
        <f t="shared" si="11"/>
        <v>187470</v>
      </c>
      <c r="X35" s="76"/>
      <c r="Y35" s="78"/>
      <c r="Z35" s="79">
        <v>2</v>
      </c>
      <c r="AA35" s="79"/>
      <c r="AB35" s="80">
        <v>5000</v>
      </c>
      <c r="AC35" s="81">
        <f t="shared" si="12"/>
        <v>2500</v>
      </c>
      <c r="AD35" s="80">
        <v>500</v>
      </c>
      <c r="AE35" s="82">
        <f t="shared" si="13"/>
        <v>250</v>
      </c>
      <c r="AF35" s="83">
        <f t="shared" si="14"/>
        <v>5500</v>
      </c>
      <c r="AG35" s="41">
        <f t="shared" si="15"/>
        <v>2750</v>
      </c>
      <c r="AH35" s="84"/>
      <c r="AI35" s="79"/>
      <c r="AJ35" s="80"/>
      <c r="AK35" s="81" t="e">
        <f t="shared" si="16"/>
        <v>#DIV/0!</v>
      </c>
      <c r="AL35" s="80"/>
      <c r="AM35" s="82" t="e">
        <f t="shared" si="17"/>
        <v>#DIV/0!</v>
      </c>
      <c r="AN35" s="50">
        <f t="shared" si="28"/>
        <v>0</v>
      </c>
      <c r="AO35" s="52" t="str">
        <f t="shared" si="18"/>
        <v/>
      </c>
      <c r="AP35" s="85"/>
      <c r="AQ35" s="79">
        <v>437</v>
      </c>
      <c r="AR35" s="80">
        <v>1388950</v>
      </c>
      <c r="AS35" s="81">
        <f t="shared" si="19"/>
        <v>3178.3752860411901</v>
      </c>
      <c r="AT35" s="80">
        <v>722300</v>
      </c>
      <c r="AU35" s="82">
        <f t="shared" si="20"/>
        <v>1652.8604118993135</v>
      </c>
      <c r="AV35" s="82">
        <v>44770</v>
      </c>
      <c r="AW35" s="39"/>
      <c r="AX35" s="54">
        <f t="shared" si="34"/>
        <v>2156020</v>
      </c>
      <c r="AY35" s="52">
        <f t="shared" si="21"/>
        <v>4933.6842105263158</v>
      </c>
      <c r="AZ35" s="86">
        <f t="shared" si="22"/>
        <v>24</v>
      </c>
      <c r="BA35" s="44">
        <f t="shared" si="23"/>
        <v>1555100</v>
      </c>
      <c r="BB35" s="44">
        <f t="shared" si="24"/>
        <v>749120</v>
      </c>
      <c r="BC35" s="56">
        <f>W35+AF35+AN35+AX35</f>
        <v>2348990</v>
      </c>
      <c r="BD35" s="57">
        <f t="shared" si="30"/>
        <v>4950</v>
      </c>
      <c r="BE35" s="87">
        <v>24</v>
      </c>
      <c r="BF35" s="88">
        <v>161150</v>
      </c>
      <c r="BG35" s="88">
        <v>26320</v>
      </c>
      <c r="BH35" s="89">
        <v>4950</v>
      </c>
      <c r="BI35" s="89"/>
      <c r="BJ35" s="89">
        <v>3300</v>
      </c>
      <c r="BK35" s="89"/>
      <c r="BL35" s="61">
        <f t="shared" si="29"/>
        <v>192420</v>
      </c>
      <c r="BM35" s="32">
        <v>31</v>
      </c>
      <c r="BN35" s="62">
        <f t="shared" si="25"/>
        <v>192420</v>
      </c>
    </row>
    <row r="36" spans="2:67" s="112" customFormat="1" ht="20" customHeight="1" thickTop="1">
      <c r="B36" s="90" t="s">
        <v>28</v>
      </c>
      <c r="C36" s="91">
        <f>SUM(C5:C35)</f>
        <v>0</v>
      </c>
      <c r="D36" s="92">
        <f>SUM(D5:D35)</f>
        <v>0</v>
      </c>
      <c r="E36" s="93">
        <f>SUM(E5:E35)</f>
        <v>778</v>
      </c>
      <c r="F36" s="94">
        <f>SUM(F5:F35)</f>
        <v>3209700</v>
      </c>
      <c r="G36" s="95">
        <f>F36/E36</f>
        <v>4125.5784061696659</v>
      </c>
      <c r="H36" s="91">
        <f>SUM(H5:H35)</f>
        <v>535250</v>
      </c>
      <c r="I36" s="96">
        <f>H36/E36</f>
        <v>687.98200514138819</v>
      </c>
      <c r="J36" s="97">
        <f>SUM(J5:J35)</f>
        <v>3744950</v>
      </c>
      <c r="K36" s="98">
        <f>J36/E36</f>
        <v>4813.5604113110539</v>
      </c>
      <c r="L36" s="99">
        <f>SUM(L5:L35)</f>
        <v>0</v>
      </c>
      <c r="M36" s="93">
        <f>SUM(M5:M35)</f>
        <v>559</v>
      </c>
      <c r="N36" s="94">
        <f>SUM(N5:N35)</f>
        <v>5740200</v>
      </c>
      <c r="O36" s="95">
        <f>N36/M36</f>
        <v>10268.694096601073</v>
      </c>
      <c r="P36" s="100">
        <f>SUM(P5:P35)</f>
        <v>1416360</v>
      </c>
      <c r="Q36" s="96">
        <f>P36/M36</f>
        <v>2533.7388193202146</v>
      </c>
      <c r="R36" s="101">
        <f>SUM(R5:R35)</f>
        <v>7156560</v>
      </c>
      <c r="S36" s="102">
        <f>R36/M36</f>
        <v>12802.432915921288</v>
      </c>
      <c r="T36" s="93">
        <f t="shared" ref="T36:AB36" si="37">SUM(T5:T35)</f>
        <v>1337</v>
      </c>
      <c r="U36" s="100">
        <f t="shared" si="37"/>
        <v>8949900</v>
      </c>
      <c r="V36" s="100">
        <f t="shared" si="37"/>
        <v>1951610</v>
      </c>
      <c r="W36" s="97">
        <f>SUM(W5:W35)</f>
        <v>10901510</v>
      </c>
      <c r="X36" s="103">
        <f t="shared" si="37"/>
        <v>0</v>
      </c>
      <c r="Y36" s="92">
        <f t="shared" si="37"/>
        <v>0</v>
      </c>
      <c r="Z36" s="93">
        <f t="shared" si="37"/>
        <v>77</v>
      </c>
      <c r="AA36" s="104"/>
      <c r="AB36" s="95">
        <f t="shared" si="37"/>
        <v>194100</v>
      </c>
      <c r="AC36" s="95">
        <f>AB36/Z36</f>
        <v>2520.7792207792209</v>
      </c>
      <c r="AD36" s="91">
        <f>SUM(AD5:AD35)</f>
        <v>19250</v>
      </c>
      <c r="AE36" s="96">
        <f>AD36/Z36</f>
        <v>250</v>
      </c>
      <c r="AF36" s="101">
        <f>SUM(AF5:AF35)</f>
        <v>213350</v>
      </c>
      <c r="AG36" s="105">
        <f>AF36/Z36</f>
        <v>2770.7792207792209</v>
      </c>
      <c r="AH36" s="106">
        <f t="shared" ref="AH36:AJ36" si="38">SUM(AH5:AH35)</f>
        <v>0</v>
      </c>
      <c r="AI36" s="93">
        <f t="shared" si="38"/>
        <v>606</v>
      </c>
      <c r="AJ36" s="95">
        <f t="shared" si="38"/>
        <v>2767035</v>
      </c>
      <c r="AK36" s="95"/>
      <c r="AL36" s="91">
        <f>SUM(AL5:AL35)</f>
        <v>859960</v>
      </c>
      <c r="AM36" s="96"/>
      <c r="AN36" s="101">
        <f>SUM(AN5:AN35)</f>
        <v>3626995</v>
      </c>
      <c r="AO36" s="107">
        <f>AN36/AI36</f>
        <v>5985.1402640264023</v>
      </c>
      <c r="AP36" s="108">
        <f t="shared" ref="AP36:AR36" si="39">SUM(AP5:AP35)</f>
        <v>0</v>
      </c>
      <c r="AQ36" s="93">
        <f t="shared" si="39"/>
        <v>14790</v>
      </c>
      <c r="AR36" s="95">
        <f t="shared" si="39"/>
        <v>44188910</v>
      </c>
      <c r="AS36" s="95"/>
      <c r="AT36" s="91">
        <f>SUM(AT5:AT35)</f>
        <v>23702300</v>
      </c>
      <c r="AU36" s="96"/>
      <c r="AV36" s="91">
        <f>SUM(AV5:AV35)</f>
        <v>1409980</v>
      </c>
      <c r="AW36" s="91">
        <f>SUM(AW5:AW35)</f>
        <v>23760</v>
      </c>
      <c r="AX36" s="101">
        <f>SUM(AX5:AX35)</f>
        <v>69324950</v>
      </c>
      <c r="AY36" s="107">
        <f>AX36/AQ36</f>
        <v>4687.2853279242736</v>
      </c>
      <c r="AZ36" s="104">
        <f t="shared" ref="AZ36:BL36" si="40">SUM(AZ5:AZ35)</f>
        <v>1337</v>
      </c>
      <c r="BA36" s="100">
        <f t="shared" si="40"/>
        <v>56099945</v>
      </c>
      <c r="BB36" s="100">
        <f t="shared" si="40"/>
        <v>26533120</v>
      </c>
      <c r="BC36" s="101">
        <f>SUM(BC5:BC35)</f>
        <v>84056245</v>
      </c>
      <c r="BD36" s="109">
        <f t="shared" si="40"/>
        <v>188250</v>
      </c>
      <c r="BE36" s="110">
        <f t="shared" si="40"/>
        <v>1337</v>
      </c>
      <c r="BF36" s="110">
        <f t="shared" si="40"/>
        <v>8949900</v>
      </c>
      <c r="BG36" s="110">
        <f t="shared" si="40"/>
        <v>1951610</v>
      </c>
      <c r="BH36" s="110">
        <f t="shared" si="40"/>
        <v>156750</v>
      </c>
      <c r="BI36" s="110">
        <f t="shared" si="40"/>
        <v>31500</v>
      </c>
      <c r="BJ36" s="110">
        <f t="shared" si="40"/>
        <v>39700</v>
      </c>
      <c r="BK36" s="110">
        <f t="shared" si="40"/>
        <v>0</v>
      </c>
      <c r="BL36" s="111">
        <f t="shared" si="40"/>
        <v>11089760</v>
      </c>
      <c r="BN36" s="113">
        <f>SUM(BN5:BN35)</f>
        <v>10699780</v>
      </c>
    </row>
    <row r="37" spans="2:67" s="112" customFormat="1" ht="18">
      <c r="B37" s="114"/>
      <c r="E37" s="115" t="s">
        <v>41</v>
      </c>
      <c r="F37" s="116">
        <f>F36/1.1</f>
        <v>2917909.0909090908</v>
      </c>
      <c r="G37" s="117">
        <f>F37/E36</f>
        <v>3750.525823790605</v>
      </c>
      <c r="H37" s="118">
        <f>H36/1.1</f>
        <v>486590.90909090906</v>
      </c>
      <c r="I37" s="117">
        <f>H37/E36</f>
        <v>625.43818649217098</v>
      </c>
      <c r="J37" s="119">
        <f>J36/1.1</f>
        <v>3404499.9999999995</v>
      </c>
      <c r="K37" s="120">
        <f>G37+I37</f>
        <v>4375.9640102827761</v>
      </c>
      <c r="L37" s="121"/>
      <c r="M37" s="115" t="s">
        <v>41</v>
      </c>
      <c r="N37" s="116">
        <f>N36/1.1</f>
        <v>5218363.6363636358</v>
      </c>
      <c r="O37" s="117">
        <f>N37/M36</f>
        <v>9335.1764514555198</v>
      </c>
      <c r="P37" s="118">
        <f>P36/1.1</f>
        <v>1287600</v>
      </c>
      <c r="Q37" s="117">
        <f>P37/M36</f>
        <v>2303.3989266547405</v>
      </c>
      <c r="R37" s="117">
        <f>R36/1.1</f>
        <v>6505963.6363636358</v>
      </c>
      <c r="S37" s="122">
        <f>R37/M36</f>
        <v>11638.575378110261</v>
      </c>
      <c r="T37" s="115" t="s">
        <v>41</v>
      </c>
      <c r="U37" s="116">
        <f>U36/1.1</f>
        <v>8136272.7272727266</v>
      </c>
      <c r="V37" s="116">
        <f>V36/1.1</f>
        <v>1774190.9090909089</v>
      </c>
      <c r="W37" s="119">
        <f>W36/1.1</f>
        <v>9910463.6363636348</v>
      </c>
      <c r="X37" s="123"/>
      <c r="Y37" s="121"/>
      <c r="Z37" s="115" t="s">
        <v>41</v>
      </c>
      <c r="AA37" s="115"/>
      <c r="AB37" s="116">
        <f>AB36/1.1</f>
        <v>176454.54545454544</v>
      </c>
      <c r="AC37" s="118">
        <f>AB37/Z36</f>
        <v>2291.617473435655</v>
      </c>
      <c r="AD37" s="118">
        <f>AD36/1.1</f>
        <v>17500</v>
      </c>
      <c r="AE37" s="118">
        <f>AD37/Z36</f>
        <v>227.27272727272728</v>
      </c>
      <c r="AF37" s="117">
        <f>AF36/1.1</f>
        <v>193954.54545454544</v>
      </c>
      <c r="AG37" s="124">
        <f>AF37/Z36</f>
        <v>2518.8902007083825</v>
      </c>
      <c r="AH37" s="121"/>
      <c r="AI37" s="115" t="s">
        <v>41</v>
      </c>
      <c r="AJ37" s="116">
        <f>AJ36/1.1</f>
        <v>2515486.3636363633</v>
      </c>
      <c r="AK37" s="118">
        <f>AJ37/AI36</f>
        <v>4150.967596759675</v>
      </c>
      <c r="AL37" s="118">
        <f>AL36/1.1</f>
        <v>781781.81818181812</v>
      </c>
      <c r="AM37" s="118">
        <f>AL37/AI36</f>
        <v>1290.0690069006901</v>
      </c>
      <c r="AN37" s="117">
        <f>AN36/1.1</f>
        <v>3297268.1818181816</v>
      </c>
      <c r="AO37" s="125" t="e">
        <f>AN37/AH36</f>
        <v>#DIV/0!</v>
      </c>
      <c r="AP37" s="121"/>
      <c r="AQ37" s="115" t="s">
        <v>41</v>
      </c>
      <c r="AR37" s="116">
        <f>AR36/1.1</f>
        <v>40171736.36363636</v>
      </c>
      <c r="AS37" s="118">
        <f>AR37/AQ36</f>
        <v>2716.1417419632426</v>
      </c>
      <c r="AT37" s="118">
        <f>AT36/1.1</f>
        <v>21547545.454545453</v>
      </c>
      <c r="AU37" s="118">
        <f>AT37/AQ36</f>
        <v>1456.8996250537832</v>
      </c>
      <c r="AV37" s="118">
        <f>AV36/1.1</f>
        <v>1281800</v>
      </c>
      <c r="AW37" s="118">
        <f>AW36/1.1</f>
        <v>21600</v>
      </c>
      <c r="AX37" s="117">
        <f>AX36/1.1</f>
        <v>63022681.818181813</v>
      </c>
      <c r="AY37" s="125">
        <f>AX37/AQ36</f>
        <v>4261.168479931157</v>
      </c>
      <c r="AZ37" s="126" t="s">
        <v>41</v>
      </c>
      <c r="BA37" s="116">
        <f>BA36/1.1</f>
        <v>50999949.999999993</v>
      </c>
      <c r="BB37" s="116">
        <f>BB36/1.1</f>
        <v>24121018.18181818</v>
      </c>
      <c r="BC37" s="117">
        <f>BC36/1.1</f>
        <v>76414768.181818172</v>
      </c>
      <c r="BD37" s="127">
        <f>BD36/1.1</f>
        <v>171136.36363636362</v>
      </c>
      <c r="BI37" s="128"/>
      <c r="BL37" s="129">
        <f>BL36/1.1</f>
        <v>10081600</v>
      </c>
      <c r="BN37" s="129"/>
      <c r="BO37" s="112">
        <f>SUM(BO5:BO36)</f>
        <v>10560</v>
      </c>
    </row>
    <row r="38" spans="2:67">
      <c r="C38" s="32">
        <v>31</v>
      </c>
      <c r="E38" s="130" t="s">
        <v>42</v>
      </c>
      <c r="F38" s="131">
        <f>E36/G38</f>
        <v>25.096774193548388</v>
      </c>
      <c r="G38" s="132">
        <v>31</v>
      </c>
      <c r="H38" s="131"/>
      <c r="I38" s="131"/>
      <c r="J38" s="133" t="s">
        <v>43</v>
      </c>
      <c r="K38" s="134">
        <f>J37/G38</f>
        <v>109822.58064516127</v>
      </c>
      <c r="M38" s="130" t="s">
        <v>42</v>
      </c>
      <c r="N38" s="131">
        <f>M36/O38</f>
        <v>18.032258064516128</v>
      </c>
      <c r="O38" s="132">
        <f>G38</f>
        <v>31</v>
      </c>
      <c r="P38" s="131"/>
      <c r="Q38" s="131"/>
      <c r="R38" s="133" t="s">
        <v>43</v>
      </c>
      <c r="S38" s="135">
        <f>R37/O38</f>
        <v>209869.79472140761</v>
      </c>
      <c r="U38" s="136">
        <f>O38</f>
        <v>31</v>
      </c>
      <c r="W38" s="68">
        <f>W37/U38</f>
        <v>319692.37536656886</v>
      </c>
      <c r="X38" s="62"/>
      <c r="AB38" s="137">
        <f>G38</f>
        <v>31</v>
      </c>
      <c r="AC38" s="131"/>
      <c r="AD38" s="131"/>
      <c r="AE38" s="131"/>
      <c r="AF38" s="131"/>
      <c r="AG38" s="134">
        <f>AF37/AB38</f>
        <v>6256.5982404692077</v>
      </c>
      <c r="AJ38" s="137">
        <f>AB38</f>
        <v>31</v>
      </c>
      <c r="AK38" s="131"/>
      <c r="AL38" s="131"/>
      <c r="AM38" s="131"/>
      <c r="AN38" s="131"/>
      <c r="AO38" s="134">
        <f>AN37/AJ38</f>
        <v>106363.48973607038</v>
      </c>
      <c r="AR38" s="137">
        <f>G38</f>
        <v>31</v>
      </c>
      <c r="AS38" s="131"/>
      <c r="AT38" s="131"/>
      <c r="AU38" s="131"/>
      <c r="AV38" s="131"/>
      <c r="AW38" s="131"/>
      <c r="AX38" s="131"/>
      <c r="AY38" s="134">
        <f>AX37/AR38</f>
        <v>2032989.736070381</v>
      </c>
      <c r="BC38" s="68"/>
      <c r="BD38" s="62" t="e">
        <f>BC37/BE37</f>
        <v>#DIV/0!</v>
      </c>
      <c r="BE38" s="138">
        <f>AZ36+T36</f>
        <v>2674</v>
      </c>
      <c r="BH38" s="32">
        <f>BH36/1.1</f>
        <v>142500</v>
      </c>
      <c r="BI38" s="68"/>
    </row>
    <row r="39" spans="2:67">
      <c r="D39" s="139" t="s">
        <v>44</v>
      </c>
      <c r="E39" s="140"/>
      <c r="F39" s="131"/>
      <c r="G39" s="141"/>
      <c r="H39" s="131"/>
      <c r="I39" s="131"/>
      <c r="J39" s="133"/>
      <c r="K39" s="134"/>
      <c r="L39" s="142" t="s">
        <v>45</v>
      </c>
      <c r="M39" s="130"/>
      <c r="N39" s="131"/>
      <c r="O39" s="131"/>
      <c r="P39" s="131"/>
      <c r="Q39" s="131"/>
      <c r="R39" s="133"/>
      <c r="S39" s="134"/>
      <c r="V39" s="68">
        <f>V37/T36</f>
        <v>1326.993948459917</v>
      </c>
      <c r="W39" s="68"/>
      <c r="X39" s="62"/>
      <c r="Y39" s="142" t="s">
        <v>46</v>
      </c>
      <c r="AB39" s="131"/>
      <c r="AC39" s="131"/>
      <c r="AD39" s="131"/>
      <c r="AE39" s="131"/>
      <c r="AF39" s="131"/>
      <c r="AG39" s="134"/>
      <c r="AH39" s="142" t="s">
        <v>47</v>
      </c>
      <c r="AJ39" s="131"/>
      <c r="AK39" s="131"/>
      <c r="AL39" s="131"/>
      <c r="AM39" s="131"/>
      <c r="AN39" s="131"/>
      <c r="AO39" s="134">
        <f>W37+AF37+AN37+BD37+BJ36-BO37</f>
        <v>13601962.727272725</v>
      </c>
      <c r="AP39" s="142" t="s">
        <v>48</v>
      </c>
      <c r="AR39" s="131"/>
      <c r="AS39" s="131"/>
      <c r="AT39" s="131"/>
      <c r="AU39" s="131"/>
      <c r="AV39" s="131"/>
      <c r="AW39" s="131"/>
      <c r="AX39" s="131"/>
      <c r="AY39" s="134"/>
      <c r="BC39" s="62">
        <f>BC36+BD36</f>
        <v>84244495</v>
      </c>
      <c r="BD39" s="143">
        <f>BC39/G38</f>
        <v>2717564.3548387098</v>
      </c>
      <c r="BE39" s="32" t="s">
        <v>49</v>
      </c>
      <c r="BI39" s="68"/>
    </row>
    <row r="40" spans="2:67" ht="21.5" customHeight="1">
      <c r="C40" s="142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32">
        <v>25</v>
      </c>
      <c r="W40" s="62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BC40" s="144">
        <f>BC37+BD37</f>
        <v>76585904.545454532</v>
      </c>
    </row>
    <row r="41" spans="2:67" ht="21.5" customHeight="1">
      <c r="C41" s="142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32">
        <v>15</v>
      </c>
      <c r="V41" s="32">
        <f>17+10+14+5+7+8+9+6</f>
        <v>76</v>
      </c>
      <c r="W41" s="68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BC41" s="62"/>
      <c r="BD41" s="143">
        <f>BC40/G38</f>
        <v>2470513.0498533719</v>
      </c>
      <c r="BE41" s="32" t="s">
        <v>50</v>
      </c>
      <c r="BF41" s="32">
        <v>9</v>
      </c>
    </row>
    <row r="42" spans="2:67" ht="21.5" customHeight="1">
      <c r="C42" s="142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32">
        <v>13</v>
      </c>
      <c r="W42" s="62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BF42" s="32">
        <v>8</v>
      </c>
      <c r="BG42" s="68">
        <f>AT37</f>
        <v>21547545.454545453</v>
      </c>
    </row>
    <row r="43" spans="2:67" ht="21.5" customHeight="1">
      <c r="C43" s="142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32">
        <v>10</v>
      </c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BC43" s="68">
        <f>BC37+BD37</f>
        <v>76585904.545454532</v>
      </c>
      <c r="BD43" s="145" t="s">
        <v>51</v>
      </c>
      <c r="BF43" s="32">
        <v>7</v>
      </c>
      <c r="BG43" s="146">
        <f>'[1]2023(7)'!AS37</f>
        <v>15843636.363636361</v>
      </c>
      <c r="BH43" s="146">
        <v>6266320</v>
      </c>
      <c r="BI43" s="147">
        <f>BH43/BG43</f>
        <v>0.39551021344962134</v>
      </c>
    </row>
    <row r="44" spans="2:67" ht="21.5" customHeight="1">
      <c r="C44" s="142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32">
        <v>40</v>
      </c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BA44" s="112"/>
      <c r="BB44" s="148" t="s">
        <v>52</v>
      </c>
      <c r="BC44" s="129">
        <f>J45+R45+AF45+BD44+AN45+AX45</f>
        <v>62582475</v>
      </c>
      <c r="BD44" s="149">
        <v>110000</v>
      </c>
      <c r="BE44" s="112"/>
      <c r="BF44" s="32">
        <v>6</v>
      </c>
      <c r="BG44" s="146">
        <v>7119727</v>
      </c>
      <c r="BH44" s="146">
        <v>2680643</v>
      </c>
      <c r="BI44" s="147">
        <f t="shared" ref="BI44:BI45" si="41">BH44/BG44</f>
        <v>0.37650923975034434</v>
      </c>
      <c r="BJ44" s="32" t="s">
        <v>53</v>
      </c>
    </row>
    <row r="45" spans="2:67" ht="21" customHeight="1">
      <c r="H45" s="150"/>
      <c r="I45" s="151" t="s">
        <v>54</v>
      </c>
      <c r="J45" s="129">
        <v>3872000</v>
      </c>
      <c r="K45" s="152" t="s">
        <v>55</v>
      </c>
      <c r="L45" s="112"/>
      <c r="M45" s="112"/>
      <c r="N45" s="112"/>
      <c r="O45" s="112"/>
      <c r="P45" s="112"/>
      <c r="Q45" s="151" t="s">
        <v>56</v>
      </c>
      <c r="R45" s="129">
        <v>6244000</v>
      </c>
      <c r="S45" s="152" t="s">
        <v>55</v>
      </c>
      <c r="T45" s="112">
        <v>10</v>
      </c>
      <c r="U45" s="112"/>
      <c r="V45" s="151" t="s">
        <v>57</v>
      </c>
      <c r="W45" s="129">
        <f>J45+R45</f>
        <v>10116000</v>
      </c>
      <c r="X45" s="152" t="s">
        <v>55</v>
      </c>
      <c r="Y45" s="112"/>
      <c r="Z45" s="112"/>
      <c r="AA45" s="112"/>
      <c r="AB45" s="112"/>
      <c r="AC45" s="112"/>
      <c r="AD45" s="112"/>
      <c r="AE45" s="150" t="s">
        <v>102</v>
      </c>
      <c r="AF45" s="129">
        <v>345400</v>
      </c>
      <c r="AG45" s="152" t="s">
        <v>55</v>
      </c>
      <c r="AH45" s="152"/>
      <c r="AI45" s="152"/>
      <c r="AJ45" s="152"/>
      <c r="AK45" s="152"/>
      <c r="AL45" s="112"/>
      <c r="AM45" s="151" t="s">
        <v>58</v>
      </c>
      <c r="AN45" s="129">
        <v>2196075</v>
      </c>
      <c r="AO45" s="152" t="s">
        <v>55</v>
      </c>
      <c r="AP45" s="152"/>
      <c r="AQ45" s="152"/>
      <c r="AR45" s="152"/>
      <c r="AS45" s="152"/>
      <c r="AT45" s="112"/>
      <c r="AU45" s="151" t="s">
        <v>59</v>
      </c>
      <c r="AV45" s="151"/>
      <c r="AW45" s="151"/>
      <c r="AX45" s="129">
        <v>49815000</v>
      </c>
      <c r="AY45" s="152" t="s">
        <v>55</v>
      </c>
      <c r="AZ45" s="112"/>
      <c r="BA45" s="112"/>
      <c r="BB45" s="148" t="s">
        <v>60</v>
      </c>
      <c r="BC45" s="128">
        <f>BC44-BC37-BD37</f>
        <v>-14003429.545454536</v>
      </c>
      <c r="BD45" s="128">
        <f>BD44-BD37</f>
        <v>-61136.363636363618</v>
      </c>
      <c r="BE45" s="153">
        <f>BD37/BD44</f>
        <v>1.555785123966942</v>
      </c>
      <c r="BF45" s="32">
        <v>5</v>
      </c>
      <c r="BG45" s="146">
        <v>637682</v>
      </c>
      <c r="BH45" s="146"/>
      <c r="BI45" s="147">
        <f t="shared" si="41"/>
        <v>0</v>
      </c>
      <c r="BJ45" s="62" t="s">
        <v>61</v>
      </c>
      <c r="BN45" s="32"/>
    </row>
    <row r="46" spans="2:67" ht="21" customHeight="1">
      <c r="H46" s="150"/>
      <c r="I46" s="150" t="s">
        <v>60</v>
      </c>
      <c r="J46" s="128">
        <f>J45-J37</f>
        <v>467500.00000000047</v>
      </c>
      <c r="K46" s="154">
        <f>C38-G38</f>
        <v>0</v>
      </c>
      <c r="L46" s="112"/>
      <c r="M46" s="112"/>
      <c r="N46" s="112"/>
      <c r="O46" s="112"/>
      <c r="P46" s="112"/>
      <c r="Q46" s="150" t="s">
        <v>60</v>
      </c>
      <c r="R46" s="128">
        <f>R45-R37</f>
        <v>-261963.63636363577</v>
      </c>
      <c r="S46" s="112">
        <f>K46</f>
        <v>0</v>
      </c>
      <c r="T46" s="112"/>
      <c r="U46" s="112"/>
      <c r="V46" s="150" t="s">
        <v>60</v>
      </c>
      <c r="W46" s="128">
        <f>W45-W37</f>
        <v>205536.36363636516</v>
      </c>
      <c r="X46" s="112">
        <f>S46</f>
        <v>0</v>
      </c>
      <c r="Y46" s="112"/>
      <c r="Z46" s="112"/>
      <c r="AA46" s="112"/>
      <c r="AB46" s="112"/>
      <c r="AC46" s="112"/>
      <c r="AD46" s="112"/>
      <c r="AE46" s="150" t="s">
        <v>60</v>
      </c>
      <c r="AF46" s="128">
        <f>AF45-AF37</f>
        <v>151445.45454545456</v>
      </c>
      <c r="AG46" s="112">
        <f>K46</f>
        <v>0</v>
      </c>
      <c r="AH46" s="112"/>
      <c r="AI46" s="112"/>
      <c r="AJ46" s="112"/>
      <c r="AK46" s="112"/>
      <c r="AL46" s="112"/>
      <c r="AM46" s="150" t="s">
        <v>60</v>
      </c>
      <c r="AN46" s="128">
        <f>AN45-AN37</f>
        <v>-1101193.1818181816</v>
      </c>
      <c r="AO46" s="112">
        <f>AG46</f>
        <v>0</v>
      </c>
      <c r="AP46" s="112"/>
      <c r="AQ46" s="112"/>
      <c r="AR46" s="112"/>
      <c r="AS46" s="112"/>
      <c r="AT46" s="112"/>
      <c r="AU46" s="150" t="s">
        <v>60</v>
      </c>
      <c r="AV46" s="150"/>
      <c r="AW46" s="155"/>
      <c r="AX46" s="128">
        <f>AX45-AX37</f>
        <v>-13207681.818181813</v>
      </c>
      <c r="AY46" s="112">
        <f>AO46</f>
        <v>0</v>
      </c>
      <c r="AZ46" s="112"/>
      <c r="BA46" s="156"/>
      <c r="BB46" s="157" t="s">
        <v>62</v>
      </c>
      <c r="BC46" s="158" t="e">
        <f>BC45/K46</f>
        <v>#DIV/0!</v>
      </c>
      <c r="BD46" s="159">
        <f>(BC37+BD37)/BC44</f>
        <v>1.2237595995596935</v>
      </c>
      <c r="BE46" s="156"/>
      <c r="BF46" s="160"/>
      <c r="BG46" s="161">
        <f>SUM(BG41:BG45)</f>
        <v>45148590.818181813</v>
      </c>
      <c r="BH46" s="162">
        <f>BL71</f>
        <v>9138052</v>
      </c>
      <c r="BI46" s="163">
        <f>BH46/BG46</f>
        <v>0.20239949540839292</v>
      </c>
      <c r="BJ46" s="164">
        <f>BG46-BH46</f>
        <v>36010538.818181813</v>
      </c>
      <c r="BN46" s="32"/>
    </row>
    <row r="47" spans="2:67" s="160" customFormat="1" ht="26" customHeight="1">
      <c r="B47" s="165"/>
      <c r="H47" s="166"/>
      <c r="I47" s="157" t="s">
        <v>62</v>
      </c>
      <c r="J47" s="167" t="e">
        <f>J46/K46</f>
        <v>#DIV/0!</v>
      </c>
      <c r="K47" s="168">
        <f>J37/J45</f>
        <v>0.87926136363636354</v>
      </c>
      <c r="L47" s="156"/>
      <c r="M47" s="156"/>
      <c r="N47" s="156"/>
      <c r="O47" s="156"/>
      <c r="P47" s="156"/>
      <c r="Q47" s="157" t="s">
        <v>62</v>
      </c>
      <c r="R47" s="158" t="e">
        <f>R46/S46</f>
        <v>#DIV/0!</v>
      </c>
      <c r="S47" s="168">
        <f>R37/R45</f>
        <v>1.0419544580979558</v>
      </c>
      <c r="T47" s="156"/>
      <c r="U47" s="156"/>
      <c r="V47" s="157" t="s">
        <v>62</v>
      </c>
      <c r="W47" s="158" t="e">
        <f>W46/X46</f>
        <v>#DIV/0!</v>
      </c>
      <c r="X47" s="168">
        <f>W37/W45</f>
        <v>0.97968205183507662</v>
      </c>
      <c r="Y47" s="156"/>
      <c r="Z47" s="156"/>
      <c r="AA47" s="156"/>
      <c r="AB47" s="156"/>
      <c r="AC47" s="156"/>
      <c r="AD47" s="156"/>
      <c r="AE47" s="157" t="s">
        <v>62</v>
      </c>
      <c r="AF47" s="167" t="e">
        <f>AF46/AG46</f>
        <v>#DIV/0!</v>
      </c>
      <c r="AG47" s="168">
        <f>AF37/AF45</f>
        <v>0.56153603200505342</v>
      </c>
      <c r="AH47" s="168"/>
      <c r="AI47" s="168"/>
      <c r="AJ47" s="168"/>
      <c r="AK47" s="168"/>
      <c r="AL47" s="156"/>
      <c r="AM47" s="157" t="s">
        <v>62</v>
      </c>
      <c r="AN47" s="158" t="e">
        <f>AN46/AO46</f>
        <v>#DIV/0!</v>
      </c>
      <c r="AO47" s="168">
        <f>AN37/AN45</f>
        <v>1.5014369645017505</v>
      </c>
      <c r="AP47" s="168"/>
      <c r="AQ47" s="168"/>
      <c r="AR47" s="168"/>
      <c r="AS47" s="168"/>
      <c r="AT47" s="156"/>
      <c r="AU47" s="157" t="s">
        <v>62</v>
      </c>
      <c r="AV47" s="157"/>
      <c r="AW47" s="157" t="e">
        <f>AW46/AY46</f>
        <v>#DIV/0!</v>
      </c>
      <c r="AX47" s="158" t="e">
        <f>AX46/AY46</f>
        <v>#DIV/0!</v>
      </c>
      <c r="AY47" s="168">
        <f>AX37/AX45</f>
        <v>1.2651346345113281</v>
      </c>
      <c r="AZ47" s="156"/>
      <c r="BA47" s="32"/>
      <c r="BB47" s="32"/>
      <c r="BC47" s="68"/>
      <c r="BD47" s="32"/>
      <c r="BE47" s="32"/>
      <c r="BF47" s="32"/>
      <c r="BJ47" s="169"/>
      <c r="BL47" s="169"/>
    </row>
    <row r="48" spans="2:67">
      <c r="H48" s="32">
        <v>931</v>
      </c>
      <c r="I48" s="32">
        <f>H48/31</f>
        <v>30.032258064516128</v>
      </c>
      <c r="K48" s="32">
        <f>J45/31</f>
        <v>124903.22580645161</v>
      </c>
      <c r="P48" s="32">
        <v>557</v>
      </c>
      <c r="Q48" s="32">
        <f>P48/31</f>
        <v>17.967741935483872</v>
      </c>
      <c r="S48" s="32">
        <f>R45/31</f>
        <v>201419.35483870967</v>
      </c>
      <c r="AY48" s="32" t="e">
        <f>AX37/AW45</f>
        <v>#DIV/0!</v>
      </c>
      <c r="BA48" s="170"/>
      <c r="BB48" s="170"/>
      <c r="BC48" s="170"/>
      <c r="BD48" s="170"/>
      <c r="BE48" s="170"/>
      <c r="BF48" s="170"/>
      <c r="BJ48" s="62"/>
      <c r="BN48" s="32"/>
    </row>
    <row r="49" spans="2:64" s="170" customFormat="1" ht="24" customHeight="1">
      <c r="B49" s="171"/>
      <c r="I49" s="170" t="s">
        <v>63</v>
      </c>
      <c r="J49" s="172">
        <f>(I5+I8+I9+I10+I11+I12+I15+I16+I17+I18+I19+I22+I23+I24+I25+I26)/16</f>
        <v>635.49502293316391</v>
      </c>
      <c r="K49" s="170">
        <v>800000</v>
      </c>
      <c r="L49" s="173"/>
      <c r="M49" s="32"/>
      <c r="N49" s="32"/>
      <c r="O49" s="32"/>
      <c r="P49" s="32"/>
      <c r="Q49" s="32"/>
      <c r="R49" s="173">
        <v>400000</v>
      </c>
      <c r="AF49" s="170">
        <f>AF45/30</f>
        <v>11513.333333333334</v>
      </c>
      <c r="AR49" s="174">
        <f>AQ14+AQ21</f>
        <v>758</v>
      </c>
      <c r="AS49" s="175">
        <f>AS14+AS21</f>
        <v>6333.3833783175887</v>
      </c>
      <c r="AT49" s="175">
        <f>AU14+AU21</f>
        <v>3378.51931511471</v>
      </c>
      <c r="AX49" s="170">
        <f>AX45/30</f>
        <v>1660500</v>
      </c>
      <c r="BA49" s="1"/>
      <c r="BB49" s="1"/>
      <c r="BC49" s="1"/>
      <c r="BD49" s="1"/>
      <c r="BE49" s="176" t="s">
        <v>64</v>
      </c>
      <c r="BF49" s="1" t="s">
        <v>65</v>
      </c>
      <c r="BG49" s="1" t="s">
        <v>66</v>
      </c>
      <c r="BH49" s="1" t="s">
        <v>67</v>
      </c>
      <c r="BI49" s="1" t="s">
        <v>68</v>
      </c>
      <c r="BJ49" s="177" t="s">
        <v>69</v>
      </c>
      <c r="BK49" s="177" t="s">
        <v>70</v>
      </c>
      <c r="BL49" s="177" t="s">
        <v>71</v>
      </c>
    </row>
    <row r="50" spans="2:64" s="1" customFormat="1" ht="24" customHeight="1">
      <c r="B50" s="171"/>
      <c r="I50" s="1" t="s">
        <v>72</v>
      </c>
      <c r="J50" s="172">
        <f>(I6+I7+I13+I14+I20+I21+I27)/7</f>
        <v>484.06355944024784</v>
      </c>
      <c r="L50" s="178"/>
      <c r="M50" s="32"/>
      <c r="N50" s="32"/>
      <c r="O50" s="32"/>
      <c r="P50" s="32"/>
      <c r="Q50" s="32"/>
      <c r="R50" s="178"/>
      <c r="S50" s="178"/>
      <c r="Z50" s="179"/>
      <c r="AA50" s="179"/>
      <c r="AR50" s="1">
        <f>AR49/2</f>
        <v>379</v>
      </c>
      <c r="AS50" s="180">
        <f t="shared" ref="AS50:AT50" si="42">AS49/2</f>
        <v>3166.6916891587944</v>
      </c>
      <c r="AT50" s="180">
        <f t="shared" si="42"/>
        <v>1689.259657557355</v>
      </c>
      <c r="AX50" s="1">
        <v>54000000</v>
      </c>
      <c r="AY50" s="181">
        <f>AX50-AX37</f>
        <v>-9022681.8181818128</v>
      </c>
      <c r="BA50" s="170"/>
      <c r="BB50" s="170"/>
      <c r="BC50" s="170"/>
      <c r="BD50" s="170"/>
      <c r="BE50" s="176" t="s">
        <v>73</v>
      </c>
      <c r="BF50" s="182">
        <v>1800</v>
      </c>
      <c r="BG50" s="182">
        <v>21</v>
      </c>
      <c r="BH50" s="183">
        <v>0</v>
      </c>
      <c r="BI50" s="182"/>
      <c r="BJ50" s="184">
        <f>BG50*BF50</f>
        <v>37800</v>
      </c>
      <c r="BK50" s="184">
        <f>BF50*BH50</f>
        <v>0</v>
      </c>
      <c r="BL50" s="184">
        <f>BJ50-BK50</f>
        <v>37800</v>
      </c>
    </row>
    <row r="51" spans="2:64" s="170" customFormat="1" ht="24" customHeight="1">
      <c r="B51" s="171"/>
      <c r="K51" s="1"/>
      <c r="L51" s="178"/>
      <c r="M51" s="32"/>
      <c r="N51" s="32"/>
      <c r="O51" s="32"/>
      <c r="P51" s="32"/>
      <c r="Q51" s="32"/>
      <c r="R51" s="185"/>
      <c r="S51" s="186"/>
      <c r="T51" s="186"/>
      <c r="U51" s="186" t="s">
        <v>74</v>
      </c>
      <c r="V51" s="186"/>
      <c r="W51" s="187"/>
      <c r="X51" s="188"/>
      <c r="Y51" s="176"/>
      <c r="Z51" s="184"/>
      <c r="AA51" s="184"/>
      <c r="AY51" s="170" t="e">
        <f>AY50/AY46</f>
        <v>#DIV/0!</v>
      </c>
      <c r="BE51" s="176" t="s">
        <v>75</v>
      </c>
      <c r="BF51" s="182">
        <v>10800</v>
      </c>
      <c r="BG51" s="182">
        <v>640</v>
      </c>
      <c r="BH51" s="182">
        <v>20</v>
      </c>
      <c r="BI51" s="182"/>
      <c r="BJ51" s="184">
        <f t="shared" ref="BJ51:BJ70" si="43">BF51*BG51</f>
        <v>6912000</v>
      </c>
      <c r="BK51" s="184">
        <f t="shared" ref="BK51:BK70" si="44">BF51*BH51</f>
        <v>216000</v>
      </c>
      <c r="BL51" s="184">
        <f t="shared" ref="BL51:BL70" si="45">BJ51-BK51</f>
        <v>6696000</v>
      </c>
    </row>
    <row r="52" spans="2:64" s="170" customFormat="1" ht="24" customHeight="1">
      <c r="B52" s="171"/>
      <c r="K52" s="1"/>
      <c r="L52" s="178"/>
      <c r="M52" s="32"/>
      <c r="N52" s="32"/>
      <c r="O52" s="32"/>
      <c r="P52" s="32"/>
      <c r="Q52" s="32"/>
      <c r="R52" s="187"/>
      <c r="S52" s="186"/>
      <c r="T52" s="186"/>
      <c r="U52" s="199" t="s">
        <v>76</v>
      </c>
      <c r="V52" s="189" t="s">
        <v>77</v>
      </c>
      <c r="W52" s="190"/>
      <c r="X52" s="191" t="e">
        <f>W52/Y52</f>
        <v>#DIV/0!</v>
      </c>
      <c r="Y52" s="200">
        <f>W52+W53</f>
        <v>0</v>
      </c>
      <c r="Z52" s="201"/>
      <c r="AA52" s="201"/>
      <c r="AB52" s="201"/>
      <c r="BE52" s="176" t="s">
        <v>78</v>
      </c>
      <c r="BF52" s="182">
        <v>6120</v>
      </c>
      <c r="BG52" s="182">
        <v>40</v>
      </c>
      <c r="BH52" s="182">
        <v>4</v>
      </c>
      <c r="BI52" s="182"/>
      <c r="BJ52" s="184">
        <f t="shared" si="43"/>
        <v>244800</v>
      </c>
      <c r="BK52" s="184">
        <f t="shared" si="44"/>
        <v>24480</v>
      </c>
      <c r="BL52" s="184">
        <f t="shared" si="45"/>
        <v>220320</v>
      </c>
    </row>
    <row r="53" spans="2:64" s="170" customFormat="1" ht="24" customHeight="1">
      <c r="B53" s="171"/>
      <c r="K53" s="1"/>
      <c r="L53" s="178"/>
      <c r="M53" s="32"/>
      <c r="N53" s="32"/>
      <c r="O53" s="32"/>
      <c r="P53" s="32"/>
      <c r="Q53" s="32"/>
      <c r="R53" s="187"/>
      <c r="S53" s="186"/>
      <c r="T53" s="186"/>
      <c r="U53" s="199"/>
      <c r="V53" s="189" t="s">
        <v>79</v>
      </c>
      <c r="W53" s="190"/>
      <c r="X53" s="191" t="e">
        <f>W53/Y52</f>
        <v>#DIV/0!</v>
      </c>
      <c r="Y53" s="201"/>
      <c r="Z53" s="201"/>
      <c r="AA53" s="201"/>
      <c r="AB53" s="201"/>
      <c r="AV53" s="170">
        <v>4670600</v>
      </c>
      <c r="AW53" s="170">
        <v>19016645.454545453</v>
      </c>
      <c r="AX53" s="170">
        <v>16482254.545454545</v>
      </c>
      <c r="AY53" s="170">
        <v>6958118.1818181816</v>
      </c>
      <c r="BC53" s="170" t="s">
        <v>80</v>
      </c>
      <c r="BE53" s="176" t="s">
        <v>81</v>
      </c>
      <c r="BF53" s="182">
        <v>1780</v>
      </c>
      <c r="BG53" s="182">
        <v>24</v>
      </c>
      <c r="BH53" s="182">
        <v>4</v>
      </c>
      <c r="BI53" s="182"/>
      <c r="BJ53" s="184">
        <f t="shared" si="43"/>
        <v>42720</v>
      </c>
      <c r="BK53" s="184">
        <f t="shared" si="44"/>
        <v>7120</v>
      </c>
      <c r="BL53" s="184">
        <f t="shared" si="45"/>
        <v>35600</v>
      </c>
    </row>
    <row r="54" spans="2:64" s="170" customFormat="1" ht="24" customHeight="1">
      <c r="B54" s="171"/>
      <c r="K54" s="1"/>
      <c r="L54" s="178"/>
      <c r="M54" s="32"/>
      <c r="N54" s="32"/>
      <c r="O54" s="32"/>
      <c r="P54" s="32"/>
      <c r="Q54" s="32"/>
      <c r="R54" s="187"/>
      <c r="S54" s="186"/>
      <c r="T54" s="186"/>
      <c r="U54" s="202" t="s">
        <v>82</v>
      </c>
      <c r="V54" s="189" t="s">
        <v>77</v>
      </c>
      <c r="W54" s="190"/>
      <c r="X54" s="191" t="e">
        <f t="shared" ref="X54" si="46">W54/Y54</f>
        <v>#DIV/0!</v>
      </c>
      <c r="Y54" s="200">
        <f t="shared" ref="Y54" si="47">W54+W55</f>
        <v>0</v>
      </c>
      <c r="Z54" s="201"/>
      <c r="AA54" s="201"/>
      <c r="AB54" s="201"/>
      <c r="BE54" s="176" t="s">
        <v>83</v>
      </c>
      <c r="BF54" s="182">
        <v>1780</v>
      </c>
      <c r="BG54" s="182">
        <v>24</v>
      </c>
      <c r="BH54" s="182">
        <v>20</v>
      </c>
      <c r="BI54" s="182"/>
      <c r="BJ54" s="184">
        <f t="shared" si="43"/>
        <v>42720</v>
      </c>
      <c r="BK54" s="184">
        <f t="shared" si="44"/>
        <v>35600</v>
      </c>
      <c r="BL54" s="184">
        <f t="shared" si="45"/>
        <v>7120</v>
      </c>
    </row>
    <row r="55" spans="2:64" s="170" customFormat="1" ht="24" customHeight="1">
      <c r="B55" s="171"/>
      <c r="L55" s="173"/>
      <c r="M55" s="32"/>
      <c r="N55" s="32"/>
      <c r="O55" s="32"/>
      <c r="P55" s="32"/>
      <c r="Q55" s="32"/>
      <c r="R55" s="192"/>
      <c r="S55" s="186"/>
      <c r="T55" s="186"/>
      <c r="U55" s="202"/>
      <c r="V55" s="189" t="s">
        <v>79</v>
      </c>
      <c r="W55" s="190"/>
      <c r="X55" s="191" t="e">
        <f t="shared" ref="X55" si="48">W55/Y54</f>
        <v>#DIV/0!</v>
      </c>
      <c r="Y55" s="201"/>
      <c r="Z55" s="201"/>
      <c r="AA55" s="201"/>
      <c r="AB55" s="201"/>
      <c r="AX55" s="182">
        <f>AX36 +1000</f>
        <v>69325950</v>
      </c>
      <c r="AY55" s="172">
        <f>'[1]2025(5)'!AX34+'[1]2025(5)'!AX35</f>
        <v>2847290</v>
      </c>
      <c r="BA55" s="68">
        <f>AX55+AY55</f>
        <v>72173240</v>
      </c>
      <c r="BB55" s="32"/>
      <c r="BC55" s="32"/>
      <c r="BD55" s="32"/>
      <c r="BE55" s="176" t="s">
        <v>84</v>
      </c>
      <c r="BF55" s="193">
        <v>8190</v>
      </c>
      <c r="BG55" s="182">
        <v>13</v>
      </c>
      <c r="BH55" s="182">
        <v>4</v>
      </c>
      <c r="BI55" s="182"/>
      <c r="BJ55" s="184">
        <f t="shared" si="43"/>
        <v>106470</v>
      </c>
      <c r="BK55" s="184">
        <f t="shared" si="44"/>
        <v>32760</v>
      </c>
      <c r="BL55" s="184">
        <f t="shared" si="45"/>
        <v>73710</v>
      </c>
    </row>
    <row r="56" spans="2:64" ht="24" customHeight="1">
      <c r="U56" s="203" t="s">
        <v>2</v>
      </c>
      <c r="V56" s="194" t="s">
        <v>77</v>
      </c>
      <c r="W56" s="190"/>
      <c r="X56" s="191" t="e">
        <f t="shared" ref="X56:X58" si="49">W56/Y56</f>
        <v>#DIV/0!</v>
      </c>
      <c r="Y56" s="200">
        <f t="shared" ref="Y56" si="50">W56+W57</f>
        <v>0</v>
      </c>
      <c r="Z56" s="201"/>
      <c r="AA56" s="201"/>
      <c r="AB56" s="201"/>
      <c r="AX56" s="193"/>
      <c r="AY56" s="145"/>
      <c r="BA56" s="68">
        <f>BA55-BA57</f>
        <v>61131600</v>
      </c>
      <c r="BE56" s="176" t="s">
        <v>85</v>
      </c>
      <c r="BF56" s="193">
        <v>5784</v>
      </c>
      <c r="BG56" s="193">
        <v>36</v>
      </c>
      <c r="BH56" s="193">
        <v>28</v>
      </c>
      <c r="BI56" s="193"/>
      <c r="BJ56" s="184">
        <f t="shared" si="43"/>
        <v>208224</v>
      </c>
      <c r="BK56" s="184">
        <f t="shared" si="44"/>
        <v>161952</v>
      </c>
      <c r="BL56" s="184">
        <f t="shared" si="45"/>
        <v>46272</v>
      </c>
    </row>
    <row r="57" spans="2:64" ht="24" customHeight="1">
      <c r="U57" s="203"/>
      <c r="V57" s="194" t="s">
        <v>79</v>
      </c>
      <c r="W57" s="190"/>
      <c r="X57" s="191" t="e">
        <f t="shared" ref="X57:X59" si="51">W57/Y56</f>
        <v>#DIV/0!</v>
      </c>
      <c r="Y57" s="201"/>
      <c r="Z57" s="201"/>
      <c r="AA57" s="201"/>
      <c r="AB57" s="201"/>
      <c r="AX57" s="193">
        <v>10513690</v>
      </c>
      <c r="AY57" s="145">
        <v>527950</v>
      </c>
      <c r="BA57" s="68">
        <f t="shared" ref="BA57" si="52">AX57+AY57</f>
        <v>11041640</v>
      </c>
      <c r="BE57" s="176" t="s">
        <v>86</v>
      </c>
      <c r="BF57" s="193">
        <v>6775</v>
      </c>
      <c r="BG57" s="193">
        <v>12</v>
      </c>
      <c r="BH57" s="193">
        <v>11</v>
      </c>
      <c r="BI57" s="193"/>
      <c r="BJ57" s="184">
        <f t="shared" si="43"/>
        <v>81300</v>
      </c>
      <c r="BK57" s="184">
        <f t="shared" si="44"/>
        <v>74525</v>
      </c>
      <c r="BL57" s="184">
        <f t="shared" si="45"/>
        <v>6775</v>
      </c>
    </row>
    <row r="58" spans="2:64" ht="24" customHeight="1">
      <c r="U58" s="196" t="s">
        <v>87</v>
      </c>
      <c r="V58" s="194" t="s">
        <v>77</v>
      </c>
      <c r="W58" s="190"/>
      <c r="X58" s="191" t="e">
        <f t="shared" si="49"/>
        <v>#DIV/0!</v>
      </c>
      <c r="Y58" s="197">
        <f>SUM(Y52:AB56)</f>
        <v>0</v>
      </c>
      <c r="Z58" s="198"/>
      <c r="AA58" s="198"/>
      <c r="AB58" s="198"/>
      <c r="AX58" s="193"/>
      <c r="BA58" s="32">
        <f>BA55/BA57</f>
        <v>6.5364601635264323</v>
      </c>
      <c r="BE58" s="176" t="s">
        <v>88</v>
      </c>
      <c r="BF58" s="193">
        <v>1755</v>
      </c>
      <c r="BG58" s="193">
        <v>14</v>
      </c>
      <c r="BH58" s="193">
        <v>2</v>
      </c>
      <c r="BI58" s="193"/>
      <c r="BJ58" s="184">
        <f t="shared" si="43"/>
        <v>24570</v>
      </c>
      <c r="BK58" s="184">
        <f t="shared" si="44"/>
        <v>3510</v>
      </c>
      <c r="BL58" s="184">
        <f t="shared" si="45"/>
        <v>21060</v>
      </c>
    </row>
    <row r="59" spans="2:64" ht="24" customHeight="1">
      <c r="F59" s="32">
        <v>346.60869565217394</v>
      </c>
      <c r="G59" s="32">
        <v>301.36363636363637</v>
      </c>
      <c r="H59" s="32">
        <v>801.17391304347825</v>
      </c>
      <c r="I59" s="32">
        <v>591.75</v>
      </c>
      <c r="N59" s="32">
        <v>2473.9333333333334</v>
      </c>
      <c r="O59" s="32">
        <v>6122.2222222222226</v>
      </c>
      <c r="P59" s="32">
        <v>3277</v>
      </c>
      <c r="Q59" s="32">
        <v>507.14285714285717</v>
      </c>
      <c r="U59" s="196"/>
      <c r="V59" s="194" t="s">
        <v>79</v>
      </c>
      <c r="W59" s="190"/>
      <c r="X59" s="191" t="e">
        <f t="shared" si="51"/>
        <v>#DIV/0!</v>
      </c>
      <c r="Y59" s="198"/>
      <c r="Z59" s="198"/>
      <c r="AA59" s="198"/>
      <c r="AB59" s="198"/>
      <c r="AX59" s="193"/>
      <c r="BE59" s="176" t="s">
        <v>89</v>
      </c>
      <c r="BF59" s="193">
        <v>1755</v>
      </c>
      <c r="BG59" s="193">
        <v>10</v>
      </c>
      <c r="BH59" s="193">
        <v>0</v>
      </c>
      <c r="BI59" s="193"/>
      <c r="BJ59" s="184">
        <f t="shared" si="43"/>
        <v>17550</v>
      </c>
      <c r="BK59" s="184">
        <f t="shared" si="44"/>
        <v>0</v>
      </c>
      <c r="BL59" s="184">
        <f t="shared" si="45"/>
        <v>17550</v>
      </c>
    </row>
    <row r="60" spans="2:64" ht="24" customHeight="1">
      <c r="F60" s="32">
        <v>313.11111111111109</v>
      </c>
      <c r="G60" s="32">
        <v>301.125</v>
      </c>
      <c r="H60" s="32">
        <v>991.89189189189187</v>
      </c>
      <c r="I60" s="32">
        <v>595.73333333333335</v>
      </c>
      <c r="N60" s="32">
        <v>1887.1176470588234</v>
      </c>
      <c r="O60" s="32">
        <v>2474.4615384615386</v>
      </c>
      <c r="P60" s="32">
        <v>1210.7142857142858</v>
      </c>
      <c r="Q60" s="32">
        <v>1056.9666666666667</v>
      </c>
      <c r="BE60" s="176" t="s">
        <v>90</v>
      </c>
      <c r="BF60" s="193">
        <v>1075</v>
      </c>
      <c r="BG60" s="193">
        <v>96</v>
      </c>
      <c r="BH60" s="193">
        <v>38</v>
      </c>
      <c r="BI60" s="193"/>
      <c r="BJ60" s="184">
        <f t="shared" si="43"/>
        <v>103200</v>
      </c>
      <c r="BK60" s="184">
        <f t="shared" si="44"/>
        <v>40850</v>
      </c>
      <c r="BL60" s="184">
        <f t="shared" si="45"/>
        <v>62350</v>
      </c>
    </row>
    <row r="61" spans="2:64" ht="24" customHeight="1">
      <c r="F61" s="32">
        <v>603.85</v>
      </c>
      <c r="G61" s="32">
        <v>457.44</v>
      </c>
      <c r="H61" s="32">
        <v>1139.4827586206898</v>
      </c>
      <c r="I61" s="32">
        <v>847.56666666666672</v>
      </c>
      <c r="N61" s="32">
        <v>1504.7619047619048</v>
      </c>
      <c r="O61" s="32">
        <v>1838.3333333333333</v>
      </c>
      <c r="P61" s="32">
        <v>1940.7241379310344</v>
      </c>
      <c r="Q61" s="32">
        <v>1493</v>
      </c>
      <c r="BE61" s="176" t="s">
        <v>91</v>
      </c>
      <c r="BF61" s="193">
        <v>3860</v>
      </c>
      <c r="BG61" s="193">
        <v>166</v>
      </c>
      <c r="BH61" s="193">
        <v>13</v>
      </c>
      <c r="BI61" s="193"/>
      <c r="BJ61" s="184">
        <f t="shared" si="43"/>
        <v>640760</v>
      </c>
      <c r="BK61" s="184">
        <f t="shared" si="44"/>
        <v>50180</v>
      </c>
      <c r="BL61" s="184">
        <f t="shared" si="45"/>
        <v>590580</v>
      </c>
    </row>
    <row r="62" spans="2:64" ht="24" customHeight="1">
      <c r="F62" s="32">
        <v>343.40740740740739</v>
      </c>
      <c r="G62" s="32">
        <v>387.26666666666665</v>
      </c>
      <c r="H62" s="32">
        <v>2381.804347826087</v>
      </c>
      <c r="I62" s="32">
        <v>694.28571428571433</v>
      </c>
      <c r="N62" s="32">
        <v>1742.5625</v>
      </c>
      <c r="O62" s="32">
        <v>1967.25</v>
      </c>
      <c r="P62" s="32">
        <v>1330.2962962962963</v>
      </c>
      <c r="Q62" s="32">
        <v>1470.4166666666667</v>
      </c>
      <c r="BE62" s="176" t="s">
        <v>92</v>
      </c>
      <c r="BF62" s="193">
        <v>6450</v>
      </c>
      <c r="BG62" s="193">
        <v>137</v>
      </c>
      <c r="BH62" s="193">
        <v>12</v>
      </c>
      <c r="BI62" s="193"/>
      <c r="BJ62" s="184">
        <f t="shared" si="43"/>
        <v>883650</v>
      </c>
      <c r="BK62" s="184">
        <f t="shared" si="44"/>
        <v>77400</v>
      </c>
      <c r="BL62" s="184">
        <f t="shared" si="45"/>
        <v>806250</v>
      </c>
    </row>
    <row r="63" spans="2:64" ht="24" customHeight="1">
      <c r="F63" s="32">
        <v>208.22727272727272</v>
      </c>
      <c r="G63" s="32">
        <v>257.91666666666669</v>
      </c>
      <c r="H63" s="32">
        <v>560.46153846153845</v>
      </c>
      <c r="I63" s="32">
        <v>858.42857142857144</v>
      </c>
      <c r="N63" s="32">
        <v>2161.5555555555557</v>
      </c>
      <c r="O63" s="32">
        <v>2455.9230769230771</v>
      </c>
      <c r="P63" s="32">
        <v>2270</v>
      </c>
      <c r="Q63" s="32">
        <v>1696.9666666666667</v>
      </c>
      <c r="BE63" s="176" t="s">
        <v>93</v>
      </c>
      <c r="BF63" s="193">
        <v>1380</v>
      </c>
      <c r="BG63" s="193">
        <v>35</v>
      </c>
      <c r="BH63" s="193">
        <v>5</v>
      </c>
      <c r="BI63" s="193"/>
      <c r="BJ63" s="184">
        <f t="shared" si="43"/>
        <v>48300</v>
      </c>
      <c r="BK63" s="184">
        <f t="shared" si="44"/>
        <v>6900</v>
      </c>
      <c r="BL63" s="184">
        <f t="shared" si="45"/>
        <v>41400</v>
      </c>
    </row>
    <row r="64" spans="2:64" ht="24" customHeight="1">
      <c r="F64" s="32">
        <v>1347.6206896551723</v>
      </c>
      <c r="G64" s="32">
        <v>382.63636363636363</v>
      </c>
      <c r="H64" s="32">
        <v>791.6</v>
      </c>
      <c r="I64" s="32">
        <v>821.5</v>
      </c>
      <c r="N64" s="32">
        <v>3109.0731707317073</v>
      </c>
      <c r="O64" s="32">
        <v>2867.5</v>
      </c>
      <c r="P64" s="32">
        <v>1673.8333333333333</v>
      </c>
      <c r="Q64" s="32">
        <v>1269</v>
      </c>
      <c r="BE64" s="176" t="s">
        <v>94</v>
      </c>
      <c r="BF64" s="193">
        <v>1380</v>
      </c>
      <c r="BG64" s="193">
        <v>39</v>
      </c>
      <c r="BH64" s="193">
        <v>6</v>
      </c>
      <c r="BI64" s="193"/>
      <c r="BJ64" s="184">
        <f t="shared" si="43"/>
        <v>53820</v>
      </c>
      <c r="BK64" s="184">
        <f t="shared" si="44"/>
        <v>8280</v>
      </c>
      <c r="BL64" s="184">
        <f t="shared" si="45"/>
        <v>45540</v>
      </c>
    </row>
    <row r="65" spans="6:64" ht="24" customHeight="1">
      <c r="F65" s="32">
        <v>547.19354838709683</v>
      </c>
      <c r="G65" s="32">
        <v>174.07407407407408</v>
      </c>
      <c r="H65" s="32">
        <v>791.66666666666663</v>
      </c>
      <c r="I65" s="32">
        <v>1078.7878787878788</v>
      </c>
      <c r="N65" s="32">
        <v>2510.9</v>
      </c>
      <c r="O65" s="32">
        <v>4228.2222222222226</v>
      </c>
      <c r="P65" s="32">
        <v>2237.6999999999998</v>
      </c>
      <c r="Q65" s="32">
        <v>1475</v>
      </c>
      <c r="BE65" s="176" t="s">
        <v>95</v>
      </c>
      <c r="BF65" s="193">
        <v>160</v>
      </c>
      <c r="BG65" s="193">
        <v>594</v>
      </c>
      <c r="BH65" s="193">
        <v>53</v>
      </c>
      <c r="BI65" s="193"/>
      <c r="BJ65" s="184">
        <f t="shared" si="43"/>
        <v>95040</v>
      </c>
      <c r="BK65" s="184">
        <f t="shared" si="44"/>
        <v>8480</v>
      </c>
      <c r="BL65" s="184">
        <f t="shared" si="45"/>
        <v>86560</v>
      </c>
    </row>
    <row r="66" spans="6:64" ht="24" customHeight="1">
      <c r="F66" s="32">
        <v>517.64705882352939</v>
      </c>
      <c r="G66" s="32">
        <v>457.8</v>
      </c>
      <c r="I66" s="32">
        <v>796.08571428571429</v>
      </c>
      <c r="N66" s="32">
        <v>2083.0952380952381</v>
      </c>
      <c r="O66" s="32">
        <v>596.20000000000005</v>
      </c>
      <c r="Q66" s="32">
        <v>1050.8148148148148</v>
      </c>
      <c r="BE66" s="176" t="s">
        <v>96</v>
      </c>
      <c r="BF66" s="193">
        <v>160</v>
      </c>
      <c r="BG66" s="193">
        <v>300</v>
      </c>
      <c r="BH66" s="193">
        <v>47</v>
      </c>
      <c r="BI66" s="193"/>
      <c r="BJ66" s="184">
        <f t="shared" si="43"/>
        <v>48000</v>
      </c>
      <c r="BK66" s="184">
        <f t="shared" si="44"/>
        <v>7520</v>
      </c>
      <c r="BL66" s="184">
        <f t="shared" si="45"/>
        <v>40480</v>
      </c>
    </row>
    <row r="67" spans="6:64" ht="24" customHeight="1">
      <c r="F67" s="32">
        <v>558.35483870967744</v>
      </c>
      <c r="G67" s="32">
        <v>370</v>
      </c>
      <c r="N67" s="32">
        <v>1328.1290322580646</v>
      </c>
      <c r="O67" s="32">
        <v>1228.2142857142858</v>
      </c>
      <c r="BE67" s="176" t="s">
        <v>97</v>
      </c>
      <c r="BF67" s="193">
        <v>205</v>
      </c>
      <c r="BG67" s="193">
        <v>366</v>
      </c>
      <c r="BH67" s="193">
        <v>49</v>
      </c>
      <c r="BI67" s="193"/>
      <c r="BJ67" s="184">
        <f t="shared" si="43"/>
        <v>75030</v>
      </c>
      <c r="BK67" s="184">
        <f t="shared" si="44"/>
        <v>10045</v>
      </c>
      <c r="BL67" s="184">
        <f t="shared" si="45"/>
        <v>64985</v>
      </c>
    </row>
    <row r="68" spans="6:64" ht="24" customHeight="1">
      <c r="F68" s="32">
        <v>522.70000000000005</v>
      </c>
      <c r="G68" s="32">
        <v>100</v>
      </c>
      <c r="N68" s="32">
        <v>2040.8333333333333</v>
      </c>
      <c r="O68" s="32">
        <v>3688.1</v>
      </c>
      <c r="BE68" s="176" t="s">
        <v>98</v>
      </c>
      <c r="BF68" s="193">
        <v>295</v>
      </c>
      <c r="BG68" s="193">
        <v>612</v>
      </c>
      <c r="BH68" s="193">
        <v>86</v>
      </c>
      <c r="BI68" s="193"/>
      <c r="BJ68" s="184">
        <f t="shared" si="43"/>
        <v>180540</v>
      </c>
      <c r="BK68" s="184">
        <f t="shared" si="44"/>
        <v>25370</v>
      </c>
      <c r="BL68" s="184">
        <f t="shared" si="45"/>
        <v>155170</v>
      </c>
    </row>
    <row r="69" spans="6:64" ht="24" customHeight="1">
      <c r="F69" s="32">
        <v>406</v>
      </c>
      <c r="G69" s="32">
        <v>201.25</v>
      </c>
      <c r="N69" s="32">
        <v>4227.2222222222226</v>
      </c>
      <c r="O69" s="32">
        <v>1802.7</v>
      </c>
      <c r="BE69" s="176" t="s">
        <v>99</v>
      </c>
      <c r="BF69" s="193">
        <v>70</v>
      </c>
      <c r="BG69" s="193">
        <v>480</v>
      </c>
      <c r="BH69" s="193">
        <v>71</v>
      </c>
      <c r="BI69" s="193"/>
      <c r="BJ69" s="184">
        <f t="shared" si="43"/>
        <v>33600</v>
      </c>
      <c r="BK69" s="184">
        <f t="shared" si="44"/>
        <v>4970</v>
      </c>
      <c r="BL69" s="184">
        <f t="shared" si="45"/>
        <v>28630</v>
      </c>
    </row>
    <row r="70" spans="6:64" ht="24" customHeight="1">
      <c r="F70" s="32">
        <v>500</v>
      </c>
      <c r="G70" s="32">
        <v>572.21621621621625</v>
      </c>
      <c r="N70" s="32">
        <v>2111.25</v>
      </c>
      <c r="O70" s="32">
        <v>1473.1578947368421</v>
      </c>
      <c r="BE70" s="176" t="s">
        <v>100</v>
      </c>
      <c r="BF70" s="193">
        <v>2450</v>
      </c>
      <c r="BG70" s="193">
        <v>31</v>
      </c>
      <c r="BH70" s="193">
        <v>9</v>
      </c>
      <c r="BI70" s="193"/>
      <c r="BJ70" s="184">
        <f t="shared" si="43"/>
        <v>75950</v>
      </c>
      <c r="BK70" s="184">
        <f t="shared" si="44"/>
        <v>22050</v>
      </c>
      <c r="BL70" s="184">
        <f t="shared" si="45"/>
        <v>53900</v>
      </c>
    </row>
    <row r="71" spans="6:64" ht="24" customHeight="1">
      <c r="F71" s="32">
        <v>671.68571428571431</v>
      </c>
      <c r="G71" s="32">
        <v>475.84615384615387</v>
      </c>
      <c r="N71" s="32">
        <v>1641.0322580645161</v>
      </c>
      <c r="O71" s="32">
        <v>2539.5294117647059</v>
      </c>
      <c r="BE71" s="176"/>
      <c r="BJ71" s="195">
        <f>SUM(BJ50:BJ70)</f>
        <v>9956044</v>
      </c>
      <c r="BK71" s="195">
        <f t="shared" ref="BK71:BL71" si="53">SUM(BK50:BK70)</f>
        <v>817992</v>
      </c>
      <c r="BL71" s="195">
        <f t="shared" si="53"/>
        <v>9138052</v>
      </c>
    </row>
    <row r="72" spans="6:64" ht="24" customHeight="1">
      <c r="F72" s="32">
        <v>333.33333333333331</v>
      </c>
      <c r="G72" s="32">
        <v>439.60714285714283</v>
      </c>
      <c r="N72" s="32">
        <v>5737.5714285714284</v>
      </c>
      <c r="O72" s="32">
        <v>1814.2333333333333</v>
      </c>
      <c r="BE72" s="176"/>
    </row>
    <row r="73" spans="6:64" ht="24" customHeight="1">
      <c r="F73" s="32">
        <v>424.20833333333331</v>
      </c>
      <c r="G73" s="32">
        <v>253.18518518518519</v>
      </c>
      <c r="N73" s="32">
        <v>2000</v>
      </c>
      <c r="O73" s="32">
        <v>920</v>
      </c>
      <c r="BE73" s="176"/>
    </row>
    <row r="74" spans="6:64" ht="24" customHeight="1">
      <c r="F74" s="32">
        <v>316.66666666666669</v>
      </c>
      <c r="G74" s="32">
        <v>497.22222222222223</v>
      </c>
      <c r="N74" s="32">
        <v>1563.1111111111111</v>
      </c>
      <c r="O74" s="32">
        <v>1221.4545454545455</v>
      </c>
      <c r="BE74" s="176"/>
    </row>
    <row r="75" spans="6:64" ht="24" customHeight="1">
      <c r="F75" s="32">
        <v>625.79999999999995</v>
      </c>
      <c r="N75" s="32">
        <v>1707.5</v>
      </c>
      <c r="BE75" s="176"/>
    </row>
    <row r="76" spans="6:64" ht="24" customHeight="1">
      <c r="F76" s="32">
        <f>SUM(F59:F75)</f>
        <v>8586.4146700924884</v>
      </c>
      <c r="G76" s="32">
        <f>SUM(G59:G75)</f>
        <v>5628.949327734329</v>
      </c>
      <c r="H76" s="32">
        <f>SUM(H59:H66)</f>
        <v>7458.0811165103523</v>
      </c>
      <c r="I76" s="32">
        <f>SUM(I59:I68)</f>
        <v>6284.1378787878784</v>
      </c>
      <c r="N76" s="32">
        <f>SUM(N59:N75)</f>
        <v>39829.648735097238</v>
      </c>
      <c r="O76" s="32">
        <f>SUM(O59:O75)</f>
        <v>37237.501864166101</v>
      </c>
      <c r="P76" s="32">
        <f>SUM(P59:P68)</f>
        <v>13940.268053274951</v>
      </c>
      <c r="Q76" s="32">
        <f>SUM(Q59:Q66)</f>
        <v>10019.307671957671</v>
      </c>
      <c r="BE76" s="176"/>
    </row>
    <row r="77" spans="6:64" ht="24" customHeight="1">
      <c r="F77" s="32">
        <f>F76/17</f>
        <v>505.08321588779341</v>
      </c>
      <c r="G77" s="32">
        <f>G76/16</f>
        <v>351.80933298339556</v>
      </c>
      <c r="H77" s="32">
        <f>H76/7</f>
        <v>1065.440159501479</v>
      </c>
      <c r="I77" s="32">
        <f>I76/8</f>
        <v>785.5172348484848</v>
      </c>
      <c r="N77" s="32">
        <f>N76/17</f>
        <v>2342.9205138292491</v>
      </c>
      <c r="O77" s="32">
        <f>O76/16</f>
        <v>2327.3438665103813</v>
      </c>
      <c r="P77" s="32">
        <f>P76/7</f>
        <v>1991.4668647535643</v>
      </c>
      <c r="Q77" s="32">
        <f>Q76/8</f>
        <v>1252.4134589947089</v>
      </c>
      <c r="BE77" s="176"/>
    </row>
    <row r="78" spans="6:64" ht="24" customHeight="1">
      <c r="BE78" s="176"/>
    </row>
    <row r="79" spans="6:64" ht="24" customHeight="1">
      <c r="BE79" s="176"/>
    </row>
    <row r="80" spans="6:64" ht="24" customHeight="1">
      <c r="BE80" s="176"/>
    </row>
    <row r="81" spans="57:57" ht="24" customHeight="1">
      <c r="BE81" s="176"/>
    </row>
    <row r="82" spans="57:57" ht="24" customHeight="1">
      <c r="BE82" s="176"/>
    </row>
    <row r="83" spans="57:57" ht="24" customHeight="1">
      <c r="BE83" s="176"/>
    </row>
    <row r="84" spans="57:57" ht="24" customHeight="1">
      <c r="BE84" s="176"/>
    </row>
    <row r="85" spans="57:57" ht="24" customHeight="1">
      <c r="BE85" s="176"/>
    </row>
    <row r="86" spans="57:57" ht="24" customHeight="1">
      <c r="BE86" s="176"/>
    </row>
    <row r="87" spans="57:57" ht="24" customHeight="1">
      <c r="BE87" s="176"/>
    </row>
    <row r="88" spans="57:57" ht="24" customHeight="1">
      <c r="BE88" s="176"/>
    </row>
    <row r="89" spans="57:57" ht="24" customHeight="1">
      <c r="BE89" s="176"/>
    </row>
    <row r="90" spans="57:57" ht="24" customHeight="1">
      <c r="BE90" s="176"/>
    </row>
    <row r="91" spans="57:57" ht="24" customHeight="1">
      <c r="BE91" s="176"/>
    </row>
    <row r="92" spans="57:57" ht="24" customHeight="1">
      <c r="BE92" s="176"/>
    </row>
    <row r="93" spans="57:57" ht="24" customHeight="1">
      <c r="BE93" s="176"/>
    </row>
    <row r="94" spans="57:57" ht="24" customHeight="1">
      <c r="BE94" s="176"/>
    </row>
    <row r="95" spans="57:57" ht="24" customHeight="1">
      <c r="BE95" s="176"/>
    </row>
    <row r="96" spans="57:57" ht="24" customHeight="1">
      <c r="BE96" s="176"/>
    </row>
    <row r="97" spans="57:57" ht="24" customHeight="1">
      <c r="BE97" s="176"/>
    </row>
    <row r="98" spans="57:57" ht="24" customHeight="1">
      <c r="BE98" s="176"/>
    </row>
    <row r="99" spans="57:57" ht="24" customHeight="1">
      <c r="BE99" s="176"/>
    </row>
    <row r="100" spans="57:57" ht="24" customHeight="1">
      <c r="BE100" s="176"/>
    </row>
    <row r="101" spans="57:57" ht="24" customHeight="1">
      <c r="BE101" s="176"/>
    </row>
    <row r="102" spans="57:57" ht="24" customHeight="1">
      <c r="BE102" s="176"/>
    </row>
    <row r="103" spans="57:57" ht="24" customHeight="1">
      <c r="BE103" s="176"/>
    </row>
    <row r="104" spans="57:57" ht="24" customHeight="1">
      <c r="BE104" s="176"/>
    </row>
    <row r="105" spans="57:57" ht="24" customHeight="1">
      <c r="BE105" s="176"/>
    </row>
    <row r="106" spans="57:57" ht="24" customHeight="1">
      <c r="BE106" s="176"/>
    </row>
    <row r="107" spans="57:57" ht="24" customHeight="1">
      <c r="BE107" s="176"/>
    </row>
    <row r="108" spans="57:57" ht="24" customHeight="1">
      <c r="BE108" s="176"/>
    </row>
    <row r="109" spans="57:57" ht="24" customHeight="1">
      <c r="BE109" s="176"/>
    </row>
    <row r="110" spans="57:57" ht="24" customHeight="1">
      <c r="BE110" s="176"/>
    </row>
    <row r="111" spans="57:57" ht="24" customHeight="1">
      <c r="BE111" s="176"/>
    </row>
    <row r="112" spans="57:57" ht="24" customHeight="1">
      <c r="BE112" s="176"/>
    </row>
    <row r="113" spans="57:57" ht="24" customHeight="1">
      <c r="BE113" s="176"/>
    </row>
    <row r="114" spans="57:57" ht="24" customHeight="1">
      <c r="BE114" s="176"/>
    </row>
    <row r="115" spans="57:57" ht="24" customHeight="1">
      <c r="BE115" s="176"/>
    </row>
    <row r="116" spans="57:57" ht="24" customHeight="1">
      <c r="BE116" s="176"/>
    </row>
    <row r="117" spans="57:57" ht="24" customHeight="1">
      <c r="BE117" s="176"/>
    </row>
    <row r="118" spans="57:57" ht="24" customHeight="1">
      <c r="BE118" s="176"/>
    </row>
    <row r="119" spans="57:57" ht="24" customHeight="1">
      <c r="BE119" s="176"/>
    </row>
    <row r="120" spans="57:57" ht="24" customHeight="1">
      <c r="BE120" s="176"/>
    </row>
    <row r="121" spans="57:57" ht="24" customHeight="1">
      <c r="BE121" s="176"/>
    </row>
    <row r="122" spans="57:57" ht="24" customHeight="1">
      <c r="BE122" s="176"/>
    </row>
    <row r="123" spans="57:57" ht="24" customHeight="1">
      <c r="BE123" s="176"/>
    </row>
    <row r="124" spans="57:57" ht="24" customHeight="1">
      <c r="BE124" s="176"/>
    </row>
    <row r="125" spans="57:57" ht="24" customHeight="1">
      <c r="BE125" s="176"/>
    </row>
    <row r="126" spans="57:57" ht="24" customHeight="1">
      <c r="BE126" s="176"/>
    </row>
    <row r="127" spans="57:57" ht="24" customHeight="1">
      <c r="BE127" s="176"/>
    </row>
    <row r="128" spans="57:57" ht="24" customHeight="1">
      <c r="BE128" s="176"/>
    </row>
    <row r="129" spans="57:57" ht="24" customHeight="1">
      <c r="BE129" s="176"/>
    </row>
    <row r="130" spans="57:57" ht="24" customHeight="1">
      <c r="BE130" s="176"/>
    </row>
    <row r="131" spans="57:57" ht="24" customHeight="1">
      <c r="BE131" s="176"/>
    </row>
    <row r="132" spans="57:57" ht="24" customHeight="1">
      <c r="BE132" s="176"/>
    </row>
    <row r="133" spans="57:57" ht="24" customHeight="1">
      <c r="BE133" s="176"/>
    </row>
    <row r="134" spans="57:57" ht="24" customHeight="1">
      <c r="BE134" s="176"/>
    </row>
    <row r="135" spans="57:57" ht="24" customHeight="1">
      <c r="BE135" s="176"/>
    </row>
    <row r="136" spans="57:57" ht="24" customHeight="1">
      <c r="BE136" s="176"/>
    </row>
    <row r="137" spans="57:57" ht="24" customHeight="1">
      <c r="BE137" s="176"/>
    </row>
    <row r="138" spans="57:57" ht="24" customHeight="1">
      <c r="BE138" s="176"/>
    </row>
    <row r="139" spans="57:57" ht="24" customHeight="1">
      <c r="BE139" s="176"/>
    </row>
    <row r="140" spans="57:57" ht="24" customHeight="1">
      <c r="BE140" s="176"/>
    </row>
    <row r="141" spans="57:57" ht="24" customHeight="1">
      <c r="BE141" s="176"/>
    </row>
    <row r="142" spans="57:57" ht="24" customHeight="1">
      <c r="BE142" s="176"/>
    </row>
    <row r="143" spans="57:57" ht="24" customHeight="1">
      <c r="BE143" s="176"/>
    </row>
    <row r="144" spans="57:57" ht="24" customHeight="1">
      <c r="BE144" s="176"/>
    </row>
    <row r="145" spans="57:57" ht="24" customHeight="1">
      <c r="BE145" s="176"/>
    </row>
    <row r="146" spans="57:57" ht="24" customHeight="1">
      <c r="BE146" s="176"/>
    </row>
    <row r="147" spans="57:57" ht="24" customHeight="1">
      <c r="BE147" s="176"/>
    </row>
    <row r="148" spans="57:57" ht="24" customHeight="1">
      <c r="BE148" s="176"/>
    </row>
    <row r="149" spans="57:57" ht="24" customHeight="1">
      <c r="BE149" s="176"/>
    </row>
    <row r="150" spans="57:57" ht="24" customHeight="1">
      <c r="BE150" s="176"/>
    </row>
    <row r="151" spans="57:57" ht="24" customHeight="1">
      <c r="BE151" s="176"/>
    </row>
    <row r="152" spans="57:57" ht="24" customHeight="1">
      <c r="BE152" s="176"/>
    </row>
    <row r="153" spans="57:57" ht="24" customHeight="1">
      <c r="BE153" s="176"/>
    </row>
    <row r="154" spans="57:57" ht="24" customHeight="1">
      <c r="BE154" s="176"/>
    </row>
    <row r="155" spans="57:57" ht="24" customHeight="1">
      <c r="BE155" s="176"/>
    </row>
    <row r="156" spans="57:57" ht="24" customHeight="1">
      <c r="BE156" s="176"/>
    </row>
    <row r="157" spans="57:57" ht="24" customHeight="1">
      <c r="BE157" s="176"/>
    </row>
    <row r="158" spans="57:57" ht="24" customHeight="1">
      <c r="BE158" s="176"/>
    </row>
    <row r="159" spans="57:57" ht="24" customHeight="1">
      <c r="BE159" s="176"/>
    </row>
    <row r="160" spans="57:57" ht="24" customHeight="1">
      <c r="BE160" s="176"/>
    </row>
    <row r="161" spans="57:57" ht="24" customHeight="1">
      <c r="BE161" s="176"/>
    </row>
    <row r="162" spans="57:57" ht="24" customHeight="1">
      <c r="BE162" s="176"/>
    </row>
    <row r="163" spans="57:57" ht="24" customHeight="1">
      <c r="BE163" s="176"/>
    </row>
    <row r="164" spans="57:57" ht="24" customHeight="1">
      <c r="BE164" s="176"/>
    </row>
    <row r="165" spans="57:57" ht="24" customHeight="1">
      <c r="BE165" s="176"/>
    </row>
    <row r="166" spans="57:57" ht="24" customHeight="1">
      <c r="BE166" s="176"/>
    </row>
    <row r="167" spans="57:57" ht="24" customHeight="1">
      <c r="BE167" s="176"/>
    </row>
    <row r="168" spans="57:57" ht="24" customHeight="1">
      <c r="BE168" s="176"/>
    </row>
    <row r="169" spans="57:57" ht="24" customHeight="1">
      <c r="BE169" s="176"/>
    </row>
    <row r="170" spans="57:57" ht="24" customHeight="1">
      <c r="BE170" s="176"/>
    </row>
    <row r="171" spans="57:57" ht="24" customHeight="1">
      <c r="BE171" s="176"/>
    </row>
    <row r="172" spans="57:57" ht="24" customHeight="1">
      <c r="BE172" s="176"/>
    </row>
    <row r="173" spans="57:57" ht="24" customHeight="1">
      <c r="BE173" s="176"/>
    </row>
    <row r="174" spans="57:57" ht="24" customHeight="1">
      <c r="BE174" s="176"/>
    </row>
    <row r="175" spans="57:57" ht="24" customHeight="1">
      <c r="BE175" s="176"/>
    </row>
    <row r="176" spans="57:57" ht="24" customHeight="1">
      <c r="BE176" s="176"/>
    </row>
    <row r="177" spans="57:57" ht="24" customHeight="1">
      <c r="BE177" s="176"/>
    </row>
    <row r="178" spans="57:57" ht="24" customHeight="1">
      <c r="BE178" s="176"/>
    </row>
    <row r="179" spans="57:57" ht="24" customHeight="1">
      <c r="BE179" s="176"/>
    </row>
    <row r="180" spans="57:57" ht="24" customHeight="1">
      <c r="BE180" s="176"/>
    </row>
    <row r="181" spans="57:57" ht="24" customHeight="1">
      <c r="BE181" s="176"/>
    </row>
    <row r="182" spans="57:57" ht="24" customHeight="1">
      <c r="BE182" s="176"/>
    </row>
    <row r="183" spans="57:57" ht="24" customHeight="1">
      <c r="BE183" s="176"/>
    </row>
    <row r="184" spans="57:57">
      <c r="BE184" s="176"/>
    </row>
    <row r="185" spans="57:57">
      <c r="BE185" s="176"/>
    </row>
    <row r="186" spans="57:57">
      <c r="BE186" s="176"/>
    </row>
    <row r="187" spans="57:57">
      <c r="BE187" s="176"/>
    </row>
    <row r="188" spans="57:57">
      <c r="BE188" s="176"/>
    </row>
    <row r="189" spans="57:57">
      <c r="BE189" s="176"/>
    </row>
    <row r="190" spans="57:57">
      <c r="BE190" s="176"/>
    </row>
    <row r="191" spans="57:57">
      <c r="BE191" s="176"/>
    </row>
    <row r="192" spans="57:57">
      <c r="BE192" s="176"/>
    </row>
    <row r="193" spans="57:57">
      <c r="BE193" s="176"/>
    </row>
    <row r="194" spans="57:57">
      <c r="BE194" s="176"/>
    </row>
    <row r="195" spans="57:57">
      <c r="BE195" s="176"/>
    </row>
    <row r="196" spans="57:57">
      <c r="BE196" s="176"/>
    </row>
    <row r="197" spans="57:57">
      <c r="BE197" s="176"/>
    </row>
    <row r="198" spans="57:57">
      <c r="BE198" s="176"/>
    </row>
    <row r="199" spans="57:57">
      <c r="BE199" s="176"/>
    </row>
    <row r="200" spans="57:57">
      <c r="BE200" s="176"/>
    </row>
    <row r="201" spans="57:57">
      <c r="BE201" s="176"/>
    </row>
    <row r="202" spans="57:57">
      <c r="BE202" s="176"/>
    </row>
    <row r="203" spans="57:57">
      <c r="BE203" s="176"/>
    </row>
    <row r="204" spans="57:57">
      <c r="BE204" s="176"/>
    </row>
    <row r="205" spans="57:57">
      <c r="BE205" s="176"/>
    </row>
    <row r="206" spans="57:57">
      <c r="BE206" s="176"/>
    </row>
    <row r="207" spans="57:57">
      <c r="BE207" s="176"/>
    </row>
    <row r="208" spans="57:57">
      <c r="BE208" s="176"/>
    </row>
    <row r="209" spans="57:57">
      <c r="BE209" s="176"/>
    </row>
    <row r="210" spans="57:57">
      <c r="BE210" s="176"/>
    </row>
    <row r="211" spans="57:57">
      <c r="BE211" s="176"/>
    </row>
    <row r="212" spans="57:57">
      <c r="BE212" s="176"/>
    </row>
    <row r="213" spans="57:57">
      <c r="BE213" s="176"/>
    </row>
    <row r="214" spans="57:57">
      <c r="BE214" s="176"/>
    </row>
    <row r="215" spans="57:57">
      <c r="BE215" s="176"/>
    </row>
    <row r="216" spans="57:57">
      <c r="BE216" s="176"/>
    </row>
    <row r="217" spans="57:57">
      <c r="BE217" s="176"/>
    </row>
    <row r="218" spans="57:57">
      <c r="BE218" s="176"/>
    </row>
    <row r="219" spans="57:57">
      <c r="BE219" s="176"/>
    </row>
    <row r="220" spans="57:57">
      <c r="BE220" s="176"/>
    </row>
    <row r="221" spans="57:57">
      <c r="BE221" s="176"/>
    </row>
    <row r="222" spans="57:57">
      <c r="BE222" s="176"/>
    </row>
    <row r="223" spans="57:57">
      <c r="BE223" s="176"/>
    </row>
    <row r="224" spans="57:57">
      <c r="BE224" s="176"/>
    </row>
  </sheetData>
  <mergeCells count="22">
    <mergeCell ref="B3:B4"/>
    <mergeCell ref="D3:K3"/>
    <mergeCell ref="L3:S3"/>
    <mergeCell ref="T3:X3"/>
    <mergeCell ref="Y3:AG3"/>
    <mergeCell ref="AP3:AY3"/>
    <mergeCell ref="AZ3:BD3"/>
    <mergeCell ref="BE3:BL3"/>
    <mergeCell ref="D40:K44"/>
    <mergeCell ref="L40:S44"/>
    <mergeCell ref="Y40:AG44"/>
    <mergeCell ref="AH40:AO44"/>
    <mergeCell ref="AP40:AY44"/>
    <mergeCell ref="AH3:AO3"/>
    <mergeCell ref="U58:U59"/>
    <mergeCell ref="Y58:AB59"/>
    <mergeCell ref="U52:U53"/>
    <mergeCell ref="Y52:AB53"/>
    <mergeCell ref="U54:U55"/>
    <mergeCell ref="Y54:AB55"/>
    <mergeCell ref="U56:U57"/>
    <mergeCell ref="Y56:AB57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19D-CDAF-0C4B-92A6-8F82029F6B7F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32"/>
    <col min="2" max="2" width="10.42578125" style="114" customWidth="1"/>
    <col min="3" max="3" width="12.42578125" style="32" customWidth="1"/>
    <col min="4" max="4" width="4.140625" style="32" customWidth="1"/>
    <col min="5" max="9" width="8.42578125" style="32" customWidth="1"/>
    <col min="10" max="10" width="12" style="32" customWidth="1"/>
    <col min="11" max="11" width="8.42578125" style="32" customWidth="1"/>
    <col min="12" max="12" width="3.85546875" style="32" customWidth="1"/>
    <col min="13" max="17" width="8.42578125" style="32" customWidth="1"/>
    <col min="18" max="18" width="12.42578125" style="32" customWidth="1"/>
    <col min="19" max="19" width="8.42578125" style="32" customWidth="1"/>
    <col min="20" max="23" width="11.140625" style="32"/>
    <col min="24" max="24" width="7.5703125" style="32" customWidth="1"/>
    <col min="25" max="25" width="3" style="32" customWidth="1"/>
    <col min="26" max="26" width="7" style="32" customWidth="1"/>
    <col min="27" max="27" width="6.7109375" style="32" customWidth="1"/>
    <col min="28" max="31" width="7.5703125" style="32" customWidth="1"/>
    <col min="32" max="32" width="10" style="32" customWidth="1"/>
    <col min="33" max="33" width="7.5703125" style="32" customWidth="1"/>
    <col min="34" max="34" width="3.5703125" style="32" customWidth="1"/>
    <col min="35" max="39" width="7.5703125" style="32" customWidth="1"/>
    <col min="40" max="40" width="11.85546875" style="32" customWidth="1"/>
    <col min="41" max="41" width="10" style="32" customWidth="1"/>
    <col min="42" max="42" width="4.140625" style="32" customWidth="1"/>
    <col min="43" max="43" width="7.5703125" style="32" customWidth="1"/>
    <col min="44" max="44" width="15.85546875" style="32" customWidth="1"/>
    <col min="45" max="47" width="7.5703125" style="32" customWidth="1"/>
    <col min="48" max="49" width="9.140625" style="32" customWidth="1"/>
    <col min="50" max="50" width="11.28515625" style="32" customWidth="1"/>
    <col min="51" max="51" width="9.85546875" style="32" customWidth="1"/>
    <col min="52" max="52" width="5.7109375" style="32" customWidth="1"/>
    <col min="53" max="54" width="9.140625" style="32" customWidth="1"/>
    <col min="55" max="55" width="13.5703125" style="32" customWidth="1"/>
    <col min="56" max="56" width="11.140625" style="32"/>
    <col min="57" max="57" width="14.85546875" style="32" customWidth="1"/>
    <col min="58" max="63" width="11.140625" style="32"/>
    <col min="64" max="64" width="11.140625" style="62"/>
    <col min="65" max="65" width="11.140625" style="32"/>
    <col min="66" max="66" width="11.140625" style="62"/>
    <col min="67" max="16384" width="11.140625" style="32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214" t="s">
        <v>2</v>
      </c>
      <c r="C3" s="10"/>
      <c r="D3" s="215" t="s">
        <v>3</v>
      </c>
      <c r="E3" s="215"/>
      <c r="F3" s="215"/>
      <c r="G3" s="215"/>
      <c r="H3" s="215"/>
      <c r="I3" s="215"/>
      <c r="J3" s="215"/>
      <c r="K3" s="215"/>
      <c r="L3" s="216" t="s">
        <v>4</v>
      </c>
      <c r="M3" s="216"/>
      <c r="N3" s="216"/>
      <c r="O3" s="216"/>
      <c r="P3" s="216"/>
      <c r="Q3" s="216"/>
      <c r="R3" s="216"/>
      <c r="S3" s="216"/>
      <c r="T3" s="208" t="s">
        <v>5</v>
      </c>
      <c r="U3" s="208"/>
      <c r="V3" s="208"/>
      <c r="W3" s="208"/>
      <c r="X3" s="208"/>
      <c r="Y3" s="217" t="s">
        <v>6</v>
      </c>
      <c r="Z3" s="217"/>
      <c r="AA3" s="217"/>
      <c r="AB3" s="217"/>
      <c r="AC3" s="217"/>
      <c r="AD3" s="217"/>
      <c r="AE3" s="217"/>
      <c r="AF3" s="217"/>
      <c r="AG3" s="218"/>
      <c r="AH3" s="219" t="s">
        <v>7</v>
      </c>
      <c r="AI3" s="220"/>
      <c r="AJ3" s="220"/>
      <c r="AK3" s="220"/>
      <c r="AL3" s="220"/>
      <c r="AM3" s="220"/>
      <c r="AN3" s="220"/>
      <c r="AO3" s="221"/>
      <c r="AP3" s="204" t="s">
        <v>8</v>
      </c>
      <c r="AQ3" s="205"/>
      <c r="AR3" s="205"/>
      <c r="AS3" s="205"/>
      <c r="AT3" s="205"/>
      <c r="AU3" s="205"/>
      <c r="AV3" s="205"/>
      <c r="AW3" s="205"/>
      <c r="AX3" s="205"/>
      <c r="AY3" s="206"/>
      <c r="AZ3" s="207" t="s">
        <v>9</v>
      </c>
      <c r="BA3" s="208"/>
      <c r="BB3" s="208"/>
      <c r="BC3" s="208"/>
      <c r="BD3" s="209"/>
      <c r="BE3" s="210" t="s">
        <v>101</v>
      </c>
      <c r="BF3" s="211"/>
      <c r="BG3" s="211"/>
      <c r="BH3" s="211"/>
      <c r="BI3" s="211"/>
      <c r="BJ3" s="211"/>
      <c r="BK3" s="211"/>
      <c r="BL3" s="212"/>
      <c r="BN3" s="4"/>
    </row>
    <row r="4" spans="1:68" s="8" customFormat="1" ht="53.25" customHeight="1" thickTop="1" thickBot="1">
      <c r="A4" s="11"/>
      <c r="B4" s="214"/>
      <c r="C4" s="12" t="s">
        <v>10</v>
      </c>
      <c r="D4" s="13" t="s">
        <v>11</v>
      </c>
      <c r="E4" s="14" t="s">
        <v>12</v>
      </c>
      <c r="F4" s="13" t="s">
        <v>13</v>
      </c>
      <c r="G4" s="15" t="s">
        <v>14</v>
      </c>
      <c r="H4" s="13" t="s">
        <v>15</v>
      </c>
      <c r="I4" s="16" t="s">
        <v>16</v>
      </c>
      <c r="J4" s="14" t="s">
        <v>17</v>
      </c>
      <c r="K4" s="13" t="s">
        <v>18</v>
      </c>
      <c r="L4" s="13" t="s">
        <v>19</v>
      </c>
      <c r="M4" s="17" t="s">
        <v>12</v>
      </c>
      <c r="N4" s="13" t="s">
        <v>13</v>
      </c>
      <c r="O4" s="15" t="s">
        <v>14</v>
      </c>
      <c r="P4" s="13" t="s">
        <v>15</v>
      </c>
      <c r="Q4" s="16" t="s">
        <v>16</v>
      </c>
      <c r="R4" s="14" t="s">
        <v>17</v>
      </c>
      <c r="S4" s="18" t="s">
        <v>18</v>
      </c>
      <c r="T4" s="19" t="s">
        <v>20</v>
      </c>
      <c r="U4" s="20" t="s">
        <v>21</v>
      </c>
      <c r="V4" s="20" t="s">
        <v>22</v>
      </c>
      <c r="W4" s="21" t="s">
        <v>23</v>
      </c>
      <c r="X4" s="20"/>
      <c r="Y4" s="22" t="s">
        <v>24</v>
      </c>
      <c r="Z4" s="20" t="s">
        <v>12</v>
      </c>
      <c r="AA4" s="20" t="s">
        <v>25</v>
      </c>
      <c r="AB4" s="20" t="s">
        <v>21</v>
      </c>
      <c r="AC4" s="23" t="s">
        <v>26</v>
      </c>
      <c r="AD4" s="20" t="s">
        <v>22</v>
      </c>
      <c r="AE4" s="21" t="s">
        <v>27</v>
      </c>
      <c r="AF4" s="24" t="s">
        <v>28</v>
      </c>
      <c r="AG4" s="25" t="s">
        <v>18</v>
      </c>
      <c r="AH4" s="26" t="s">
        <v>29</v>
      </c>
      <c r="AI4" s="13" t="s">
        <v>12</v>
      </c>
      <c r="AJ4" s="13" t="s">
        <v>21</v>
      </c>
      <c r="AK4" s="15" t="s">
        <v>26</v>
      </c>
      <c r="AL4" s="13" t="s">
        <v>22</v>
      </c>
      <c r="AM4" s="16" t="s">
        <v>27</v>
      </c>
      <c r="AN4" s="17" t="s">
        <v>28</v>
      </c>
      <c r="AO4" s="23" t="s">
        <v>18</v>
      </c>
      <c r="AP4" s="27" t="s">
        <v>29</v>
      </c>
      <c r="AQ4" s="13" t="s">
        <v>12</v>
      </c>
      <c r="AR4" s="13" t="s">
        <v>21</v>
      </c>
      <c r="AS4" s="15" t="s">
        <v>26</v>
      </c>
      <c r="AT4" s="13" t="s">
        <v>22</v>
      </c>
      <c r="AU4" s="16" t="s">
        <v>27</v>
      </c>
      <c r="AV4" s="16" t="s">
        <v>30</v>
      </c>
      <c r="AW4" s="16" t="s">
        <v>31</v>
      </c>
      <c r="AX4" s="17" t="s">
        <v>28</v>
      </c>
      <c r="AY4" s="23" t="s">
        <v>18</v>
      </c>
      <c r="AZ4" s="23" t="s">
        <v>20</v>
      </c>
      <c r="BA4" s="20" t="s">
        <v>21</v>
      </c>
      <c r="BB4" s="20" t="s">
        <v>22</v>
      </c>
      <c r="BC4" s="21" t="s">
        <v>23</v>
      </c>
      <c r="BD4" s="21" t="s">
        <v>32</v>
      </c>
      <c r="BE4" s="28" t="s">
        <v>33</v>
      </c>
      <c r="BF4" s="29" t="s">
        <v>34</v>
      </c>
      <c r="BG4" s="29" t="s">
        <v>35</v>
      </c>
      <c r="BH4" s="29" t="s">
        <v>36</v>
      </c>
      <c r="BI4" s="29" t="s">
        <v>37</v>
      </c>
      <c r="BJ4" s="29" t="s">
        <v>38</v>
      </c>
      <c r="BK4" s="29" t="s">
        <v>39</v>
      </c>
      <c r="BL4" s="30" t="s">
        <v>40</v>
      </c>
      <c r="BN4" s="31"/>
    </row>
    <row r="5" spans="1:68" ht="20" customHeight="1" thickTop="1">
      <c r="B5" s="33">
        <f>DATE($A$2,$B$2,1)</f>
        <v>45870</v>
      </c>
      <c r="C5" s="34"/>
      <c r="D5" s="35"/>
      <c r="E5" s="36">
        <v>30</v>
      </c>
      <c r="F5" s="37">
        <v>115280</v>
      </c>
      <c r="G5" s="38">
        <f t="shared" ref="G5:G35" si="0">ROUNDDOWN(F5/1.1,0)/E5</f>
        <v>3493.3333333333335</v>
      </c>
      <c r="H5" s="37">
        <v>10190</v>
      </c>
      <c r="I5" s="39">
        <f>ROUNDDOWN(H5/1.1,0)/E5</f>
        <v>308.76666666666665</v>
      </c>
      <c r="J5" s="40">
        <f t="shared" ref="J5:J35" si="1">F5+H5</f>
        <v>125470</v>
      </c>
      <c r="K5" s="41">
        <f t="shared" ref="K5:K35" si="2">IF(E5="","",J5/E5)</f>
        <v>4182.333333333333</v>
      </c>
      <c r="L5" s="42"/>
      <c r="M5" s="43">
        <f t="shared" ref="M5:N35" si="3">BE5-E5</f>
        <v>11</v>
      </c>
      <c r="N5" s="44">
        <f t="shared" si="3"/>
        <v>117260</v>
      </c>
      <c r="O5" s="38">
        <f t="shared" ref="O5:O35" si="4">ROUNDDOWN(N5/1.1,0)/M5</f>
        <v>9690.9090909090901</v>
      </c>
      <c r="P5" s="44">
        <f t="shared" ref="P5:P35" si="5">BG5-H5</f>
        <v>37330</v>
      </c>
      <c r="Q5" s="39">
        <f t="shared" ref="Q5:Q35" si="6">ROUNDDOWN(P5/1.1,0)/M5</f>
        <v>3085.090909090909</v>
      </c>
      <c r="R5" s="45">
        <f t="shared" ref="R5:R35" si="7">N5+P5</f>
        <v>154590</v>
      </c>
      <c r="S5" s="41">
        <f t="shared" ref="S5:S35" si="8">IF(M5="","",R5/M5)</f>
        <v>14053.636363636364</v>
      </c>
      <c r="T5" s="46">
        <f t="shared" ref="T5:U35" si="9">E5+M5</f>
        <v>41</v>
      </c>
      <c r="U5" s="44">
        <f t="shared" si="9"/>
        <v>232540</v>
      </c>
      <c r="V5" s="44">
        <f t="shared" ref="V5:V35" si="10">H5+P5</f>
        <v>47520</v>
      </c>
      <c r="W5" s="47">
        <f>J5+R5-BO5</f>
        <v>280060</v>
      </c>
      <c r="X5" s="44"/>
      <c r="Y5" s="48"/>
      <c r="Z5" s="49">
        <v>2</v>
      </c>
      <c r="AA5" s="49"/>
      <c r="AB5" s="37">
        <v>5000</v>
      </c>
      <c r="AC5" s="38">
        <f t="shared" ref="AC5:AC35" si="11">AB5/Z5</f>
        <v>2500</v>
      </c>
      <c r="AD5" s="37">
        <v>500</v>
      </c>
      <c r="AE5" s="39">
        <f t="shared" ref="AE5:AE35" si="12">AD5/Z5</f>
        <v>250</v>
      </c>
      <c r="AF5" s="50">
        <f t="shared" ref="AF5:AF35" si="13">AB5+AD5</f>
        <v>5500</v>
      </c>
      <c r="AG5" s="41">
        <f t="shared" ref="AG5:AG35" si="14">IF(Z5="","",AF5/Z5)</f>
        <v>2750</v>
      </c>
      <c r="AH5" s="51"/>
      <c r="AI5" s="49"/>
      <c r="AJ5" s="37"/>
      <c r="AK5" s="38" t="e">
        <f t="shared" ref="AK5:AK35" si="15">AJ5/AI5</f>
        <v>#DIV/0!</v>
      </c>
      <c r="AL5" s="37"/>
      <c r="AM5" s="39" t="e">
        <f t="shared" ref="AM5:AM35" si="16">AL5/AI5</f>
        <v>#DIV/0!</v>
      </c>
      <c r="AN5" s="50">
        <f>AJ5+AL5</f>
        <v>0</v>
      </c>
      <c r="AO5" s="52" t="str">
        <f t="shared" ref="AO5:AO35" si="17">IF(AI5="","",AN5/AI5)</f>
        <v/>
      </c>
      <c r="AP5" s="53"/>
      <c r="AQ5" s="49">
        <v>611</v>
      </c>
      <c r="AR5" s="37">
        <v>2035600</v>
      </c>
      <c r="AS5" s="38">
        <f t="shared" ref="AS5:AS35" si="18">AR5/AQ5</f>
        <v>3331.5875613747953</v>
      </c>
      <c r="AT5" s="37">
        <v>1010650</v>
      </c>
      <c r="AU5" s="39">
        <f t="shared" ref="AU5:AU35" si="19">AT5/AQ5</f>
        <v>1654.0916530278232</v>
      </c>
      <c r="AV5" s="39">
        <v>59950</v>
      </c>
      <c r="AW5" s="39"/>
      <c r="AX5" s="54">
        <f>AR5+AT5+AV5+AW5-BP5</f>
        <v>3106200</v>
      </c>
      <c r="AY5" s="52">
        <f t="shared" ref="AY5:AY35" si="20">IF(AQ5="","",AX5/AQ5)</f>
        <v>5083.7970540098204</v>
      </c>
      <c r="AZ5" s="55">
        <f t="shared" ref="AZ5:AZ35" si="21">SUM(E5,M5)</f>
        <v>41</v>
      </c>
      <c r="BA5" s="44">
        <f t="shared" ref="BA5:BA35" si="22">U5+AB5+AJ5+AR5</f>
        <v>2273140</v>
      </c>
      <c r="BB5" s="44">
        <f t="shared" ref="BB5:BB35" si="23">V5+AD5+AL5+AT5</f>
        <v>1058670</v>
      </c>
      <c r="BC5" s="56">
        <f>W5+AF5+AN5+AX5</f>
        <v>3391760</v>
      </c>
      <c r="BD5" s="57">
        <f>BH5+BI5</f>
        <v>5500</v>
      </c>
      <c r="BE5" s="58">
        <v>41</v>
      </c>
      <c r="BF5" s="59">
        <v>232540</v>
      </c>
      <c r="BG5" s="59">
        <v>47520</v>
      </c>
      <c r="BH5" s="60">
        <v>5500</v>
      </c>
      <c r="BI5" s="60"/>
      <c r="BJ5" s="60"/>
      <c r="BK5" s="60"/>
      <c r="BL5" s="61">
        <f>SUM(BF5:BI5)</f>
        <v>285560</v>
      </c>
      <c r="BM5" s="32">
        <v>1</v>
      </c>
      <c r="BN5" s="62">
        <f t="shared" ref="BN5:BN35" si="24">BK5+BL5</f>
        <v>285560</v>
      </c>
    </row>
    <row r="6" spans="1:68" ht="20" customHeight="1">
      <c r="B6" s="63">
        <f t="shared" ref="B6:B35" si="25">B5+1</f>
        <v>45871</v>
      </c>
      <c r="C6" s="64"/>
      <c r="D6" s="35"/>
      <c r="E6" s="36">
        <v>19</v>
      </c>
      <c r="F6" s="37">
        <v>86900</v>
      </c>
      <c r="G6" s="38">
        <f t="shared" si="0"/>
        <v>4157.894736842105</v>
      </c>
      <c r="H6" s="37">
        <v>24000</v>
      </c>
      <c r="I6" s="39">
        <f t="shared" ref="I6:I35" si="26">ROUNDDOWN(H6/1.1,0)/E6</f>
        <v>1148.3157894736842</v>
      </c>
      <c r="J6" s="40">
        <f t="shared" si="1"/>
        <v>110900</v>
      </c>
      <c r="K6" s="41">
        <f t="shared" si="2"/>
        <v>5836.8421052631575</v>
      </c>
      <c r="L6" s="42"/>
      <c r="M6" s="43">
        <f t="shared" si="3"/>
        <v>16</v>
      </c>
      <c r="N6" s="44">
        <f t="shared" si="3"/>
        <v>237160</v>
      </c>
      <c r="O6" s="38">
        <f t="shared" si="4"/>
        <v>13475</v>
      </c>
      <c r="P6" s="44">
        <f t="shared" si="5"/>
        <v>50160</v>
      </c>
      <c r="Q6" s="39">
        <f t="shared" si="6"/>
        <v>2850</v>
      </c>
      <c r="R6" s="45">
        <f t="shared" si="7"/>
        <v>287320</v>
      </c>
      <c r="S6" s="41">
        <f t="shared" si="8"/>
        <v>17957.5</v>
      </c>
      <c r="T6" s="65">
        <f t="shared" si="9"/>
        <v>35</v>
      </c>
      <c r="U6" s="44">
        <f t="shared" si="9"/>
        <v>324060</v>
      </c>
      <c r="V6" s="44">
        <f t="shared" si="10"/>
        <v>74160</v>
      </c>
      <c r="W6" s="47">
        <f t="shared" ref="W6:W35" si="27">J6+R6-BO6</f>
        <v>398220</v>
      </c>
      <c r="X6" s="66"/>
      <c r="Y6" s="48"/>
      <c r="Z6" s="49">
        <v>3</v>
      </c>
      <c r="AA6" s="49"/>
      <c r="AB6" s="37">
        <v>7500</v>
      </c>
      <c r="AC6" s="38">
        <f t="shared" si="11"/>
        <v>2500</v>
      </c>
      <c r="AD6" s="37">
        <v>750</v>
      </c>
      <c r="AE6" s="39">
        <f t="shared" si="12"/>
        <v>250</v>
      </c>
      <c r="AF6" s="50">
        <f>AB6+AD6</f>
        <v>8250</v>
      </c>
      <c r="AG6" s="41">
        <f t="shared" si="14"/>
        <v>2750</v>
      </c>
      <c r="AH6" s="51"/>
      <c r="AI6" s="49"/>
      <c r="AJ6" s="37"/>
      <c r="AK6" s="38" t="e">
        <f t="shared" si="15"/>
        <v>#DIV/0!</v>
      </c>
      <c r="AL6" s="37"/>
      <c r="AM6" s="39" t="e">
        <f t="shared" si="16"/>
        <v>#DIV/0!</v>
      </c>
      <c r="AN6" s="50">
        <f t="shared" ref="AN6:AN35" si="28">AJ6+AL6</f>
        <v>0</v>
      </c>
      <c r="AO6" s="52" t="str">
        <f t="shared" si="17"/>
        <v/>
      </c>
      <c r="AP6" s="53"/>
      <c r="AQ6" s="49">
        <v>705</v>
      </c>
      <c r="AR6" s="37">
        <v>2267450</v>
      </c>
      <c r="AS6" s="38">
        <f t="shared" si="18"/>
        <v>3216.2411347517732</v>
      </c>
      <c r="AT6" s="37">
        <v>1222700</v>
      </c>
      <c r="AU6" s="39">
        <f t="shared" si="19"/>
        <v>1734.3262411347519</v>
      </c>
      <c r="AV6" s="39">
        <v>134090</v>
      </c>
      <c r="AW6" s="39"/>
      <c r="AX6" s="54">
        <f>AR6+AT6+AV6+AW6-BP6</f>
        <v>3624240</v>
      </c>
      <c r="AY6" s="52">
        <f t="shared" si="20"/>
        <v>5140.7659574468089</v>
      </c>
      <c r="AZ6" s="67">
        <f t="shared" si="21"/>
        <v>35</v>
      </c>
      <c r="BA6" s="44">
        <f t="shared" si="22"/>
        <v>2599010</v>
      </c>
      <c r="BB6" s="44">
        <f t="shared" si="23"/>
        <v>1297610</v>
      </c>
      <c r="BC6" s="56">
        <f t="shared" ref="BC6:BC35" si="29">W6+AF6+AN6+AX6</f>
        <v>4030710</v>
      </c>
      <c r="BD6" s="57">
        <f>BH6+BI6</f>
        <v>5500</v>
      </c>
      <c r="BE6" s="58">
        <v>35</v>
      </c>
      <c r="BF6" s="59">
        <v>324060</v>
      </c>
      <c r="BG6" s="59">
        <v>74160</v>
      </c>
      <c r="BH6" s="60">
        <v>3300</v>
      </c>
      <c r="BI6" s="60">
        <v>2200</v>
      </c>
      <c r="BJ6" s="60"/>
      <c r="BK6" s="60"/>
      <c r="BL6" s="61">
        <f t="shared" ref="BL6:BL35" si="30">SUM(BF6:BI6)</f>
        <v>403720</v>
      </c>
      <c r="BM6" s="32">
        <v>2</v>
      </c>
      <c r="BN6" s="62">
        <f t="shared" si="24"/>
        <v>403720</v>
      </c>
    </row>
    <row r="7" spans="1:68" ht="20" customHeight="1">
      <c r="B7" s="63">
        <f>B6+1</f>
        <v>45872</v>
      </c>
      <c r="C7" s="64"/>
      <c r="D7" s="35"/>
      <c r="E7" s="36">
        <v>25</v>
      </c>
      <c r="F7" s="37">
        <v>112120</v>
      </c>
      <c r="G7" s="38">
        <f t="shared" si="0"/>
        <v>4077.08</v>
      </c>
      <c r="H7" s="37">
        <v>32510</v>
      </c>
      <c r="I7" s="39">
        <f t="shared" si="26"/>
        <v>1182.1600000000001</v>
      </c>
      <c r="J7" s="40">
        <f t="shared" si="1"/>
        <v>144630</v>
      </c>
      <c r="K7" s="41">
        <f t="shared" si="2"/>
        <v>5785.2</v>
      </c>
      <c r="L7" s="42"/>
      <c r="M7" s="43">
        <f t="shared" si="3"/>
        <v>22</v>
      </c>
      <c r="N7" s="44">
        <f t="shared" si="3"/>
        <v>227040</v>
      </c>
      <c r="O7" s="38">
        <f t="shared" si="4"/>
        <v>9381.818181818182</v>
      </c>
      <c r="P7" s="44">
        <f t="shared" si="5"/>
        <v>97430</v>
      </c>
      <c r="Q7" s="39">
        <f t="shared" si="6"/>
        <v>4026</v>
      </c>
      <c r="R7" s="45">
        <f t="shared" si="7"/>
        <v>324470</v>
      </c>
      <c r="S7" s="41">
        <f t="shared" si="8"/>
        <v>14748.636363636364</v>
      </c>
      <c r="T7" s="65">
        <f t="shared" si="9"/>
        <v>47</v>
      </c>
      <c r="U7" s="44">
        <f t="shared" si="9"/>
        <v>339160</v>
      </c>
      <c r="V7" s="44">
        <f t="shared" si="10"/>
        <v>129940</v>
      </c>
      <c r="W7" s="47">
        <f t="shared" si="27"/>
        <v>469100</v>
      </c>
      <c r="X7" s="66"/>
      <c r="Y7" s="48"/>
      <c r="Z7" s="49">
        <v>1</v>
      </c>
      <c r="AA7" s="49"/>
      <c r="AB7" s="37">
        <v>2500</v>
      </c>
      <c r="AC7" s="38">
        <f t="shared" si="11"/>
        <v>2500</v>
      </c>
      <c r="AD7" s="37">
        <v>250</v>
      </c>
      <c r="AE7" s="39">
        <f t="shared" si="12"/>
        <v>250</v>
      </c>
      <c r="AF7" s="50">
        <f t="shared" si="13"/>
        <v>2750</v>
      </c>
      <c r="AG7" s="41">
        <f t="shared" si="14"/>
        <v>2750</v>
      </c>
      <c r="AH7" s="51"/>
      <c r="AI7" s="49"/>
      <c r="AJ7" s="37"/>
      <c r="AK7" s="38" t="e">
        <f t="shared" si="15"/>
        <v>#DIV/0!</v>
      </c>
      <c r="AL7" s="37"/>
      <c r="AM7" s="39" t="e">
        <f t="shared" si="16"/>
        <v>#DIV/0!</v>
      </c>
      <c r="AN7" s="50">
        <f t="shared" si="28"/>
        <v>0</v>
      </c>
      <c r="AO7" s="52" t="str">
        <f t="shared" si="17"/>
        <v/>
      </c>
      <c r="AP7" s="53"/>
      <c r="AQ7" s="49">
        <v>497</v>
      </c>
      <c r="AR7" s="37">
        <v>1472000</v>
      </c>
      <c r="AS7" s="38">
        <f t="shared" si="18"/>
        <v>2961.7706237424545</v>
      </c>
      <c r="AT7" s="37">
        <v>756800</v>
      </c>
      <c r="AU7" s="39">
        <f t="shared" si="19"/>
        <v>1522.7364185110664</v>
      </c>
      <c r="AV7" s="39">
        <v>20680</v>
      </c>
      <c r="AW7" s="39"/>
      <c r="AX7" s="54">
        <f>AR7+AT7+AV7+AW7-BP7</f>
        <v>2249480</v>
      </c>
      <c r="AY7" s="52">
        <f t="shared" si="20"/>
        <v>4526.1167002012071</v>
      </c>
      <c r="AZ7" s="67">
        <f t="shared" si="21"/>
        <v>47</v>
      </c>
      <c r="BA7" s="44">
        <f t="shared" si="22"/>
        <v>1813660</v>
      </c>
      <c r="BB7" s="44">
        <f t="shared" si="23"/>
        <v>886990</v>
      </c>
      <c r="BC7" s="56">
        <f t="shared" si="29"/>
        <v>2721330</v>
      </c>
      <c r="BD7" s="57">
        <f t="shared" ref="BD7:BD35" si="31">BH7+BI7</f>
        <v>14850</v>
      </c>
      <c r="BE7" s="58">
        <v>47</v>
      </c>
      <c r="BF7" s="59">
        <v>339160</v>
      </c>
      <c r="BG7" s="59">
        <v>129940</v>
      </c>
      <c r="BH7" s="60">
        <v>12650</v>
      </c>
      <c r="BI7" s="60">
        <v>2200</v>
      </c>
      <c r="BJ7" s="60">
        <v>9900</v>
      </c>
      <c r="BK7" s="60"/>
      <c r="BL7" s="61">
        <f>SUM(BF7:BI7)</f>
        <v>483950</v>
      </c>
      <c r="BM7" s="32">
        <v>3</v>
      </c>
      <c r="BN7" s="62">
        <f t="shared" si="24"/>
        <v>483950</v>
      </c>
    </row>
    <row r="8" spans="1:68" ht="20" customHeight="1">
      <c r="B8" s="63">
        <f t="shared" si="25"/>
        <v>45873</v>
      </c>
      <c r="C8" s="64"/>
      <c r="D8" s="35"/>
      <c r="E8" s="36">
        <v>24</v>
      </c>
      <c r="F8" s="37">
        <v>111870</v>
      </c>
      <c r="G8" s="38">
        <f t="shared" si="0"/>
        <v>4237.5</v>
      </c>
      <c r="H8" s="37">
        <v>23030</v>
      </c>
      <c r="I8" s="39">
        <f t="shared" si="26"/>
        <v>872.33333333333337</v>
      </c>
      <c r="J8" s="40">
        <f t="shared" si="1"/>
        <v>134900</v>
      </c>
      <c r="K8" s="41">
        <f t="shared" si="2"/>
        <v>5620.833333333333</v>
      </c>
      <c r="L8" s="42"/>
      <c r="M8" s="43">
        <f t="shared" si="3"/>
        <v>19</v>
      </c>
      <c r="N8" s="44">
        <f t="shared" si="3"/>
        <v>190300</v>
      </c>
      <c r="O8" s="38">
        <f t="shared" si="4"/>
        <v>9105.2631578947367</v>
      </c>
      <c r="P8" s="44">
        <f t="shared" si="5"/>
        <v>120860</v>
      </c>
      <c r="Q8" s="39">
        <f t="shared" si="6"/>
        <v>5782.7368421052633</v>
      </c>
      <c r="R8" s="45">
        <f t="shared" si="7"/>
        <v>311160</v>
      </c>
      <c r="S8" s="41">
        <f t="shared" si="8"/>
        <v>16376.842105263158</v>
      </c>
      <c r="T8" s="65">
        <f t="shared" si="9"/>
        <v>43</v>
      </c>
      <c r="U8" s="44">
        <f t="shared" si="9"/>
        <v>302170</v>
      </c>
      <c r="V8" s="44">
        <f t="shared" si="10"/>
        <v>143890</v>
      </c>
      <c r="W8" s="47">
        <f t="shared" si="27"/>
        <v>446060</v>
      </c>
      <c r="X8" s="66"/>
      <c r="Y8" s="48"/>
      <c r="Z8" s="49">
        <v>0</v>
      </c>
      <c r="AA8" s="49"/>
      <c r="AB8" s="37"/>
      <c r="AC8" s="38" t="e">
        <f t="shared" si="11"/>
        <v>#DIV/0!</v>
      </c>
      <c r="AD8" s="37"/>
      <c r="AE8" s="39" t="e">
        <f t="shared" si="12"/>
        <v>#DIV/0!</v>
      </c>
      <c r="AF8" s="50">
        <f t="shared" si="13"/>
        <v>0</v>
      </c>
      <c r="AG8" s="41" t="e">
        <f t="shared" si="14"/>
        <v>#DIV/0!</v>
      </c>
      <c r="AH8" s="51"/>
      <c r="AI8" s="49"/>
      <c r="AJ8" s="37"/>
      <c r="AK8" s="38" t="e">
        <f t="shared" si="15"/>
        <v>#DIV/0!</v>
      </c>
      <c r="AL8" s="37"/>
      <c r="AM8" s="39" t="e">
        <f t="shared" si="16"/>
        <v>#DIV/0!</v>
      </c>
      <c r="AN8" s="50">
        <f t="shared" si="28"/>
        <v>0</v>
      </c>
      <c r="AO8" s="52" t="str">
        <f t="shared" si="17"/>
        <v/>
      </c>
      <c r="AP8" s="53"/>
      <c r="AQ8" s="49">
        <v>454</v>
      </c>
      <c r="AR8" s="37">
        <v>1392700</v>
      </c>
      <c r="AS8" s="38">
        <f t="shared" si="18"/>
        <v>3067.6211453744495</v>
      </c>
      <c r="AT8" s="37">
        <v>693000</v>
      </c>
      <c r="AU8" s="39">
        <f t="shared" si="19"/>
        <v>1526.431718061674</v>
      </c>
      <c r="AV8" s="39">
        <v>60390</v>
      </c>
      <c r="AW8" s="39"/>
      <c r="AX8" s="54">
        <f t="shared" ref="AX8:AX35" si="32">AR8+AT8+AV8+AW8-BP8</f>
        <v>2146090</v>
      </c>
      <c r="AY8" s="52">
        <f t="shared" si="20"/>
        <v>4727.070484581498</v>
      </c>
      <c r="AZ8" s="67">
        <f t="shared" si="21"/>
        <v>43</v>
      </c>
      <c r="BA8" s="44">
        <f t="shared" si="22"/>
        <v>1694870</v>
      </c>
      <c r="BB8" s="44">
        <f t="shared" si="23"/>
        <v>836890</v>
      </c>
      <c r="BC8" s="56">
        <f t="shared" si="29"/>
        <v>2592150</v>
      </c>
      <c r="BD8" s="57">
        <f t="shared" si="31"/>
        <v>4400</v>
      </c>
      <c r="BE8" s="58">
        <v>43</v>
      </c>
      <c r="BF8" s="59">
        <v>302170</v>
      </c>
      <c r="BG8" s="59">
        <v>143890</v>
      </c>
      <c r="BH8" s="60">
        <v>1100</v>
      </c>
      <c r="BI8" s="60">
        <v>3300</v>
      </c>
      <c r="BJ8" s="60"/>
      <c r="BK8" s="60"/>
      <c r="BL8" s="61">
        <f>SUM(BF8:BI8)</f>
        <v>450460</v>
      </c>
      <c r="BM8" s="32">
        <v>4</v>
      </c>
      <c r="BN8" s="62">
        <f t="shared" si="24"/>
        <v>450460</v>
      </c>
      <c r="BO8" s="68"/>
      <c r="BP8" s="68"/>
    </row>
    <row r="9" spans="1:68" ht="20" customHeight="1">
      <c r="B9" s="63">
        <f t="shared" si="25"/>
        <v>45874</v>
      </c>
      <c r="C9" s="64"/>
      <c r="D9" s="35"/>
      <c r="E9" s="36">
        <v>29</v>
      </c>
      <c r="F9" s="37">
        <v>143220</v>
      </c>
      <c r="G9" s="38">
        <f t="shared" si="0"/>
        <v>4489.6551724137935</v>
      </c>
      <c r="H9" s="37">
        <v>34270</v>
      </c>
      <c r="I9" s="39">
        <f t="shared" si="26"/>
        <v>1074.2758620689656</v>
      </c>
      <c r="J9" s="40">
        <f t="shared" si="1"/>
        <v>177490</v>
      </c>
      <c r="K9" s="41">
        <f t="shared" si="2"/>
        <v>6120.3448275862065</v>
      </c>
      <c r="L9" s="42"/>
      <c r="M9" s="43">
        <f t="shared" si="3"/>
        <v>13</v>
      </c>
      <c r="N9" s="44">
        <f t="shared" si="3"/>
        <v>123310</v>
      </c>
      <c r="O9" s="38">
        <f t="shared" si="4"/>
        <v>8623.0769230769238</v>
      </c>
      <c r="P9" s="44">
        <f t="shared" si="5"/>
        <v>21270</v>
      </c>
      <c r="Q9" s="39">
        <f>ROUNDDOWN(P9/1.1,0)/M9</f>
        <v>1487.3846153846155</v>
      </c>
      <c r="R9" s="45">
        <f t="shared" si="7"/>
        <v>144580</v>
      </c>
      <c r="S9" s="41">
        <f t="shared" si="8"/>
        <v>11121.538461538461</v>
      </c>
      <c r="T9" s="65">
        <f t="shared" si="9"/>
        <v>42</v>
      </c>
      <c r="U9" s="44">
        <f t="shared" si="9"/>
        <v>266530</v>
      </c>
      <c r="V9" s="44">
        <f t="shared" si="10"/>
        <v>55540</v>
      </c>
      <c r="W9" s="47">
        <f t="shared" si="27"/>
        <v>322070</v>
      </c>
      <c r="X9" s="66"/>
      <c r="Y9" s="48"/>
      <c r="Z9" s="49">
        <v>3</v>
      </c>
      <c r="AA9" s="49"/>
      <c r="AB9" s="37">
        <v>7500</v>
      </c>
      <c r="AC9" s="38">
        <f t="shared" si="11"/>
        <v>2500</v>
      </c>
      <c r="AD9" s="37">
        <v>750</v>
      </c>
      <c r="AE9" s="39">
        <f t="shared" si="12"/>
        <v>250</v>
      </c>
      <c r="AF9" s="50">
        <f t="shared" si="13"/>
        <v>8250</v>
      </c>
      <c r="AG9" s="41">
        <f t="shared" si="14"/>
        <v>2750</v>
      </c>
      <c r="AH9" s="51"/>
      <c r="AI9" s="49">
        <v>12</v>
      </c>
      <c r="AJ9" s="37">
        <v>46980</v>
      </c>
      <c r="AK9" s="38">
        <f t="shared" si="15"/>
        <v>3915</v>
      </c>
      <c r="AL9" s="37">
        <v>15660</v>
      </c>
      <c r="AM9" s="39">
        <f t="shared" si="16"/>
        <v>1305</v>
      </c>
      <c r="AN9" s="50">
        <f t="shared" si="28"/>
        <v>62640</v>
      </c>
      <c r="AO9" s="52">
        <f t="shared" si="17"/>
        <v>5220</v>
      </c>
      <c r="AP9" s="53"/>
      <c r="AQ9" s="49">
        <v>428</v>
      </c>
      <c r="AR9" s="37">
        <v>1269900</v>
      </c>
      <c r="AS9" s="38">
        <f t="shared" si="18"/>
        <v>2967.0560747663553</v>
      </c>
      <c r="AT9" s="37">
        <v>644750</v>
      </c>
      <c r="AU9" s="39">
        <f t="shared" si="19"/>
        <v>1506.4252336448599</v>
      </c>
      <c r="AV9" s="39">
        <v>39600</v>
      </c>
      <c r="AW9" s="39"/>
      <c r="AX9" s="54">
        <f t="shared" si="32"/>
        <v>1954250</v>
      </c>
      <c r="AY9" s="52">
        <f>IF(AQ9="","",AX9/AQ9)</f>
        <v>4566.0046728971965</v>
      </c>
      <c r="AZ9" s="67">
        <f t="shared" si="21"/>
        <v>42</v>
      </c>
      <c r="BA9" s="44">
        <f t="shared" si="22"/>
        <v>1590910</v>
      </c>
      <c r="BB9" s="44">
        <f t="shared" si="23"/>
        <v>716700</v>
      </c>
      <c r="BC9" s="56">
        <f t="shared" si="29"/>
        <v>2347210</v>
      </c>
      <c r="BD9" s="57">
        <f t="shared" si="31"/>
        <v>10450</v>
      </c>
      <c r="BE9" s="58">
        <v>42</v>
      </c>
      <c r="BF9" s="59">
        <v>266530</v>
      </c>
      <c r="BG9" s="59">
        <v>55540</v>
      </c>
      <c r="BH9" s="60">
        <v>10450</v>
      </c>
      <c r="BI9" s="60"/>
      <c r="BJ9" s="60">
        <v>5000</v>
      </c>
      <c r="BK9" s="60"/>
      <c r="BL9" s="61">
        <f t="shared" si="30"/>
        <v>332520</v>
      </c>
      <c r="BM9" s="32">
        <v>5</v>
      </c>
      <c r="BN9" s="62">
        <f t="shared" si="24"/>
        <v>332520</v>
      </c>
    </row>
    <row r="10" spans="1:68" ht="19.5" customHeight="1">
      <c r="B10" s="63">
        <f t="shared" si="25"/>
        <v>45875</v>
      </c>
      <c r="C10" s="64"/>
      <c r="D10" s="35"/>
      <c r="E10" s="36">
        <v>26</v>
      </c>
      <c r="F10" s="37">
        <f>29700+65780</f>
        <v>95480</v>
      </c>
      <c r="G10" s="38">
        <f t="shared" si="0"/>
        <v>3338.4615384615386</v>
      </c>
      <c r="H10" s="37">
        <f>13700+10680</f>
        <v>24380</v>
      </c>
      <c r="I10" s="39">
        <f t="shared" si="26"/>
        <v>852.42307692307691</v>
      </c>
      <c r="J10" s="40">
        <f t="shared" si="1"/>
        <v>119860</v>
      </c>
      <c r="K10" s="41">
        <f t="shared" si="2"/>
        <v>4610</v>
      </c>
      <c r="L10" s="42"/>
      <c r="M10" s="43">
        <f t="shared" si="3"/>
        <v>21</v>
      </c>
      <c r="N10" s="44">
        <f t="shared" si="3"/>
        <v>161920</v>
      </c>
      <c r="O10" s="38">
        <f t="shared" si="4"/>
        <v>7009.5238095238092</v>
      </c>
      <c r="P10" s="44">
        <f t="shared" si="5"/>
        <v>44930</v>
      </c>
      <c r="Q10" s="39">
        <f t="shared" si="6"/>
        <v>1945</v>
      </c>
      <c r="R10" s="45">
        <f t="shared" si="7"/>
        <v>206850</v>
      </c>
      <c r="S10" s="41">
        <f t="shared" si="8"/>
        <v>9850</v>
      </c>
      <c r="T10" s="65">
        <f t="shared" si="9"/>
        <v>47</v>
      </c>
      <c r="U10" s="44">
        <f t="shared" si="9"/>
        <v>257400</v>
      </c>
      <c r="V10" s="44">
        <f t="shared" si="10"/>
        <v>69310</v>
      </c>
      <c r="W10" s="47">
        <f t="shared" si="27"/>
        <v>326710</v>
      </c>
      <c r="X10" s="66"/>
      <c r="Y10" s="48"/>
      <c r="Z10" s="49">
        <v>0</v>
      </c>
      <c r="AA10" s="49"/>
      <c r="AB10" s="37"/>
      <c r="AC10" s="38" t="e">
        <f t="shared" si="11"/>
        <v>#DIV/0!</v>
      </c>
      <c r="AD10" s="37"/>
      <c r="AE10" s="39" t="e">
        <f t="shared" si="12"/>
        <v>#DIV/0!</v>
      </c>
      <c r="AF10" s="50">
        <f t="shared" si="13"/>
        <v>0</v>
      </c>
      <c r="AG10" s="41" t="e">
        <f t="shared" si="14"/>
        <v>#DIV/0!</v>
      </c>
      <c r="AH10" s="51"/>
      <c r="AI10" s="49"/>
      <c r="AJ10" s="37"/>
      <c r="AK10" s="38" t="e">
        <f t="shared" si="15"/>
        <v>#DIV/0!</v>
      </c>
      <c r="AL10" s="37"/>
      <c r="AM10" s="39" t="e">
        <f t="shared" si="16"/>
        <v>#DIV/0!</v>
      </c>
      <c r="AN10" s="50">
        <f t="shared" si="28"/>
        <v>0</v>
      </c>
      <c r="AO10" s="52" t="str">
        <f t="shared" si="17"/>
        <v/>
      </c>
      <c r="AP10" s="53"/>
      <c r="AQ10" s="49">
        <v>515</v>
      </c>
      <c r="AR10" s="37">
        <v>1577000</v>
      </c>
      <c r="AS10" s="38">
        <f t="shared" si="18"/>
        <v>3062.1359223300969</v>
      </c>
      <c r="AT10" s="37">
        <v>802150</v>
      </c>
      <c r="AU10" s="39">
        <f t="shared" si="19"/>
        <v>1557.5728155339805</v>
      </c>
      <c r="AV10" s="39">
        <v>55220</v>
      </c>
      <c r="AW10" s="39"/>
      <c r="AX10" s="54">
        <f t="shared" si="32"/>
        <v>2434370</v>
      </c>
      <c r="AY10" s="52">
        <f t="shared" si="20"/>
        <v>4726.9320388349515</v>
      </c>
      <c r="AZ10" s="67">
        <f t="shared" si="21"/>
        <v>47</v>
      </c>
      <c r="BA10" s="44">
        <f t="shared" si="22"/>
        <v>1834400</v>
      </c>
      <c r="BB10" s="44">
        <f t="shared" si="23"/>
        <v>871460</v>
      </c>
      <c r="BC10" s="56">
        <f t="shared" si="29"/>
        <v>2761080</v>
      </c>
      <c r="BD10" s="57">
        <f t="shared" si="31"/>
        <v>16500</v>
      </c>
      <c r="BE10" s="58">
        <v>47</v>
      </c>
      <c r="BF10" s="59">
        <v>257400</v>
      </c>
      <c r="BG10" s="59">
        <v>69310</v>
      </c>
      <c r="BH10" s="60">
        <v>16500</v>
      </c>
      <c r="BI10" s="60"/>
      <c r="BJ10" s="60"/>
      <c r="BK10" s="60"/>
      <c r="BL10" s="61">
        <f t="shared" si="30"/>
        <v>343210</v>
      </c>
      <c r="BM10" s="32">
        <v>6</v>
      </c>
      <c r="BN10" s="62">
        <f t="shared" si="24"/>
        <v>343210</v>
      </c>
    </row>
    <row r="11" spans="1:68" ht="20" customHeight="1">
      <c r="B11" s="63">
        <f t="shared" si="25"/>
        <v>45876</v>
      </c>
      <c r="C11" s="64"/>
      <c r="D11" s="35"/>
      <c r="E11" s="36">
        <v>25</v>
      </c>
      <c r="F11" s="37">
        <v>101200</v>
      </c>
      <c r="G11" s="38">
        <f t="shared" si="0"/>
        <v>3680</v>
      </c>
      <c r="H11" s="37">
        <v>7920</v>
      </c>
      <c r="I11" s="39">
        <f t="shared" si="26"/>
        <v>288</v>
      </c>
      <c r="J11" s="40">
        <f t="shared" si="1"/>
        <v>109120</v>
      </c>
      <c r="K11" s="41">
        <f t="shared" si="2"/>
        <v>4364.8</v>
      </c>
      <c r="L11" s="42"/>
      <c r="M11" s="43">
        <f t="shared" si="3"/>
        <v>18</v>
      </c>
      <c r="N11" s="44">
        <f t="shared" si="3"/>
        <v>149440</v>
      </c>
      <c r="O11" s="38">
        <f t="shared" si="4"/>
        <v>7547.4444444444443</v>
      </c>
      <c r="P11" s="44">
        <f t="shared" si="5"/>
        <v>56440</v>
      </c>
      <c r="Q11" s="39">
        <f t="shared" si="6"/>
        <v>2850.5</v>
      </c>
      <c r="R11" s="45">
        <f t="shared" si="7"/>
        <v>205880</v>
      </c>
      <c r="S11" s="41">
        <f t="shared" si="8"/>
        <v>11437.777777777777</v>
      </c>
      <c r="T11" s="65">
        <f t="shared" si="9"/>
        <v>43</v>
      </c>
      <c r="U11" s="44">
        <f t="shared" si="9"/>
        <v>250640</v>
      </c>
      <c r="V11" s="44">
        <f t="shared" si="10"/>
        <v>64360</v>
      </c>
      <c r="W11" s="47">
        <f t="shared" si="27"/>
        <v>308348</v>
      </c>
      <c r="X11" s="66"/>
      <c r="Y11" s="48"/>
      <c r="Z11" s="49">
        <v>5</v>
      </c>
      <c r="AA11" s="49"/>
      <c r="AB11" s="37">
        <v>12500</v>
      </c>
      <c r="AC11" s="38">
        <f t="shared" si="11"/>
        <v>2500</v>
      </c>
      <c r="AD11" s="37">
        <v>1250</v>
      </c>
      <c r="AE11" s="39">
        <f t="shared" si="12"/>
        <v>250</v>
      </c>
      <c r="AF11" s="50">
        <f t="shared" si="13"/>
        <v>13750</v>
      </c>
      <c r="AG11" s="41">
        <f t="shared" si="14"/>
        <v>2750</v>
      </c>
      <c r="AH11" s="51"/>
      <c r="AI11" s="49"/>
      <c r="AJ11" s="37"/>
      <c r="AK11" s="38" t="e">
        <f t="shared" si="15"/>
        <v>#DIV/0!</v>
      </c>
      <c r="AL11" s="37"/>
      <c r="AM11" s="39" t="e">
        <f t="shared" si="16"/>
        <v>#DIV/0!</v>
      </c>
      <c r="AN11" s="50">
        <f t="shared" si="28"/>
        <v>0</v>
      </c>
      <c r="AO11" s="52" t="str">
        <f t="shared" si="17"/>
        <v/>
      </c>
      <c r="AP11" s="53"/>
      <c r="AQ11" s="49">
        <v>373</v>
      </c>
      <c r="AR11" s="37">
        <v>1136350</v>
      </c>
      <c r="AS11" s="38">
        <f t="shared" si="18"/>
        <v>3046.5147453083109</v>
      </c>
      <c r="AT11" s="37">
        <v>590750</v>
      </c>
      <c r="AU11" s="39">
        <f t="shared" si="19"/>
        <v>1583.7801608579089</v>
      </c>
      <c r="AV11" s="39">
        <v>44660</v>
      </c>
      <c r="AW11" s="39"/>
      <c r="AX11" s="54">
        <f t="shared" si="32"/>
        <v>1766560</v>
      </c>
      <c r="AY11" s="52">
        <f t="shared" si="20"/>
        <v>4736.0857908847183</v>
      </c>
      <c r="AZ11" s="67">
        <f t="shared" si="21"/>
        <v>43</v>
      </c>
      <c r="BA11" s="44">
        <f t="shared" si="22"/>
        <v>1399490</v>
      </c>
      <c r="BB11" s="44">
        <f t="shared" si="23"/>
        <v>656360</v>
      </c>
      <c r="BC11" s="56">
        <f t="shared" si="29"/>
        <v>2088658</v>
      </c>
      <c r="BD11" s="57">
        <f>BH11+BI11</f>
        <v>9900</v>
      </c>
      <c r="BE11" s="58">
        <v>43</v>
      </c>
      <c r="BF11" s="59">
        <v>250640</v>
      </c>
      <c r="BG11" s="59">
        <v>64360</v>
      </c>
      <c r="BH11" s="60">
        <v>9900</v>
      </c>
      <c r="BI11" s="60"/>
      <c r="BJ11" s="60"/>
      <c r="BK11" s="60"/>
      <c r="BL11" s="61">
        <f t="shared" si="30"/>
        <v>324900</v>
      </c>
      <c r="BM11" s="32">
        <v>7</v>
      </c>
      <c r="BN11" s="62">
        <f t="shared" si="24"/>
        <v>324900</v>
      </c>
      <c r="BO11" s="32">
        <v>6652</v>
      </c>
      <c r="BP11" s="32">
        <v>5200</v>
      </c>
    </row>
    <row r="12" spans="1:68" ht="20" customHeight="1">
      <c r="B12" s="63">
        <f t="shared" si="25"/>
        <v>45877</v>
      </c>
      <c r="C12" s="69"/>
      <c r="D12" s="35"/>
      <c r="E12" s="36">
        <v>24</v>
      </c>
      <c r="F12" s="37">
        <v>98560</v>
      </c>
      <c r="G12" s="38">
        <f t="shared" si="0"/>
        <v>3733.3333333333335</v>
      </c>
      <c r="H12" s="37">
        <v>17080</v>
      </c>
      <c r="I12" s="39">
        <f t="shared" si="26"/>
        <v>646.95833333333337</v>
      </c>
      <c r="J12" s="40">
        <f t="shared" si="1"/>
        <v>115640</v>
      </c>
      <c r="K12" s="41">
        <f t="shared" si="2"/>
        <v>4818.333333333333</v>
      </c>
      <c r="L12" s="42"/>
      <c r="M12" s="43">
        <f t="shared" si="3"/>
        <v>22</v>
      </c>
      <c r="N12" s="44">
        <f t="shared" si="3"/>
        <v>193930</v>
      </c>
      <c r="O12" s="38">
        <f t="shared" si="4"/>
        <v>8013.636363636364</v>
      </c>
      <c r="P12" s="44">
        <f t="shared" si="5"/>
        <v>73030</v>
      </c>
      <c r="Q12" s="70">
        <f t="shared" si="6"/>
        <v>3017.7272727272725</v>
      </c>
      <c r="R12" s="45">
        <f t="shared" si="7"/>
        <v>266960</v>
      </c>
      <c r="S12" s="41">
        <f t="shared" si="8"/>
        <v>12134.545454545454</v>
      </c>
      <c r="T12" s="65">
        <f t="shared" si="9"/>
        <v>46</v>
      </c>
      <c r="U12" s="44">
        <f t="shared" si="9"/>
        <v>292490</v>
      </c>
      <c r="V12" s="44">
        <f t="shared" si="10"/>
        <v>90110</v>
      </c>
      <c r="W12" s="47">
        <f t="shared" si="27"/>
        <v>382230</v>
      </c>
      <c r="X12" s="66"/>
      <c r="Y12" s="48"/>
      <c r="Z12" s="49">
        <v>2</v>
      </c>
      <c r="AA12" s="49"/>
      <c r="AB12" s="37">
        <v>5000</v>
      </c>
      <c r="AC12" s="38">
        <f t="shared" si="11"/>
        <v>2500</v>
      </c>
      <c r="AD12" s="37">
        <v>500</v>
      </c>
      <c r="AE12" s="39">
        <f t="shared" si="12"/>
        <v>250</v>
      </c>
      <c r="AF12" s="50">
        <f t="shared" si="13"/>
        <v>5500</v>
      </c>
      <c r="AG12" s="41">
        <f t="shared" si="14"/>
        <v>2750</v>
      </c>
      <c r="AH12" s="51"/>
      <c r="AI12" s="49"/>
      <c r="AJ12" s="37"/>
      <c r="AK12" s="38" t="e">
        <f t="shared" si="15"/>
        <v>#DIV/0!</v>
      </c>
      <c r="AL12" s="37"/>
      <c r="AM12" s="39" t="e">
        <f t="shared" si="16"/>
        <v>#DIV/0!</v>
      </c>
      <c r="AN12" s="50">
        <f t="shared" si="28"/>
        <v>0</v>
      </c>
      <c r="AO12" s="52" t="str">
        <f t="shared" si="17"/>
        <v/>
      </c>
      <c r="AP12" s="53"/>
      <c r="AQ12" s="49">
        <v>542</v>
      </c>
      <c r="AR12" s="37">
        <v>1917500</v>
      </c>
      <c r="AS12" s="38">
        <f t="shared" si="18"/>
        <v>3537.8228782287824</v>
      </c>
      <c r="AT12" s="37">
        <v>963100</v>
      </c>
      <c r="AU12" s="39">
        <f t="shared" si="19"/>
        <v>1776.9372693726937</v>
      </c>
      <c r="AV12" s="39">
        <v>78210</v>
      </c>
      <c r="AW12" s="39"/>
      <c r="AX12" s="54">
        <f t="shared" si="32"/>
        <v>2958810</v>
      </c>
      <c r="AY12" s="52">
        <f t="shared" si="20"/>
        <v>5459.0590405904059</v>
      </c>
      <c r="AZ12" s="67">
        <f t="shared" si="21"/>
        <v>46</v>
      </c>
      <c r="BA12" s="44">
        <f t="shared" si="22"/>
        <v>2214990</v>
      </c>
      <c r="BB12" s="44">
        <f t="shared" si="23"/>
        <v>1053710</v>
      </c>
      <c r="BC12" s="56">
        <f t="shared" si="29"/>
        <v>3346540</v>
      </c>
      <c r="BD12" s="57">
        <f t="shared" si="31"/>
        <v>2200</v>
      </c>
      <c r="BE12" s="58">
        <v>46</v>
      </c>
      <c r="BF12" s="59">
        <v>292490</v>
      </c>
      <c r="BG12" s="59">
        <v>90110</v>
      </c>
      <c r="BH12" s="60"/>
      <c r="BI12" s="60">
        <v>2200</v>
      </c>
      <c r="BJ12" s="60">
        <v>3300</v>
      </c>
      <c r="BK12" s="60"/>
      <c r="BL12" s="61">
        <f t="shared" si="30"/>
        <v>384800</v>
      </c>
      <c r="BM12" s="32">
        <v>8</v>
      </c>
      <c r="BN12" s="62">
        <f t="shared" si="24"/>
        <v>384800</v>
      </c>
      <c r="BO12" s="32">
        <v>370</v>
      </c>
    </row>
    <row r="13" spans="1:68" ht="20" customHeight="1">
      <c r="B13" s="63">
        <f t="shared" si="25"/>
        <v>45878</v>
      </c>
      <c r="C13" s="64"/>
      <c r="D13" s="35"/>
      <c r="E13" s="36">
        <v>22</v>
      </c>
      <c r="F13" s="37">
        <v>87450</v>
      </c>
      <c r="G13" s="38">
        <f t="shared" si="0"/>
        <v>3613.6363636363635</v>
      </c>
      <c r="H13" s="37">
        <v>15670</v>
      </c>
      <c r="I13" s="39">
        <f t="shared" si="26"/>
        <v>647.5</v>
      </c>
      <c r="J13" s="40">
        <f t="shared" si="1"/>
        <v>103120</v>
      </c>
      <c r="K13" s="41">
        <f t="shared" si="2"/>
        <v>4687.272727272727</v>
      </c>
      <c r="L13" s="42"/>
      <c r="M13" s="43">
        <f t="shared" si="3"/>
        <v>25</v>
      </c>
      <c r="N13" s="44">
        <f t="shared" si="3"/>
        <v>209110</v>
      </c>
      <c r="O13" s="38">
        <f t="shared" si="4"/>
        <v>7604</v>
      </c>
      <c r="P13" s="44">
        <f t="shared" si="5"/>
        <v>62480</v>
      </c>
      <c r="Q13" s="39">
        <f t="shared" si="6"/>
        <v>2272</v>
      </c>
      <c r="R13" s="45">
        <f t="shared" si="7"/>
        <v>271590</v>
      </c>
      <c r="S13" s="41">
        <f t="shared" si="8"/>
        <v>10863.6</v>
      </c>
      <c r="T13" s="65">
        <f t="shared" si="9"/>
        <v>47</v>
      </c>
      <c r="U13" s="44">
        <f t="shared" si="9"/>
        <v>296560</v>
      </c>
      <c r="V13" s="44">
        <f t="shared" si="10"/>
        <v>78150</v>
      </c>
      <c r="W13" s="47">
        <f t="shared" si="27"/>
        <v>374710</v>
      </c>
      <c r="X13" s="66"/>
      <c r="Y13" s="48"/>
      <c r="Z13" s="49">
        <v>8</v>
      </c>
      <c r="AA13" s="49"/>
      <c r="AB13" s="37">
        <v>20000</v>
      </c>
      <c r="AC13" s="38">
        <f t="shared" si="11"/>
        <v>2500</v>
      </c>
      <c r="AD13" s="37">
        <v>2000</v>
      </c>
      <c r="AE13" s="39">
        <f t="shared" si="12"/>
        <v>250</v>
      </c>
      <c r="AF13" s="50">
        <f t="shared" si="13"/>
        <v>22000</v>
      </c>
      <c r="AG13" s="41">
        <f t="shared" si="14"/>
        <v>2750</v>
      </c>
      <c r="AH13" s="51"/>
      <c r="AI13" s="49"/>
      <c r="AJ13" s="37"/>
      <c r="AK13" s="38" t="e">
        <f t="shared" si="15"/>
        <v>#DIV/0!</v>
      </c>
      <c r="AL13" s="37"/>
      <c r="AM13" s="39" t="e">
        <f t="shared" si="16"/>
        <v>#DIV/0!</v>
      </c>
      <c r="AN13" s="50">
        <f t="shared" si="28"/>
        <v>0</v>
      </c>
      <c r="AO13" s="52" t="str">
        <f t="shared" si="17"/>
        <v/>
      </c>
      <c r="AP13" s="53"/>
      <c r="AQ13" s="49">
        <v>575</v>
      </c>
      <c r="AR13" s="37">
        <v>1850350</v>
      </c>
      <c r="AS13" s="38">
        <f t="shared" si="18"/>
        <v>3218</v>
      </c>
      <c r="AT13" s="37">
        <v>907250</v>
      </c>
      <c r="AU13" s="39">
        <f t="shared" si="19"/>
        <v>1577.8260869565217</v>
      </c>
      <c r="AV13" s="39">
        <v>69300</v>
      </c>
      <c r="AW13" s="39"/>
      <c r="AX13" s="54">
        <f t="shared" si="32"/>
        <v>2826900</v>
      </c>
      <c r="AY13" s="52">
        <f t="shared" si="20"/>
        <v>4916.347826086957</v>
      </c>
      <c r="AZ13" s="67">
        <f t="shared" si="21"/>
        <v>47</v>
      </c>
      <c r="BA13" s="44">
        <f t="shared" si="22"/>
        <v>2166910</v>
      </c>
      <c r="BB13" s="44">
        <f t="shared" si="23"/>
        <v>987400</v>
      </c>
      <c r="BC13" s="56">
        <f t="shared" si="29"/>
        <v>3223610</v>
      </c>
      <c r="BD13" s="57">
        <f t="shared" si="31"/>
        <v>4950</v>
      </c>
      <c r="BE13" s="58">
        <v>47</v>
      </c>
      <c r="BF13" s="59">
        <v>296560</v>
      </c>
      <c r="BG13" s="59">
        <v>78150</v>
      </c>
      <c r="BH13" s="60">
        <v>2200</v>
      </c>
      <c r="BI13" s="60">
        <v>2750</v>
      </c>
      <c r="BJ13" s="60"/>
      <c r="BK13" s="60"/>
      <c r="BL13" s="61">
        <f t="shared" si="30"/>
        <v>379660</v>
      </c>
      <c r="BM13" s="32">
        <v>9</v>
      </c>
      <c r="BN13" s="62">
        <f t="shared" si="24"/>
        <v>379660</v>
      </c>
    </row>
    <row r="14" spans="1:68" ht="20" customHeight="1">
      <c r="B14" s="63">
        <f t="shared" si="25"/>
        <v>45879</v>
      </c>
      <c r="C14" s="64"/>
      <c r="D14" s="35"/>
      <c r="E14" s="36">
        <v>31</v>
      </c>
      <c r="F14" s="37">
        <v>115830</v>
      </c>
      <c r="G14" s="38">
        <f t="shared" si="0"/>
        <v>3396.7741935483873</v>
      </c>
      <c r="H14" s="37">
        <v>19620</v>
      </c>
      <c r="I14" s="39">
        <f>ROUNDDOWN(H14/1.1,0)/E14</f>
        <v>575.35483870967744</v>
      </c>
      <c r="J14" s="40">
        <f t="shared" si="1"/>
        <v>135450</v>
      </c>
      <c r="K14" s="41">
        <f t="shared" si="2"/>
        <v>4369.3548387096771</v>
      </c>
      <c r="L14" s="42"/>
      <c r="M14" s="43">
        <f t="shared" si="3"/>
        <v>26</v>
      </c>
      <c r="N14" s="44">
        <f t="shared" si="3"/>
        <v>285670</v>
      </c>
      <c r="O14" s="38">
        <f t="shared" si="4"/>
        <v>9988.461538461539</v>
      </c>
      <c r="P14" s="44">
        <f t="shared" si="5"/>
        <v>66740</v>
      </c>
      <c r="Q14" s="39">
        <f t="shared" si="6"/>
        <v>2333.5384615384614</v>
      </c>
      <c r="R14" s="45">
        <f t="shared" si="7"/>
        <v>352410</v>
      </c>
      <c r="S14" s="41">
        <f t="shared" si="8"/>
        <v>13554.23076923077</v>
      </c>
      <c r="T14" s="65">
        <f t="shared" si="9"/>
        <v>57</v>
      </c>
      <c r="U14" s="44">
        <f t="shared" si="9"/>
        <v>401500</v>
      </c>
      <c r="V14" s="44">
        <f t="shared" si="10"/>
        <v>86360</v>
      </c>
      <c r="W14" s="47">
        <f t="shared" si="27"/>
        <v>487660</v>
      </c>
      <c r="X14" s="66"/>
      <c r="Y14" s="48"/>
      <c r="Z14" s="49">
        <v>4</v>
      </c>
      <c r="AA14" s="49"/>
      <c r="AB14" s="37">
        <v>10000</v>
      </c>
      <c r="AC14" s="38">
        <f t="shared" si="11"/>
        <v>2500</v>
      </c>
      <c r="AD14" s="37">
        <v>1000</v>
      </c>
      <c r="AE14" s="39">
        <f t="shared" si="12"/>
        <v>250</v>
      </c>
      <c r="AF14" s="50">
        <f t="shared" si="13"/>
        <v>11000</v>
      </c>
      <c r="AG14" s="41">
        <f t="shared" si="14"/>
        <v>2750</v>
      </c>
      <c r="AH14" s="51"/>
      <c r="AI14" s="49"/>
      <c r="AJ14" s="37"/>
      <c r="AK14" s="38" t="e">
        <f t="shared" si="15"/>
        <v>#DIV/0!</v>
      </c>
      <c r="AL14" s="37"/>
      <c r="AM14" s="39" t="e">
        <f t="shared" si="16"/>
        <v>#DIV/0!</v>
      </c>
      <c r="AN14" s="50">
        <f t="shared" si="28"/>
        <v>0</v>
      </c>
      <c r="AO14" s="52" t="str">
        <f t="shared" si="17"/>
        <v/>
      </c>
      <c r="AP14" s="53"/>
      <c r="AQ14" s="49">
        <v>675</v>
      </c>
      <c r="AR14" s="37">
        <v>2241900</v>
      </c>
      <c r="AS14" s="38">
        <f t="shared" si="18"/>
        <v>3321.3333333333335</v>
      </c>
      <c r="AT14" s="37">
        <v>1108350</v>
      </c>
      <c r="AU14" s="39">
        <f t="shared" si="19"/>
        <v>1642</v>
      </c>
      <c r="AV14" s="39">
        <v>62370</v>
      </c>
      <c r="AW14" s="39"/>
      <c r="AX14" s="54">
        <f t="shared" si="32"/>
        <v>3412620</v>
      </c>
      <c r="AY14" s="52">
        <f t="shared" si="20"/>
        <v>5055.7333333333336</v>
      </c>
      <c r="AZ14" s="67">
        <f t="shared" si="21"/>
        <v>57</v>
      </c>
      <c r="BA14" s="44">
        <f t="shared" si="22"/>
        <v>2653400</v>
      </c>
      <c r="BB14" s="44">
        <f t="shared" si="23"/>
        <v>1195710</v>
      </c>
      <c r="BC14" s="56">
        <f t="shared" si="29"/>
        <v>3911280</v>
      </c>
      <c r="BD14" s="57">
        <f t="shared" si="31"/>
        <v>12650</v>
      </c>
      <c r="BE14" s="58">
        <v>57</v>
      </c>
      <c r="BF14" s="59">
        <v>401500</v>
      </c>
      <c r="BG14" s="59">
        <v>86360</v>
      </c>
      <c r="BH14" s="60">
        <v>12650</v>
      </c>
      <c r="BI14" s="60"/>
      <c r="BJ14" s="60">
        <v>3300</v>
      </c>
      <c r="BK14" s="60"/>
      <c r="BL14" s="61">
        <f t="shared" si="30"/>
        <v>500510</v>
      </c>
      <c r="BM14" s="32">
        <v>10</v>
      </c>
      <c r="BN14" s="62">
        <f t="shared" si="24"/>
        <v>500510</v>
      </c>
      <c r="BO14" s="32">
        <v>200</v>
      </c>
    </row>
    <row r="15" spans="1:68" ht="20" customHeight="1">
      <c r="B15" s="63">
        <f t="shared" si="25"/>
        <v>45880</v>
      </c>
      <c r="C15" s="69"/>
      <c r="D15" s="35"/>
      <c r="E15" s="36">
        <v>23</v>
      </c>
      <c r="F15" s="37">
        <v>96800</v>
      </c>
      <c r="G15" s="38">
        <f t="shared" si="0"/>
        <v>3826.086956521739</v>
      </c>
      <c r="H15" s="37">
        <v>15330</v>
      </c>
      <c r="I15" s="39">
        <f t="shared" si="26"/>
        <v>605.91304347826087</v>
      </c>
      <c r="J15" s="40">
        <f t="shared" si="1"/>
        <v>112130</v>
      </c>
      <c r="K15" s="41">
        <f t="shared" si="2"/>
        <v>4875.217391304348</v>
      </c>
      <c r="L15" s="42"/>
      <c r="M15" s="43">
        <f t="shared" si="3"/>
        <v>26</v>
      </c>
      <c r="N15" s="44">
        <f t="shared" si="3"/>
        <v>290950</v>
      </c>
      <c r="O15" s="38">
        <f t="shared" si="4"/>
        <v>10173.076923076924</v>
      </c>
      <c r="P15" s="44">
        <f t="shared" si="5"/>
        <v>55400</v>
      </c>
      <c r="Q15" s="39">
        <f t="shared" si="6"/>
        <v>1937.0384615384614</v>
      </c>
      <c r="R15" s="45">
        <f t="shared" si="7"/>
        <v>346350</v>
      </c>
      <c r="S15" s="41">
        <f t="shared" si="8"/>
        <v>13321.153846153846</v>
      </c>
      <c r="T15" s="65">
        <f t="shared" si="9"/>
        <v>49</v>
      </c>
      <c r="U15" s="44">
        <f t="shared" si="9"/>
        <v>387750</v>
      </c>
      <c r="V15" s="44">
        <f t="shared" si="10"/>
        <v>70730</v>
      </c>
      <c r="W15" s="47">
        <f t="shared" si="27"/>
        <v>458480</v>
      </c>
      <c r="X15" s="66"/>
      <c r="Y15" s="48"/>
      <c r="Z15" s="49">
        <v>0</v>
      </c>
      <c r="AA15" s="49"/>
      <c r="AB15" s="37"/>
      <c r="AC15" s="38" t="e">
        <f t="shared" si="11"/>
        <v>#DIV/0!</v>
      </c>
      <c r="AD15" s="37"/>
      <c r="AE15" s="39" t="e">
        <f t="shared" si="12"/>
        <v>#DIV/0!</v>
      </c>
      <c r="AF15" s="50">
        <f t="shared" si="13"/>
        <v>0</v>
      </c>
      <c r="AG15" s="41" t="e">
        <f t="shared" si="14"/>
        <v>#DIV/0!</v>
      </c>
      <c r="AH15" s="51"/>
      <c r="AI15" s="49"/>
      <c r="AJ15" s="37"/>
      <c r="AK15" s="38" t="e">
        <f t="shared" si="15"/>
        <v>#DIV/0!</v>
      </c>
      <c r="AL15" s="37"/>
      <c r="AM15" s="39" t="e">
        <f t="shared" si="16"/>
        <v>#DIV/0!</v>
      </c>
      <c r="AN15" s="50">
        <f t="shared" si="28"/>
        <v>0</v>
      </c>
      <c r="AO15" s="52" t="str">
        <f t="shared" si="17"/>
        <v/>
      </c>
      <c r="AP15" s="53"/>
      <c r="AQ15" s="49">
        <v>548</v>
      </c>
      <c r="AR15" s="37">
        <v>1485650</v>
      </c>
      <c r="AS15" s="38">
        <f t="shared" si="18"/>
        <v>2711.0401459854015</v>
      </c>
      <c r="AT15" s="37">
        <v>820600</v>
      </c>
      <c r="AU15" s="39">
        <f t="shared" si="19"/>
        <v>1497.4452554744526</v>
      </c>
      <c r="AV15" s="39">
        <v>28380</v>
      </c>
      <c r="AW15" s="39"/>
      <c r="AX15" s="54">
        <f t="shared" si="32"/>
        <v>2334630</v>
      </c>
      <c r="AY15" s="52">
        <f t="shared" si="20"/>
        <v>4260.2737226277368</v>
      </c>
      <c r="AZ15" s="67">
        <f t="shared" si="21"/>
        <v>49</v>
      </c>
      <c r="BA15" s="44">
        <f t="shared" si="22"/>
        <v>1873400</v>
      </c>
      <c r="BB15" s="44">
        <f t="shared" si="23"/>
        <v>891330</v>
      </c>
      <c r="BC15" s="56">
        <f t="shared" si="29"/>
        <v>2793110</v>
      </c>
      <c r="BD15" s="57">
        <f t="shared" si="31"/>
        <v>9900</v>
      </c>
      <c r="BE15" s="58">
        <v>49</v>
      </c>
      <c r="BF15" s="59">
        <v>387750</v>
      </c>
      <c r="BG15" s="59">
        <v>70730</v>
      </c>
      <c r="BH15" s="60">
        <v>7700</v>
      </c>
      <c r="BI15" s="60">
        <v>2200</v>
      </c>
      <c r="BJ15" s="60"/>
      <c r="BK15" s="60"/>
      <c r="BL15" s="61">
        <f t="shared" si="30"/>
        <v>468380</v>
      </c>
      <c r="BM15" s="32">
        <v>11</v>
      </c>
      <c r="BN15" s="62">
        <f t="shared" si="24"/>
        <v>468380</v>
      </c>
    </row>
    <row r="16" spans="1:68" ht="20" customHeight="1">
      <c r="B16" s="63">
        <f t="shared" si="25"/>
        <v>45881</v>
      </c>
      <c r="C16" s="64"/>
      <c r="D16" s="35"/>
      <c r="E16" s="36">
        <v>28</v>
      </c>
      <c r="F16" s="37">
        <v>118140</v>
      </c>
      <c r="G16" s="38">
        <f t="shared" si="0"/>
        <v>3835.7142857142858</v>
      </c>
      <c r="H16" s="37">
        <v>22620</v>
      </c>
      <c r="I16" s="39">
        <f t="shared" si="26"/>
        <v>734.39285714285711</v>
      </c>
      <c r="J16" s="40">
        <f t="shared" si="1"/>
        <v>140760</v>
      </c>
      <c r="K16" s="41">
        <f t="shared" si="2"/>
        <v>5027.1428571428569</v>
      </c>
      <c r="L16" s="42"/>
      <c r="M16" s="43">
        <f t="shared" si="3"/>
        <v>28</v>
      </c>
      <c r="N16" s="44">
        <f t="shared" si="3"/>
        <v>268510</v>
      </c>
      <c r="O16" s="38">
        <f t="shared" si="4"/>
        <v>8717.8571428571431</v>
      </c>
      <c r="P16" s="44">
        <f t="shared" si="5"/>
        <v>61970</v>
      </c>
      <c r="Q16" s="39">
        <f t="shared" si="6"/>
        <v>2012</v>
      </c>
      <c r="R16" s="45">
        <f t="shared" si="7"/>
        <v>330480</v>
      </c>
      <c r="S16" s="41">
        <f t="shared" si="8"/>
        <v>11802.857142857143</v>
      </c>
      <c r="T16" s="65">
        <f t="shared" si="9"/>
        <v>56</v>
      </c>
      <c r="U16" s="44">
        <f t="shared" si="9"/>
        <v>386650</v>
      </c>
      <c r="V16" s="44">
        <f t="shared" si="10"/>
        <v>84590</v>
      </c>
      <c r="W16" s="47">
        <f t="shared" si="27"/>
        <v>467676</v>
      </c>
      <c r="X16" s="66"/>
      <c r="Y16" s="48"/>
      <c r="Z16" s="49">
        <v>2</v>
      </c>
      <c r="AA16" s="49"/>
      <c r="AB16" s="37">
        <v>5000</v>
      </c>
      <c r="AC16" s="38">
        <f t="shared" si="11"/>
        <v>2500</v>
      </c>
      <c r="AD16" s="37">
        <v>500</v>
      </c>
      <c r="AE16" s="39">
        <f t="shared" si="12"/>
        <v>250</v>
      </c>
      <c r="AF16" s="50">
        <f t="shared" si="13"/>
        <v>5500</v>
      </c>
      <c r="AG16" s="41">
        <f t="shared" si="14"/>
        <v>2750</v>
      </c>
      <c r="AH16" s="51"/>
      <c r="AI16" s="49"/>
      <c r="AJ16" s="37"/>
      <c r="AK16" s="38" t="e">
        <f t="shared" si="15"/>
        <v>#DIV/0!</v>
      </c>
      <c r="AL16" s="37"/>
      <c r="AM16" s="39" t="e">
        <f t="shared" si="16"/>
        <v>#DIV/0!</v>
      </c>
      <c r="AN16" s="50">
        <f t="shared" si="28"/>
        <v>0</v>
      </c>
      <c r="AO16" s="52" t="str">
        <f t="shared" si="17"/>
        <v/>
      </c>
      <c r="AP16" s="53"/>
      <c r="AQ16" s="49">
        <v>798</v>
      </c>
      <c r="AR16" s="37">
        <v>1569440</v>
      </c>
      <c r="AS16" s="38">
        <f t="shared" si="18"/>
        <v>1966.7167919799499</v>
      </c>
      <c r="AT16" s="37">
        <v>803950</v>
      </c>
      <c r="AU16" s="39">
        <f t="shared" si="19"/>
        <v>1007.4561403508771</v>
      </c>
      <c r="AV16" s="39">
        <v>40700</v>
      </c>
      <c r="AW16" s="39">
        <v>5940</v>
      </c>
      <c r="AX16" s="54">
        <f t="shared" si="32"/>
        <v>2420030</v>
      </c>
      <c r="AY16" s="52">
        <f t="shared" si="20"/>
        <v>3032.6190476190477</v>
      </c>
      <c r="AZ16" s="67">
        <f t="shared" si="21"/>
        <v>56</v>
      </c>
      <c r="BA16" s="44">
        <f t="shared" si="22"/>
        <v>1961090</v>
      </c>
      <c r="BB16" s="44">
        <f t="shared" si="23"/>
        <v>889040</v>
      </c>
      <c r="BC16" s="56">
        <f t="shared" si="29"/>
        <v>2893206</v>
      </c>
      <c r="BD16" s="57">
        <f t="shared" si="31"/>
        <v>14300</v>
      </c>
      <c r="BE16" s="58">
        <v>56</v>
      </c>
      <c r="BF16" s="59">
        <v>386650</v>
      </c>
      <c r="BG16" s="59">
        <v>84590</v>
      </c>
      <c r="BH16" s="60">
        <v>12100</v>
      </c>
      <c r="BI16" s="60">
        <v>2200</v>
      </c>
      <c r="BJ16" s="60"/>
      <c r="BK16" s="60"/>
      <c r="BL16" s="61">
        <f t="shared" si="30"/>
        <v>485540</v>
      </c>
      <c r="BM16" s="32">
        <v>12</v>
      </c>
      <c r="BN16" s="62">
        <f t="shared" si="24"/>
        <v>485540</v>
      </c>
      <c r="BO16" s="32">
        <v>3564</v>
      </c>
    </row>
    <row r="17" spans="2:68" ht="20" customHeight="1">
      <c r="B17" s="63">
        <f t="shared" si="25"/>
        <v>45882</v>
      </c>
      <c r="C17" s="69"/>
      <c r="D17" s="35"/>
      <c r="E17" s="36">
        <v>21</v>
      </c>
      <c r="F17" s="37">
        <v>87340</v>
      </c>
      <c r="G17" s="38">
        <f t="shared" si="0"/>
        <v>3780.9523809523807</v>
      </c>
      <c r="H17" s="37">
        <v>8640</v>
      </c>
      <c r="I17" s="39">
        <f t="shared" si="26"/>
        <v>374</v>
      </c>
      <c r="J17" s="40">
        <f t="shared" si="1"/>
        <v>95980</v>
      </c>
      <c r="K17" s="41">
        <f t="shared" si="2"/>
        <v>4570.4761904761908</v>
      </c>
      <c r="L17" s="42"/>
      <c r="M17" s="43">
        <f t="shared" si="3"/>
        <v>13</v>
      </c>
      <c r="N17" s="44">
        <f t="shared" si="3"/>
        <v>104940</v>
      </c>
      <c r="O17" s="38">
        <f t="shared" si="4"/>
        <v>7338.4615384615381</v>
      </c>
      <c r="P17" s="44">
        <f t="shared" si="5"/>
        <v>14730</v>
      </c>
      <c r="Q17" s="39">
        <f t="shared" si="6"/>
        <v>1030</v>
      </c>
      <c r="R17" s="45">
        <f t="shared" si="7"/>
        <v>119670</v>
      </c>
      <c r="S17" s="41">
        <f t="shared" si="8"/>
        <v>9205.3846153846152</v>
      </c>
      <c r="T17" s="65">
        <f>E17+M17</f>
        <v>34</v>
      </c>
      <c r="U17" s="44">
        <f t="shared" si="9"/>
        <v>192280</v>
      </c>
      <c r="V17" s="44">
        <f t="shared" si="10"/>
        <v>23370</v>
      </c>
      <c r="W17" s="47">
        <f t="shared" si="27"/>
        <v>215650</v>
      </c>
      <c r="X17" s="66"/>
      <c r="Y17" s="48"/>
      <c r="Z17" s="49">
        <v>1</v>
      </c>
      <c r="AA17" s="49"/>
      <c r="AB17" s="37">
        <v>800</v>
      </c>
      <c r="AC17" s="38">
        <f t="shared" si="11"/>
        <v>800</v>
      </c>
      <c r="AD17" s="37"/>
      <c r="AE17" s="39">
        <f t="shared" si="12"/>
        <v>0</v>
      </c>
      <c r="AF17" s="50">
        <f t="shared" si="13"/>
        <v>800</v>
      </c>
      <c r="AG17" s="41">
        <f t="shared" si="14"/>
        <v>800</v>
      </c>
      <c r="AH17" s="51"/>
      <c r="AI17" s="49"/>
      <c r="AJ17" s="37"/>
      <c r="AK17" s="38" t="e">
        <f>AJ17/AI17</f>
        <v>#DIV/0!</v>
      </c>
      <c r="AL17" s="37"/>
      <c r="AM17" s="39" t="e">
        <f>AL17/AI17</f>
        <v>#DIV/0!</v>
      </c>
      <c r="AN17" s="50">
        <f>AJ17+AL17</f>
        <v>0</v>
      </c>
      <c r="AO17" s="52" t="str">
        <f>IF(AI17="","",AN17/AI17)</f>
        <v/>
      </c>
      <c r="AP17" s="53"/>
      <c r="AQ17" s="49">
        <v>501</v>
      </c>
      <c r="AR17" s="37">
        <v>1427850</v>
      </c>
      <c r="AS17" s="38">
        <f t="shared" si="18"/>
        <v>2850</v>
      </c>
      <c r="AT17" s="37">
        <v>756900</v>
      </c>
      <c r="AU17" s="39">
        <f t="shared" si="19"/>
        <v>1510.7784431137725</v>
      </c>
      <c r="AV17" s="39">
        <v>48510</v>
      </c>
      <c r="AW17" s="39"/>
      <c r="AX17" s="54">
        <f t="shared" si="32"/>
        <v>2233260</v>
      </c>
      <c r="AY17" s="52">
        <f t="shared" si="20"/>
        <v>4457.6047904191619</v>
      </c>
      <c r="AZ17" s="67">
        <f t="shared" si="21"/>
        <v>34</v>
      </c>
      <c r="BA17" s="44">
        <f>U17+AB17+AJ17+AR17</f>
        <v>1620930</v>
      </c>
      <c r="BB17" s="44">
        <f t="shared" si="23"/>
        <v>780270</v>
      </c>
      <c r="BC17" s="56">
        <f t="shared" si="29"/>
        <v>2449710</v>
      </c>
      <c r="BD17" s="57">
        <f t="shared" si="31"/>
        <v>4400</v>
      </c>
      <c r="BE17" s="58">
        <v>34</v>
      </c>
      <c r="BF17" s="59">
        <v>192280</v>
      </c>
      <c r="BG17" s="59">
        <v>23370</v>
      </c>
      <c r="BH17" s="60">
        <v>4400</v>
      </c>
      <c r="BI17" s="60"/>
      <c r="BJ17" s="60"/>
      <c r="BK17" s="60"/>
      <c r="BL17" s="61">
        <f t="shared" si="30"/>
        <v>220050</v>
      </c>
      <c r="BM17" s="32">
        <v>13</v>
      </c>
      <c r="BN17" s="62">
        <f t="shared" si="24"/>
        <v>220050</v>
      </c>
    </row>
    <row r="18" spans="2:68" ht="20" customHeight="1">
      <c r="B18" s="63">
        <f t="shared" si="25"/>
        <v>45883</v>
      </c>
      <c r="C18" s="64"/>
      <c r="D18" s="35"/>
      <c r="E18" s="36">
        <v>17</v>
      </c>
      <c r="F18" s="37">
        <v>68860</v>
      </c>
      <c r="G18" s="38">
        <f t="shared" si="0"/>
        <v>3682.3529411764707</v>
      </c>
      <c r="H18" s="37">
        <v>8580</v>
      </c>
      <c r="I18" s="39">
        <f t="shared" si="26"/>
        <v>458.8235294117647</v>
      </c>
      <c r="J18" s="40">
        <f t="shared" si="1"/>
        <v>77440</v>
      </c>
      <c r="K18" s="41">
        <f t="shared" si="2"/>
        <v>4555.2941176470586</v>
      </c>
      <c r="L18" s="42"/>
      <c r="M18" s="43">
        <f t="shared" si="3"/>
        <v>21</v>
      </c>
      <c r="N18" s="44">
        <f t="shared" si="3"/>
        <v>236500</v>
      </c>
      <c r="O18" s="38">
        <f t="shared" si="4"/>
        <v>10238.095238095239</v>
      </c>
      <c r="P18" s="44">
        <f t="shared" si="5"/>
        <v>65780</v>
      </c>
      <c r="Q18" s="39">
        <f t="shared" si="6"/>
        <v>2847.6190476190477</v>
      </c>
      <c r="R18" s="45">
        <f t="shared" si="7"/>
        <v>302280</v>
      </c>
      <c r="S18" s="41">
        <f t="shared" si="8"/>
        <v>14394.285714285714</v>
      </c>
      <c r="T18" s="65">
        <f t="shared" si="9"/>
        <v>38</v>
      </c>
      <c r="U18" s="44">
        <f t="shared" si="9"/>
        <v>305360</v>
      </c>
      <c r="V18" s="44">
        <f t="shared" si="10"/>
        <v>74360</v>
      </c>
      <c r="W18" s="47">
        <f t="shared" si="27"/>
        <v>379720</v>
      </c>
      <c r="X18" s="66"/>
      <c r="Y18" s="48"/>
      <c r="Z18" s="49">
        <v>1</v>
      </c>
      <c r="AA18" s="49"/>
      <c r="AB18" s="37">
        <v>2500</v>
      </c>
      <c r="AC18" s="38">
        <f t="shared" si="11"/>
        <v>2500</v>
      </c>
      <c r="AD18" s="37">
        <v>250</v>
      </c>
      <c r="AE18" s="39">
        <f t="shared" si="12"/>
        <v>250</v>
      </c>
      <c r="AF18" s="50">
        <f t="shared" si="13"/>
        <v>2750</v>
      </c>
      <c r="AG18" s="41">
        <f t="shared" si="14"/>
        <v>2750</v>
      </c>
      <c r="AH18" s="51"/>
      <c r="AI18" s="49"/>
      <c r="AJ18" s="37"/>
      <c r="AK18" s="38" t="e">
        <f t="shared" si="15"/>
        <v>#DIV/0!</v>
      </c>
      <c r="AL18" s="37"/>
      <c r="AM18" s="39" t="e">
        <f t="shared" si="16"/>
        <v>#DIV/0!</v>
      </c>
      <c r="AN18" s="50">
        <f t="shared" si="28"/>
        <v>0</v>
      </c>
      <c r="AO18" s="52" t="str">
        <f t="shared" si="17"/>
        <v/>
      </c>
      <c r="AP18" s="53"/>
      <c r="AQ18" s="49">
        <v>614</v>
      </c>
      <c r="AR18" s="37">
        <v>1794150</v>
      </c>
      <c r="AS18" s="38">
        <f t="shared" si="18"/>
        <v>2922.0684039087946</v>
      </c>
      <c r="AT18" s="37">
        <v>1010350</v>
      </c>
      <c r="AU18" s="39">
        <f t="shared" si="19"/>
        <v>1645.5211726384364</v>
      </c>
      <c r="AV18" s="39">
        <v>71830</v>
      </c>
      <c r="AW18" s="39"/>
      <c r="AX18" s="54">
        <f t="shared" si="32"/>
        <v>2876330</v>
      </c>
      <c r="AY18" s="52">
        <f t="shared" si="20"/>
        <v>4684.5765472312705</v>
      </c>
      <c r="AZ18" s="67">
        <f t="shared" si="21"/>
        <v>38</v>
      </c>
      <c r="BA18" s="44">
        <f t="shared" si="22"/>
        <v>2102010</v>
      </c>
      <c r="BB18" s="44">
        <f t="shared" si="23"/>
        <v>1084960</v>
      </c>
      <c r="BC18" s="56">
        <f t="shared" si="29"/>
        <v>3258800</v>
      </c>
      <c r="BD18" s="57">
        <f t="shared" si="31"/>
        <v>1650</v>
      </c>
      <c r="BE18" s="58">
        <v>38</v>
      </c>
      <c r="BF18" s="59">
        <v>305360</v>
      </c>
      <c r="BG18" s="59">
        <v>74360</v>
      </c>
      <c r="BH18" s="60">
        <v>1100</v>
      </c>
      <c r="BI18" s="60">
        <v>550</v>
      </c>
      <c r="BJ18" s="60"/>
      <c r="BK18" s="60"/>
      <c r="BL18" s="61">
        <f t="shared" si="30"/>
        <v>381370</v>
      </c>
      <c r="BM18" s="32">
        <v>14</v>
      </c>
      <c r="BN18" s="62">
        <f t="shared" si="24"/>
        <v>381370</v>
      </c>
    </row>
    <row r="19" spans="2:68" ht="20" customHeight="1">
      <c r="B19" s="63">
        <f t="shared" si="25"/>
        <v>45884</v>
      </c>
      <c r="C19" s="64"/>
      <c r="D19" s="35"/>
      <c r="E19" s="36">
        <v>18</v>
      </c>
      <c r="F19" s="37">
        <v>64680</v>
      </c>
      <c r="G19" s="38">
        <f t="shared" si="0"/>
        <v>3266.6666666666665</v>
      </c>
      <c r="H19" s="37">
        <v>5570</v>
      </c>
      <c r="I19" s="39">
        <f t="shared" si="26"/>
        <v>281.27777777777777</v>
      </c>
      <c r="J19" s="40">
        <f t="shared" si="1"/>
        <v>70250</v>
      </c>
      <c r="K19" s="41">
        <f t="shared" si="2"/>
        <v>3902.7777777777778</v>
      </c>
      <c r="L19" s="42"/>
      <c r="M19" s="43">
        <f t="shared" si="3"/>
        <v>17</v>
      </c>
      <c r="N19" s="44">
        <f t="shared" si="3"/>
        <v>187110</v>
      </c>
      <c r="O19" s="38">
        <f t="shared" si="4"/>
        <v>10005.882352941177</v>
      </c>
      <c r="P19" s="44">
        <f t="shared" si="5"/>
        <v>42280</v>
      </c>
      <c r="Q19" s="70">
        <f t="shared" si="6"/>
        <v>2260.9411764705883</v>
      </c>
      <c r="R19" s="45">
        <f t="shared" si="7"/>
        <v>229390</v>
      </c>
      <c r="S19" s="41">
        <f t="shared" si="8"/>
        <v>13493.529411764706</v>
      </c>
      <c r="T19" s="65">
        <f t="shared" si="9"/>
        <v>35</v>
      </c>
      <c r="U19" s="44">
        <f t="shared" si="9"/>
        <v>251790</v>
      </c>
      <c r="V19" s="44">
        <f t="shared" si="10"/>
        <v>47850</v>
      </c>
      <c r="W19" s="47">
        <f t="shared" si="27"/>
        <v>299640</v>
      </c>
      <c r="X19" s="66"/>
      <c r="Y19" s="48"/>
      <c r="Z19" s="49">
        <v>2</v>
      </c>
      <c r="AA19" s="49"/>
      <c r="AB19" s="37">
        <v>5000</v>
      </c>
      <c r="AC19" s="38">
        <f t="shared" si="11"/>
        <v>2500</v>
      </c>
      <c r="AD19" s="37">
        <v>500</v>
      </c>
      <c r="AE19" s="39">
        <f t="shared" si="12"/>
        <v>250</v>
      </c>
      <c r="AF19" s="50">
        <f t="shared" si="13"/>
        <v>5500</v>
      </c>
      <c r="AG19" s="41">
        <f t="shared" si="14"/>
        <v>2750</v>
      </c>
      <c r="AH19" s="51"/>
      <c r="AI19" s="49"/>
      <c r="AJ19" s="37"/>
      <c r="AK19" s="38" t="e">
        <f t="shared" si="15"/>
        <v>#DIV/0!</v>
      </c>
      <c r="AL19" s="37"/>
      <c r="AM19" s="39" t="e">
        <f t="shared" si="16"/>
        <v>#DIV/0!</v>
      </c>
      <c r="AN19" s="50">
        <f t="shared" si="28"/>
        <v>0</v>
      </c>
      <c r="AO19" s="52" t="str">
        <f t="shared" si="17"/>
        <v/>
      </c>
      <c r="AP19" s="53"/>
      <c r="AQ19" s="49">
        <v>726</v>
      </c>
      <c r="AR19" s="37">
        <v>2073150</v>
      </c>
      <c r="AS19" s="38">
        <f t="shared" si="18"/>
        <v>2855.5785123966944</v>
      </c>
      <c r="AT19" s="37">
        <v>1163450</v>
      </c>
      <c r="AU19" s="39">
        <f t="shared" si="19"/>
        <v>1602.5482093663911</v>
      </c>
      <c r="AV19" s="39">
        <v>59840</v>
      </c>
      <c r="AW19" s="39"/>
      <c r="AX19" s="54">
        <f t="shared" si="32"/>
        <v>3296440</v>
      </c>
      <c r="AY19" s="52">
        <f t="shared" si="20"/>
        <v>4540.5509641873277</v>
      </c>
      <c r="AZ19" s="67">
        <f t="shared" si="21"/>
        <v>35</v>
      </c>
      <c r="BA19" s="44">
        <f t="shared" si="22"/>
        <v>2329940</v>
      </c>
      <c r="BB19" s="44">
        <f t="shared" si="23"/>
        <v>1211800</v>
      </c>
      <c r="BC19" s="56">
        <f t="shared" si="29"/>
        <v>3601580</v>
      </c>
      <c r="BD19" s="57">
        <f t="shared" si="31"/>
        <v>2200</v>
      </c>
      <c r="BE19" s="58">
        <v>35</v>
      </c>
      <c r="BF19" s="59">
        <v>251790</v>
      </c>
      <c r="BG19" s="59">
        <v>47850</v>
      </c>
      <c r="BH19" s="60">
        <v>2200</v>
      </c>
      <c r="BI19" s="60"/>
      <c r="BJ19" s="60"/>
      <c r="BK19" s="60"/>
      <c r="BL19" s="61">
        <f t="shared" si="30"/>
        <v>301840</v>
      </c>
      <c r="BM19" s="32">
        <v>15</v>
      </c>
      <c r="BN19" s="62">
        <f t="shared" si="24"/>
        <v>301840</v>
      </c>
    </row>
    <row r="20" spans="2:68" ht="20" customHeight="1">
      <c r="B20" s="63">
        <f t="shared" si="25"/>
        <v>45885</v>
      </c>
      <c r="C20" s="64"/>
      <c r="D20" s="35"/>
      <c r="E20" s="36">
        <v>27</v>
      </c>
      <c r="F20" s="37">
        <v>107580</v>
      </c>
      <c r="G20" s="38">
        <f t="shared" si="0"/>
        <v>3622.2222222222222</v>
      </c>
      <c r="H20" s="37">
        <v>25490</v>
      </c>
      <c r="I20" s="39">
        <f t="shared" si="26"/>
        <v>858.22222222222217</v>
      </c>
      <c r="J20" s="40">
        <f t="shared" si="1"/>
        <v>133070</v>
      </c>
      <c r="K20" s="41">
        <f t="shared" si="2"/>
        <v>4928.5185185185182</v>
      </c>
      <c r="L20" s="42"/>
      <c r="M20" s="43">
        <f t="shared" si="3"/>
        <v>22</v>
      </c>
      <c r="N20" s="44">
        <f t="shared" si="3"/>
        <v>251240</v>
      </c>
      <c r="O20" s="38">
        <f t="shared" si="4"/>
        <v>10381.818181818182</v>
      </c>
      <c r="P20" s="44">
        <f t="shared" si="5"/>
        <v>43890</v>
      </c>
      <c r="Q20" s="70">
        <f t="shared" si="6"/>
        <v>1813.6363636363637</v>
      </c>
      <c r="R20" s="45">
        <f t="shared" si="7"/>
        <v>295130</v>
      </c>
      <c r="S20" s="41">
        <f t="shared" si="8"/>
        <v>13415</v>
      </c>
      <c r="T20" s="65">
        <f t="shared" si="9"/>
        <v>49</v>
      </c>
      <c r="U20" s="44">
        <f t="shared" si="9"/>
        <v>358820</v>
      </c>
      <c r="V20" s="44">
        <f t="shared" si="10"/>
        <v>69380</v>
      </c>
      <c r="W20" s="47">
        <f t="shared" si="27"/>
        <v>428200</v>
      </c>
      <c r="X20" s="66"/>
      <c r="Y20" s="48"/>
      <c r="Z20" s="49">
        <v>2</v>
      </c>
      <c r="AA20" s="49"/>
      <c r="AB20" s="37">
        <v>5000</v>
      </c>
      <c r="AC20" s="38">
        <f t="shared" si="11"/>
        <v>2500</v>
      </c>
      <c r="AD20" s="37">
        <v>500</v>
      </c>
      <c r="AE20" s="39">
        <f t="shared" si="12"/>
        <v>250</v>
      </c>
      <c r="AF20" s="50">
        <f t="shared" si="13"/>
        <v>5500</v>
      </c>
      <c r="AG20" s="41">
        <f t="shared" si="14"/>
        <v>2750</v>
      </c>
      <c r="AH20" s="51"/>
      <c r="AI20" s="49"/>
      <c r="AJ20" s="37"/>
      <c r="AK20" s="38" t="e">
        <f t="shared" si="15"/>
        <v>#DIV/0!</v>
      </c>
      <c r="AL20" s="37"/>
      <c r="AM20" s="39" t="e">
        <f t="shared" si="16"/>
        <v>#DIV/0!</v>
      </c>
      <c r="AN20" s="50">
        <f t="shared" si="28"/>
        <v>0</v>
      </c>
      <c r="AO20" s="52" t="str">
        <f t="shared" si="17"/>
        <v/>
      </c>
      <c r="AP20" s="53"/>
      <c r="AQ20" s="49">
        <v>705</v>
      </c>
      <c r="AR20" s="37">
        <v>2140400</v>
      </c>
      <c r="AS20" s="38">
        <f t="shared" si="18"/>
        <v>3036.0283687943261</v>
      </c>
      <c r="AT20" s="37">
        <v>1143300</v>
      </c>
      <c r="AU20" s="39">
        <f t="shared" si="19"/>
        <v>1621.7021276595744</v>
      </c>
      <c r="AV20" s="39">
        <v>68200</v>
      </c>
      <c r="AW20" s="39">
        <v>2970</v>
      </c>
      <c r="AX20" s="54">
        <f t="shared" si="32"/>
        <v>3354870</v>
      </c>
      <c r="AY20" s="52">
        <f t="shared" si="20"/>
        <v>4758.6808510638302</v>
      </c>
      <c r="AZ20" s="67">
        <f t="shared" si="21"/>
        <v>49</v>
      </c>
      <c r="BA20" s="44">
        <f t="shared" si="22"/>
        <v>2504220</v>
      </c>
      <c r="BB20" s="44">
        <f t="shared" si="23"/>
        <v>1213180</v>
      </c>
      <c r="BC20" s="56">
        <f t="shared" si="29"/>
        <v>3788570</v>
      </c>
      <c r="BD20" s="57">
        <f t="shared" si="31"/>
        <v>8800</v>
      </c>
      <c r="BE20" s="58">
        <v>49</v>
      </c>
      <c r="BF20" s="59">
        <v>358820</v>
      </c>
      <c r="BG20" s="59">
        <v>69380</v>
      </c>
      <c r="BH20" s="60">
        <v>5500</v>
      </c>
      <c r="BI20" s="60">
        <v>3300</v>
      </c>
      <c r="BJ20" s="60">
        <v>3300</v>
      </c>
      <c r="BK20" s="60"/>
      <c r="BL20" s="61">
        <f t="shared" si="30"/>
        <v>437000</v>
      </c>
      <c r="BM20" s="32">
        <v>16</v>
      </c>
      <c r="BN20" s="62">
        <f t="shared" si="24"/>
        <v>437000</v>
      </c>
    </row>
    <row r="21" spans="2:68" ht="20" customHeight="1">
      <c r="B21" s="63">
        <f t="shared" si="25"/>
        <v>45886</v>
      </c>
      <c r="C21" s="64"/>
      <c r="D21" s="35"/>
      <c r="E21" s="36">
        <v>25</v>
      </c>
      <c r="F21" s="37">
        <v>99440</v>
      </c>
      <c r="G21" s="38">
        <f>ROUNDDOWN(F21/1.1,0)/E21</f>
        <v>3616</v>
      </c>
      <c r="H21" s="37">
        <v>32070</v>
      </c>
      <c r="I21" s="39">
        <f t="shared" si="26"/>
        <v>1166.1600000000001</v>
      </c>
      <c r="J21" s="40">
        <f t="shared" si="1"/>
        <v>131510</v>
      </c>
      <c r="K21" s="41">
        <f t="shared" si="2"/>
        <v>5260.4</v>
      </c>
      <c r="L21" s="42"/>
      <c r="M21" s="43">
        <f t="shared" si="3"/>
        <v>15</v>
      </c>
      <c r="N21" s="44">
        <f t="shared" si="3"/>
        <v>142780</v>
      </c>
      <c r="O21" s="38">
        <f t="shared" si="4"/>
        <v>8653.3333333333339</v>
      </c>
      <c r="P21" s="44">
        <f t="shared" si="5"/>
        <v>41650</v>
      </c>
      <c r="Q21" s="70">
        <f t="shared" si="6"/>
        <v>2524.1999999999998</v>
      </c>
      <c r="R21" s="45">
        <f>N21+P21</f>
        <v>184430</v>
      </c>
      <c r="S21" s="41">
        <f t="shared" si="8"/>
        <v>12295.333333333334</v>
      </c>
      <c r="T21" s="65">
        <f t="shared" si="9"/>
        <v>40</v>
      </c>
      <c r="U21" s="44">
        <f t="shared" si="9"/>
        <v>242220</v>
      </c>
      <c r="V21" s="44">
        <f t="shared" si="10"/>
        <v>73720</v>
      </c>
      <c r="W21" s="47">
        <f t="shared" si="27"/>
        <v>315940</v>
      </c>
      <c r="X21" s="66"/>
      <c r="Y21" s="48"/>
      <c r="Z21" s="49">
        <v>3</v>
      </c>
      <c r="AA21" s="49"/>
      <c r="AB21" s="37">
        <v>7500</v>
      </c>
      <c r="AC21" s="38">
        <f t="shared" si="11"/>
        <v>2500</v>
      </c>
      <c r="AD21" s="37">
        <v>750</v>
      </c>
      <c r="AE21" s="39">
        <f t="shared" si="12"/>
        <v>250</v>
      </c>
      <c r="AF21" s="50">
        <f t="shared" si="13"/>
        <v>8250</v>
      </c>
      <c r="AG21" s="41">
        <f t="shared" si="14"/>
        <v>2750</v>
      </c>
      <c r="AH21" s="51"/>
      <c r="AI21" s="49"/>
      <c r="AJ21" s="37"/>
      <c r="AK21" s="38" t="e">
        <f t="shared" si="15"/>
        <v>#DIV/0!</v>
      </c>
      <c r="AL21" s="37"/>
      <c r="AM21" s="39" t="e">
        <f t="shared" si="16"/>
        <v>#DIV/0!</v>
      </c>
      <c r="AN21" s="50">
        <f t="shared" si="28"/>
        <v>0</v>
      </c>
      <c r="AO21" s="52" t="str">
        <f t="shared" si="17"/>
        <v/>
      </c>
      <c r="AP21" s="53"/>
      <c r="AQ21" s="49">
        <v>313</v>
      </c>
      <c r="AR21" s="37">
        <v>917050</v>
      </c>
      <c r="AS21" s="38">
        <f t="shared" si="18"/>
        <v>2929.8722044728434</v>
      </c>
      <c r="AT21" s="37">
        <v>470450</v>
      </c>
      <c r="AU21" s="39">
        <f t="shared" si="19"/>
        <v>1503.035143769968</v>
      </c>
      <c r="AV21" s="39">
        <v>35310</v>
      </c>
      <c r="AW21" s="39"/>
      <c r="AX21" s="54">
        <f t="shared" si="32"/>
        <v>1422810</v>
      </c>
      <c r="AY21" s="52">
        <f t="shared" si="20"/>
        <v>4545.7188498402556</v>
      </c>
      <c r="AZ21" s="67">
        <f t="shared" si="21"/>
        <v>40</v>
      </c>
      <c r="BA21" s="44">
        <f t="shared" si="22"/>
        <v>1166770</v>
      </c>
      <c r="BB21" s="44">
        <f t="shared" si="23"/>
        <v>544920</v>
      </c>
      <c r="BC21" s="56">
        <f t="shared" si="29"/>
        <v>1747000</v>
      </c>
      <c r="BD21" s="57">
        <f t="shared" si="31"/>
        <v>9900</v>
      </c>
      <c r="BE21" s="58">
        <v>40</v>
      </c>
      <c r="BF21" s="59">
        <v>242220</v>
      </c>
      <c r="BG21" s="59">
        <v>73720</v>
      </c>
      <c r="BH21" s="60">
        <v>9900</v>
      </c>
      <c r="BI21" s="60"/>
      <c r="BJ21" s="60"/>
      <c r="BK21" s="60"/>
      <c r="BL21" s="61">
        <f t="shared" si="30"/>
        <v>325840</v>
      </c>
      <c r="BM21" s="32">
        <v>17</v>
      </c>
      <c r="BN21" s="62">
        <f t="shared" si="24"/>
        <v>325840</v>
      </c>
    </row>
    <row r="22" spans="2:68" ht="20" customHeight="1">
      <c r="B22" s="63">
        <f t="shared" si="25"/>
        <v>45887</v>
      </c>
      <c r="C22" s="64"/>
      <c r="D22" s="35"/>
      <c r="E22" s="36">
        <v>11</v>
      </c>
      <c r="F22" s="37">
        <v>36520</v>
      </c>
      <c r="G22" s="38">
        <f t="shared" si="0"/>
        <v>3018.181818181818</v>
      </c>
      <c r="H22" s="37">
        <v>4180</v>
      </c>
      <c r="I22" s="39">
        <f t="shared" si="26"/>
        <v>345.45454545454544</v>
      </c>
      <c r="J22" s="40">
        <f t="shared" si="1"/>
        <v>40700</v>
      </c>
      <c r="K22" s="41">
        <f t="shared" si="2"/>
        <v>3700</v>
      </c>
      <c r="L22" s="42"/>
      <c r="M22" s="43">
        <f>BE22-E22</f>
        <v>14</v>
      </c>
      <c r="N22" s="44">
        <f t="shared" si="3"/>
        <v>129000</v>
      </c>
      <c r="O22" s="38">
        <f t="shared" si="4"/>
        <v>8376.5714285714294</v>
      </c>
      <c r="P22" s="44">
        <f t="shared" si="5"/>
        <v>31350</v>
      </c>
      <c r="Q22" s="70">
        <f t="shared" si="6"/>
        <v>2035.7142857142858</v>
      </c>
      <c r="R22" s="45">
        <f t="shared" si="7"/>
        <v>160350</v>
      </c>
      <c r="S22" s="41">
        <f t="shared" si="8"/>
        <v>11453.571428571429</v>
      </c>
      <c r="T22" s="65">
        <f t="shared" si="9"/>
        <v>25</v>
      </c>
      <c r="U22" s="44">
        <f t="shared" si="9"/>
        <v>165520</v>
      </c>
      <c r="V22" s="44">
        <f t="shared" si="10"/>
        <v>35530</v>
      </c>
      <c r="W22" s="47">
        <f t="shared" si="27"/>
        <v>201050</v>
      </c>
      <c r="X22" s="66"/>
      <c r="Y22" s="48"/>
      <c r="Z22" s="49">
        <v>0</v>
      </c>
      <c r="AA22" s="49"/>
      <c r="AB22" s="37"/>
      <c r="AC22" s="38" t="e">
        <f t="shared" si="11"/>
        <v>#DIV/0!</v>
      </c>
      <c r="AD22" s="37"/>
      <c r="AE22" s="39" t="e">
        <f t="shared" si="12"/>
        <v>#DIV/0!</v>
      </c>
      <c r="AF22" s="50">
        <f t="shared" si="13"/>
        <v>0</v>
      </c>
      <c r="AG22" s="41" t="e">
        <f t="shared" si="14"/>
        <v>#DIV/0!</v>
      </c>
      <c r="AH22" s="51"/>
      <c r="AI22" s="49">
        <v>26</v>
      </c>
      <c r="AJ22" s="37">
        <v>101790</v>
      </c>
      <c r="AK22" s="38">
        <f t="shared" si="15"/>
        <v>3915</v>
      </c>
      <c r="AL22" s="37">
        <v>33930</v>
      </c>
      <c r="AM22" s="39">
        <f t="shared" si="16"/>
        <v>1305</v>
      </c>
      <c r="AN22" s="50">
        <f t="shared" si="28"/>
        <v>135720</v>
      </c>
      <c r="AO22" s="52">
        <f t="shared" si="17"/>
        <v>5220</v>
      </c>
      <c r="AP22" s="53"/>
      <c r="AQ22" s="49">
        <v>509</v>
      </c>
      <c r="AR22" s="37">
        <v>1270000</v>
      </c>
      <c r="AS22" s="38">
        <f t="shared" si="18"/>
        <v>2495.0884086444007</v>
      </c>
      <c r="AT22" s="37">
        <v>687250</v>
      </c>
      <c r="AU22" s="39">
        <f t="shared" si="19"/>
        <v>1350.1964636542239</v>
      </c>
      <c r="AV22" s="39">
        <v>37840</v>
      </c>
      <c r="AW22" s="39"/>
      <c r="AX22" s="54">
        <f t="shared" si="32"/>
        <v>1995090</v>
      </c>
      <c r="AY22" s="52">
        <f t="shared" si="20"/>
        <v>3919.6267190569743</v>
      </c>
      <c r="AZ22" s="67">
        <f t="shared" si="21"/>
        <v>25</v>
      </c>
      <c r="BA22" s="44">
        <f>U22+AB22+AJ22+AR22</f>
        <v>1537310</v>
      </c>
      <c r="BB22" s="44">
        <f t="shared" si="23"/>
        <v>756710</v>
      </c>
      <c r="BC22" s="56">
        <f t="shared" si="29"/>
        <v>2331860</v>
      </c>
      <c r="BD22" s="57">
        <f t="shared" si="31"/>
        <v>3300</v>
      </c>
      <c r="BE22" s="58">
        <v>25</v>
      </c>
      <c r="BF22" s="59">
        <v>165520</v>
      </c>
      <c r="BG22" s="59">
        <v>35530</v>
      </c>
      <c r="BH22" s="60">
        <v>1100</v>
      </c>
      <c r="BI22" s="60">
        <v>2200</v>
      </c>
      <c r="BJ22" s="60"/>
      <c r="BK22" s="60"/>
      <c r="BL22" s="61">
        <f t="shared" si="30"/>
        <v>204350</v>
      </c>
      <c r="BM22" s="32">
        <v>18</v>
      </c>
      <c r="BN22" s="62">
        <f t="shared" si="24"/>
        <v>204350</v>
      </c>
      <c r="BP22" s="68"/>
    </row>
    <row r="23" spans="2:68" ht="20" customHeight="1">
      <c r="B23" s="63">
        <f t="shared" si="25"/>
        <v>45888</v>
      </c>
      <c r="C23" s="64"/>
      <c r="D23" s="35"/>
      <c r="E23" s="36">
        <v>24</v>
      </c>
      <c r="F23" s="37">
        <v>118800</v>
      </c>
      <c r="G23" s="38">
        <f t="shared" si="0"/>
        <v>4500</v>
      </c>
      <c r="H23" s="37">
        <v>22260</v>
      </c>
      <c r="I23" s="39">
        <f t="shared" si="26"/>
        <v>843.16666666666663</v>
      </c>
      <c r="J23" s="40">
        <f t="shared" si="1"/>
        <v>141060</v>
      </c>
      <c r="K23" s="41">
        <f t="shared" si="2"/>
        <v>5877.5</v>
      </c>
      <c r="L23" s="42"/>
      <c r="M23" s="43">
        <f t="shared" si="3"/>
        <v>17</v>
      </c>
      <c r="N23" s="44">
        <f t="shared" si="3"/>
        <v>108460</v>
      </c>
      <c r="O23" s="38">
        <f t="shared" si="4"/>
        <v>5800</v>
      </c>
      <c r="P23" s="44">
        <f t="shared" si="5"/>
        <v>44540</v>
      </c>
      <c r="Q23" s="70">
        <f t="shared" si="6"/>
        <v>2381.7647058823532</v>
      </c>
      <c r="R23" s="45">
        <f t="shared" si="7"/>
        <v>153000</v>
      </c>
      <c r="S23" s="41">
        <f t="shared" si="8"/>
        <v>9000</v>
      </c>
      <c r="T23" s="65">
        <f t="shared" si="9"/>
        <v>41</v>
      </c>
      <c r="U23" s="44">
        <f t="shared" si="9"/>
        <v>227260</v>
      </c>
      <c r="V23" s="44">
        <f t="shared" si="10"/>
        <v>66800</v>
      </c>
      <c r="W23" s="47">
        <f t="shared" si="27"/>
        <v>294060</v>
      </c>
      <c r="X23" s="66"/>
      <c r="Y23" s="48"/>
      <c r="Z23" s="49">
        <v>0</v>
      </c>
      <c r="AA23" s="49"/>
      <c r="AB23" s="37"/>
      <c r="AC23" s="38" t="e">
        <f t="shared" si="11"/>
        <v>#DIV/0!</v>
      </c>
      <c r="AD23" s="37"/>
      <c r="AE23" s="39" t="e">
        <f t="shared" si="12"/>
        <v>#DIV/0!</v>
      </c>
      <c r="AF23" s="50">
        <f t="shared" si="13"/>
        <v>0</v>
      </c>
      <c r="AG23" s="41" t="e">
        <f t="shared" si="14"/>
        <v>#DIV/0!</v>
      </c>
      <c r="AH23" s="51"/>
      <c r="AI23" s="49">
        <v>41</v>
      </c>
      <c r="AJ23" s="37">
        <v>160515</v>
      </c>
      <c r="AK23" s="38">
        <f t="shared" si="15"/>
        <v>3915</v>
      </c>
      <c r="AL23" s="37">
        <v>53505</v>
      </c>
      <c r="AM23" s="39">
        <f t="shared" si="16"/>
        <v>1305</v>
      </c>
      <c r="AN23" s="50">
        <f t="shared" si="28"/>
        <v>214020</v>
      </c>
      <c r="AO23" s="52">
        <f t="shared" si="17"/>
        <v>5220</v>
      </c>
      <c r="AP23" s="53"/>
      <c r="AQ23" s="49">
        <v>374</v>
      </c>
      <c r="AR23" s="37">
        <v>1065600</v>
      </c>
      <c r="AS23" s="38">
        <f t="shared" si="18"/>
        <v>2849.1978609625667</v>
      </c>
      <c r="AT23" s="37">
        <v>589700</v>
      </c>
      <c r="AU23" s="39">
        <f t="shared" si="19"/>
        <v>1576.7379679144385</v>
      </c>
      <c r="AV23" s="39">
        <v>24970</v>
      </c>
      <c r="AW23" s="39"/>
      <c r="AX23" s="54">
        <f t="shared" si="32"/>
        <v>1680270</v>
      </c>
      <c r="AY23" s="52">
        <f>IF(AQ23="","",AX23/AQ23)</f>
        <v>4492.7005347593586</v>
      </c>
      <c r="AZ23" s="67">
        <f t="shared" si="21"/>
        <v>41</v>
      </c>
      <c r="BA23" s="44">
        <f t="shared" si="22"/>
        <v>1453375</v>
      </c>
      <c r="BB23" s="44">
        <f t="shared" si="23"/>
        <v>710005</v>
      </c>
      <c r="BC23" s="56">
        <f t="shared" si="29"/>
        <v>2188350</v>
      </c>
      <c r="BD23" s="57">
        <f t="shared" si="31"/>
        <v>0</v>
      </c>
      <c r="BE23" s="58">
        <v>41</v>
      </c>
      <c r="BF23" s="59">
        <v>227260</v>
      </c>
      <c r="BG23" s="59">
        <v>66800</v>
      </c>
      <c r="BH23" s="60"/>
      <c r="BI23" s="60"/>
      <c r="BJ23" s="60"/>
      <c r="BK23" s="60"/>
      <c r="BL23" s="61">
        <f>SUM(BF23:BI23)</f>
        <v>294060</v>
      </c>
      <c r="BM23" s="32">
        <v>19</v>
      </c>
      <c r="BN23" s="62">
        <f t="shared" si="24"/>
        <v>294060</v>
      </c>
    </row>
    <row r="24" spans="2:68" ht="20" customHeight="1">
      <c r="B24" s="63">
        <f t="shared" si="25"/>
        <v>45889</v>
      </c>
      <c r="C24" s="64"/>
      <c r="D24" s="35"/>
      <c r="E24" s="36">
        <v>19</v>
      </c>
      <c r="F24" s="37">
        <v>74470</v>
      </c>
      <c r="G24" s="38">
        <f t="shared" si="0"/>
        <v>3563.1578947368421</v>
      </c>
      <c r="H24" s="37">
        <v>5940</v>
      </c>
      <c r="I24" s="39">
        <f t="shared" si="26"/>
        <v>284.21052631578948</v>
      </c>
      <c r="J24" s="40">
        <f t="shared" si="1"/>
        <v>80410</v>
      </c>
      <c r="K24" s="41">
        <f t="shared" si="2"/>
        <v>4232.105263157895</v>
      </c>
      <c r="L24" s="42"/>
      <c r="M24" s="43">
        <f t="shared" si="3"/>
        <v>8</v>
      </c>
      <c r="N24" s="44">
        <f t="shared" si="3"/>
        <v>95000</v>
      </c>
      <c r="O24" s="38">
        <f t="shared" si="4"/>
        <v>10795.375</v>
      </c>
      <c r="P24" s="44">
        <f t="shared" si="5"/>
        <v>11330</v>
      </c>
      <c r="Q24" s="70">
        <f t="shared" si="6"/>
        <v>1287.5</v>
      </c>
      <c r="R24" s="45">
        <f t="shared" si="7"/>
        <v>106330</v>
      </c>
      <c r="S24" s="41">
        <f t="shared" si="8"/>
        <v>13291.25</v>
      </c>
      <c r="T24" s="65">
        <f t="shared" si="9"/>
        <v>27</v>
      </c>
      <c r="U24" s="44">
        <f t="shared" si="9"/>
        <v>169470</v>
      </c>
      <c r="V24" s="44">
        <f t="shared" si="10"/>
        <v>17270</v>
      </c>
      <c r="W24" s="47">
        <f t="shared" si="27"/>
        <v>186740</v>
      </c>
      <c r="X24" s="66"/>
      <c r="Y24" s="48"/>
      <c r="Z24" s="49">
        <v>0</v>
      </c>
      <c r="AA24" s="49"/>
      <c r="AB24" s="37"/>
      <c r="AC24" s="38" t="e">
        <f t="shared" si="11"/>
        <v>#DIV/0!</v>
      </c>
      <c r="AD24" s="37"/>
      <c r="AE24" s="39" t="e">
        <f t="shared" si="12"/>
        <v>#DIV/0!</v>
      </c>
      <c r="AF24" s="50">
        <f t="shared" si="13"/>
        <v>0</v>
      </c>
      <c r="AG24" s="41" t="e">
        <f t="shared" si="14"/>
        <v>#DIV/0!</v>
      </c>
      <c r="AH24" s="51"/>
      <c r="AI24" s="49">
        <v>26</v>
      </c>
      <c r="AJ24" s="37">
        <v>101790</v>
      </c>
      <c r="AK24" s="38">
        <f t="shared" si="15"/>
        <v>3915</v>
      </c>
      <c r="AL24" s="37">
        <v>33930</v>
      </c>
      <c r="AM24" s="39">
        <f t="shared" si="16"/>
        <v>1305</v>
      </c>
      <c r="AN24" s="50">
        <f t="shared" si="28"/>
        <v>135720</v>
      </c>
      <c r="AO24" s="52">
        <f t="shared" si="17"/>
        <v>5220</v>
      </c>
      <c r="AP24" s="53"/>
      <c r="AQ24" s="49">
        <v>301</v>
      </c>
      <c r="AR24" s="37">
        <v>960400</v>
      </c>
      <c r="AS24" s="38">
        <f t="shared" si="18"/>
        <v>3190.6976744186045</v>
      </c>
      <c r="AT24" s="37">
        <v>519300</v>
      </c>
      <c r="AU24" s="39">
        <f t="shared" si="19"/>
        <v>1725.2491694352159</v>
      </c>
      <c r="AV24" s="39">
        <v>40150</v>
      </c>
      <c r="AW24" s="39">
        <v>2970</v>
      </c>
      <c r="AX24" s="54">
        <f t="shared" si="32"/>
        <v>1522820</v>
      </c>
      <c r="AY24" s="52">
        <f t="shared" si="20"/>
        <v>5059.2026578073092</v>
      </c>
      <c r="AZ24" s="67">
        <f t="shared" si="21"/>
        <v>27</v>
      </c>
      <c r="BA24" s="44">
        <f t="shared" si="22"/>
        <v>1231660</v>
      </c>
      <c r="BB24" s="44">
        <f t="shared" si="23"/>
        <v>570500</v>
      </c>
      <c r="BC24" s="56">
        <f t="shared" si="29"/>
        <v>1845280</v>
      </c>
      <c r="BD24" s="57">
        <f t="shared" si="31"/>
        <v>2200</v>
      </c>
      <c r="BE24" s="58">
        <v>27</v>
      </c>
      <c r="BF24" s="59">
        <v>169470</v>
      </c>
      <c r="BG24" s="59">
        <v>17270</v>
      </c>
      <c r="BH24" s="60">
        <v>1100</v>
      </c>
      <c r="BI24" s="60">
        <v>1100</v>
      </c>
      <c r="BJ24" s="60"/>
      <c r="BK24" s="60"/>
      <c r="BL24" s="61">
        <f t="shared" si="30"/>
        <v>188940</v>
      </c>
      <c r="BM24" s="32">
        <v>20</v>
      </c>
      <c r="BN24" s="62">
        <f t="shared" si="24"/>
        <v>188940</v>
      </c>
    </row>
    <row r="25" spans="2:68" ht="20" customHeight="1">
      <c r="B25" s="63">
        <f t="shared" si="25"/>
        <v>45890</v>
      </c>
      <c r="C25" s="64"/>
      <c r="D25" s="35"/>
      <c r="E25" s="36">
        <v>31</v>
      </c>
      <c r="F25" s="37">
        <v>116160</v>
      </c>
      <c r="G25" s="38">
        <f t="shared" si="0"/>
        <v>3406.4516129032259</v>
      </c>
      <c r="H25" s="37">
        <v>44570</v>
      </c>
      <c r="I25" s="39">
        <f t="shared" si="26"/>
        <v>1307.0322580645161</v>
      </c>
      <c r="J25" s="40">
        <f t="shared" si="1"/>
        <v>160730</v>
      </c>
      <c r="K25" s="41">
        <f t="shared" si="2"/>
        <v>5184.8387096774195</v>
      </c>
      <c r="L25" s="42"/>
      <c r="M25" s="43">
        <f t="shared" si="3"/>
        <v>13</v>
      </c>
      <c r="N25" s="44">
        <f t="shared" si="3"/>
        <v>116340</v>
      </c>
      <c r="O25" s="38">
        <f t="shared" si="4"/>
        <v>8135.6153846153848</v>
      </c>
      <c r="P25" s="44">
        <f t="shared" si="5"/>
        <v>21260</v>
      </c>
      <c r="Q25" s="70">
        <f t="shared" si="6"/>
        <v>1486.6923076923076</v>
      </c>
      <c r="R25" s="45">
        <f t="shared" si="7"/>
        <v>137600</v>
      </c>
      <c r="S25" s="41">
        <f t="shared" si="8"/>
        <v>10584.615384615385</v>
      </c>
      <c r="T25" s="65">
        <f t="shared" si="9"/>
        <v>44</v>
      </c>
      <c r="U25" s="44">
        <f t="shared" si="9"/>
        <v>232500</v>
      </c>
      <c r="V25" s="44">
        <f t="shared" si="10"/>
        <v>65830</v>
      </c>
      <c r="W25" s="47">
        <f t="shared" si="27"/>
        <v>298330</v>
      </c>
      <c r="X25" s="66"/>
      <c r="Y25" s="48"/>
      <c r="Z25" s="49">
        <v>2</v>
      </c>
      <c r="AA25" s="49"/>
      <c r="AB25" s="37">
        <v>5000</v>
      </c>
      <c r="AC25" s="38">
        <f t="shared" si="11"/>
        <v>2500</v>
      </c>
      <c r="AD25" s="37">
        <v>500</v>
      </c>
      <c r="AE25" s="39">
        <f t="shared" si="12"/>
        <v>250</v>
      </c>
      <c r="AF25" s="50">
        <f t="shared" si="13"/>
        <v>5500</v>
      </c>
      <c r="AG25" s="41">
        <f t="shared" si="14"/>
        <v>2750</v>
      </c>
      <c r="AH25" s="51"/>
      <c r="AI25" s="49"/>
      <c r="AJ25" s="37"/>
      <c r="AK25" s="38" t="e">
        <f t="shared" si="15"/>
        <v>#DIV/0!</v>
      </c>
      <c r="AL25" s="37"/>
      <c r="AM25" s="39" t="e">
        <f t="shared" si="16"/>
        <v>#DIV/0!</v>
      </c>
      <c r="AN25" s="50">
        <f t="shared" si="28"/>
        <v>0</v>
      </c>
      <c r="AO25" s="52" t="str">
        <f t="shared" si="17"/>
        <v/>
      </c>
      <c r="AP25" s="53"/>
      <c r="AQ25" s="49">
        <v>343</v>
      </c>
      <c r="AR25" s="37">
        <v>947100</v>
      </c>
      <c r="AS25" s="38">
        <f t="shared" si="18"/>
        <v>2761.2244897959185</v>
      </c>
      <c r="AT25" s="37">
        <v>480600</v>
      </c>
      <c r="AU25" s="39">
        <f t="shared" si="19"/>
        <v>1401.1661807580174</v>
      </c>
      <c r="AV25" s="39">
        <v>26730</v>
      </c>
      <c r="AW25" s="39"/>
      <c r="AX25" s="54">
        <f t="shared" si="32"/>
        <v>1454430</v>
      </c>
      <c r="AY25" s="52">
        <f t="shared" si="20"/>
        <v>4240.3206997084544</v>
      </c>
      <c r="AZ25" s="67">
        <f t="shared" si="21"/>
        <v>44</v>
      </c>
      <c r="BA25" s="44">
        <f t="shared" si="22"/>
        <v>1184600</v>
      </c>
      <c r="BB25" s="44">
        <f t="shared" si="23"/>
        <v>546930</v>
      </c>
      <c r="BC25" s="56">
        <f t="shared" si="29"/>
        <v>1758260</v>
      </c>
      <c r="BD25" s="57">
        <f t="shared" si="31"/>
        <v>1100</v>
      </c>
      <c r="BE25" s="58">
        <v>44</v>
      </c>
      <c r="BF25" s="59">
        <v>232500</v>
      </c>
      <c r="BG25" s="59">
        <v>65830</v>
      </c>
      <c r="BH25" s="60">
        <v>1100</v>
      </c>
      <c r="BI25" s="60"/>
      <c r="BJ25" s="60"/>
      <c r="BK25" s="60"/>
      <c r="BL25" s="61">
        <f t="shared" si="30"/>
        <v>299430</v>
      </c>
      <c r="BM25" s="32">
        <v>21</v>
      </c>
      <c r="BN25" s="62">
        <f t="shared" si="24"/>
        <v>299430</v>
      </c>
    </row>
    <row r="26" spans="2:68" ht="20" customHeight="1">
      <c r="B26" s="63">
        <f t="shared" si="25"/>
        <v>45891</v>
      </c>
      <c r="C26" s="64"/>
      <c r="D26" s="35"/>
      <c r="E26" s="36">
        <v>20</v>
      </c>
      <c r="F26" s="37">
        <v>68530</v>
      </c>
      <c r="G26" s="38">
        <f t="shared" si="0"/>
        <v>3115</v>
      </c>
      <c r="H26" s="37">
        <v>7950</v>
      </c>
      <c r="I26" s="39">
        <f t="shared" si="26"/>
        <v>361.35</v>
      </c>
      <c r="J26" s="40">
        <f t="shared" si="1"/>
        <v>76480</v>
      </c>
      <c r="K26" s="41">
        <f t="shared" si="2"/>
        <v>3824</v>
      </c>
      <c r="L26" s="42"/>
      <c r="M26" s="43">
        <f t="shared" si="3"/>
        <v>18</v>
      </c>
      <c r="N26" s="44">
        <f t="shared" si="3"/>
        <v>207460</v>
      </c>
      <c r="O26" s="38">
        <f t="shared" si="4"/>
        <v>10477.777777777777</v>
      </c>
      <c r="P26" s="44">
        <f t="shared" si="5"/>
        <v>57270</v>
      </c>
      <c r="Q26" s="70">
        <f t="shared" si="6"/>
        <v>2892.3888888888887</v>
      </c>
      <c r="R26" s="45">
        <f t="shared" si="7"/>
        <v>264730</v>
      </c>
      <c r="S26" s="41">
        <f t="shared" si="8"/>
        <v>14707.222222222223</v>
      </c>
      <c r="T26" s="65">
        <f t="shared" si="9"/>
        <v>38</v>
      </c>
      <c r="U26" s="44">
        <f t="shared" si="9"/>
        <v>275990</v>
      </c>
      <c r="V26" s="44">
        <f t="shared" si="10"/>
        <v>65220</v>
      </c>
      <c r="W26" s="47">
        <f t="shared" si="27"/>
        <v>341210</v>
      </c>
      <c r="X26" s="66"/>
      <c r="Y26" s="48"/>
      <c r="Z26" s="49">
        <v>0</v>
      </c>
      <c r="AA26" s="49"/>
      <c r="AB26" s="37"/>
      <c r="AC26" s="38" t="e">
        <f t="shared" si="11"/>
        <v>#DIV/0!</v>
      </c>
      <c r="AD26" s="37"/>
      <c r="AE26" s="39" t="e">
        <f t="shared" si="12"/>
        <v>#DIV/0!</v>
      </c>
      <c r="AF26" s="50">
        <f t="shared" si="13"/>
        <v>0</v>
      </c>
      <c r="AG26" s="41" t="e">
        <f t="shared" si="14"/>
        <v>#DIV/0!</v>
      </c>
      <c r="AH26" s="51"/>
      <c r="AI26" s="49">
        <v>17</v>
      </c>
      <c r="AJ26" s="37">
        <v>66555</v>
      </c>
      <c r="AK26" s="38">
        <f t="shared" si="15"/>
        <v>3915</v>
      </c>
      <c r="AL26" s="37">
        <v>22185</v>
      </c>
      <c r="AM26" s="39">
        <f t="shared" si="16"/>
        <v>1305</v>
      </c>
      <c r="AN26" s="50">
        <f t="shared" si="28"/>
        <v>88740</v>
      </c>
      <c r="AO26" s="52">
        <f t="shared" si="17"/>
        <v>5220</v>
      </c>
      <c r="AP26" s="53"/>
      <c r="AQ26" s="49">
        <v>451</v>
      </c>
      <c r="AR26" s="37">
        <v>1420650</v>
      </c>
      <c r="AS26" s="38">
        <f t="shared" si="18"/>
        <v>3150</v>
      </c>
      <c r="AT26" s="37">
        <v>768700</v>
      </c>
      <c r="AU26" s="39">
        <f t="shared" si="19"/>
        <v>1704.4345898004435</v>
      </c>
      <c r="AV26" s="39">
        <v>71500</v>
      </c>
      <c r="AW26" s="39">
        <v>2970</v>
      </c>
      <c r="AX26" s="54">
        <f t="shared" si="32"/>
        <v>2263820</v>
      </c>
      <c r="AY26" s="52">
        <f>IF(AQ26="","",AX26/AQ26)</f>
        <v>5019.5565410199561</v>
      </c>
      <c r="AZ26" s="67">
        <f t="shared" si="21"/>
        <v>38</v>
      </c>
      <c r="BA26" s="44">
        <f t="shared" si="22"/>
        <v>1763195</v>
      </c>
      <c r="BB26" s="44">
        <f t="shared" si="23"/>
        <v>856105</v>
      </c>
      <c r="BC26" s="56">
        <f t="shared" si="29"/>
        <v>2693770</v>
      </c>
      <c r="BD26" s="57">
        <f>BH26+BI26</f>
        <v>1650</v>
      </c>
      <c r="BE26" s="58">
        <v>38</v>
      </c>
      <c r="BF26" s="59">
        <v>275990</v>
      </c>
      <c r="BG26" s="59">
        <v>65220</v>
      </c>
      <c r="BH26" s="60">
        <v>1650</v>
      </c>
      <c r="BI26" s="60"/>
      <c r="BJ26" s="60"/>
      <c r="BK26" s="60"/>
      <c r="BL26" s="61">
        <f t="shared" si="30"/>
        <v>342860</v>
      </c>
      <c r="BM26" s="32">
        <v>22</v>
      </c>
      <c r="BN26" s="62">
        <f t="shared" si="24"/>
        <v>342860</v>
      </c>
    </row>
    <row r="27" spans="2:68" ht="20" customHeight="1">
      <c r="B27" s="63">
        <f t="shared" si="25"/>
        <v>45892</v>
      </c>
      <c r="C27" s="64"/>
      <c r="D27" s="35"/>
      <c r="E27" s="36">
        <v>23</v>
      </c>
      <c r="F27" s="37">
        <v>100980</v>
      </c>
      <c r="G27" s="38">
        <f t="shared" si="0"/>
        <v>3991.304347826087</v>
      </c>
      <c r="H27" s="37">
        <v>9570</v>
      </c>
      <c r="I27" s="39">
        <f t="shared" si="26"/>
        <v>378.26086956521738</v>
      </c>
      <c r="J27" s="40">
        <f t="shared" si="1"/>
        <v>110550</v>
      </c>
      <c r="K27" s="41">
        <f t="shared" si="2"/>
        <v>4806.521739130435</v>
      </c>
      <c r="L27" s="42"/>
      <c r="M27" s="43">
        <f t="shared" si="3"/>
        <v>24</v>
      </c>
      <c r="N27" s="44">
        <f t="shared" si="3"/>
        <v>241040</v>
      </c>
      <c r="O27" s="38">
        <f t="shared" si="4"/>
        <v>9130.2916666666661</v>
      </c>
      <c r="P27" s="44">
        <f t="shared" si="5"/>
        <v>42470</v>
      </c>
      <c r="Q27" s="39">
        <f t="shared" si="6"/>
        <v>1608.7083333333333</v>
      </c>
      <c r="R27" s="45">
        <f t="shared" si="7"/>
        <v>283510</v>
      </c>
      <c r="S27" s="41">
        <f t="shared" si="8"/>
        <v>11812.916666666666</v>
      </c>
      <c r="T27" s="65">
        <f t="shared" si="9"/>
        <v>47</v>
      </c>
      <c r="U27" s="44">
        <f t="shared" si="9"/>
        <v>342020</v>
      </c>
      <c r="V27" s="44">
        <f t="shared" si="10"/>
        <v>52040</v>
      </c>
      <c r="W27" s="47">
        <f t="shared" si="27"/>
        <v>394060</v>
      </c>
      <c r="X27" s="66"/>
      <c r="Y27" s="48"/>
      <c r="Z27" s="49">
        <v>0</v>
      </c>
      <c r="AA27" s="49"/>
      <c r="AB27" s="37"/>
      <c r="AC27" s="38" t="e">
        <f t="shared" si="11"/>
        <v>#DIV/0!</v>
      </c>
      <c r="AD27" s="37"/>
      <c r="AE27" s="39" t="e">
        <f t="shared" si="12"/>
        <v>#DIV/0!</v>
      </c>
      <c r="AF27" s="50">
        <f t="shared" si="13"/>
        <v>0</v>
      </c>
      <c r="AG27" s="41" t="e">
        <f t="shared" si="14"/>
        <v>#DIV/0!</v>
      </c>
      <c r="AH27" s="51"/>
      <c r="AI27" s="49"/>
      <c r="AJ27" s="37"/>
      <c r="AK27" s="38" t="e">
        <f t="shared" si="15"/>
        <v>#DIV/0!</v>
      </c>
      <c r="AL27" s="37"/>
      <c r="AM27" s="39" t="e">
        <f t="shared" si="16"/>
        <v>#DIV/0!</v>
      </c>
      <c r="AN27" s="50">
        <f t="shared" si="28"/>
        <v>0</v>
      </c>
      <c r="AO27" s="52" t="str">
        <f t="shared" si="17"/>
        <v/>
      </c>
      <c r="AP27" s="53"/>
      <c r="AQ27" s="49">
        <v>610</v>
      </c>
      <c r="AR27" s="37">
        <v>1982400</v>
      </c>
      <c r="AS27" s="38">
        <f t="shared" si="18"/>
        <v>3249.8360655737706</v>
      </c>
      <c r="AT27" s="37">
        <v>1073850</v>
      </c>
      <c r="AU27" s="39">
        <f t="shared" si="19"/>
        <v>1760.4098360655737</v>
      </c>
      <c r="AV27" s="39">
        <v>94380</v>
      </c>
      <c r="AW27" s="39"/>
      <c r="AX27" s="54">
        <f t="shared" si="32"/>
        <v>3150630</v>
      </c>
      <c r="AY27" s="52">
        <f t="shared" si="20"/>
        <v>5164.9672131147545</v>
      </c>
      <c r="AZ27" s="67">
        <f t="shared" si="21"/>
        <v>47</v>
      </c>
      <c r="BA27" s="44">
        <f t="shared" si="22"/>
        <v>2324420</v>
      </c>
      <c r="BB27" s="44">
        <f t="shared" si="23"/>
        <v>1125890</v>
      </c>
      <c r="BC27" s="56">
        <f t="shared" si="29"/>
        <v>3544690</v>
      </c>
      <c r="BD27" s="57">
        <f t="shared" si="31"/>
        <v>9900</v>
      </c>
      <c r="BE27" s="58">
        <v>47</v>
      </c>
      <c r="BF27" s="59">
        <v>342020</v>
      </c>
      <c r="BG27" s="59">
        <v>52040</v>
      </c>
      <c r="BH27" s="60">
        <v>9900</v>
      </c>
      <c r="BI27" s="60"/>
      <c r="BJ27" s="60">
        <v>6600</v>
      </c>
      <c r="BK27" s="60"/>
      <c r="BL27" s="61">
        <f t="shared" si="30"/>
        <v>403960</v>
      </c>
      <c r="BM27" s="32">
        <v>23</v>
      </c>
      <c r="BN27" s="62">
        <f t="shared" si="24"/>
        <v>403960</v>
      </c>
    </row>
    <row r="28" spans="2:68" ht="20" customHeight="1">
      <c r="B28" s="63">
        <f>B27+1</f>
        <v>45893</v>
      </c>
      <c r="C28" s="64"/>
      <c r="D28" s="35"/>
      <c r="E28" s="36">
        <v>25</v>
      </c>
      <c r="F28" s="37">
        <v>108020</v>
      </c>
      <c r="G28" s="38">
        <f t="shared" si="0"/>
        <v>3928</v>
      </c>
      <c r="H28" s="37">
        <v>26330</v>
      </c>
      <c r="I28" s="39">
        <f t="shared" si="26"/>
        <v>957.44</v>
      </c>
      <c r="J28" s="40">
        <f t="shared" si="1"/>
        <v>134350</v>
      </c>
      <c r="K28" s="41">
        <f t="shared" si="2"/>
        <v>5374</v>
      </c>
      <c r="L28" s="42"/>
      <c r="M28" s="43">
        <f t="shared" si="3"/>
        <v>21</v>
      </c>
      <c r="N28" s="44">
        <f t="shared" si="3"/>
        <v>204600</v>
      </c>
      <c r="O28" s="38">
        <f t="shared" si="4"/>
        <v>8857.1428571428569</v>
      </c>
      <c r="P28" s="44">
        <f t="shared" si="5"/>
        <v>59410</v>
      </c>
      <c r="Q28" s="39">
        <f>ROUNDDOWN(P28/1.1,0)/M28</f>
        <v>2571.8571428571427</v>
      </c>
      <c r="R28" s="45">
        <f t="shared" si="7"/>
        <v>264010</v>
      </c>
      <c r="S28" s="41">
        <f t="shared" si="8"/>
        <v>12571.904761904761</v>
      </c>
      <c r="T28" s="65">
        <f t="shared" si="9"/>
        <v>46</v>
      </c>
      <c r="U28" s="44">
        <f t="shared" si="9"/>
        <v>312620</v>
      </c>
      <c r="V28" s="44">
        <f t="shared" si="10"/>
        <v>85740</v>
      </c>
      <c r="W28" s="47">
        <f t="shared" si="27"/>
        <v>398360</v>
      </c>
      <c r="X28" s="66"/>
      <c r="Y28" s="48"/>
      <c r="Z28" s="49">
        <v>3</v>
      </c>
      <c r="AA28" s="49"/>
      <c r="AB28" s="37">
        <v>7500</v>
      </c>
      <c r="AC28" s="38">
        <f t="shared" si="11"/>
        <v>2500</v>
      </c>
      <c r="AD28" s="37">
        <v>750</v>
      </c>
      <c r="AE28" s="39">
        <f t="shared" si="12"/>
        <v>250</v>
      </c>
      <c r="AF28" s="50">
        <f t="shared" si="13"/>
        <v>8250</v>
      </c>
      <c r="AG28" s="41">
        <f t="shared" si="14"/>
        <v>2750</v>
      </c>
      <c r="AH28" s="51"/>
      <c r="AI28" s="49"/>
      <c r="AJ28" s="37"/>
      <c r="AK28" s="38" t="e">
        <f t="shared" si="15"/>
        <v>#DIV/0!</v>
      </c>
      <c r="AL28" s="37"/>
      <c r="AM28" s="39" t="e">
        <f t="shared" si="16"/>
        <v>#DIV/0!</v>
      </c>
      <c r="AN28" s="50">
        <f t="shared" si="28"/>
        <v>0</v>
      </c>
      <c r="AO28" s="52" t="str">
        <f t="shared" si="17"/>
        <v/>
      </c>
      <c r="AP28" s="53"/>
      <c r="AQ28" s="49">
        <v>318</v>
      </c>
      <c r="AR28" s="37">
        <v>933800</v>
      </c>
      <c r="AS28" s="38">
        <f t="shared" si="18"/>
        <v>2936.4779874213837</v>
      </c>
      <c r="AT28" s="37">
        <v>507800</v>
      </c>
      <c r="AU28" s="39">
        <f t="shared" si="19"/>
        <v>1596.8553459119496</v>
      </c>
      <c r="AV28" s="39">
        <v>27940</v>
      </c>
      <c r="AW28" s="39"/>
      <c r="AX28" s="54">
        <f t="shared" si="32"/>
        <v>1469540</v>
      </c>
      <c r="AY28" s="52">
        <f t="shared" si="20"/>
        <v>4621.1949685534591</v>
      </c>
      <c r="AZ28" s="67">
        <f t="shared" si="21"/>
        <v>46</v>
      </c>
      <c r="BA28" s="44">
        <f t="shared" si="22"/>
        <v>1253920</v>
      </c>
      <c r="BB28" s="44">
        <f t="shared" si="23"/>
        <v>594290</v>
      </c>
      <c r="BC28" s="56">
        <f t="shared" si="29"/>
        <v>1876150</v>
      </c>
      <c r="BD28" s="57">
        <f t="shared" si="31"/>
        <v>11000</v>
      </c>
      <c r="BE28" s="58">
        <v>46</v>
      </c>
      <c r="BF28" s="59">
        <v>312620</v>
      </c>
      <c r="BG28" s="59">
        <v>85740</v>
      </c>
      <c r="BH28" s="60">
        <v>11000</v>
      </c>
      <c r="BI28" s="60"/>
      <c r="BJ28" s="60"/>
      <c r="BK28" s="60"/>
      <c r="BL28" s="61">
        <f t="shared" si="30"/>
        <v>409360</v>
      </c>
      <c r="BM28" s="32">
        <v>24</v>
      </c>
      <c r="BN28" s="62">
        <f t="shared" si="24"/>
        <v>409360</v>
      </c>
    </row>
    <row r="29" spans="2:68" ht="20" customHeight="1">
      <c r="B29" s="63">
        <f t="shared" si="25"/>
        <v>45894</v>
      </c>
      <c r="C29" s="64"/>
      <c r="D29" s="35"/>
      <c r="E29" s="36">
        <v>28</v>
      </c>
      <c r="F29" s="37">
        <v>106700</v>
      </c>
      <c r="G29" s="38">
        <f t="shared" si="0"/>
        <v>3464.2857142857142</v>
      </c>
      <c r="H29" s="37">
        <v>22260</v>
      </c>
      <c r="I29" s="38">
        <f t="shared" si="26"/>
        <v>722.71428571428567</v>
      </c>
      <c r="J29" s="40">
        <f t="shared" si="1"/>
        <v>128960</v>
      </c>
      <c r="K29" s="41">
        <f t="shared" si="2"/>
        <v>4605.7142857142853</v>
      </c>
      <c r="L29" s="42"/>
      <c r="M29" s="43">
        <f t="shared" si="3"/>
        <v>9</v>
      </c>
      <c r="N29" s="44">
        <f t="shared" si="3"/>
        <v>87340</v>
      </c>
      <c r="O29" s="38">
        <f t="shared" si="4"/>
        <v>8822.2222222222226</v>
      </c>
      <c r="P29" s="44">
        <f t="shared" si="5"/>
        <v>25550</v>
      </c>
      <c r="Q29" s="39">
        <f t="shared" si="6"/>
        <v>2580.7777777777778</v>
      </c>
      <c r="R29" s="45">
        <f t="shared" si="7"/>
        <v>112890</v>
      </c>
      <c r="S29" s="41">
        <f t="shared" si="8"/>
        <v>12543.333333333334</v>
      </c>
      <c r="T29" s="65">
        <f t="shared" si="9"/>
        <v>37</v>
      </c>
      <c r="U29" s="44">
        <f t="shared" si="9"/>
        <v>194040</v>
      </c>
      <c r="V29" s="44">
        <f t="shared" si="10"/>
        <v>47810</v>
      </c>
      <c r="W29" s="47">
        <f t="shared" si="27"/>
        <v>241850</v>
      </c>
      <c r="X29" s="66"/>
      <c r="Y29" s="48"/>
      <c r="Z29" s="49">
        <v>2</v>
      </c>
      <c r="AA29" s="49"/>
      <c r="AB29" s="37">
        <v>5000</v>
      </c>
      <c r="AC29" s="38">
        <f t="shared" si="11"/>
        <v>2500</v>
      </c>
      <c r="AD29" s="37">
        <v>500</v>
      </c>
      <c r="AE29" s="39">
        <f t="shared" si="12"/>
        <v>250</v>
      </c>
      <c r="AF29" s="50">
        <f t="shared" si="13"/>
        <v>5500</v>
      </c>
      <c r="AG29" s="41">
        <f t="shared" si="14"/>
        <v>2750</v>
      </c>
      <c r="AH29" s="51"/>
      <c r="AI29" s="49"/>
      <c r="AJ29" s="37"/>
      <c r="AK29" s="38" t="e">
        <f t="shared" si="15"/>
        <v>#DIV/0!</v>
      </c>
      <c r="AL29" s="37"/>
      <c r="AM29" s="39" t="e">
        <f t="shared" si="16"/>
        <v>#DIV/0!</v>
      </c>
      <c r="AN29" s="50">
        <f t="shared" si="28"/>
        <v>0</v>
      </c>
      <c r="AO29" s="52" t="str">
        <f t="shared" si="17"/>
        <v/>
      </c>
      <c r="AP29" s="53"/>
      <c r="AQ29" s="49">
        <v>225</v>
      </c>
      <c r="AR29" s="37">
        <v>623750</v>
      </c>
      <c r="AS29" s="38">
        <f t="shared" si="18"/>
        <v>2772.2222222222222</v>
      </c>
      <c r="AT29" s="37">
        <v>339050</v>
      </c>
      <c r="AU29" s="39">
        <f t="shared" si="19"/>
        <v>1506.8888888888889</v>
      </c>
      <c r="AV29" s="39">
        <v>16060</v>
      </c>
      <c r="AW29" s="39"/>
      <c r="AX29" s="54">
        <f t="shared" si="32"/>
        <v>978860</v>
      </c>
      <c r="AY29" s="52">
        <f t="shared" si="20"/>
        <v>4350.4888888888891</v>
      </c>
      <c r="AZ29" s="67">
        <f t="shared" si="21"/>
        <v>37</v>
      </c>
      <c r="BA29" s="44">
        <f t="shared" si="22"/>
        <v>822790</v>
      </c>
      <c r="BB29" s="44">
        <f t="shared" si="23"/>
        <v>387360</v>
      </c>
      <c r="BC29" s="56">
        <f t="shared" si="29"/>
        <v>1226210</v>
      </c>
      <c r="BD29" s="57">
        <f t="shared" si="31"/>
        <v>4400</v>
      </c>
      <c r="BE29" s="58">
        <v>37</v>
      </c>
      <c r="BF29" s="59">
        <v>194040</v>
      </c>
      <c r="BG29" s="59">
        <v>47810</v>
      </c>
      <c r="BH29" s="60">
        <v>3300</v>
      </c>
      <c r="BI29" s="60">
        <v>1100</v>
      </c>
      <c r="BJ29" s="60">
        <v>3300</v>
      </c>
      <c r="BK29" s="60"/>
      <c r="BL29" s="61">
        <f t="shared" si="30"/>
        <v>246250</v>
      </c>
      <c r="BM29" s="32">
        <v>25</v>
      </c>
      <c r="BN29" s="62">
        <f t="shared" si="24"/>
        <v>246250</v>
      </c>
    </row>
    <row r="30" spans="2:68" ht="20" customHeight="1">
      <c r="B30" s="63">
        <f t="shared" si="25"/>
        <v>45895</v>
      </c>
      <c r="C30" s="64"/>
      <c r="D30" s="35"/>
      <c r="E30" s="36">
        <v>19</v>
      </c>
      <c r="F30" s="37">
        <v>68090</v>
      </c>
      <c r="G30" s="38">
        <f t="shared" si="0"/>
        <v>3257.8947368421054</v>
      </c>
      <c r="H30" s="37">
        <v>10900</v>
      </c>
      <c r="I30" s="38">
        <f t="shared" si="26"/>
        <v>521.52631578947364</v>
      </c>
      <c r="J30" s="40">
        <f t="shared" si="1"/>
        <v>78990</v>
      </c>
      <c r="K30" s="41">
        <f t="shared" si="2"/>
        <v>4157.3684210526317</v>
      </c>
      <c r="L30" s="42"/>
      <c r="M30" s="43">
        <f t="shared" si="3"/>
        <v>18</v>
      </c>
      <c r="N30" s="44">
        <f t="shared" si="3"/>
        <v>184980</v>
      </c>
      <c r="O30" s="38">
        <f t="shared" si="4"/>
        <v>9342.3888888888887</v>
      </c>
      <c r="P30" s="44">
        <f t="shared" si="5"/>
        <v>31020</v>
      </c>
      <c r="Q30" s="38">
        <f t="shared" si="6"/>
        <v>1566.6666666666667</v>
      </c>
      <c r="R30" s="45">
        <f t="shared" si="7"/>
        <v>216000</v>
      </c>
      <c r="S30" s="41">
        <f t="shared" si="8"/>
        <v>12000</v>
      </c>
      <c r="T30" s="65">
        <f t="shared" si="9"/>
        <v>37</v>
      </c>
      <c r="U30" s="44">
        <f t="shared" si="9"/>
        <v>253070</v>
      </c>
      <c r="V30" s="44">
        <f t="shared" si="10"/>
        <v>41920</v>
      </c>
      <c r="W30" s="47">
        <f t="shared" si="27"/>
        <v>294990</v>
      </c>
      <c r="X30" s="66"/>
      <c r="Y30" s="48"/>
      <c r="Z30" s="49">
        <v>0</v>
      </c>
      <c r="AA30" s="49"/>
      <c r="AB30" s="37"/>
      <c r="AC30" s="38" t="e">
        <f t="shared" si="11"/>
        <v>#DIV/0!</v>
      </c>
      <c r="AD30" s="37"/>
      <c r="AE30" s="39" t="e">
        <f t="shared" si="12"/>
        <v>#DIV/0!</v>
      </c>
      <c r="AF30" s="50">
        <f t="shared" si="13"/>
        <v>0</v>
      </c>
      <c r="AG30" s="41" t="e">
        <f t="shared" si="14"/>
        <v>#DIV/0!</v>
      </c>
      <c r="AH30" s="51"/>
      <c r="AI30" s="49"/>
      <c r="AJ30" s="37"/>
      <c r="AK30" s="38" t="e">
        <f t="shared" si="15"/>
        <v>#DIV/0!</v>
      </c>
      <c r="AL30" s="37"/>
      <c r="AM30" s="39" t="e">
        <f t="shared" si="16"/>
        <v>#DIV/0!</v>
      </c>
      <c r="AN30" s="50">
        <f t="shared" si="28"/>
        <v>0</v>
      </c>
      <c r="AO30" s="52" t="str">
        <f t="shared" si="17"/>
        <v/>
      </c>
      <c r="AP30" s="53"/>
      <c r="AQ30" s="49">
        <v>192</v>
      </c>
      <c r="AR30" s="37">
        <v>573750</v>
      </c>
      <c r="AS30" s="38">
        <f t="shared" si="18"/>
        <v>2988.28125</v>
      </c>
      <c r="AT30" s="37">
        <v>288750</v>
      </c>
      <c r="AU30" s="39">
        <f t="shared" si="19"/>
        <v>1503.90625</v>
      </c>
      <c r="AV30" s="39">
        <v>1650</v>
      </c>
      <c r="AW30" s="39"/>
      <c r="AX30" s="54">
        <f t="shared" si="32"/>
        <v>864150</v>
      </c>
      <c r="AY30" s="52">
        <f t="shared" si="20"/>
        <v>4500.78125</v>
      </c>
      <c r="AZ30" s="67">
        <f t="shared" si="21"/>
        <v>37</v>
      </c>
      <c r="BA30" s="44">
        <f t="shared" si="22"/>
        <v>826820</v>
      </c>
      <c r="BB30" s="44">
        <f t="shared" si="23"/>
        <v>330670</v>
      </c>
      <c r="BC30" s="56">
        <f t="shared" si="29"/>
        <v>1159140</v>
      </c>
      <c r="BD30" s="57">
        <f>BH30+BI30</f>
        <v>0</v>
      </c>
      <c r="BE30" s="58">
        <v>37</v>
      </c>
      <c r="BF30" s="59">
        <v>253070</v>
      </c>
      <c r="BG30" s="59">
        <v>41920</v>
      </c>
      <c r="BH30" s="60"/>
      <c r="BI30" s="60"/>
      <c r="BJ30" s="60"/>
      <c r="BK30" s="60"/>
      <c r="BL30" s="61">
        <f t="shared" si="30"/>
        <v>294990</v>
      </c>
      <c r="BM30" s="32">
        <v>26</v>
      </c>
      <c r="BN30" s="62">
        <f t="shared" si="24"/>
        <v>294990</v>
      </c>
    </row>
    <row r="31" spans="2:68" ht="20" customHeight="1">
      <c r="B31" s="63">
        <f t="shared" si="25"/>
        <v>45896</v>
      </c>
      <c r="C31" s="64"/>
      <c r="D31" s="35"/>
      <c r="E31" s="36">
        <v>23</v>
      </c>
      <c r="F31" s="37">
        <v>83380</v>
      </c>
      <c r="G31" s="38">
        <f t="shared" si="0"/>
        <v>3295.6521739130435</v>
      </c>
      <c r="H31" s="37">
        <v>15790</v>
      </c>
      <c r="I31" s="38">
        <f t="shared" si="26"/>
        <v>624.08695652173913</v>
      </c>
      <c r="J31" s="40">
        <f t="shared" si="1"/>
        <v>99170</v>
      </c>
      <c r="K31" s="41">
        <f t="shared" si="2"/>
        <v>4311.739130434783</v>
      </c>
      <c r="L31" s="42"/>
      <c r="M31" s="43">
        <f t="shared" si="3"/>
        <v>31</v>
      </c>
      <c r="N31" s="44">
        <f t="shared" si="3"/>
        <v>336380</v>
      </c>
      <c r="O31" s="38">
        <f t="shared" si="4"/>
        <v>9864.5161290322576</v>
      </c>
      <c r="P31" s="44">
        <f t="shared" si="5"/>
        <v>104440</v>
      </c>
      <c r="Q31" s="38">
        <f t="shared" si="6"/>
        <v>3062.7419354838707</v>
      </c>
      <c r="R31" s="45">
        <f t="shared" si="7"/>
        <v>440820</v>
      </c>
      <c r="S31" s="41">
        <f t="shared" si="8"/>
        <v>14220</v>
      </c>
      <c r="T31" s="65">
        <f t="shared" si="9"/>
        <v>54</v>
      </c>
      <c r="U31" s="44">
        <f t="shared" si="9"/>
        <v>419760</v>
      </c>
      <c r="V31" s="44">
        <f t="shared" si="10"/>
        <v>120230</v>
      </c>
      <c r="W31" s="47">
        <f t="shared" si="27"/>
        <v>539990</v>
      </c>
      <c r="X31" s="66"/>
      <c r="Y31" s="48"/>
      <c r="Z31" s="49">
        <v>0</v>
      </c>
      <c r="AA31" s="49"/>
      <c r="AB31" s="37"/>
      <c r="AC31" s="38" t="e">
        <f t="shared" si="11"/>
        <v>#DIV/0!</v>
      </c>
      <c r="AD31" s="37"/>
      <c r="AE31" s="39" t="e">
        <f t="shared" si="12"/>
        <v>#DIV/0!</v>
      </c>
      <c r="AF31" s="50">
        <f t="shared" si="13"/>
        <v>0</v>
      </c>
      <c r="AG31" s="41" t="e">
        <f t="shared" si="14"/>
        <v>#DIV/0!</v>
      </c>
      <c r="AH31" s="51"/>
      <c r="AI31" s="49"/>
      <c r="AJ31" s="37"/>
      <c r="AK31" s="38" t="e">
        <f t="shared" si="15"/>
        <v>#DIV/0!</v>
      </c>
      <c r="AL31" s="37"/>
      <c r="AM31" s="39" t="e">
        <f t="shared" si="16"/>
        <v>#DIV/0!</v>
      </c>
      <c r="AN31" s="50">
        <f t="shared" si="28"/>
        <v>0</v>
      </c>
      <c r="AO31" s="52" t="str">
        <f t="shared" si="17"/>
        <v/>
      </c>
      <c r="AP31" s="53"/>
      <c r="AQ31" s="49">
        <v>136</v>
      </c>
      <c r="AR31" s="37">
        <v>422750</v>
      </c>
      <c r="AS31" s="38">
        <f t="shared" si="18"/>
        <v>3108.455882352941</v>
      </c>
      <c r="AT31" s="37">
        <v>221050</v>
      </c>
      <c r="AU31" s="39">
        <f t="shared" si="19"/>
        <v>1625.3676470588234</v>
      </c>
      <c r="AV31" s="39">
        <v>4950</v>
      </c>
      <c r="AW31" s="39"/>
      <c r="AX31" s="54">
        <f t="shared" si="32"/>
        <v>648750</v>
      </c>
      <c r="AY31" s="52">
        <f t="shared" si="20"/>
        <v>4770.2205882352937</v>
      </c>
      <c r="AZ31" s="67">
        <f t="shared" si="21"/>
        <v>54</v>
      </c>
      <c r="BA31" s="44">
        <f t="shared" si="22"/>
        <v>842510</v>
      </c>
      <c r="BB31" s="44">
        <f t="shared" si="23"/>
        <v>341280</v>
      </c>
      <c r="BC31" s="56">
        <f t="shared" si="29"/>
        <v>1188740</v>
      </c>
      <c r="BD31" s="57">
        <f t="shared" ref="BD31:BD34" si="33">BH31+BI31</f>
        <v>0</v>
      </c>
      <c r="BE31" s="58">
        <v>54</v>
      </c>
      <c r="BF31" s="59">
        <v>419760</v>
      </c>
      <c r="BG31" s="59">
        <v>120230</v>
      </c>
      <c r="BH31" s="60"/>
      <c r="BI31" s="60"/>
      <c r="BJ31" s="60"/>
      <c r="BK31" s="60"/>
      <c r="BL31" s="61">
        <f t="shared" si="30"/>
        <v>539990</v>
      </c>
      <c r="BM31" s="32">
        <v>27</v>
      </c>
      <c r="BN31" s="62">
        <f t="shared" si="24"/>
        <v>539990</v>
      </c>
    </row>
    <row r="32" spans="2:68" ht="20" customHeight="1">
      <c r="B32" s="63">
        <f t="shared" si="25"/>
        <v>45897</v>
      </c>
      <c r="C32" s="64"/>
      <c r="D32" s="35"/>
      <c r="E32" s="36">
        <v>11</v>
      </c>
      <c r="F32" s="37">
        <v>52800</v>
      </c>
      <c r="G32" s="38">
        <f t="shared" si="0"/>
        <v>4363.636363636364</v>
      </c>
      <c r="H32" s="37">
        <v>10450</v>
      </c>
      <c r="I32" s="38">
        <f t="shared" si="26"/>
        <v>863.63636363636363</v>
      </c>
      <c r="J32" s="40">
        <f t="shared" si="1"/>
        <v>63250</v>
      </c>
      <c r="K32" s="41">
        <f t="shared" si="2"/>
        <v>5750</v>
      </c>
      <c r="L32" s="42"/>
      <c r="M32" s="43">
        <f t="shared" si="3"/>
        <v>15</v>
      </c>
      <c r="N32" s="44">
        <f t="shared" si="3"/>
        <v>177760</v>
      </c>
      <c r="O32" s="38">
        <f t="shared" si="4"/>
        <v>10773.333333333334</v>
      </c>
      <c r="P32" s="44">
        <f t="shared" si="5"/>
        <v>41740</v>
      </c>
      <c r="Q32" s="38">
        <f t="shared" si="6"/>
        <v>2529.6666666666665</v>
      </c>
      <c r="R32" s="45">
        <f t="shared" si="7"/>
        <v>219500</v>
      </c>
      <c r="S32" s="41">
        <f t="shared" si="8"/>
        <v>14633.333333333334</v>
      </c>
      <c r="T32" s="65">
        <f t="shared" si="9"/>
        <v>26</v>
      </c>
      <c r="U32" s="44">
        <f t="shared" si="9"/>
        <v>230560</v>
      </c>
      <c r="V32" s="44">
        <f t="shared" si="10"/>
        <v>52190</v>
      </c>
      <c r="W32" s="47">
        <f t="shared" si="27"/>
        <v>282750</v>
      </c>
      <c r="X32" s="66"/>
      <c r="Y32" s="48"/>
      <c r="Z32" s="49">
        <v>4</v>
      </c>
      <c r="AA32" s="49"/>
      <c r="AB32" s="37">
        <v>10000</v>
      </c>
      <c r="AC32" s="38">
        <f t="shared" si="11"/>
        <v>2500</v>
      </c>
      <c r="AD32" s="37">
        <v>1000</v>
      </c>
      <c r="AE32" s="39">
        <f t="shared" si="12"/>
        <v>250</v>
      </c>
      <c r="AF32" s="50">
        <f t="shared" si="13"/>
        <v>11000</v>
      </c>
      <c r="AG32" s="41">
        <f t="shared" si="14"/>
        <v>2750</v>
      </c>
      <c r="AH32" s="51"/>
      <c r="AI32" s="49"/>
      <c r="AJ32" s="37"/>
      <c r="AK32" s="38" t="e">
        <f t="shared" si="15"/>
        <v>#DIV/0!</v>
      </c>
      <c r="AL32" s="37"/>
      <c r="AM32" s="39" t="e">
        <f t="shared" si="16"/>
        <v>#DIV/0!</v>
      </c>
      <c r="AN32" s="50">
        <f t="shared" si="28"/>
        <v>0</v>
      </c>
      <c r="AO32" s="52" t="str">
        <f t="shared" si="17"/>
        <v/>
      </c>
      <c r="AP32" s="53"/>
      <c r="AQ32" s="49">
        <v>312</v>
      </c>
      <c r="AR32" s="37">
        <v>945050</v>
      </c>
      <c r="AS32" s="38">
        <f t="shared" si="18"/>
        <v>3029.0064102564102</v>
      </c>
      <c r="AT32" s="37">
        <v>492200</v>
      </c>
      <c r="AU32" s="39">
        <f t="shared" si="19"/>
        <v>1577.5641025641025</v>
      </c>
      <c r="AV32" s="39">
        <v>26510</v>
      </c>
      <c r="AW32" s="39"/>
      <c r="AX32" s="54">
        <f t="shared" si="32"/>
        <v>1463760</v>
      </c>
      <c r="AY32" s="52">
        <f t="shared" si="20"/>
        <v>4691.5384615384619</v>
      </c>
      <c r="AZ32" s="67">
        <f t="shared" si="21"/>
        <v>26</v>
      </c>
      <c r="BA32" s="44">
        <f>U32+AB32+AJ32+AR32</f>
        <v>1185610</v>
      </c>
      <c r="BB32" s="44">
        <f t="shared" si="23"/>
        <v>545390</v>
      </c>
      <c r="BC32" s="56">
        <f t="shared" si="29"/>
        <v>1757510</v>
      </c>
      <c r="BD32" s="57">
        <f>BH32+BI32</f>
        <v>3300</v>
      </c>
      <c r="BE32" s="58">
        <v>26</v>
      </c>
      <c r="BF32" s="59">
        <v>230560</v>
      </c>
      <c r="BG32" s="59">
        <v>52190</v>
      </c>
      <c r="BH32" s="60"/>
      <c r="BI32" s="60">
        <v>3300</v>
      </c>
      <c r="BJ32" s="60"/>
      <c r="BK32" s="60"/>
      <c r="BL32" s="61">
        <f>SUM(BF32:BI32)</f>
        <v>286050</v>
      </c>
      <c r="BM32" s="32">
        <v>28</v>
      </c>
    </row>
    <row r="33" spans="2:66" ht="20" customHeight="1">
      <c r="B33" s="63">
        <f t="shared" si="25"/>
        <v>45898</v>
      </c>
      <c r="C33" s="64"/>
      <c r="D33" s="35"/>
      <c r="E33" s="36">
        <v>14</v>
      </c>
      <c r="F33" s="37">
        <v>50380</v>
      </c>
      <c r="G33" s="38">
        <f t="shared" si="0"/>
        <v>3271.4285714285716</v>
      </c>
      <c r="H33" s="37">
        <v>8320</v>
      </c>
      <c r="I33" s="38">
        <f t="shared" si="26"/>
        <v>540.21428571428567</v>
      </c>
      <c r="J33" s="40">
        <f t="shared" si="1"/>
        <v>58700</v>
      </c>
      <c r="K33" s="41">
        <f t="shared" si="2"/>
        <v>4192.8571428571431</v>
      </c>
      <c r="L33" s="42"/>
      <c r="M33" s="43">
        <f t="shared" si="3"/>
        <v>27</v>
      </c>
      <c r="N33" s="44">
        <f t="shared" si="3"/>
        <v>277420</v>
      </c>
      <c r="O33" s="38">
        <f t="shared" si="4"/>
        <v>9340.7407407407409</v>
      </c>
      <c r="P33" s="44">
        <f t="shared" si="5"/>
        <v>69750</v>
      </c>
      <c r="Q33" s="38">
        <f t="shared" si="6"/>
        <v>2348.4814814814813</v>
      </c>
      <c r="R33" s="45">
        <f t="shared" si="7"/>
        <v>347170</v>
      </c>
      <c r="S33" s="41">
        <f t="shared" si="8"/>
        <v>12858.148148148148</v>
      </c>
      <c r="T33" s="65">
        <f t="shared" si="9"/>
        <v>41</v>
      </c>
      <c r="U33" s="44">
        <f t="shared" si="9"/>
        <v>327800</v>
      </c>
      <c r="V33" s="44">
        <f t="shared" si="10"/>
        <v>78070</v>
      </c>
      <c r="W33" s="47">
        <f t="shared" si="27"/>
        <v>405870</v>
      </c>
      <c r="X33" s="66"/>
      <c r="Y33" s="48"/>
      <c r="Z33" s="49"/>
      <c r="AA33" s="49"/>
      <c r="AB33" s="37"/>
      <c r="AC33" s="38" t="e">
        <f t="shared" si="11"/>
        <v>#DIV/0!</v>
      </c>
      <c r="AD33" s="37"/>
      <c r="AE33" s="39" t="e">
        <f t="shared" si="12"/>
        <v>#DIV/0!</v>
      </c>
      <c r="AF33" s="50">
        <f t="shared" si="13"/>
        <v>0</v>
      </c>
      <c r="AG33" s="41" t="str">
        <f t="shared" si="14"/>
        <v/>
      </c>
      <c r="AH33" s="51"/>
      <c r="AI33" s="49"/>
      <c r="AJ33" s="37"/>
      <c r="AK33" s="38" t="e">
        <f t="shared" si="15"/>
        <v>#DIV/0!</v>
      </c>
      <c r="AL33" s="37"/>
      <c r="AM33" s="39" t="e">
        <f t="shared" si="16"/>
        <v>#DIV/0!</v>
      </c>
      <c r="AN33" s="50">
        <f t="shared" si="28"/>
        <v>0</v>
      </c>
      <c r="AO33" s="52" t="str">
        <f t="shared" si="17"/>
        <v/>
      </c>
      <c r="AP33" s="53"/>
      <c r="AQ33" s="49">
        <v>311</v>
      </c>
      <c r="AR33" s="37">
        <v>986850</v>
      </c>
      <c r="AS33" s="38">
        <f t="shared" si="18"/>
        <v>3173.1511254019292</v>
      </c>
      <c r="AT33" s="37">
        <v>518650</v>
      </c>
      <c r="AU33" s="39">
        <f t="shared" si="19"/>
        <v>1667.684887459807</v>
      </c>
      <c r="AV33" s="39">
        <v>48510</v>
      </c>
      <c r="AW33" s="39"/>
      <c r="AX33" s="54">
        <f t="shared" si="32"/>
        <v>1554010</v>
      </c>
      <c r="AY33" s="52">
        <f t="shared" si="20"/>
        <v>4996.8167202572349</v>
      </c>
      <c r="AZ33" s="67">
        <f t="shared" si="21"/>
        <v>41</v>
      </c>
      <c r="BA33" s="44">
        <f t="shared" si="22"/>
        <v>1314650</v>
      </c>
      <c r="BB33" s="44">
        <f t="shared" si="23"/>
        <v>596720</v>
      </c>
      <c r="BC33" s="56">
        <f t="shared" si="29"/>
        <v>1959880</v>
      </c>
      <c r="BD33" s="57">
        <f t="shared" si="33"/>
        <v>9350</v>
      </c>
      <c r="BE33" s="58">
        <v>41</v>
      </c>
      <c r="BF33" s="59">
        <v>327800</v>
      </c>
      <c r="BG33" s="59">
        <v>78070</v>
      </c>
      <c r="BH33" s="60">
        <v>6600</v>
      </c>
      <c r="BI33" s="60">
        <v>2750</v>
      </c>
      <c r="BJ33" s="60"/>
      <c r="BK33" s="60"/>
      <c r="BL33" s="61">
        <f t="shared" si="30"/>
        <v>415220</v>
      </c>
      <c r="BM33" s="32">
        <v>29</v>
      </c>
      <c r="BN33" s="62">
        <f t="shared" si="24"/>
        <v>415220</v>
      </c>
    </row>
    <row r="34" spans="2:66" ht="20" customHeight="1">
      <c r="B34" s="63">
        <f t="shared" si="25"/>
        <v>45899</v>
      </c>
      <c r="C34" s="64"/>
      <c r="D34" s="35"/>
      <c r="E34" s="36">
        <v>28</v>
      </c>
      <c r="F34" s="37">
        <v>121440</v>
      </c>
      <c r="G34" s="38">
        <f t="shared" si="0"/>
        <v>3942.8571428571427</v>
      </c>
      <c r="H34" s="37">
        <v>24970</v>
      </c>
      <c r="I34" s="38">
        <f t="shared" si="26"/>
        <v>810.71428571428567</v>
      </c>
      <c r="J34" s="40">
        <f t="shared" si="1"/>
        <v>146410</v>
      </c>
      <c r="K34" s="41">
        <f t="shared" si="2"/>
        <v>5228.9285714285716</v>
      </c>
      <c r="L34" s="42"/>
      <c r="M34" s="43">
        <f t="shared" si="3"/>
        <v>24</v>
      </c>
      <c r="N34" s="44">
        <f t="shared" si="3"/>
        <v>204380</v>
      </c>
      <c r="O34" s="38">
        <f t="shared" si="4"/>
        <v>7741.666666666667</v>
      </c>
      <c r="P34" s="44">
        <f t="shared" si="5"/>
        <v>47390</v>
      </c>
      <c r="Q34" s="38">
        <f t="shared" si="6"/>
        <v>1795.0416666666667</v>
      </c>
      <c r="R34" s="45">
        <f t="shared" si="7"/>
        <v>251770</v>
      </c>
      <c r="S34" s="41">
        <f t="shared" si="8"/>
        <v>10490.416666666666</v>
      </c>
      <c r="T34" s="65">
        <f t="shared" si="9"/>
        <v>52</v>
      </c>
      <c r="U34" s="44">
        <f t="shared" si="9"/>
        <v>325820</v>
      </c>
      <c r="V34" s="44">
        <f t="shared" si="10"/>
        <v>72360</v>
      </c>
      <c r="W34" s="47">
        <f t="shared" si="27"/>
        <v>398180</v>
      </c>
      <c r="X34" s="66"/>
      <c r="Y34" s="71"/>
      <c r="Z34" s="72"/>
      <c r="AA34" s="72"/>
      <c r="AB34" s="73"/>
      <c r="AC34" s="38" t="e">
        <f t="shared" si="11"/>
        <v>#DIV/0!</v>
      </c>
      <c r="AD34" s="73"/>
      <c r="AE34" s="39" t="e">
        <f t="shared" si="12"/>
        <v>#DIV/0!</v>
      </c>
      <c r="AF34" s="50">
        <f t="shared" si="13"/>
        <v>0</v>
      </c>
      <c r="AG34" s="41" t="str">
        <f t="shared" si="14"/>
        <v/>
      </c>
      <c r="AH34" s="51"/>
      <c r="AI34" s="49">
        <v>15</v>
      </c>
      <c r="AJ34" s="37">
        <v>58725</v>
      </c>
      <c r="AK34" s="38">
        <f t="shared" si="15"/>
        <v>3915</v>
      </c>
      <c r="AL34" s="37">
        <v>19575</v>
      </c>
      <c r="AM34" s="39">
        <f t="shared" si="16"/>
        <v>1305</v>
      </c>
      <c r="AN34" s="50">
        <f t="shared" si="28"/>
        <v>78300</v>
      </c>
      <c r="AO34" s="52">
        <f t="shared" si="17"/>
        <v>5220</v>
      </c>
      <c r="AP34" s="53"/>
      <c r="AQ34" s="72">
        <v>364</v>
      </c>
      <c r="AR34" s="73">
        <v>1046200</v>
      </c>
      <c r="AS34" s="38">
        <f t="shared" si="18"/>
        <v>2874.1758241758243</v>
      </c>
      <c r="AT34" s="73">
        <v>556800</v>
      </c>
      <c r="AU34" s="39">
        <f t="shared" si="19"/>
        <v>1529.6703296703297</v>
      </c>
      <c r="AV34" s="39">
        <v>33990</v>
      </c>
      <c r="AW34" s="39"/>
      <c r="AX34" s="54">
        <f t="shared" si="32"/>
        <v>1636990</v>
      </c>
      <c r="AY34" s="52">
        <f t="shared" si="20"/>
        <v>4497.2252747252751</v>
      </c>
      <c r="AZ34" s="67">
        <f t="shared" si="21"/>
        <v>52</v>
      </c>
      <c r="BA34" s="44">
        <f t="shared" si="22"/>
        <v>1430745</v>
      </c>
      <c r="BB34" s="44">
        <f t="shared" si="23"/>
        <v>648735</v>
      </c>
      <c r="BC34" s="56">
        <f t="shared" si="29"/>
        <v>2113470</v>
      </c>
      <c r="BD34" s="57">
        <f t="shared" si="33"/>
        <v>2200</v>
      </c>
      <c r="BE34" s="58">
        <v>52</v>
      </c>
      <c r="BF34" s="59">
        <v>325820</v>
      </c>
      <c r="BG34" s="59">
        <v>72360</v>
      </c>
      <c r="BH34" s="60">
        <v>2200</v>
      </c>
      <c r="BI34" s="60"/>
      <c r="BJ34" s="60"/>
      <c r="BK34" s="60"/>
      <c r="BL34" s="61">
        <f t="shared" si="30"/>
        <v>400380</v>
      </c>
      <c r="BM34" s="32">
        <v>30</v>
      </c>
      <c r="BN34" s="62">
        <f t="shared" si="24"/>
        <v>400380</v>
      </c>
    </row>
    <row r="35" spans="2:66" ht="20" customHeight="1" thickBot="1">
      <c r="B35" s="63">
        <f t="shared" si="25"/>
        <v>45900</v>
      </c>
      <c r="C35" s="64"/>
      <c r="D35" s="35"/>
      <c r="E35" s="36">
        <v>18</v>
      </c>
      <c r="F35" s="37">
        <v>79750</v>
      </c>
      <c r="G35" s="38">
        <f t="shared" si="0"/>
        <v>4027.7777777777778</v>
      </c>
      <c r="H35" s="37">
        <v>6780</v>
      </c>
      <c r="I35" s="38">
        <f t="shared" si="26"/>
        <v>342.38888888888891</v>
      </c>
      <c r="J35" s="40">
        <f t="shared" si="1"/>
        <v>86530</v>
      </c>
      <c r="K35" s="41">
        <f t="shared" si="2"/>
        <v>4807.2222222222226</v>
      </c>
      <c r="L35" s="42"/>
      <c r="M35" s="74">
        <f t="shared" si="3"/>
        <v>13</v>
      </c>
      <c r="N35" s="44">
        <f t="shared" si="3"/>
        <v>114250</v>
      </c>
      <c r="O35" s="38">
        <f t="shared" si="4"/>
        <v>7989.4615384615381</v>
      </c>
      <c r="P35" s="44">
        <f t="shared" si="5"/>
        <v>15030</v>
      </c>
      <c r="Q35" s="38">
        <f t="shared" si="6"/>
        <v>1051</v>
      </c>
      <c r="R35" s="45">
        <f t="shared" si="7"/>
        <v>129280</v>
      </c>
      <c r="S35" s="41">
        <f t="shared" si="8"/>
        <v>9944.6153846153848</v>
      </c>
      <c r="T35" s="75">
        <f t="shared" si="9"/>
        <v>31</v>
      </c>
      <c r="U35" s="76">
        <f t="shared" si="9"/>
        <v>194000</v>
      </c>
      <c r="V35" s="76">
        <f t="shared" si="10"/>
        <v>21810</v>
      </c>
      <c r="W35" s="47">
        <f t="shared" si="27"/>
        <v>215810</v>
      </c>
      <c r="X35" s="76"/>
      <c r="Y35" s="78"/>
      <c r="Z35" s="79">
        <v>2</v>
      </c>
      <c r="AA35" s="79"/>
      <c r="AB35" s="80">
        <v>5000</v>
      </c>
      <c r="AC35" s="81">
        <f t="shared" si="11"/>
        <v>2500</v>
      </c>
      <c r="AD35" s="80">
        <v>500</v>
      </c>
      <c r="AE35" s="82">
        <f t="shared" si="12"/>
        <v>250</v>
      </c>
      <c r="AF35" s="83">
        <f t="shared" si="13"/>
        <v>5500</v>
      </c>
      <c r="AG35" s="41">
        <f t="shared" si="14"/>
        <v>2750</v>
      </c>
      <c r="AH35" s="84"/>
      <c r="AI35" s="79"/>
      <c r="AJ35" s="80"/>
      <c r="AK35" s="81" t="e">
        <f t="shared" si="15"/>
        <v>#DIV/0!</v>
      </c>
      <c r="AL35" s="80"/>
      <c r="AM35" s="82" t="e">
        <f t="shared" si="16"/>
        <v>#DIV/0!</v>
      </c>
      <c r="AN35" s="50">
        <f t="shared" si="28"/>
        <v>0</v>
      </c>
      <c r="AO35" s="52" t="str">
        <f t="shared" si="17"/>
        <v/>
      </c>
      <c r="AP35" s="85"/>
      <c r="AQ35" s="79">
        <v>521</v>
      </c>
      <c r="AR35" s="80">
        <v>1587200</v>
      </c>
      <c r="AS35" s="81">
        <f t="shared" si="18"/>
        <v>3046.4491362763915</v>
      </c>
      <c r="AT35" s="80">
        <v>857200</v>
      </c>
      <c r="AU35" s="82">
        <f t="shared" si="19"/>
        <v>1645.2975047984644</v>
      </c>
      <c r="AV35" s="82">
        <v>42240</v>
      </c>
      <c r="AW35" s="39"/>
      <c r="AX35" s="54">
        <f t="shared" si="32"/>
        <v>2486640</v>
      </c>
      <c r="AY35" s="52">
        <f t="shared" si="20"/>
        <v>4772.8214971209209</v>
      </c>
      <c r="AZ35" s="86">
        <f t="shared" si="21"/>
        <v>31</v>
      </c>
      <c r="BA35" s="44">
        <f t="shared" si="22"/>
        <v>1786200</v>
      </c>
      <c r="BB35" s="44">
        <f t="shared" si="23"/>
        <v>879510</v>
      </c>
      <c r="BC35" s="56">
        <f t="shared" si="29"/>
        <v>2707950</v>
      </c>
      <c r="BD35" s="57">
        <f t="shared" si="31"/>
        <v>0</v>
      </c>
      <c r="BE35" s="87">
        <v>31</v>
      </c>
      <c r="BF35" s="88">
        <v>194000</v>
      </c>
      <c r="BG35" s="88">
        <v>21810</v>
      </c>
      <c r="BH35" s="89"/>
      <c r="BI35" s="89"/>
      <c r="BJ35" s="89"/>
      <c r="BK35" s="89"/>
      <c r="BL35" s="61">
        <f t="shared" si="30"/>
        <v>215810</v>
      </c>
      <c r="BM35" s="32">
        <v>31</v>
      </c>
      <c r="BN35" s="62">
        <f t="shared" si="24"/>
        <v>215810</v>
      </c>
    </row>
    <row r="36" spans="2:66" s="112" customFormat="1" ht="20" customHeight="1" thickTop="1">
      <c r="B36" s="90" t="s">
        <v>28</v>
      </c>
      <c r="C36" s="91">
        <f>SUM(C5:C35)</f>
        <v>0</v>
      </c>
      <c r="D36" s="92">
        <f>SUM(D5:D35)</f>
        <v>0</v>
      </c>
      <c r="E36" s="93">
        <f>SUM(E5:E35)</f>
        <v>708</v>
      </c>
      <c r="F36" s="94">
        <f>SUM(F5:F35)</f>
        <v>2896770</v>
      </c>
      <c r="G36" s="95">
        <f>F36/E36</f>
        <v>4091.4830508474574</v>
      </c>
      <c r="H36" s="91">
        <f>SUM(H5:H35)</f>
        <v>547240</v>
      </c>
      <c r="I36" s="96">
        <f>H36/E36</f>
        <v>772.93785310734461</v>
      </c>
      <c r="J36" s="97">
        <f>SUM(J5:J35)</f>
        <v>3444010</v>
      </c>
      <c r="K36" s="98">
        <f>J36/E36</f>
        <v>4864.4209039548023</v>
      </c>
      <c r="L36" s="99">
        <f>SUM(L5:L35)</f>
        <v>0</v>
      </c>
      <c r="M36" s="93">
        <f>SUM(M5:M35)</f>
        <v>587</v>
      </c>
      <c r="N36" s="94">
        <f>SUM(N5:N35)</f>
        <v>5861580</v>
      </c>
      <c r="O36" s="95">
        <f>N36/M36</f>
        <v>9985.6558773424185</v>
      </c>
      <c r="P36" s="100">
        <f>SUM(P5:P35)</f>
        <v>1558920</v>
      </c>
      <c r="Q36" s="96">
        <f>P36/M36</f>
        <v>2655.741056218058</v>
      </c>
      <c r="R36" s="101">
        <f>SUM(R5:R35)</f>
        <v>7420500</v>
      </c>
      <c r="S36" s="102">
        <f>R36/M36</f>
        <v>12641.396933560476</v>
      </c>
      <c r="T36" s="93">
        <f t="shared" ref="T36:AB36" si="34">SUM(T5:T35)</f>
        <v>1295</v>
      </c>
      <c r="U36" s="100">
        <f t="shared" si="34"/>
        <v>8758350</v>
      </c>
      <c r="V36" s="100">
        <f t="shared" si="34"/>
        <v>2106160</v>
      </c>
      <c r="W36" s="97">
        <f>SUM(W5:W35)</f>
        <v>10853724</v>
      </c>
      <c r="X36" s="103">
        <f t="shared" si="34"/>
        <v>0</v>
      </c>
      <c r="Y36" s="92">
        <f t="shared" si="34"/>
        <v>0</v>
      </c>
      <c r="Z36" s="93">
        <f t="shared" si="34"/>
        <v>52</v>
      </c>
      <c r="AA36" s="104"/>
      <c r="AB36" s="95">
        <f t="shared" si="34"/>
        <v>128300</v>
      </c>
      <c r="AC36" s="95">
        <f>AB36/Z36</f>
        <v>2467.3076923076924</v>
      </c>
      <c r="AD36" s="91">
        <f>SUM(AD5:AD35)</f>
        <v>12750</v>
      </c>
      <c r="AE36" s="96">
        <f>AD36/Z36</f>
        <v>245.19230769230768</v>
      </c>
      <c r="AF36" s="101">
        <f>SUM(AF5:AF35)</f>
        <v>141050</v>
      </c>
      <c r="AG36" s="105">
        <f>AF36/Z36</f>
        <v>2712.5</v>
      </c>
      <c r="AH36" s="106">
        <f t="shared" ref="AH36:AJ36" si="35">SUM(AH5:AH35)</f>
        <v>0</v>
      </c>
      <c r="AI36" s="93">
        <f t="shared" si="35"/>
        <v>137</v>
      </c>
      <c r="AJ36" s="95">
        <f t="shared" si="35"/>
        <v>536355</v>
      </c>
      <c r="AK36" s="95"/>
      <c r="AL36" s="91">
        <f>SUM(AL5:AL35)</f>
        <v>178785</v>
      </c>
      <c r="AM36" s="96"/>
      <c r="AN36" s="101">
        <f>SUM(AN5:AN35)</f>
        <v>715140</v>
      </c>
      <c r="AO36" s="107">
        <f>AN36/AI36</f>
        <v>5220</v>
      </c>
      <c r="AP36" s="108">
        <f t="shared" ref="AP36:AR36" si="36">SUM(AP5:AP35)</f>
        <v>0</v>
      </c>
      <c r="AQ36" s="93">
        <f t="shared" si="36"/>
        <v>14547</v>
      </c>
      <c r="AR36" s="95">
        <f t="shared" si="36"/>
        <v>43333940</v>
      </c>
      <c r="AS36" s="95"/>
      <c r="AT36" s="91">
        <f>SUM(AT5:AT35)</f>
        <v>22769400</v>
      </c>
      <c r="AU36" s="96"/>
      <c r="AV36" s="91">
        <f>SUM(AV5:AV35)</f>
        <v>1474660</v>
      </c>
      <c r="AW36" s="91">
        <f>SUM(AW5:AW35)</f>
        <v>14850</v>
      </c>
      <c r="AX36" s="101">
        <f>SUM(AX5:AX35)</f>
        <v>67587650</v>
      </c>
      <c r="AY36" s="107">
        <f>AX36/AQ36</f>
        <v>4646.1572832886504</v>
      </c>
      <c r="AZ36" s="104">
        <f t="shared" ref="AZ36:BL36" si="37">SUM(AZ5:AZ35)</f>
        <v>1295</v>
      </c>
      <c r="BA36" s="100">
        <f t="shared" si="37"/>
        <v>52756945</v>
      </c>
      <c r="BB36" s="100">
        <f t="shared" si="37"/>
        <v>25067095</v>
      </c>
      <c r="BC36" s="101">
        <f>SUM(BC5:BC35)</f>
        <v>79297564</v>
      </c>
      <c r="BD36" s="109">
        <f t="shared" si="37"/>
        <v>186450</v>
      </c>
      <c r="BE36" s="110">
        <f t="shared" si="37"/>
        <v>1295</v>
      </c>
      <c r="BF36" s="110">
        <f t="shared" si="37"/>
        <v>8758350</v>
      </c>
      <c r="BG36" s="110">
        <f t="shared" si="37"/>
        <v>2106160</v>
      </c>
      <c r="BH36" s="110">
        <f t="shared" si="37"/>
        <v>155100</v>
      </c>
      <c r="BI36" s="110">
        <f t="shared" si="37"/>
        <v>31350</v>
      </c>
      <c r="BJ36" s="110">
        <f t="shared" si="37"/>
        <v>34700</v>
      </c>
      <c r="BK36" s="110">
        <f t="shared" si="37"/>
        <v>0</v>
      </c>
      <c r="BL36" s="111">
        <f t="shared" si="37"/>
        <v>11050960</v>
      </c>
      <c r="BN36" s="113">
        <f>SUM(BN5:BN35)</f>
        <v>10764910</v>
      </c>
    </row>
    <row r="37" spans="2:66" s="112" customFormat="1" ht="18">
      <c r="B37" s="114"/>
      <c r="E37" s="115" t="s">
        <v>41</v>
      </c>
      <c r="F37" s="116">
        <f>F36/1.1</f>
        <v>2633427.2727272725</v>
      </c>
      <c r="G37" s="117">
        <f>F37/E36</f>
        <v>3719.5300462249611</v>
      </c>
      <c r="H37" s="118">
        <f>H36/1.1</f>
        <v>497490.90909090906</v>
      </c>
      <c r="I37" s="117">
        <f>H37/E36</f>
        <v>702.67077555213143</v>
      </c>
      <c r="J37" s="119">
        <f>J36/1.1</f>
        <v>3130918.1818181816</v>
      </c>
      <c r="K37" s="120">
        <f>G37+I37</f>
        <v>4422.2008217770926</v>
      </c>
      <c r="L37" s="121"/>
      <c r="M37" s="115" t="s">
        <v>41</v>
      </c>
      <c r="N37" s="116">
        <f>N36/1.1</f>
        <v>5328709.0909090908</v>
      </c>
      <c r="O37" s="117">
        <f>N37/M36</f>
        <v>9077.8689794021993</v>
      </c>
      <c r="P37" s="118">
        <f>P36/1.1</f>
        <v>1417200</v>
      </c>
      <c r="Q37" s="117">
        <f>P37/M36</f>
        <v>2414.3100511073253</v>
      </c>
      <c r="R37" s="117">
        <f>R36/1.1</f>
        <v>6745909.0909090908</v>
      </c>
      <c r="S37" s="122">
        <f>R37/M36</f>
        <v>11492.179030509524</v>
      </c>
      <c r="T37" s="115" t="s">
        <v>41</v>
      </c>
      <c r="U37" s="116">
        <f>U36/1.1</f>
        <v>7962136.3636363633</v>
      </c>
      <c r="V37" s="116">
        <f>V36/1.1</f>
        <v>1914690.9090909089</v>
      </c>
      <c r="W37" s="119">
        <f>W36/1.1</f>
        <v>9867021.8181818165</v>
      </c>
      <c r="X37" s="123"/>
      <c r="Y37" s="121"/>
      <c r="Z37" s="115" t="s">
        <v>41</v>
      </c>
      <c r="AA37" s="115"/>
      <c r="AB37" s="116">
        <f>AB36/1.1</f>
        <v>116636.36363636363</v>
      </c>
      <c r="AC37" s="118">
        <f>AB37/Z36</f>
        <v>2243.0069930069931</v>
      </c>
      <c r="AD37" s="118">
        <f>AD36/1.1</f>
        <v>11590.90909090909</v>
      </c>
      <c r="AE37" s="118">
        <f>AD37/Z36</f>
        <v>222.90209790209789</v>
      </c>
      <c r="AF37" s="117">
        <f>AF36/1.1</f>
        <v>128227.27272727272</v>
      </c>
      <c r="AG37" s="124">
        <f>AF37/Z36</f>
        <v>2465.909090909091</v>
      </c>
      <c r="AH37" s="121"/>
      <c r="AI37" s="115" t="s">
        <v>41</v>
      </c>
      <c r="AJ37" s="116">
        <f>AJ36/1.1</f>
        <v>487595.45454545453</v>
      </c>
      <c r="AK37" s="118">
        <f>AJ37/AI36</f>
        <v>3559.090909090909</v>
      </c>
      <c r="AL37" s="118">
        <f>AL36/1.1</f>
        <v>162531.81818181818</v>
      </c>
      <c r="AM37" s="118">
        <f>AL37/AI36</f>
        <v>1186.3636363636363</v>
      </c>
      <c r="AN37" s="117">
        <f>AN36/1.1</f>
        <v>650127.27272727271</v>
      </c>
      <c r="AO37" s="125" t="e">
        <f>AN37/AH36</f>
        <v>#DIV/0!</v>
      </c>
      <c r="AP37" s="121"/>
      <c r="AQ37" s="115" t="s">
        <v>41</v>
      </c>
      <c r="AR37" s="116">
        <f>AR36/1.1</f>
        <v>39394490.909090906</v>
      </c>
      <c r="AS37" s="118">
        <f>AR37/AQ36</f>
        <v>2708.0835161264113</v>
      </c>
      <c r="AT37" s="118">
        <f>AT36/1.1</f>
        <v>20699454.545454543</v>
      </c>
      <c r="AU37" s="118">
        <f>AT37/AQ36</f>
        <v>1422.9363130167419</v>
      </c>
      <c r="AV37" s="118">
        <f>AV36/1.1</f>
        <v>1340600</v>
      </c>
      <c r="AW37" s="118">
        <f>AW36/1.1</f>
        <v>13499.999999999998</v>
      </c>
      <c r="AX37" s="117">
        <f>AX36/1.1</f>
        <v>61443318.18181818</v>
      </c>
      <c r="AY37" s="125">
        <f>AX37/AQ36</f>
        <v>4223.7793484442273</v>
      </c>
      <c r="AZ37" s="126" t="s">
        <v>41</v>
      </c>
      <c r="BA37" s="116">
        <f>BA36/1.1</f>
        <v>47960859.090909086</v>
      </c>
      <c r="BB37" s="116">
        <f>BB36/1.1</f>
        <v>22788268.18181818</v>
      </c>
      <c r="BC37" s="117">
        <f>BC36/1.1</f>
        <v>72088694.545454547</v>
      </c>
      <c r="BD37" s="127">
        <f>BD36/1.1</f>
        <v>169500</v>
      </c>
      <c r="BI37" s="128"/>
      <c r="BL37" s="129">
        <f>BL36/1.1</f>
        <v>10046327.272727272</v>
      </c>
      <c r="BN37" s="129"/>
    </row>
    <row r="38" spans="2:66">
      <c r="C38" s="32">
        <v>31</v>
      </c>
      <c r="E38" s="130" t="s">
        <v>42</v>
      </c>
      <c r="F38" s="131">
        <f>E36/G38</f>
        <v>22.838709677419356</v>
      </c>
      <c r="G38" s="132">
        <v>31</v>
      </c>
      <c r="H38" s="131"/>
      <c r="I38" s="131"/>
      <c r="J38" s="133" t="s">
        <v>43</v>
      </c>
      <c r="K38" s="134">
        <f>J37/G38</f>
        <v>100997.36070381232</v>
      </c>
      <c r="M38" s="130" t="s">
        <v>42</v>
      </c>
      <c r="N38" s="131">
        <f>M36/O38</f>
        <v>18.93548387096774</v>
      </c>
      <c r="O38" s="132">
        <f>G38</f>
        <v>31</v>
      </c>
      <c r="P38" s="131"/>
      <c r="Q38" s="131"/>
      <c r="R38" s="133" t="s">
        <v>43</v>
      </c>
      <c r="S38" s="135">
        <f>R37/O38</f>
        <v>217609.9706744868</v>
      </c>
      <c r="U38" s="136">
        <f>O38</f>
        <v>31</v>
      </c>
      <c r="W38" s="68">
        <f>W37/U38</f>
        <v>318291.02639296179</v>
      </c>
      <c r="X38" s="62"/>
      <c r="AB38" s="137">
        <f>G38</f>
        <v>31</v>
      </c>
      <c r="AC38" s="131"/>
      <c r="AD38" s="131"/>
      <c r="AE38" s="131"/>
      <c r="AF38" s="131"/>
      <c r="AG38" s="134">
        <f>AF37/AB38</f>
        <v>4136.363636363636</v>
      </c>
      <c r="AJ38" s="137">
        <f>AB38</f>
        <v>31</v>
      </c>
      <c r="AK38" s="131"/>
      <c r="AL38" s="131"/>
      <c r="AM38" s="131"/>
      <c r="AN38" s="131"/>
      <c r="AO38" s="134">
        <f>AN37/AJ38</f>
        <v>20971.847507331378</v>
      </c>
      <c r="AR38" s="137">
        <f>G38</f>
        <v>31</v>
      </c>
      <c r="AS38" s="131"/>
      <c r="AT38" s="131"/>
      <c r="AU38" s="131"/>
      <c r="AV38" s="131"/>
      <c r="AW38" s="131"/>
      <c r="AX38" s="131"/>
      <c r="AY38" s="134">
        <f>AX37/AR38</f>
        <v>1982042.5219941349</v>
      </c>
      <c r="BC38" s="68"/>
      <c r="BD38" s="62" t="e">
        <f>BC37/BE37</f>
        <v>#DIV/0!</v>
      </c>
      <c r="BE38" s="138">
        <f>AZ36+T36</f>
        <v>2590</v>
      </c>
      <c r="BH38" s="32">
        <f>BH36/1.1</f>
        <v>141000</v>
      </c>
      <c r="BI38" s="68"/>
    </row>
    <row r="39" spans="2:66">
      <c r="D39" s="139" t="s">
        <v>44</v>
      </c>
      <c r="E39" s="140"/>
      <c r="F39" s="131"/>
      <c r="G39" s="141"/>
      <c r="H39" s="131"/>
      <c r="I39" s="131"/>
      <c r="J39" s="133"/>
      <c r="K39" s="134"/>
      <c r="L39" s="142" t="s">
        <v>45</v>
      </c>
      <c r="M39" s="130"/>
      <c r="N39" s="131"/>
      <c r="O39" s="131"/>
      <c r="P39" s="131"/>
      <c r="Q39" s="131"/>
      <c r="R39" s="133"/>
      <c r="S39" s="134"/>
      <c r="V39" s="68">
        <f>V37/T36</f>
        <v>1478.5257985257983</v>
      </c>
      <c r="W39" s="68">
        <f>W37+AF37+BD37</f>
        <v>10164749.09090909</v>
      </c>
      <c r="X39" s="62"/>
      <c r="Y39" s="142" t="s">
        <v>46</v>
      </c>
      <c r="AB39" s="131"/>
      <c r="AC39" s="131"/>
      <c r="AD39" s="131"/>
      <c r="AE39" s="131"/>
      <c r="AF39" s="131"/>
      <c r="AG39" s="134"/>
      <c r="AH39" s="142" t="s">
        <v>47</v>
      </c>
      <c r="AJ39" s="131"/>
      <c r="AK39" s="131"/>
      <c r="AL39" s="131"/>
      <c r="AM39" s="131"/>
      <c r="AN39" s="131"/>
      <c r="AO39" s="134"/>
      <c r="AP39" s="142" t="s">
        <v>48</v>
      </c>
      <c r="AR39" s="131"/>
      <c r="AS39" s="131"/>
      <c r="AT39" s="131"/>
      <c r="AU39" s="131"/>
      <c r="AV39" s="131"/>
      <c r="AW39" s="131"/>
      <c r="AX39" s="131"/>
      <c r="AY39" s="134"/>
      <c r="BC39" s="62">
        <f>BC36+BD36</f>
        <v>79484014</v>
      </c>
      <c r="BD39" s="143">
        <f>BC39/G38</f>
        <v>2564000.4516129033</v>
      </c>
      <c r="BE39" s="32" t="s">
        <v>49</v>
      </c>
      <c r="BI39" s="68"/>
    </row>
    <row r="40" spans="2:66" ht="21.5" customHeight="1">
      <c r="C40" s="142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32">
        <v>25</v>
      </c>
      <c r="W40" s="62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BC40" s="144">
        <f>BC37+BD37</f>
        <v>72258194.545454547</v>
      </c>
    </row>
    <row r="41" spans="2:66" ht="21.5" customHeight="1">
      <c r="C41" s="142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32">
        <v>15</v>
      </c>
      <c r="V41" s="32">
        <f>17+10+14+5+7+8+9+6</f>
        <v>76</v>
      </c>
      <c r="W41" s="68">
        <f>W36-10786</f>
        <v>10842938</v>
      </c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BC41" s="62"/>
      <c r="BD41" s="143">
        <f>BC40/G38</f>
        <v>2330909.5014662757</v>
      </c>
      <c r="BE41" s="32" t="s">
        <v>50</v>
      </c>
      <c r="BF41" s="32">
        <v>9</v>
      </c>
    </row>
    <row r="42" spans="2:66" ht="21.5" customHeight="1">
      <c r="C42" s="142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32">
        <v>13</v>
      </c>
      <c r="W42" s="62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BF42" s="32">
        <v>8</v>
      </c>
      <c r="BG42" s="68">
        <f>AT37</f>
        <v>20699454.545454543</v>
      </c>
    </row>
    <row r="43" spans="2:66" ht="21.5" customHeight="1">
      <c r="C43" s="142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32">
        <v>10</v>
      </c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BC43" s="68">
        <f>BC37+BD37</f>
        <v>72258194.545454547</v>
      </c>
      <c r="BD43" s="145" t="s">
        <v>51</v>
      </c>
      <c r="BF43" s="32">
        <v>7</v>
      </c>
      <c r="BG43" s="146">
        <f>'[1]2023(7)'!AS37</f>
        <v>15843636.363636361</v>
      </c>
      <c r="BH43" s="146">
        <v>6266320</v>
      </c>
      <c r="BI43" s="147">
        <f>BH43/BG43</f>
        <v>0.39551021344962134</v>
      </c>
    </row>
    <row r="44" spans="2:66" ht="21.5" customHeight="1">
      <c r="C44" s="142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32">
        <v>40</v>
      </c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BA44" s="112"/>
      <c r="BB44" s="148" t="s">
        <v>52</v>
      </c>
      <c r="BC44" s="129">
        <f>J45+R45+AF45+BD44+AN45+AX45</f>
        <v>67830596</v>
      </c>
      <c r="BD44" s="149">
        <v>110000</v>
      </c>
      <c r="BE44" s="112"/>
      <c r="BF44" s="32">
        <v>6</v>
      </c>
      <c r="BG44" s="146">
        <v>7119727</v>
      </c>
      <c r="BH44" s="146">
        <v>2680643</v>
      </c>
      <c r="BI44" s="147">
        <f t="shared" ref="BI44:BI45" si="38">BH44/BG44</f>
        <v>0.37650923975034434</v>
      </c>
      <c r="BJ44" s="32" t="s">
        <v>53</v>
      </c>
    </row>
    <row r="45" spans="2:66" ht="21" customHeight="1">
      <c r="H45" s="150"/>
      <c r="I45" s="151" t="s">
        <v>54</v>
      </c>
      <c r="J45" s="129">
        <v>3520000</v>
      </c>
      <c r="K45" s="152" t="s">
        <v>55</v>
      </c>
      <c r="L45" s="112"/>
      <c r="M45" s="112"/>
      <c r="N45" s="112"/>
      <c r="O45" s="112"/>
      <c r="P45" s="112"/>
      <c r="Q45" s="151" t="s">
        <v>56</v>
      </c>
      <c r="R45" s="129">
        <v>5850000</v>
      </c>
      <c r="S45" s="152" t="s">
        <v>55</v>
      </c>
      <c r="T45" s="112">
        <v>10</v>
      </c>
      <c r="U45" s="112"/>
      <c r="V45" s="151" t="s">
        <v>57</v>
      </c>
      <c r="W45" s="129">
        <f>J45+R45</f>
        <v>9370000</v>
      </c>
      <c r="X45" s="152" t="s">
        <v>55</v>
      </c>
      <c r="Y45" s="112"/>
      <c r="Z45" s="112"/>
      <c r="AA45" s="112"/>
      <c r="AB45" s="112"/>
      <c r="AC45" s="112"/>
      <c r="AD45" s="112"/>
      <c r="AE45" s="150" t="s">
        <v>102</v>
      </c>
      <c r="AF45" s="129">
        <v>345400</v>
      </c>
      <c r="AG45" s="152" t="s">
        <v>55</v>
      </c>
      <c r="AH45" s="152"/>
      <c r="AI45" s="152"/>
      <c r="AJ45" s="152"/>
      <c r="AK45" s="152"/>
      <c r="AL45" s="112"/>
      <c r="AM45" s="151" t="s">
        <v>58</v>
      </c>
      <c r="AN45" s="129">
        <v>1165196</v>
      </c>
      <c r="AO45" s="152" t="s">
        <v>55</v>
      </c>
      <c r="AP45" s="152"/>
      <c r="AQ45" s="152"/>
      <c r="AR45" s="152"/>
      <c r="AS45" s="152"/>
      <c r="AT45" s="112"/>
      <c r="AU45" s="151" t="s">
        <v>59</v>
      </c>
      <c r="AV45" s="151"/>
      <c r="AW45" s="151"/>
      <c r="AX45" s="129">
        <v>56840000</v>
      </c>
      <c r="AY45" s="152" t="s">
        <v>55</v>
      </c>
      <c r="AZ45" s="112"/>
      <c r="BA45" s="112"/>
      <c r="BB45" s="148" t="s">
        <v>60</v>
      </c>
      <c r="BC45" s="128">
        <f>BC44-BC37-BD37</f>
        <v>-4427598.5454545468</v>
      </c>
      <c r="BD45" s="128">
        <f>BD44-BD37</f>
        <v>-59500</v>
      </c>
      <c r="BE45" s="153">
        <f>BD37/BD44</f>
        <v>1.540909090909091</v>
      </c>
      <c r="BF45" s="32">
        <v>5</v>
      </c>
      <c r="BG45" s="146">
        <v>637682</v>
      </c>
      <c r="BH45" s="146"/>
      <c r="BI45" s="147">
        <f t="shared" si="38"/>
        <v>0</v>
      </c>
      <c r="BJ45" s="62" t="s">
        <v>61</v>
      </c>
      <c r="BN45" s="32"/>
    </row>
    <row r="46" spans="2:66" ht="21" customHeight="1">
      <c r="H46" s="150"/>
      <c r="I46" s="150" t="s">
        <v>60</v>
      </c>
      <c r="J46" s="128">
        <f>J45-J37</f>
        <v>389081.81818181835</v>
      </c>
      <c r="K46" s="154">
        <f>C38-G38</f>
        <v>0</v>
      </c>
      <c r="L46" s="112"/>
      <c r="M46" s="112"/>
      <c r="N46" s="112"/>
      <c r="O46" s="112"/>
      <c r="P46" s="112"/>
      <c r="Q46" s="150" t="s">
        <v>60</v>
      </c>
      <c r="R46" s="128">
        <f>R45-R37</f>
        <v>-895909.09090909082</v>
      </c>
      <c r="S46" s="112">
        <f>K46</f>
        <v>0</v>
      </c>
      <c r="T46" s="112"/>
      <c r="U46" s="112"/>
      <c r="V46" s="150" t="s">
        <v>60</v>
      </c>
      <c r="W46" s="128">
        <f>W45-W37</f>
        <v>-497021.81818181649</v>
      </c>
      <c r="X46" s="112">
        <f>S46</f>
        <v>0</v>
      </c>
      <c r="Y46" s="112"/>
      <c r="Z46" s="112"/>
      <c r="AA46" s="112"/>
      <c r="AB46" s="112"/>
      <c r="AC46" s="112"/>
      <c r="AD46" s="112"/>
      <c r="AE46" s="150" t="s">
        <v>60</v>
      </c>
      <c r="AF46" s="128">
        <f>AF45-AF37</f>
        <v>217172.72727272729</v>
      </c>
      <c r="AG46" s="112">
        <f>K46</f>
        <v>0</v>
      </c>
      <c r="AH46" s="112"/>
      <c r="AI46" s="112"/>
      <c r="AJ46" s="112"/>
      <c r="AK46" s="112"/>
      <c r="AL46" s="112"/>
      <c r="AM46" s="150" t="s">
        <v>60</v>
      </c>
      <c r="AN46" s="128">
        <f>AN45-AN37</f>
        <v>515068.72727272729</v>
      </c>
      <c r="AO46" s="112">
        <f>AG46</f>
        <v>0</v>
      </c>
      <c r="AP46" s="112"/>
      <c r="AQ46" s="112"/>
      <c r="AR46" s="112"/>
      <c r="AS46" s="112"/>
      <c r="AT46" s="112"/>
      <c r="AU46" s="150" t="s">
        <v>60</v>
      </c>
      <c r="AV46" s="150"/>
      <c r="AW46" s="155"/>
      <c r="AX46" s="128">
        <f>AX45-AX37</f>
        <v>-4603318.1818181798</v>
      </c>
      <c r="AY46" s="112">
        <f>AO46</f>
        <v>0</v>
      </c>
      <c r="AZ46" s="112"/>
      <c r="BA46" s="156"/>
      <c r="BB46" s="157" t="s">
        <v>62</v>
      </c>
      <c r="BC46" s="158" t="e">
        <f>BC45/K46</f>
        <v>#DIV/0!</v>
      </c>
      <c r="BD46" s="159">
        <f>(BC37+BD37)/BC44</f>
        <v>1.0652743570977108</v>
      </c>
      <c r="BE46" s="156"/>
      <c r="BF46" s="160"/>
      <c r="BG46" s="161">
        <f>SUM(BG41:BG45)</f>
        <v>44300499.909090906</v>
      </c>
      <c r="BH46" s="162">
        <f>BL71</f>
        <v>9138052</v>
      </c>
      <c r="BI46" s="163">
        <f>BH46/BG46</f>
        <v>0.20627424112035314</v>
      </c>
      <c r="BJ46" s="164">
        <f>BG46-BH46</f>
        <v>35162447.909090906</v>
      </c>
      <c r="BN46" s="32"/>
    </row>
    <row r="47" spans="2:66" s="160" customFormat="1" ht="26" customHeight="1">
      <c r="B47" s="165"/>
      <c r="H47" s="166"/>
      <c r="I47" s="157" t="s">
        <v>62</v>
      </c>
      <c r="J47" s="167" t="e">
        <f>J46/K46</f>
        <v>#DIV/0!</v>
      </c>
      <c r="K47" s="168">
        <f>J37/J45</f>
        <v>0.88946539256198343</v>
      </c>
      <c r="L47" s="156"/>
      <c r="M47" s="156"/>
      <c r="N47" s="156"/>
      <c r="O47" s="156"/>
      <c r="P47" s="156"/>
      <c r="Q47" s="157" t="s">
        <v>62</v>
      </c>
      <c r="R47" s="158" t="e">
        <f>R46/S46</f>
        <v>#DIV/0!</v>
      </c>
      <c r="S47" s="168">
        <f>R37/R45</f>
        <v>1.1531468531468532</v>
      </c>
      <c r="T47" s="156"/>
      <c r="U47" s="156"/>
      <c r="V47" s="157" t="s">
        <v>62</v>
      </c>
      <c r="W47" s="158" t="e">
        <f>W46/X46</f>
        <v>#DIV/0!</v>
      </c>
      <c r="X47" s="168">
        <f>W37/W45</f>
        <v>1.0530439507131075</v>
      </c>
      <c r="Y47" s="156"/>
      <c r="Z47" s="156"/>
      <c r="AA47" s="156"/>
      <c r="AB47" s="156"/>
      <c r="AC47" s="156"/>
      <c r="AD47" s="156"/>
      <c r="AE47" s="157" t="s">
        <v>62</v>
      </c>
      <c r="AF47" s="167" t="e">
        <f>AF46/AG46</f>
        <v>#DIV/0!</v>
      </c>
      <c r="AG47" s="168">
        <f>AF37/AF45</f>
        <v>0.37124282781491813</v>
      </c>
      <c r="AH47" s="168"/>
      <c r="AI47" s="168"/>
      <c r="AJ47" s="168"/>
      <c r="AK47" s="168"/>
      <c r="AL47" s="156"/>
      <c r="AM47" s="157" t="s">
        <v>62</v>
      </c>
      <c r="AN47" s="158" t="e">
        <f>AN46/AO46</f>
        <v>#DIV/0!</v>
      </c>
      <c r="AO47" s="168">
        <f>AN37/AN45</f>
        <v>0.55795529054963522</v>
      </c>
      <c r="AP47" s="168"/>
      <c r="AQ47" s="168"/>
      <c r="AR47" s="168"/>
      <c r="AS47" s="168"/>
      <c r="AT47" s="156"/>
      <c r="AU47" s="157" t="s">
        <v>62</v>
      </c>
      <c r="AV47" s="157"/>
      <c r="AW47" s="157" t="e">
        <f>AW46/AY46</f>
        <v>#DIV/0!</v>
      </c>
      <c r="AX47" s="158" t="e">
        <f>AX46/AY46</f>
        <v>#DIV/0!</v>
      </c>
      <c r="AY47" s="168">
        <f>AX37/AX45</f>
        <v>1.0809873008764634</v>
      </c>
      <c r="AZ47" s="156"/>
      <c r="BA47" s="32"/>
      <c r="BB47" s="32"/>
      <c r="BC47" s="68"/>
      <c r="BD47" s="32"/>
      <c r="BE47" s="32"/>
      <c r="BF47" s="32"/>
      <c r="BJ47" s="169"/>
      <c r="BL47" s="169"/>
    </row>
    <row r="48" spans="2:66">
      <c r="H48" s="32">
        <v>931</v>
      </c>
      <c r="I48" s="32">
        <f>H48/31</f>
        <v>30.032258064516128</v>
      </c>
      <c r="K48" s="32">
        <f>J45/31</f>
        <v>113548.3870967742</v>
      </c>
      <c r="P48" s="32">
        <v>557</v>
      </c>
      <c r="Q48" s="32">
        <f>P48/31</f>
        <v>17.967741935483872</v>
      </c>
      <c r="S48" s="32">
        <f>R45/31</f>
        <v>188709.67741935485</v>
      </c>
      <c r="AY48" s="32" t="e">
        <f>AX37/AW45</f>
        <v>#DIV/0!</v>
      </c>
      <c r="BA48" s="170"/>
      <c r="BB48" s="170"/>
      <c r="BC48" s="170"/>
      <c r="BD48" s="170"/>
      <c r="BE48" s="170"/>
      <c r="BF48" s="170"/>
      <c r="BJ48" s="62"/>
      <c r="BN48" s="32"/>
    </row>
    <row r="49" spans="2:64" s="170" customFormat="1" ht="24" customHeight="1">
      <c r="B49" s="171"/>
      <c r="I49" s="170" t="s">
        <v>63</v>
      </c>
      <c r="J49" s="172">
        <f>(I5+I8+I9+I10+I11+I12+I15+I16+I17+I18+I19+I22+I23+I24+I25+I26)/16</f>
        <v>602.398654789847</v>
      </c>
      <c r="K49" s="170">
        <v>800000</v>
      </c>
      <c r="L49" s="173"/>
      <c r="M49" s="32"/>
      <c r="N49" s="32"/>
      <c r="O49" s="32"/>
      <c r="P49" s="32"/>
      <c r="Q49" s="32"/>
      <c r="R49" s="173">
        <v>400000</v>
      </c>
      <c r="AF49" s="170">
        <f>AF45/30</f>
        <v>11513.333333333334</v>
      </c>
      <c r="AR49" s="174">
        <f>AQ14+AQ21</f>
        <v>988</v>
      </c>
      <c r="AS49" s="175">
        <f>AS14+AS21</f>
        <v>6251.2055378061768</v>
      </c>
      <c r="AT49" s="175">
        <f>AU14+AU21</f>
        <v>3145.0351437699683</v>
      </c>
      <c r="AX49" s="170">
        <f>AX45/30</f>
        <v>1894666.6666666667</v>
      </c>
      <c r="BA49" s="1"/>
      <c r="BB49" s="1"/>
      <c r="BC49" s="1"/>
      <c r="BD49" s="1"/>
      <c r="BE49" s="176" t="s">
        <v>64</v>
      </c>
      <c r="BF49" s="1" t="s">
        <v>65</v>
      </c>
      <c r="BG49" s="1" t="s">
        <v>66</v>
      </c>
      <c r="BH49" s="1" t="s">
        <v>67</v>
      </c>
      <c r="BI49" s="1" t="s">
        <v>68</v>
      </c>
      <c r="BJ49" s="177" t="s">
        <v>69</v>
      </c>
      <c r="BK49" s="177" t="s">
        <v>70</v>
      </c>
      <c r="BL49" s="177" t="s">
        <v>71</v>
      </c>
    </row>
    <row r="50" spans="2:64" s="1" customFormat="1" ht="24" customHeight="1">
      <c r="B50" s="171"/>
      <c r="I50" s="1" t="s">
        <v>72</v>
      </c>
      <c r="J50" s="172">
        <f>(I6+I7+I13+I14+I20+I21+I27)/7</f>
        <v>850.85338856725718</v>
      </c>
      <c r="L50" s="178"/>
      <c r="M50" s="32"/>
      <c r="N50" s="32"/>
      <c r="O50" s="32"/>
      <c r="P50" s="32"/>
      <c r="Q50" s="32"/>
      <c r="R50" s="178"/>
      <c r="S50" s="178"/>
      <c r="Z50" s="179"/>
      <c r="AA50" s="179"/>
      <c r="AR50" s="1">
        <f>AR49/2</f>
        <v>494</v>
      </c>
      <c r="AS50" s="180">
        <f t="shared" ref="AS50:AT50" si="39">AS49/2</f>
        <v>3125.6027689030884</v>
      </c>
      <c r="AT50" s="180">
        <f t="shared" si="39"/>
        <v>1572.5175718849841</v>
      </c>
      <c r="AX50" s="1">
        <v>54000000</v>
      </c>
      <c r="AY50" s="181">
        <f>AX50-AX37</f>
        <v>-7443318.1818181798</v>
      </c>
      <c r="BA50" s="170"/>
      <c r="BB50" s="170"/>
      <c r="BC50" s="170"/>
      <c r="BD50" s="170"/>
      <c r="BE50" s="176" t="s">
        <v>73</v>
      </c>
      <c r="BF50" s="182">
        <v>1800</v>
      </c>
      <c r="BG50" s="182">
        <v>21</v>
      </c>
      <c r="BH50" s="183">
        <v>0</v>
      </c>
      <c r="BI50" s="182"/>
      <c r="BJ50" s="184">
        <f>BG50*BF50</f>
        <v>37800</v>
      </c>
      <c r="BK50" s="184">
        <f>BF50*BH50</f>
        <v>0</v>
      </c>
      <c r="BL50" s="184">
        <f>BJ50-BK50</f>
        <v>37800</v>
      </c>
    </row>
    <row r="51" spans="2:64" s="170" customFormat="1" ht="24" customHeight="1">
      <c r="B51" s="171"/>
      <c r="K51" s="1"/>
      <c r="L51" s="178"/>
      <c r="M51" s="32"/>
      <c r="N51" s="32"/>
      <c r="O51" s="32"/>
      <c r="P51" s="32"/>
      <c r="Q51" s="32"/>
      <c r="R51" s="185"/>
      <c r="S51" s="186"/>
      <c r="T51" s="186"/>
      <c r="U51" s="186" t="s">
        <v>74</v>
      </c>
      <c r="V51" s="186"/>
      <c r="W51" s="187"/>
      <c r="X51" s="188"/>
      <c r="Y51" s="176"/>
      <c r="Z51" s="184"/>
      <c r="AA51" s="184"/>
      <c r="AY51" s="170" t="e">
        <f>AY50/AY46</f>
        <v>#DIV/0!</v>
      </c>
      <c r="BE51" s="176" t="s">
        <v>75</v>
      </c>
      <c r="BF51" s="182">
        <v>10800</v>
      </c>
      <c r="BG51" s="182">
        <v>640</v>
      </c>
      <c r="BH51" s="182">
        <v>20</v>
      </c>
      <c r="BI51" s="182"/>
      <c r="BJ51" s="184">
        <f t="shared" ref="BJ51:BJ70" si="40">BF51*BG51</f>
        <v>6912000</v>
      </c>
      <c r="BK51" s="184">
        <f t="shared" ref="BK51:BK70" si="41">BF51*BH51</f>
        <v>216000</v>
      </c>
      <c r="BL51" s="184">
        <f t="shared" ref="BL51:BL70" si="42">BJ51-BK51</f>
        <v>6696000</v>
      </c>
    </row>
    <row r="52" spans="2:64" s="170" customFormat="1" ht="24" customHeight="1">
      <c r="B52" s="171"/>
      <c r="K52" s="1"/>
      <c r="L52" s="178"/>
      <c r="M52" s="32"/>
      <c r="N52" s="32"/>
      <c r="O52" s="32"/>
      <c r="P52" s="32"/>
      <c r="Q52" s="32"/>
      <c r="R52" s="187"/>
      <c r="S52" s="186"/>
      <c r="T52" s="186"/>
      <c r="U52" s="199" t="s">
        <v>76</v>
      </c>
      <c r="V52" s="189" t="s">
        <v>77</v>
      </c>
      <c r="W52" s="190"/>
      <c r="X52" s="191" t="e">
        <f>W52/Y52</f>
        <v>#DIV/0!</v>
      </c>
      <c r="Y52" s="200">
        <f>W52+W53</f>
        <v>0</v>
      </c>
      <c r="Z52" s="201"/>
      <c r="AA52" s="201"/>
      <c r="AB52" s="201"/>
      <c r="BE52" s="176" t="s">
        <v>78</v>
      </c>
      <c r="BF52" s="182">
        <v>6120</v>
      </c>
      <c r="BG52" s="182">
        <v>40</v>
      </c>
      <c r="BH52" s="182">
        <v>4</v>
      </c>
      <c r="BI52" s="182"/>
      <c r="BJ52" s="184">
        <f t="shared" si="40"/>
        <v>244800</v>
      </c>
      <c r="BK52" s="184">
        <f t="shared" si="41"/>
        <v>24480</v>
      </c>
      <c r="BL52" s="184">
        <f t="shared" si="42"/>
        <v>220320</v>
      </c>
    </row>
    <row r="53" spans="2:64" s="170" customFormat="1" ht="24" customHeight="1">
      <c r="B53" s="171"/>
      <c r="K53" s="1"/>
      <c r="L53" s="178"/>
      <c r="M53" s="32"/>
      <c r="N53" s="32"/>
      <c r="O53" s="32"/>
      <c r="P53" s="32"/>
      <c r="Q53" s="32"/>
      <c r="R53" s="187"/>
      <c r="S53" s="186"/>
      <c r="T53" s="186"/>
      <c r="U53" s="199"/>
      <c r="V53" s="189" t="s">
        <v>79</v>
      </c>
      <c r="W53" s="190"/>
      <c r="X53" s="191" t="e">
        <f>W53/Y52</f>
        <v>#DIV/0!</v>
      </c>
      <c r="Y53" s="201"/>
      <c r="Z53" s="201"/>
      <c r="AA53" s="201"/>
      <c r="AB53" s="201"/>
      <c r="AV53" s="170">
        <v>4670600</v>
      </c>
      <c r="AW53" s="170">
        <v>19016645.454545453</v>
      </c>
      <c r="AX53" s="170">
        <v>16482254.545454545</v>
      </c>
      <c r="AY53" s="170">
        <v>6958118.1818181816</v>
      </c>
      <c r="BC53" s="170" t="s">
        <v>80</v>
      </c>
      <c r="BE53" s="176" t="s">
        <v>81</v>
      </c>
      <c r="BF53" s="182">
        <v>1780</v>
      </c>
      <c r="BG53" s="182">
        <v>24</v>
      </c>
      <c r="BH53" s="182">
        <v>4</v>
      </c>
      <c r="BI53" s="182"/>
      <c r="BJ53" s="184">
        <f t="shared" si="40"/>
        <v>42720</v>
      </c>
      <c r="BK53" s="184">
        <f t="shared" si="41"/>
        <v>7120</v>
      </c>
      <c r="BL53" s="184">
        <f t="shared" si="42"/>
        <v>35600</v>
      </c>
    </row>
    <row r="54" spans="2:64" s="170" customFormat="1" ht="24" customHeight="1">
      <c r="B54" s="171"/>
      <c r="K54" s="1"/>
      <c r="L54" s="178"/>
      <c r="M54" s="32"/>
      <c r="N54" s="32"/>
      <c r="O54" s="32"/>
      <c r="P54" s="32"/>
      <c r="Q54" s="32"/>
      <c r="R54" s="187"/>
      <c r="S54" s="186"/>
      <c r="T54" s="186"/>
      <c r="U54" s="202" t="s">
        <v>82</v>
      </c>
      <c r="V54" s="189" t="s">
        <v>77</v>
      </c>
      <c r="W54" s="190"/>
      <c r="X54" s="191" t="e">
        <f t="shared" ref="X54" si="43">W54/Y54</f>
        <v>#DIV/0!</v>
      </c>
      <c r="Y54" s="200">
        <f t="shared" ref="Y54" si="44">W54+W55</f>
        <v>0</v>
      </c>
      <c r="Z54" s="201"/>
      <c r="AA54" s="201"/>
      <c r="AB54" s="201"/>
      <c r="BE54" s="176" t="s">
        <v>83</v>
      </c>
      <c r="BF54" s="182">
        <v>1780</v>
      </c>
      <c r="BG54" s="182">
        <v>24</v>
      </c>
      <c r="BH54" s="182">
        <v>20</v>
      </c>
      <c r="BI54" s="182"/>
      <c r="BJ54" s="184">
        <f t="shared" si="40"/>
        <v>42720</v>
      </c>
      <c r="BK54" s="184">
        <f t="shared" si="41"/>
        <v>35600</v>
      </c>
      <c r="BL54" s="184">
        <f t="shared" si="42"/>
        <v>7120</v>
      </c>
    </row>
    <row r="55" spans="2:64" s="170" customFormat="1" ht="24" customHeight="1">
      <c r="B55" s="171"/>
      <c r="L55" s="173"/>
      <c r="M55" s="32"/>
      <c r="N55" s="32"/>
      <c r="O55" s="32"/>
      <c r="P55" s="32"/>
      <c r="Q55" s="32"/>
      <c r="R55" s="192"/>
      <c r="S55" s="186"/>
      <c r="T55" s="186"/>
      <c r="U55" s="202"/>
      <c r="V55" s="189" t="s">
        <v>79</v>
      </c>
      <c r="W55" s="190"/>
      <c r="X55" s="191" t="e">
        <f t="shared" ref="X55" si="45">W55/Y54</f>
        <v>#DIV/0!</v>
      </c>
      <c r="Y55" s="201"/>
      <c r="Z55" s="201"/>
      <c r="AA55" s="201"/>
      <c r="AB55" s="201"/>
      <c r="AX55" s="182">
        <f>AX36 +1000</f>
        <v>67588650</v>
      </c>
      <c r="AY55" s="172">
        <f>'[1]2025(5)'!AX34+'[1]2025(5)'!AX35</f>
        <v>2847290</v>
      </c>
      <c r="BA55" s="68">
        <f>AX55+AY55</f>
        <v>70435940</v>
      </c>
      <c r="BB55" s="32"/>
      <c r="BC55" s="32"/>
      <c r="BD55" s="32"/>
      <c r="BE55" s="176" t="s">
        <v>84</v>
      </c>
      <c r="BF55" s="193">
        <v>8190</v>
      </c>
      <c r="BG55" s="182">
        <v>13</v>
      </c>
      <c r="BH55" s="182">
        <v>4</v>
      </c>
      <c r="BI55" s="182"/>
      <c r="BJ55" s="184">
        <f t="shared" si="40"/>
        <v>106470</v>
      </c>
      <c r="BK55" s="184">
        <f t="shared" si="41"/>
        <v>32760</v>
      </c>
      <c r="BL55" s="184">
        <f t="shared" si="42"/>
        <v>73710</v>
      </c>
    </row>
    <row r="56" spans="2:64" ht="24" customHeight="1">
      <c r="U56" s="203" t="s">
        <v>2</v>
      </c>
      <c r="V56" s="194" t="s">
        <v>77</v>
      </c>
      <c r="W56" s="190"/>
      <c r="X56" s="191" t="e">
        <f t="shared" ref="X56:X58" si="46">W56/Y56</f>
        <v>#DIV/0!</v>
      </c>
      <c r="Y56" s="200">
        <f t="shared" ref="Y56" si="47">W56+W57</f>
        <v>0</v>
      </c>
      <c r="Z56" s="201"/>
      <c r="AA56" s="201"/>
      <c r="AB56" s="201"/>
      <c r="AX56" s="193"/>
      <c r="AY56" s="145"/>
      <c r="BA56" s="68">
        <f>BA55-BA57</f>
        <v>59394300</v>
      </c>
      <c r="BE56" s="176" t="s">
        <v>85</v>
      </c>
      <c r="BF56" s="193">
        <v>5784</v>
      </c>
      <c r="BG56" s="193">
        <v>36</v>
      </c>
      <c r="BH56" s="193">
        <v>28</v>
      </c>
      <c r="BI56" s="193"/>
      <c r="BJ56" s="184">
        <f t="shared" si="40"/>
        <v>208224</v>
      </c>
      <c r="BK56" s="184">
        <f t="shared" si="41"/>
        <v>161952</v>
      </c>
      <c r="BL56" s="184">
        <f t="shared" si="42"/>
        <v>46272</v>
      </c>
    </row>
    <row r="57" spans="2:64" ht="24" customHeight="1">
      <c r="U57" s="203"/>
      <c r="V57" s="194" t="s">
        <v>79</v>
      </c>
      <c r="W57" s="190"/>
      <c r="X57" s="191" t="e">
        <f t="shared" ref="X57:X59" si="48">W57/Y56</f>
        <v>#DIV/0!</v>
      </c>
      <c r="Y57" s="201"/>
      <c r="Z57" s="201"/>
      <c r="AA57" s="201"/>
      <c r="AB57" s="201"/>
      <c r="AX57" s="193">
        <v>10513690</v>
      </c>
      <c r="AY57" s="145">
        <v>527950</v>
      </c>
      <c r="BA57" s="68">
        <f t="shared" ref="BA57" si="49">AX57+AY57</f>
        <v>11041640</v>
      </c>
      <c r="BE57" s="176" t="s">
        <v>86</v>
      </c>
      <c r="BF57" s="193">
        <v>6775</v>
      </c>
      <c r="BG57" s="193">
        <v>12</v>
      </c>
      <c r="BH57" s="193">
        <v>11</v>
      </c>
      <c r="BI57" s="193"/>
      <c r="BJ57" s="184">
        <f t="shared" si="40"/>
        <v>81300</v>
      </c>
      <c r="BK57" s="184">
        <f t="shared" si="41"/>
        <v>74525</v>
      </c>
      <c r="BL57" s="184">
        <f t="shared" si="42"/>
        <v>6775</v>
      </c>
    </row>
    <row r="58" spans="2:64" ht="24" customHeight="1">
      <c r="U58" s="196" t="s">
        <v>87</v>
      </c>
      <c r="V58" s="194" t="s">
        <v>77</v>
      </c>
      <c r="W58" s="190"/>
      <c r="X58" s="191" t="e">
        <f t="shared" si="46"/>
        <v>#DIV/0!</v>
      </c>
      <c r="Y58" s="197">
        <f>SUM(Y52:AB56)</f>
        <v>0</v>
      </c>
      <c r="Z58" s="198"/>
      <c r="AA58" s="198"/>
      <c r="AB58" s="198"/>
      <c r="AX58" s="193"/>
      <c r="BA58" s="32">
        <f>BA55/BA57</f>
        <v>6.3791194061751693</v>
      </c>
      <c r="BE58" s="176" t="s">
        <v>88</v>
      </c>
      <c r="BF58" s="193">
        <v>1755</v>
      </c>
      <c r="BG58" s="193">
        <v>14</v>
      </c>
      <c r="BH58" s="193">
        <v>2</v>
      </c>
      <c r="BI58" s="193"/>
      <c r="BJ58" s="184">
        <f t="shared" si="40"/>
        <v>24570</v>
      </c>
      <c r="BK58" s="184">
        <f t="shared" si="41"/>
        <v>3510</v>
      </c>
      <c r="BL58" s="184">
        <f t="shared" si="42"/>
        <v>21060</v>
      </c>
    </row>
    <row r="59" spans="2:64" ht="24" customHeight="1">
      <c r="F59" s="32">
        <v>346.60869565217394</v>
      </c>
      <c r="G59" s="32">
        <v>301.36363636363637</v>
      </c>
      <c r="H59" s="32">
        <v>801.17391304347825</v>
      </c>
      <c r="I59" s="32">
        <v>591.75</v>
      </c>
      <c r="N59" s="32">
        <v>2473.9333333333334</v>
      </c>
      <c r="O59" s="32">
        <v>6122.2222222222226</v>
      </c>
      <c r="P59" s="32">
        <v>3277</v>
      </c>
      <c r="Q59" s="32">
        <v>507.14285714285717</v>
      </c>
      <c r="U59" s="196"/>
      <c r="V59" s="194" t="s">
        <v>79</v>
      </c>
      <c r="W59" s="190"/>
      <c r="X59" s="191" t="e">
        <f t="shared" si="48"/>
        <v>#DIV/0!</v>
      </c>
      <c r="Y59" s="198"/>
      <c r="Z59" s="198"/>
      <c r="AA59" s="198"/>
      <c r="AB59" s="198"/>
      <c r="AX59" s="193"/>
      <c r="BE59" s="176" t="s">
        <v>89</v>
      </c>
      <c r="BF59" s="193">
        <v>1755</v>
      </c>
      <c r="BG59" s="193">
        <v>10</v>
      </c>
      <c r="BH59" s="193">
        <v>0</v>
      </c>
      <c r="BI59" s="193"/>
      <c r="BJ59" s="184">
        <f t="shared" si="40"/>
        <v>17550</v>
      </c>
      <c r="BK59" s="184">
        <f t="shared" si="41"/>
        <v>0</v>
      </c>
      <c r="BL59" s="184">
        <f t="shared" si="42"/>
        <v>17550</v>
      </c>
    </row>
    <row r="60" spans="2:64" ht="24" customHeight="1">
      <c r="F60" s="32">
        <v>313.11111111111109</v>
      </c>
      <c r="G60" s="32">
        <v>301.125</v>
      </c>
      <c r="H60" s="32">
        <v>991.89189189189187</v>
      </c>
      <c r="I60" s="32">
        <v>595.73333333333335</v>
      </c>
      <c r="N60" s="32">
        <v>1887.1176470588234</v>
      </c>
      <c r="O60" s="32">
        <v>2474.4615384615386</v>
      </c>
      <c r="P60" s="32">
        <v>1210.7142857142858</v>
      </c>
      <c r="Q60" s="32">
        <v>1056.9666666666667</v>
      </c>
      <c r="BE60" s="176" t="s">
        <v>90</v>
      </c>
      <c r="BF60" s="193">
        <v>1075</v>
      </c>
      <c r="BG60" s="193">
        <v>96</v>
      </c>
      <c r="BH60" s="193">
        <v>38</v>
      </c>
      <c r="BI60" s="193"/>
      <c r="BJ60" s="184">
        <f t="shared" si="40"/>
        <v>103200</v>
      </c>
      <c r="BK60" s="184">
        <f t="shared" si="41"/>
        <v>40850</v>
      </c>
      <c r="BL60" s="184">
        <f t="shared" si="42"/>
        <v>62350</v>
      </c>
    </row>
    <row r="61" spans="2:64" ht="24" customHeight="1">
      <c r="F61" s="32">
        <v>603.85</v>
      </c>
      <c r="G61" s="32">
        <v>457.44</v>
      </c>
      <c r="H61" s="32">
        <v>1139.4827586206898</v>
      </c>
      <c r="I61" s="32">
        <v>847.56666666666672</v>
      </c>
      <c r="N61" s="32">
        <v>1504.7619047619048</v>
      </c>
      <c r="O61" s="32">
        <v>1838.3333333333333</v>
      </c>
      <c r="P61" s="32">
        <v>1940.7241379310344</v>
      </c>
      <c r="Q61" s="32">
        <v>1493</v>
      </c>
      <c r="BE61" s="176" t="s">
        <v>91</v>
      </c>
      <c r="BF61" s="193">
        <v>3860</v>
      </c>
      <c r="BG61" s="193">
        <v>166</v>
      </c>
      <c r="BH61" s="193">
        <v>13</v>
      </c>
      <c r="BI61" s="193"/>
      <c r="BJ61" s="184">
        <f t="shared" si="40"/>
        <v>640760</v>
      </c>
      <c r="BK61" s="184">
        <f t="shared" si="41"/>
        <v>50180</v>
      </c>
      <c r="BL61" s="184">
        <f t="shared" si="42"/>
        <v>590580</v>
      </c>
    </row>
    <row r="62" spans="2:64" ht="24" customHeight="1">
      <c r="F62" s="32">
        <v>343.40740740740739</v>
      </c>
      <c r="G62" s="32">
        <v>387.26666666666665</v>
      </c>
      <c r="H62" s="32">
        <v>2381.804347826087</v>
      </c>
      <c r="I62" s="32">
        <v>694.28571428571433</v>
      </c>
      <c r="N62" s="32">
        <v>1742.5625</v>
      </c>
      <c r="O62" s="32">
        <v>1967.25</v>
      </c>
      <c r="P62" s="32">
        <v>1330.2962962962963</v>
      </c>
      <c r="Q62" s="32">
        <v>1470.4166666666667</v>
      </c>
      <c r="BE62" s="176" t="s">
        <v>92</v>
      </c>
      <c r="BF62" s="193">
        <v>6450</v>
      </c>
      <c r="BG62" s="193">
        <v>137</v>
      </c>
      <c r="BH62" s="193">
        <v>12</v>
      </c>
      <c r="BI62" s="193"/>
      <c r="BJ62" s="184">
        <f t="shared" si="40"/>
        <v>883650</v>
      </c>
      <c r="BK62" s="184">
        <f t="shared" si="41"/>
        <v>77400</v>
      </c>
      <c r="BL62" s="184">
        <f t="shared" si="42"/>
        <v>806250</v>
      </c>
    </row>
    <row r="63" spans="2:64" ht="24" customHeight="1">
      <c r="F63" s="32">
        <v>208.22727272727272</v>
      </c>
      <c r="G63" s="32">
        <v>257.91666666666669</v>
      </c>
      <c r="H63" s="32">
        <v>560.46153846153845</v>
      </c>
      <c r="I63" s="32">
        <v>858.42857142857144</v>
      </c>
      <c r="N63" s="32">
        <v>2161.5555555555557</v>
      </c>
      <c r="O63" s="32">
        <v>2455.9230769230771</v>
      </c>
      <c r="P63" s="32">
        <v>2270</v>
      </c>
      <c r="Q63" s="32">
        <v>1696.9666666666667</v>
      </c>
      <c r="BE63" s="176" t="s">
        <v>93</v>
      </c>
      <c r="BF63" s="193">
        <v>1380</v>
      </c>
      <c r="BG63" s="193">
        <v>35</v>
      </c>
      <c r="BH63" s="193">
        <v>5</v>
      </c>
      <c r="BI63" s="193"/>
      <c r="BJ63" s="184">
        <f t="shared" si="40"/>
        <v>48300</v>
      </c>
      <c r="BK63" s="184">
        <f t="shared" si="41"/>
        <v>6900</v>
      </c>
      <c r="BL63" s="184">
        <f t="shared" si="42"/>
        <v>41400</v>
      </c>
    </row>
    <row r="64" spans="2:64" ht="24" customHeight="1">
      <c r="F64" s="32">
        <v>1347.6206896551723</v>
      </c>
      <c r="G64" s="32">
        <v>382.63636363636363</v>
      </c>
      <c r="H64" s="32">
        <v>791.6</v>
      </c>
      <c r="I64" s="32">
        <v>821.5</v>
      </c>
      <c r="N64" s="32">
        <v>3109.0731707317073</v>
      </c>
      <c r="O64" s="32">
        <v>2867.5</v>
      </c>
      <c r="P64" s="32">
        <v>1673.8333333333333</v>
      </c>
      <c r="Q64" s="32">
        <v>1269</v>
      </c>
      <c r="BE64" s="176" t="s">
        <v>94</v>
      </c>
      <c r="BF64" s="193">
        <v>1380</v>
      </c>
      <c r="BG64" s="193">
        <v>39</v>
      </c>
      <c r="BH64" s="193">
        <v>6</v>
      </c>
      <c r="BI64" s="193"/>
      <c r="BJ64" s="184">
        <f t="shared" si="40"/>
        <v>53820</v>
      </c>
      <c r="BK64" s="184">
        <f t="shared" si="41"/>
        <v>8280</v>
      </c>
      <c r="BL64" s="184">
        <f t="shared" si="42"/>
        <v>45540</v>
      </c>
    </row>
    <row r="65" spans="6:64" ht="24" customHeight="1">
      <c r="F65" s="32">
        <v>547.19354838709683</v>
      </c>
      <c r="G65" s="32">
        <v>174.07407407407408</v>
      </c>
      <c r="H65" s="32">
        <v>791.66666666666663</v>
      </c>
      <c r="I65" s="32">
        <v>1078.7878787878788</v>
      </c>
      <c r="N65" s="32">
        <v>2510.9</v>
      </c>
      <c r="O65" s="32">
        <v>4228.2222222222226</v>
      </c>
      <c r="P65" s="32">
        <v>2237.6999999999998</v>
      </c>
      <c r="Q65" s="32">
        <v>1475</v>
      </c>
      <c r="BE65" s="176" t="s">
        <v>95</v>
      </c>
      <c r="BF65" s="193">
        <v>160</v>
      </c>
      <c r="BG65" s="193">
        <v>594</v>
      </c>
      <c r="BH65" s="193">
        <v>53</v>
      </c>
      <c r="BI65" s="193"/>
      <c r="BJ65" s="184">
        <f t="shared" si="40"/>
        <v>95040</v>
      </c>
      <c r="BK65" s="184">
        <f t="shared" si="41"/>
        <v>8480</v>
      </c>
      <c r="BL65" s="184">
        <f t="shared" si="42"/>
        <v>86560</v>
      </c>
    </row>
    <row r="66" spans="6:64" ht="24" customHeight="1">
      <c r="F66" s="32">
        <v>517.64705882352939</v>
      </c>
      <c r="G66" s="32">
        <v>457.8</v>
      </c>
      <c r="I66" s="32">
        <v>796.08571428571429</v>
      </c>
      <c r="N66" s="32">
        <v>2083.0952380952381</v>
      </c>
      <c r="O66" s="32">
        <v>596.20000000000005</v>
      </c>
      <c r="Q66" s="32">
        <v>1050.8148148148148</v>
      </c>
      <c r="BE66" s="176" t="s">
        <v>96</v>
      </c>
      <c r="BF66" s="193">
        <v>160</v>
      </c>
      <c r="BG66" s="193">
        <v>300</v>
      </c>
      <c r="BH66" s="193">
        <v>47</v>
      </c>
      <c r="BI66" s="193"/>
      <c r="BJ66" s="184">
        <f t="shared" si="40"/>
        <v>48000</v>
      </c>
      <c r="BK66" s="184">
        <f t="shared" si="41"/>
        <v>7520</v>
      </c>
      <c r="BL66" s="184">
        <f t="shared" si="42"/>
        <v>40480</v>
      </c>
    </row>
    <row r="67" spans="6:64" ht="24" customHeight="1">
      <c r="F67" s="32">
        <v>558.35483870967744</v>
      </c>
      <c r="G67" s="32">
        <v>370</v>
      </c>
      <c r="N67" s="32">
        <v>1328.1290322580646</v>
      </c>
      <c r="O67" s="32">
        <v>1228.2142857142858</v>
      </c>
      <c r="BE67" s="176" t="s">
        <v>97</v>
      </c>
      <c r="BF67" s="193">
        <v>205</v>
      </c>
      <c r="BG67" s="193">
        <v>366</v>
      </c>
      <c r="BH67" s="193">
        <v>49</v>
      </c>
      <c r="BI67" s="193"/>
      <c r="BJ67" s="184">
        <f t="shared" si="40"/>
        <v>75030</v>
      </c>
      <c r="BK67" s="184">
        <f t="shared" si="41"/>
        <v>10045</v>
      </c>
      <c r="BL67" s="184">
        <f t="shared" si="42"/>
        <v>64985</v>
      </c>
    </row>
    <row r="68" spans="6:64" ht="24" customHeight="1">
      <c r="F68" s="32">
        <v>522.70000000000005</v>
      </c>
      <c r="G68" s="32">
        <v>100</v>
      </c>
      <c r="N68" s="32">
        <v>2040.8333333333333</v>
      </c>
      <c r="O68" s="32">
        <v>3688.1</v>
      </c>
      <c r="BE68" s="176" t="s">
        <v>98</v>
      </c>
      <c r="BF68" s="193">
        <v>295</v>
      </c>
      <c r="BG68" s="193">
        <v>612</v>
      </c>
      <c r="BH68" s="193">
        <v>86</v>
      </c>
      <c r="BI68" s="193"/>
      <c r="BJ68" s="184">
        <f t="shared" si="40"/>
        <v>180540</v>
      </c>
      <c r="BK68" s="184">
        <f t="shared" si="41"/>
        <v>25370</v>
      </c>
      <c r="BL68" s="184">
        <f t="shared" si="42"/>
        <v>155170</v>
      </c>
    </row>
    <row r="69" spans="6:64" ht="24" customHeight="1">
      <c r="F69" s="32">
        <v>406</v>
      </c>
      <c r="G69" s="32">
        <v>201.25</v>
      </c>
      <c r="N69" s="32">
        <v>4227.2222222222226</v>
      </c>
      <c r="O69" s="32">
        <v>1802.7</v>
      </c>
      <c r="BE69" s="176" t="s">
        <v>99</v>
      </c>
      <c r="BF69" s="193">
        <v>70</v>
      </c>
      <c r="BG69" s="193">
        <v>480</v>
      </c>
      <c r="BH69" s="193">
        <v>71</v>
      </c>
      <c r="BI69" s="193"/>
      <c r="BJ69" s="184">
        <f t="shared" si="40"/>
        <v>33600</v>
      </c>
      <c r="BK69" s="184">
        <f t="shared" si="41"/>
        <v>4970</v>
      </c>
      <c r="BL69" s="184">
        <f t="shared" si="42"/>
        <v>28630</v>
      </c>
    </row>
    <row r="70" spans="6:64" ht="24" customHeight="1">
      <c r="F70" s="32">
        <v>500</v>
      </c>
      <c r="G70" s="32">
        <v>572.21621621621625</v>
      </c>
      <c r="N70" s="32">
        <v>2111.25</v>
      </c>
      <c r="O70" s="32">
        <v>1473.1578947368421</v>
      </c>
      <c r="BE70" s="176" t="s">
        <v>100</v>
      </c>
      <c r="BF70" s="193">
        <v>2450</v>
      </c>
      <c r="BG70" s="193">
        <v>31</v>
      </c>
      <c r="BH70" s="193">
        <v>9</v>
      </c>
      <c r="BI70" s="193"/>
      <c r="BJ70" s="184">
        <f t="shared" si="40"/>
        <v>75950</v>
      </c>
      <c r="BK70" s="184">
        <f t="shared" si="41"/>
        <v>22050</v>
      </c>
      <c r="BL70" s="184">
        <f t="shared" si="42"/>
        <v>53900</v>
      </c>
    </row>
    <row r="71" spans="6:64" ht="24" customHeight="1">
      <c r="F71" s="32">
        <v>671.68571428571431</v>
      </c>
      <c r="G71" s="32">
        <v>475.84615384615387</v>
      </c>
      <c r="N71" s="32">
        <v>1641.0322580645161</v>
      </c>
      <c r="O71" s="32">
        <v>2539.5294117647059</v>
      </c>
      <c r="BE71" s="176"/>
      <c r="BJ71" s="195">
        <f>SUM(BJ50:BJ70)</f>
        <v>9956044</v>
      </c>
      <c r="BK71" s="195">
        <f t="shared" ref="BK71:BL71" si="50">SUM(BK50:BK70)</f>
        <v>817992</v>
      </c>
      <c r="BL71" s="195">
        <f t="shared" si="50"/>
        <v>9138052</v>
      </c>
    </row>
    <row r="72" spans="6:64" ht="24" customHeight="1">
      <c r="F72" s="32">
        <v>333.33333333333331</v>
      </c>
      <c r="G72" s="32">
        <v>439.60714285714283</v>
      </c>
      <c r="N72" s="32">
        <v>5737.5714285714284</v>
      </c>
      <c r="O72" s="32">
        <v>1814.2333333333333</v>
      </c>
      <c r="BE72" s="176"/>
    </row>
    <row r="73" spans="6:64" ht="24" customHeight="1">
      <c r="F73" s="32">
        <v>424.20833333333331</v>
      </c>
      <c r="G73" s="32">
        <v>253.18518518518519</v>
      </c>
      <c r="N73" s="32">
        <v>2000</v>
      </c>
      <c r="O73" s="32">
        <v>920</v>
      </c>
      <c r="BE73" s="176"/>
    </row>
    <row r="74" spans="6:64" ht="24" customHeight="1">
      <c r="F74" s="32">
        <v>316.66666666666669</v>
      </c>
      <c r="G74" s="32">
        <v>497.22222222222223</v>
      </c>
      <c r="N74" s="32">
        <v>1563.1111111111111</v>
      </c>
      <c r="O74" s="32">
        <v>1221.4545454545455</v>
      </c>
      <c r="BE74" s="176"/>
    </row>
    <row r="75" spans="6:64" ht="24" customHeight="1">
      <c r="F75" s="32">
        <v>625.79999999999995</v>
      </c>
      <c r="N75" s="32">
        <v>1707.5</v>
      </c>
      <c r="BE75" s="176"/>
    </row>
    <row r="76" spans="6:64" ht="24" customHeight="1">
      <c r="F76" s="32">
        <f>SUM(F59:F75)</f>
        <v>8586.4146700924884</v>
      </c>
      <c r="G76" s="32">
        <f>SUM(G59:G75)</f>
        <v>5628.949327734329</v>
      </c>
      <c r="H76" s="32">
        <f>SUM(H59:H66)</f>
        <v>7458.0811165103523</v>
      </c>
      <c r="I76" s="32">
        <f>SUM(I59:I68)</f>
        <v>6284.1378787878784</v>
      </c>
      <c r="N76" s="32">
        <f>SUM(N59:N75)</f>
        <v>39829.648735097238</v>
      </c>
      <c r="O76" s="32">
        <f>SUM(O59:O75)</f>
        <v>37237.501864166101</v>
      </c>
      <c r="P76" s="32">
        <f>SUM(P59:P68)</f>
        <v>13940.268053274951</v>
      </c>
      <c r="Q76" s="32">
        <f>SUM(Q59:Q66)</f>
        <v>10019.307671957671</v>
      </c>
      <c r="BE76" s="176"/>
    </row>
    <row r="77" spans="6:64" ht="24" customHeight="1">
      <c r="F77" s="32">
        <f>F76/17</f>
        <v>505.08321588779341</v>
      </c>
      <c r="G77" s="32">
        <f>G76/16</f>
        <v>351.80933298339556</v>
      </c>
      <c r="H77" s="32">
        <f>H76/7</f>
        <v>1065.440159501479</v>
      </c>
      <c r="I77" s="32">
        <f>I76/8</f>
        <v>785.5172348484848</v>
      </c>
      <c r="N77" s="32">
        <f>N76/17</f>
        <v>2342.9205138292491</v>
      </c>
      <c r="O77" s="32">
        <f>O76/16</f>
        <v>2327.3438665103813</v>
      </c>
      <c r="P77" s="32">
        <f>P76/7</f>
        <v>1991.4668647535643</v>
      </c>
      <c r="Q77" s="32">
        <f>Q76/8</f>
        <v>1252.4134589947089</v>
      </c>
      <c r="BE77" s="176"/>
    </row>
    <row r="78" spans="6:64" ht="24" customHeight="1">
      <c r="BE78" s="176"/>
    </row>
    <row r="79" spans="6:64" ht="24" customHeight="1">
      <c r="BE79" s="176"/>
    </row>
    <row r="80" spans="6:64" ht="24" customHeight="1">
      <c r="BE80" s="176"/>
    </row>
    <row r="81" spans="57:57" ht="24" customHeight="1">
      <c r="BE81" s="176"/>
    </row>
    <row r="82" spans="57:57" ht="24" customHeight="1">
      <c r="BE82" s="176"/>
    </row>
    <row r="83" spans="57:57" ht="24" customHeight="1">
      <c r="BE83" s="176"/>
    </row>
    <row r="84" spans="57:57" ht="24" customHeight="1">
      <c r="BE84" s="176"/>
    </row>
    <row r="85" spans="57:57" ht="24" customHeight="1">
      <c r="BE85" s="176"/>
    </row>
    <row r="86" spans="57:57" ht="24" customHeight="1">
      <c r="BE86" s="176"/>
    </row>
    <row r="87" spans="57:57" ht="24" customHeight="1">
      <c r="BE87" s="176"/>
    </row>
    <row r="88" spans="57:57" ht="24" customHeight="1">
      <c r="BE88" s="176"/>
    </row>
    <row r="89" spans="57:57" ht="24" customHeight="1">
      <c r="BE89" s="176"/>
    </row>
    <row r="90" spans="57:57" ht="24" customHeight="1">
      <c r="BE90" s="176"/>
    </row>
    <row r="91" spans="57:57" ht="24" customHeight="1">
      <c r="BE91" s="176"/>
    </row>
    <row r="92" spans="57:57" ht="24" customHeight="1">
      <c r="BE92" s="176"/>
    </row>
    <row r="93" spans="57:57" ht="24" customHeight="1">
      <c r="BE93" s="176"/>
    </row>
    <row r="94" spans="57:57" ht="24" customHeight="1">
      <c r="BE94" s="176"/>
    </row>
    <row r="95" spans="57:57" ht="24" customHeight="1">
      <c r="BE95" s="176"/>
    </row>
    <row r="96" spans="57:57" ht="24" customHeight="1">
      <c r="BE96" s="176"/>
    </row>
    <row r="97" spans="57:57" ht="24" customHeight="1">
      <c r="BE97" s="176"/>
    </row>
    <row r="98" spans="57:57" ht="24" customHeight="1">
      <c r="BE98" s="176"/>
    </row>
    <row r="99" spans="57:57" ht="24" customHeight="1">
      <c r="BE99" s="176"/>
    </row>
    <row r="100" spans="57:57" ht="24" customHeight="1">
      <c r="BE100" s="176"/>
    </row>
    <row r="101" spans="57:57" ht="24" customHeight="1">
      <c r="BE101" s="176"/>
    </row>
    <row r="102" spans="57:57" ht="24" customHeight="1">
      <c r="BE102" s="176"/>
    </row>
    <row r="103" spans="57:57" ht="24" customHeight="1">
      <c r="BE103" s="176"/>
    </row>
    <row r="104" spans="57:57" ht="24" customHeight="1">
      <c r="BE104" s="176"/>
    </row>
    <row r="105" spans="57:57" ht="24" customHeight="1">
      <c r="BE105" s="176"/>
    </row>
    <row r="106" spans="57:57" ht="24" customHeight="1">
      <c r="BE106" s="176"/>
    </row>
    <row r="107" spans="57:57" ht="24" customHeight="1">
      <c r="BE107" s="176"/>
    </row>
    <row r="108" spans="57:57" ht="24" customHeight="1">
      <c r="BE108" s="176"/>
    </row>
    <row r="109" spans="57:57" ht="24" customHeight="1">
      <c r="BE109" s="176"/>
    </row>
    <row r="110" spans="57:57" ht="24" customHeight="1">
      <c r="BE110" s="176"/>
    </row>
    <row r="111" spans="57:57" ht="24" customHeight="1">
      <c r="BE111" s="176"/>
    </row>
    <row r="112" spans="57:57" ht="24" customHeight="1">
      <c r="BE112" s="176"/>
    </row>
    <row r="113" spans="57:57" ht="24" customHeight="1">
      <c r="BE113" s="176"/>
    </row>
    <row r="114" spans="57:57" ht="24" customHeight="1">
      <c r="BE114" s="176"/>
    </row>
    <row r="115" spans="57:57" ht="24" customHeight="1">
      <c r="BE115" s="176"/>
    </row>
    <row r="116" spans="57:57" ht="24" customHeight="1">
      <c r="BE116" s="176"/>
    </row>
    <row r="117" spans="57:57" ht="24" customHeight="1">
      <c r="BE117" s="176"/>
    </row>
    <row r="118" spans="57:57" ht="24" customHeight="1">
      <c r="BE118" s="176"/>
    </row>
    <row r="119" spans="57:57" ht="24" customHeight="1">
      <c r="BE119" s="176"/>
    </row>
    <row r="120" spans="57:57" ht="24" customHeight="1">
      <c r="BE120" s="176"/>
    </row>
    <row r="121" spans="57:57" ht="24" customHeight="1">
      <c r="BE121" s="176"/>
    </row>
    <row r="122" spans="57:57" ht="24" customHeight="1">
      <c r="BE122" s="176"/>
    </row>
    <row r="123" spans="57:57" ht="24" customHeight="1">
      <c r="BE123" s="176"/>
    </row>
    <row r="124" spans="57:57" ht="24" customHeight="1">
      <c r="BE124" s="176"/>
    </row>
    <row r="125" spans="57:57" ht="24" customHeight="1">
      <c r="BE125" s="176"/>
    </row>
    <row r="126" spans="57:57" ht="24" customHeight="1">
      <c r="BE126" s="176"/>
    </row>
    <row r="127" spans="57:57" ht="24" customHeight="1">
      <c r="BE127" s="176"/>
    </row>
    <row r="128" spans="57:57" ht="24" customHeight="1">
      <c r="BE128" s="176"/>
    </row>
    <row r="129" spans="57:57" ht="24" customHeight="1">
      <c r="BE129" s="176"/>
    </row>
    <row r="130" spans="57:57" ht="24" customHeight="1">
      <c r="BE130" s="176"/>
    </row>
    <row r="131" spans="57:57" ht="24" customHeight="1">
      <c r="BE131" s="176"/>
    </row>
    <row r="132" spans="57:57" ht="24" customHeight="1">
      <c r="BE132" s="176"/>
    </row>
    <row r="133" spans="57:57" ht="24" customHeight="1">
      <c r="BE133" s="176"/>
    </row>
    <row r="134" spans="57:57" ht="24" customHeight="1">
      <c r="BE134" s="176"/>
    </row>
    <row r="135" spans="57:57" ht="24" customHeight="1">
      <c r="BE135" s="176"/>
    </row>
    <row r="136" spans="57:57" ht="24" customHeight="1">
      <c r="BE136" s="176"/>
    </row>
    <row r="137" spans="57:57" ht="24" customHeight="1">
      <c r="BE137" s="176"/>
    </row>
    <row r="138" spans="57:57" ht="24" customHeight="1">
      <c r="BE138" s="176"/>
    </row>
    <row r="139" spans="57:57" ht="24" customHeight="1">
      <c r="BE139" s="176"/>
    </row>
    <row r="140" spans="57:57" ht="24" customHeight="1">
      <c r="BE140" s="176"/>
    </row>
    <row r="141" spans="57:57" ht="24" customHeight="1">
      <c r="BE141" s="176"/>
    </row>
    <row r="142" spans="57:57" ht="24" customHeight="1">
      <c r="BE142" s="176"/>
    </row>
    <row r="143" spans="57:57" ht="24" customHeight="1">
      <c r="BE143" s="176"/>
    </row>
    <row r="144" spans="57:57" ht="24" customHeight="1">
      <c r="BE144" s="176"/>
    </row>
    <row r="145" spans="57:57" ht="24" customHeight="1">
      <c r="BE145" s="176"/>
    </row>
    <row r="146" spans="57:57" ht="24" customHeight="1">
      <c r="BE146" s="176"/>
    </row>
    <row r="147" spans="57:57" ht="24" customHeight="1">
      <c r="BE147" s="176"/>
    </row>
    <row r="148" spans="57:57" ht="24" customHeight="1">
      <c r="BE148" s="176"/>
    </row>
    <row r="149" spans="57:57" ht="24" customHeight="1">
      <c r="BE149" s="176"/>
    </row>
    <row r="150" spans="57:57" ht="24" customHeight="1">
      <c r="BE150" s="176"/>
    </row>
    <row r="151" spans="57:57" ht="24" customHeight="1">
      <c r="BE151" s="176"/>
    </row>
    <row r="152" spans="57:57" ht="24" customHeight="1">
      <c r="BE152" s="176"/>
    </row>
    <row r="153" spans="57:57" ht="24" customHeight="1">
      <c r="BE153" s="176"/>
    </row>
    <row r="154" spans="57:57" ht="24" customHeight="1">
      <c r="BE154" s="176"/>
    </row>
    <row r="155" spans="57:57" ht="24" customHeight="1">
      <c r="BE155" s="176"/>
    </row>
    <row r="156" spans="57:57" ht="24" customHeight="1">
      <c r="BE156" s="176"/>
    </row>
    <row r="157" spans="57:57" ht="24" customHeight="1">
      <c r="BE157" s="176"/>
    </row>
    <row r="158" spans="57:57" ht="24" customHeight="1">
      <c r="BE158" s="176"/>
    </row>
    <row r="159" spans="57:57" ht="24" customHeight="1">
      <c r="BE159" s="176"/>
    </row>
    <row r="160" spans="57:57" ht="24" customHeight="1">
      <c r="BE160" s="176"/>
    </row>
    <row r="161" spans="57:57" ht="24" customHeight="1">
      <c r="BE161" s="176"/>
    </row>
    <row r="162" spans="57:57" ht="24" customHeight="1">
      <c r="BE162" s="176"/>
    </row>
    <row r="163" spans="57:57" ht="24" customHeight="1">
      <c r="BE163" s="176"/>
    </row>
    <row r="164" spans="57:57" ht="24" customHeight="1">
      <c r="BE164" s="176"/>
    </row>
    <row r="165" spans="57:57" ht="24" customHeight="1">
      <c r="BE165" s="176"/>
    </row>
    <row r="166" spans="57:57" ht="24" customHeight="1">
      <c r="BE166" s="176"/>
    </row>
    <row r="167" spans="57:57" ht="24" customHeight="1">
      <c r="BE167" s="176"/>
    </row>
    <row r="168" spans="57:57" ht="24" customHeight="1">
      <c r="BE168" s="176"/>
    </row>
    <row r="169" spans="57:57" ht="24" customHeight="1">
      <c r="BE169" s="176"/>
    </row>
    <row r="170" spans="57:57" ht="24" customHeight="1">
      <c r="BE170" s="176"/>
    </row>
    <row r="171" spans="57:57" ht="24" customHeight="1">
      <c r="BE171" s="176"/>
    </row>
    <row r="172" spans="57:57" ht="24" customHeight="1">
      <c r="BE172" s="176"/>
    </row>
    <row r="173" spans="57:57" ht="24" customHeight="1">
      <c r="BE173" s="176"/>
    </row>
    <row r="174" spans="57:57" ht="24" customHeight="1">
      <c r="BE174" s="176"/>
    </row>
    <row r="175" spans="57:57" ht="24" customHeight="1">
      <c r="BE175" s="176"/>
    </row>
    <row r="176" spans="57:57" ht="24" customHeight="1">
      <c r="BE176" s="176"/>
    </row>
    <row r="177" spans="57:57" ht="24" customHeight="1">
      <c r="BE177" s="176"/>
    </row>
    <row r="178" spans="57:57" ht="24" customHeight="1">
      <c r="BE178" s="176"/>
    </row>
    <row r="179" spans="57:57" ht="24" customHeight="1">
      <c r="BE179" s="176"/>
    </row>
    <row r="180" spans="57:57" ht="24" customHeight="1">
      <c r="BE180" s="176"/>
    </row>
    <row r="181" spans="57:57" ht="24" customHeight="1">
      <c r="BE181" s="176"/>
    </row>
    <row r="182" spans="57:57" ht="24" customHeight="1">
      <c r="BE182" s="176"/>
    </row>
    <row r="183" spans="57:57" ht="24" customHeight="1">
      <c r="BE183" s="176"/>
    </row>
    <row r="184" spans="57:57">
      <c r="BE184" s="176"/>
    </row>
    <row r="185" spans="57:57">
      <c r="BE185" s="176"/>
    </row>
    <row r="186" spans="57:57">
      <c r="BE186" s="176"/>
    </row>
    <row r="187" spans="57:57">
      <c r="BE187" s="176"/>
    </row>
    <row r="188" spans="57:57">
      <c r="BE188" s="176"/>
    </row>
    <row r="189" spans="57:57">
      <c r="BE189" s="176"/>
    </row>
    <row r="190" spans="57:57">
      <c r="BE190" s="176"/>
    </row>
    <row r="191" spans="57:57">
      <c r="BE191" s="176"/>
    </row>
    <row r="192" spans="57:57">
      <c r="BE192" s="176"/>
    </row>
    <row r="193" spans="57:57">
      <c r="BE193" s="176"/>
    </row>
    <row r="194" spans="57:57">
      <c r="BE194" s="176"/>
    </row>
    <row r="195" spans="57:57">
      <c r="BE195" s="176"/>
    </row>
    <row r="196" spans="57:57">
      <c r="BE196" s="176"/>
    </row>
    <row r="197" spans="57:57">
      <c r="BE197" s="176"/>
    </row>
    <row r="198" spans="57:57">
      <c r="BE198" s="176"/>
    </row>
    <row r="199" spans="57:57">
      <c r="BE199" s="176"/>
    </row>
    <row r="200" spans="57:57">
      <c r="BE200" s="176"/>
    </row>
    <row r="201" spans="57:57">
      <c r="BE201" s="176"/>
    </row>
    <row r="202" spans="57:57">
      <c r="BE202" s="176"/>
    </row>
    <row r="203" spans="57:57">
      <c r="BE203" s="176"/>
    </row>
    <row r="204" spans="57:57">
      <c r="BE204" s="176"/>
    </row>
    <row r="205" spans="57:57">
      <c r="BE205" s="176"/>
    </row>
    <row r="206" spans="57:57">
      <c r="BE206" s="176"/>
    </row>
    <row r="207" spans="57:57">
      <c r="BE207" s="176"/>
    </row>
    <row r="208" spans="57:57">
      <c r="BE208" s="176"/>
    </row>
    <row r="209" spans="57:57">
      <c r="BE209" s="176"/>
    </row>
    <row r="210" spans="57:57">
      <c r="BE210" s="176"/>
    </row>
    <row r="211" spans="57:57">
      <c r="BE211" s="176"/>
    </row>
    <row r="212" spans="57:57">
      <c r="BE212" s="176"/>
    </row>
    <row r="213" spans="57:57">
      <c r="BE213" s="176"/>
    </row>
    <row r="214" spans="57:57">
      <c r="BE214" s="176"/>
    </row>
    <row r="215" spans="57:57">
      <c r="BE215" s="176"/>
    </row>
    <row r="216" spans="57:57">
      <c r="BE216" s="176"/>
    </row>
    <row r="217" spans="57:57">
      <c r="BE217" s="176"/>
    </row>
    <row r="218" spans="57:57">
      <c r="BE218" s="176"/>
    </row>
    <row r="219" spans="57:57">
      <c r="BE219" s="176"/>
    </row>
    <row r="220" spans="57:57">
      <c r="BE220" s="176"/>
    </row>
    <row r="221" spans="57:57">
      <c r="BE221" s="176"/>
    </row>
    <row r="222" spans="57:57">
      <c r="BE222" s="176"/>
    </row>
    <row r="223" spans="57:57">
      <c r="BE223" s="176"/>
    </row>
    <row r="224" spans="57:57">
      <c r="BE224" s="176"/>
    </row>
  </sheetData>
  <mergeCells count="22">
    <mergeCell ref="B3:B4"/>
    <mergeCell ref="D3:K3"/>
    <mergeCell ref="L3:S3"/>
    <mergeCell ref="T3:X3"/>
    <mergeCell ref="Y3:AG3"/>
    <mergeCell ref="AP3:AY3"/>
    <mergeCell ref="AZ3:BD3"/>
    <mergeCell ref="BE3:BL3"/>
    <mergeCell ref="D40:K44"/>
    <mergeCell ref="L40:S44"/>
    <mergeCell ref="Y40:AG44"/>
    <mergeCell ref="AH40:AO44"/>
    <mergeCell ref="AP40:AY44"/>
    <mergeCell ref="AH3:AO3"/>
    <mergeCell ref="U58:U59"/>
    <mergeCell ref="Y58:AB59"/>
    <mergeCell ref="U52:U53"/>
    <mergeCell ref="Y52:AB53"/>
    <mergeCell ref="U54:U55"/>
    <mergeCell ref="Y54:AB55"/>
    <mergeCell ref="U56:U57"/>
    <mergeCell ref="Y56:AB57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DEFA-13D7-A444-9047-C806FEBDD60A}">
  <dimension ref="A1:BP224"/>
  <sheetViews>
    <sheetView tabSelected="1" workbookViewId="0">
      <selection activeCell="E25" sqref="E25"/>
    </sheetView>
  </sheetViews>
  <sheetFormatPr baseColWidth="10" defaultColWidth="11.140625" defaultRowHeight="16"/>
  <cols>
    <col min="1" max="1" width="11.140625" style="32"/>
    <col min="2" max="2" width="10.42578125" style="114" customWidth="1"/>
    <col min="3" max="3" width="12.42578125" style="32" customWidth="1"/>
    <col min="4" max="4" width="4.140625" style="32" customWidth="1"/>
    <col min="5" max="9" width="8.42578125" style="32" customWidth="1"/>
    <col min="10" max="10" width="12" style="32" customWidth="1"/>
    <col min="11" max="11" width="8.42578125" style="32" customWidth="1"/>
    <col min="12" max="12" width="3.85546875" style="32" customWidth="1"/>
    <col min="13" max="17" width="8.42578125" style="32" customWidth="1"/>
    <col min="18" max="18" width="12.42578125" style="32" customWidth="1"/>
    <col min="19" max="19" width="8.42578125" style="32" customWidth="1"/>
    <col min="20" max="23" width="11.140625" style="32"/>
    <col min="24" max="24" width="7.5703125" style="32" customWidth="1"/>
    <col min="25" max="25" width="3" style="32" customWidth="1"/>
    <col min="26" max="26" width="7" style="32" customWidth="1"/>
    <col min="27" max="27" width="6.7109375" style="32" customWidth="1"/>
    <col min="28" max="31" width="7.5703125" style="32" customWidth="1"/>
    <col min="32" max="32" width="10" style="32" customWidth="1"/>
    <col min="33" max="33" width="7.5703125" style="32" customWidth="1"/>
    <col min="34" max="34" width="3.5703125" style="32" customWidth="1"/>
    <col min="35" max="39" width="7.5703125" style="32" customWidth="1"/>
    <col min="40" max="40" width="11.85546875" style="32" customWidth="1"/>
    <col min="41" max="41" width="10" style="32" customWidth="1"/>
    <col min="42" max="42" width="4.140625" style="32" customWidth="1"/>
    <col min="43" max="43" width="7.5703125" style="32" customWidth="1"/>
    <col min="44" max="44" width="15.85546875" style="32" customWidth="1"/>
    <col min="45" max="47" width="7.5703125" style="32" customWidth="1"/>
    <col min="48" max="49" width="9.140625" style="32" customWidth="1"/>
    <col min="50" max="50" width="11.28515625" style="32" customWidth="1"/>
    <col min="51" max="51" width="9.85546875" style="32" customWidth="1"/>
    <col min="52" max="52" width="5.7109375" style="32" customWidth="1"/>
    <col min="53" max="54" width="9.140625" style="32" customWidth="1"/>
    <col min="55" max="55" width="13.5703125" style="32" customWidth="1"/>
    <col min="56" max="56" width="11.140625" style="32"/>
    <col min="57" max="57" width="14.85546875" style="32" customWidth="1"/>
    <col min="58" max="63" width="11.140625" style="32"/>
    <col min="64" max="64" width="11.140625" style="62"/>
    <col min="65" max="65" width="11.140625" style="32"/>
    <col min="66" max="66" width="11.140625" style="62"/>
    <col min="67" max="16384" width="11.140625" style="32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214" t="s">
        <v>2</v>
      </c>
      <c r="C3" s="10"/>
      <c r="D3" s="215" t="s">
        <v>3</v>
      </c>
      <c r="E3" s="215"/>
      <c r="F3" s="215"/>
      <c r="G3" s="215"/>
      <c r="H3" s="215"/>
      <c r="I3" s="215"/>
      <c r="J3" s="215"/>
      <c r="K3" s="215"/>
      <c r="L3" s="216" t="s">
        <v>4</v>
      </c>
      <c r="M3" s="216"/>
      <c r="N3" s="216"/>
      <c r="O3" s="216"/>
      <c r="P3" s="216"/>
      <c r="Q3" s="216"/>
      <c r="R3" s="216"/>
      <c r="S3" s="216"/>
      <c r="T3" s="208" t="s">
        <v>5</v>
      </c>
      <c r="U3" s="208"/>
      <c r="V3" s="208"/>
      <c r="W3" s="208"/>
      <c r="X3" s="208"/>
      <c r="Y3" s="217" t="s">
        <v>6</v>
      </c>
      <c r="Z3" s="217"/>
      <c r="AA3" s="217"/>
      <c r="AB3" s="217"/>
      <c r="AC3" s="217"/>
      <c r="AD3" s="217"/>
      <c r="AE3" s="217"/>
      <c r="AF3" s="217"/>
      <c r="AG3" s="218"/>
      <c r="AH3" s="219" t="s">
        <v>7</v>
      </c>
      <c r="AI3" s="220"/>
      <c r="AJ3" s="220"/>
      <c r="AK3" s="220"/>
      <c r="AL3" s="220"/>
      <c r="AM3" s="220"/>
      <c r="AN3" s="220"/>
      <c r="AO3" s="221"/>
      <c r="AP3" s="204" t="s">
        <v>8</v>
      </c>
      <c r="AQ3" s="205"/>
      <c r="AR3" s="205"/>
      <c r="AS3" s="205"/>
      <c r="AT3" s="205"/>
      <c r="AU3" s="205"/>
      <c r="AV3" s="205"/>
      <c r="AW3" s="205"/>
      <c r="AX3" s="205"/>
      <c r="AY3" s="206"/>
      <c r="AZ3" s="207" t="s">
        <v>9</v>
      </c>
      <c r="BA3" s="208"/>
      <c r="BB3" s="208"/>
      <c r="BC3" s="208"/>
      <c r="BD3" s="209"/>
      <c r="BE3" s="210" t="s">
        <v>101</v>
      </c>
      <c r="BF3" s="211"/>
      <c r="BG3" s="211"/>
      <c r="BH3" s="211"/>
      <c r="BI3" s="211"/>
      <c r="BJ3" s="211"/>
      <c r="BK3" s="211"/>
      <c r="BL3" s="212"/>
      <c r="BN3" s="4"/>
    </row>
    <row r="4" spans="1:68" s="8" customFormat="1" ht="53.25" customHeight="1" thickTop="1" thickBot="1">
      <c r="A4" s="11"/>
      <c r="B4" s="214"/>
      <c r="C4" s="12" t="s">
        <v>10</v>
      </c>
      <c r="D4" s="13" t="s">
        <v>11</v>
      </c>
      <c r="E4" s="14" t="s">
        <v>12</v>
      </c>
      <c r="F4" s="13" t="s">
        <v>13</v>
      </c>
      <c r="G4" s="15" t="s">
        <v>14</v>
      </c>
      <c r="H4" s="13" t="s">
        <v>15</v>
      </c>
      <c r="I4" s="16" t="s">
        <v>16</v>
      </c>
      <c r="J4" s="14" t="s">
        <v>17</v>
      </c>
      <c r="K4" s="13" t="s">
        <v>18</v>
      </c>
      <c r="L4" s="13" t="s">
        <v>19</v>
      </c>
      <c r="M4" s="17" t="s">
        <v>12</v>
      </c>
      <c r="N4" s="13" t="s">
        <v>13</v>
      </c>
      <c r="O4" s="15" t="s">
        <v>14</v>
      </c>
      <c r="P4" s="13" t="s">
        <v>15</v>
      </c>
      <c r="Q4" s="16" t="s">
        <v>16</v>
      </c>
      <c r="R4" s="14" t="s">
        <v>17</v>
      </c>
      <c r="S4" s="18" t="s">
        <v>18</v>
      </c>
      <c r="T4" s="19" t="s">
        <v>20</v>
      </c>
      <c r="U4" s="20" t="s">
        <v>21</v>
      </c>
      <c r="V4" s="20" t="s">
        <v>22</v>
      </c>
      <c r="W4" s="21" t="s">
        <v>23</v>
      </c>
      <c r="X4" s="20"/>
      <c r="Y4" s="22" t="s">
        <v>24</v>
      </c>
      <c r="Z4" s="20" t="s">
        <v>12</v>
      </c>
      <c r="AA4" s="20" t="s">
        <v>25</v>
      </c>
      <c r="AB4" s="20" t="s">
        <v>21</v>
      </c>
      <c r="AC4" s="23" t="s">
        <v>26</v>
      </c>
      <c r="AD4" s="20" t="s">
        <v>22</v>
      </c>
      <c r="AE4" s="21" t="s">
        <v>27</v>
      </c>
      <c r="AF4" s="24" t="s">
        <v>28</v>
      </c>
      <c r="AG4" s="25" t="s">
        <v>18</v>
      </c>
      <c r="AH4" s="26" t="s">
        <v>29</v>
      </c>
      <c r="AI4" s="13" t="s">
        <v>12</v>
      </c>
      <c r="AJ4" s="13" t="s">
        <v>21</v>
      </c>
      <c r="AK4" s="15" t="s">
        <v>26</v>
      </c>
      <c r="AL4" s="13" t="s">
        <v>22</v>
      </c>
      <c r="AM4" s="16" t="s">
        <v>27</v>
      </c>
      <c r="AN4" s="17" t="s">
        <v>28</v>
      </c>
      <c r="AO4" s="23" t="s">
        <v>18</v>
      </c>
      <c r="AP4" s="27" t="s">
        <v>29</v>
      </c>
      <c r="AQ4" s="13" t="s">
        <v>12</v>
      </c>
      <c r="AR4" s="13" t="s">
        <v>21</v>
      </c>
      <c r="AS4" s="15" t="s">
        <v>26</v>
      </c>
      <c r="AT4" s="13" t="s">
        <v>22</v>
      </c>
      <c r="AU4" s="16" t="s">
        <v>27</v>
      </c>
      <c r="AV4" s="16" t="s">
        <v>30</v>
      </c>
      <c r="AW4" s="16" t="s">
        <v>31</v>
      </c>
      <c r="AX4" s="17" t="s">
        <v>28</v>
      </c>
      <c r="AY4" s="23" t="s">
        <v>18</v>
      </c>
      <c r="AZ4" s="23" t="s">
        <v>20</v>
      </c>
      <c r="BA4" s="20" t="s">
        <v>21</v>
      </c>
      <c r="BB4" s="20" t="s">
        <v>22</v>
      </c>
      <c r="BC4" s="21" t="s">
        <v>23</v>
      </c>
      <c r="BD4" s="21" t="s">
        <v>32</v>
      </c>
      <c r="BE4" s="28" t="s">
        <v>33</v>
      </c>
      <c r="BF4" s="29" t="s">
        <v>34</v>
      </c>
      <c r="BG4" s="29" t="s">
        <v>35</v>
      </c>
      <c r="BH4" s="29" t="s">
        <v>36</v>
      </c>
      <c r="BI4" s="29" t="s">
        <v>37</v>
      </c>
      <c r="BJ4" s="29" t="s">
        <v>38</v>
      </c>
      <c r="BK4" s="29" t="s">
        <v>39</v>
      </c>
      <c r="BL4" s="30" t="s">
        <v>40</v>
      </c>
      <c r="BN4" s="31"/>
    </row>
    <row r="5" spans="1:68" ht="20" customHeight="1" thickTop="1">
      <c r="B5" s="33">
        <f>DATE($A$2,$B$2,1)</f>
        <v>45901</v>
      </c>
      <c r="C5" s="34"/>
      <c r="D5" s="35"/>
      <c r="E5" s="36">
        <v>10</v>
      </c>
      <c r="F5" s="37">
        <v>40700</v>
      </c>
      <c r="G5" s="38">
        <f t="shared" ref="G5:G35" si="0">ROUNDDOWN(F5/1.1,0)/E5</f>
        <v>3700</v>
      </c>
      <c r="H5" s="37">
        <v>3190</v>
      </c>
      <c r="I5" s="39">
        <f>ROUNDDOWN(H5/1.1,0)/E5</f>
        <v>290</v>
      </c>
      <c r="J5" s="40">
        <f t="shared" ref="J5:J35" si="1">F5+H5</f>
        <v>43890</v>
      </c>
      <c r="K5" s="41">
        <f t="shared" ref="K5:K35" si="2">IF(E5="","",J5/E5)</f>
        <v>4389</v>
      </c>
      <c r="L5" s="42"/>
      <c r="M5" s="43">
        <f t="shared" ref="M5:N35" si="3">BE5-E5</f>
        <v>1</v>
      </c>
      <c r="N5" s="44">
        <f t="shared" si="3"/>
        <v>12100</v>
      </c>
      <c r="O5" s="38">
        <f t="shared" ref="O5:O35" si="4">ROUNDDOWN(N5/1.1,0)/M5</f>
        <v>11000</v>
      </c>
      <c r="P5" s="44">
        <f t="shared" ref="P5:P35" si="5">BG5-H5</f>
        <v>0</v>
      </c>
      <c r="Q5" s="39">
        <f t="shared" ref="Q5:Q35" si="6">ROUNDDOWN(P5/1.1,0)/M5</f>
        <v>0</v>
      </c>
      <c r="R5" s="45">
        <f t="shared" ref="R5:R35" si="7">N5+P5</f>
        <v>12100</v>
      </c>
      <c r="S5" s="41">
        <f t="shared" ref="S5:S35" si="8">IF(M5="","",R5/M5)</f>
        <v>12100</v>
      </c>
      <c r="T5" s="46">
        <f t="shared" ref="T5:U35" si="9">E5+M5</f>
        <v>11</v>
      </c>
      <c r="U5" s="44">
        <f t="shared" si="9"/>
        <v>52800</v>
      </c>
      <c r="V5" s="44">
        <f t="shared" ref="V5:V35" si="10">H5+P5</f>
        <v>3190</v>
      </c>
      <c r="W5" s="47">
        <f t="shared" ref="W5:W35" si="11">J5+R5</f>
        <v>55990</v>
      </c>
      <c r="X5" s="44"/>
      <c r="Y5" s="48"/>
      <c r="Z5" s="49">
        <v>2</v>
      </c>
      <c r="AA5" s="49"/>
      <c r="AB5" s="37">
        <v>5000</v>
      </c>
      <c r="AC5" s="38">
        <f t="shared" ref="AC5:AC35" si="12">AB5/Z5</f>
        <v>2500</v>
      </c>
      <c r="AD5" s="37">
        <v>500</v>
      </c>
      <c r="AE5" s="39">
        <f t="shared" ref="AE5:AE35" si="13">AD5/Z5</f>
        <v>250</v>
      </c>
      <c r="AF5" s="50">
        <f t="shared" ref="AF5:AF35" si="14">AB5+AD5</f>
        <v>5500</v>
      </c>
      <c r="AG5" s="41">
        <f t="shared" ref="AG5:AG35" si="15">IF(Z5="","",AF5/Z5)</f>
        <v>2750</v>
      </c>
      <c r="AH5" s="51"/>
      <c r="AI5" s="49"/>
      <c r="AJ5" s="37"/>
      <c r="AK5" s="38" t="e">
        <f t="shared" ref="AK5:AK35" si="16">AJ5/AI5</f>
        <v>#DIV/0!</v>
      </c>
      <c r="AL5" s="37"/>
      <c r="AM5" s="39" t="e">
        <f t="shared" ref="AM5:AM35" si="17">AL5/AI5</f>
        <v>#DIV/0!</v>
      </c>
      <c r="AN5" s="50">
        <f>AJ5+AL5</f>
        <v>0</v>
      </c>
      <c r="AO5" s="52" t="str">
        <f t="shared" ref="AO5:AO35" si="18">IF(AI5="","",AN5/AI5)</f>
        <v/>
      </c>
      <c r="AP5" s="53"/>
      <c r="AQ5" s="49">
        <v>86</v>
      </c>
      <c r="AR5" s="37">
        <v>237300</v>
      </c>
      <c r="AS5" s="38">
        <f t="shared" ref="AS5:AS35" si="19">AR5/AQ5</f>
        <v>2759.3023255813955</v>
      </c>
      <c r="AT5" s="37">
        <v>137900</v>
      </c>
      <c r="AU5" s="39">
        <f t="shared" ref="AU5:AU35" si="20">AT5/AQ5</f>
        <v>1603.4883720930231</v>
      </c>
      <c r="AV5" s="39">
        <v>7040</v>
      </c>
      <c r="AW5" s="39"/>
      <c r="AX5" s="54">
        <f>AR5+AT5+AV5+AW5</f>
        <v>382240</v>
      </c>
      <c r="AY5" s="52">
        <f t="shared" ref="AY5:AY35" si="21">IF(AQ5="","",AX5/AQ5)</f>
        <v>4444.6511627906975</v>
      </c>
      <c r="AZ5" s="55">
        <f t="shared" ref="AZ5:AZ35" si="22">SUM(E5,M5)</f>
        <v>11</v>
      </c>
      <c r="BA5" s="44">
        <f t="shared" ref="BA5:BA35" si="23">U5+AB5+AJ5+AR5</f>
        <v>295100</v>
      </c>
      <c r="BB5" s="44">
        <f t="shared" ref="BB5:BB35" si="24">V5+AD5+AL5+AT5</f>
        <v>141590</v>
      </c>
      <c r="BC5" s="56">
        <f>W5+AF5+AN5+AX5</f>
        <v>443730</v>
      </c>
      <c r="BD5" s="57">
        <f>BH5+BI5</f>
        <v>0</v>
      </c>
      <c r="BE5" s="58">
        <v>11</v>
      </c>
      <c r="BF5" s="59">
        <v>52800</v>
      </c>
      <c r="BG5" s="59">
        <v>3190</v>
      </c>
      <c r="BH5" s="60"/>
      <c r="BI5" s="60"/>
      <c r="BJ5" s="60"/>
      <c r="BK5" s="60"/>
      <c r="BL5" s="61">
        <f>SUM(BF5:BI5)</f>
        <v>55990</v>
      </c>
      <c r="BM5" s="32">
        <v>1</v>
      </c>
      <c r="BN5" s="62">
        <f t="shared" ref="BN5:BN35" si="25">BK5+BL5</f>
        <v>55990</v>
      </c>
    </row>
    <row r="6" spans="1:68" ht="20" customHeight="1">
      <c r="B6" s="63">
        <f t="shared" ref="B6:B35" si="26">B5+1</f>
        <v>45902</v>
      </c>
      <c r="C6" s="64"/>
      <c r="D6" s="35"/>
      <c r="E6" s="36">
        <v>21</v>
      </c>
      <c r="F6" s="37">
        <v>73920</v>
      </c>
      <c r="G6" s="38">
        <f t="shared" si="0"/>
        <v>3200</v>
      </c>
      <c r="H6" s="37">
        <v>10080</v>
      </c>
      <c r="I6" s="39">
        <f t="shared" ref="I6:I35" si="27">ROUNDDOWN(H6/1.1,0)/E6</f>
        <v>436.33333333333331</v>
      </c>
      <c r="J6" s="40">
        <f t="shared" si="1"/>
        <v>84000</v>
      </c>
      <c r="K6" s="41">
        <f t="shared" si="2"/>
        <v>4000</v>
      </c>
      <c r="L6" s="42"/>
      <c r="M6" s="43">
        <f t="shared" si="3"/>
        <v>9</v>
      </c>
      <c r="N6" s="44">
        <f t="shared" si="3"/>
        <v>82840</v>
      </c>
      <c r="O6" s="38">
        <f t="shared" si="4"/>
        <v>8367.6666666666661</v>
      </c>
      <c r="P6" s="44">
        <f t="shared" si="5"/>
        <v>16740</v>
      </c>
      <c r="Q6" s="39">
        <f t="shared" si="6"/>
        <v>1690.8888888888889</v>
      </c>
      <c r="R6" s="45">
        <f t="shared" si="7"/>
        <v>99580</v>
      </c>
      <c r="S6" s="41">
        <f t="shared" si="8"/>
        <v>11064.444444444445</v>
      </c>
      <c r="T6" s="65">
        <f t="shared" si="9"/>
        <v>30</v>
      </c>
      <c r="U6" s="44">
        <f t="shared" si="9"/>
        <v>156760</v>
      </c>
      <c r="V6" s="44">
        <f t="shared" si="10"/>
        <v>26820</v>
      </c>
      <c r="W6" s="47">
        <f t="shared" si="11"/>
        <v>183580</v>
      </c>
      <c r="X6" s="66"/>
      <c r="Y6" s="48"/>
      <c r="Z6" s="49">
        <v>0</v>
      </c>
      <c r="AA6" s="49"/>
      <c r="AB6" s="37"/>
      <c r="AC6" s="38" t="e">
        <f t="shared" si="12"/>
        <v>#DIV/0!</v>
      </c>
      <c r="AD6" s="37"/>
      <c r="AE6" s="39" t="e">
        <f t="shared" si="13"/>
        <v>#DIV/0!</v>
      </c>
      <c r="AF6" s="50">
        <f>AB6+AD6</f>
        <v>0</v>
      </c>
      <c r="AG6" s="41" t="e">
        <f t="shared" si="15"/>
        <v>#DIV/0!</v>
      </c>
      <c r="AH6" s="51"/>
      <c r="AI6" s="49">
        <v>22</v>
      </c>
      <c r="AJ6" s="37">
        <v>86130</v>
      </c>
      <c r="AK6" s="38">
        <f t="shared" si="16"/>
        <v>3915</v>
      </c>
      <c r="AL6" s="37">
        <v>28710</v>
      </c>
      <c r="AM6" s="39">
        <f t="shared" si="17"/>
        <v>1305</v>
      </c>
      <c r="AN6" s="50">
        <f t="shared" ref="AN6:AN35" si="28">AJ6+AL6</f>
        <v>114840</v>
      </c>
      <c r="AO6" s="52">
        <f t="shared" si="18"/>
        <v>5220</v>
      </c>
      <c r="AP6" s="53"/>
      <c r="AQ6" s="49">
        <v>128</v>
      </c>
      <c r="AR6" s="37">
        <v>333400</v>
      </c>
      <c r="AS6" s="38">
        <f t="shared" si="19"/>
        <v>2604.6875</v>
      </c>
      <c r="AT6" s="37">
        <v>171350</v>
      </c>
      <c r="AU6" s="39">
        <f t="shared" si="20"/>
        <v>1338.671875</v>
      </c>
      <c r="AV6" s="39">
        <v>4400</v>
      </c>
      <c r="AW6" s="39"/>
      <c r="AX6" s="54">
        <f>AR6+AT6+AV6+AW6-BP6</f>
        <v>509150</v>
      </c>
      <c r="AY6" s="52">
        <f t="shared" si="21"/>
        <v>3977.734375</v>
      </c>
      <c r="AZ6" s="67">
        <f t="shared" si="22"/>
        <v>30</v>
      </c>
      <c r="BA6" s="44">
        <f t="shared" si="23"/>
        <v>576290</v>
      </c>
      <c r="BB6" s="44">
        <f t="shared" si="24"/>
        <v>226880</v>
      </c>
      <c r="BC6" s="56">
        <f>W6+AF6+AN6+AX6</f>
        <v>807570</v>
      </c>
      <c r="BD6" s="57">
        <f>BH6+BI6</f>
        <v>68200</v>
      </c>
      <c r="BE6" s="58">
        <v>30</v>
      </c>
      <c r="BF6" s="59">
        <v>156760</v>
      </c>
      <c r="BG6" s="59">
        <v>26820</v>
      </c>
      <c r="BH6" s="60">
        <v>68200</v>
      </c>
      <c r="BI6" s="60"/>
      <c r="BJ6" s="60"/>
      <c r="BK6" s="60"/>
      <c r="BL6" s="61">
        <f t="shared" ref="BL6:BL35" si="29">SUM(BF6:BI6)</f>
        <v>251780</v>
      </c>
      <c r="BM6" s="32">
        <v>2</v>
      </c>
      <c r="BN6" s="62">
        <f t="shared" si="25"/>
        <v>251780</v>
      </c>
      <c r="BO6" s="32" t="s">
        <v>103</v>
      </c>
    </row>
    <row r="7" spans="1:68" ht="20" customHeight="1">
      <c r="B7" s="63">
        <f>B6+1</f>
        <v>45903</v>
      </c>
      <c r="C7" s="64"/>
      <c r="D7" s="35"/>
      <c r="E7" s="36">
        <v>24</v>
      </c>
      <c r="F7" s="37">
        <v>91740</v>
      </c>
      <c r="G7" s="38">
        <f t="shared" si="0"/>
        <v>3475</v>
      </c>
      <c r="H7" s="37">
        <v>18730</v>
      </c>
      <c r="I7" s="39">
        <f t="shared" si="27"/>
        <v>709.45833333333337</v>
      </c>
      <c r="J7" s="40">
        <f t="shared" si="1"/>
        <v>110470</v>
      </c>
      <c r="K7" s="41">
        <f t="shared" si="2"/>
        <v>4602.916666666667</v>
      </c>
      <c r="L7" s="42"/>
      <c r="M7" s="43">
        <f t="shared" si="3"/>
        <v>20</v>
      </c>
      <c r="N7" s="44">
        <f t="shared" si="3"/>
        <v>182050</v>
      </c>
      <c r="O7" s="38">
        <f t="shared" si="4"/>
        <v>8275</v>
      </c>
      <c r="P7" s="44">
        <f t="shared" si="5"/>
        <v>84660</v>
      </c>
      <c r="Q7" s="39">
        <f t="shared" si="6"/>
        <v>3848.15</v>
      </c>
      <c r="R7" s="45">
        <f t="shared" si="7"/>
        <v>266710</v>
      </c>
      <c r="S7" s="41">
        <f t="shared" si="8"/>
        <v>13335.5</v>
      </c>
      <c r="T7" s="65">
        <f t="shared" si="9"/>
        <v>44</v>
      </c>
      <c r="U7" s="44">
        <f t="shared" si="9"/>
        <v>273790</v>
      </c>
      <c r="V7" s="44">
        <f t="shared" si="10"/>
        <v>103390</v>
      </c>
      <c r="W7" s="47">
        <f t="shared" si="11"/>
        <v>377180</v>
      </c>
      <c r="X7" s="66"/>
      <c r="Y7" s="48"/>
      <c r="Z7" s="49">
        <v>0</v>
      </c>
      <c r="AA7" s="49"/>
      <c r="AB7" s="37"/>
      <c r="AC7" s="38" t="e">
        <f t="shared" si="12"/>
        <v>#DIV/0!</v>
      </c>
      <c r="AD7" s="37"/>
      <c r="AE7" s="39" t="e">
        <f t="shared" si="13"/>
        <v>#DIV/0!</v>
      </c>
      <c r="AF7" s="50">
        <f t="shared" si="14"/>
        <v>0</v>
      </c>
      <c r="AG7" s="41" t="e">
        <f t="shared" si="15"/>
        <v>#DIV/0!</v>
      </c>
      <c r="AH7" s="51"/>
      <c r="AI7" s="49"/>
      <c r="AJ7" s="37"/>
      <c r="AK7" s="38" t="e">
        <f t="shared" si="16"/>
        <v>#DIV/0!</v>
      </c>
      <c r="AL7" s="37"/>
      <c r="AM7" s="39" t="e">
        <f t="shared" si="17"/>
        <v>#DIV/0!</v>
      </c>
      <c r="AN7" s="50">
        <f t="shared" si="28"/>
        <v>0</v>
      </c>
      <c r="AO7" s="52" t="str">
        <f t="shared" si="18"/>
        <v/>
      </c>
      <c r="AP7" s="53"/>
      <c r="AQ7" s="49">
        <v>202</v>
      </c>
      <c r="AR7" s="37">
        <v>590300</v>
      </c>
      <c r="AS7" s="38">
        <f t="shared" si="19"/>
        <v>2922.2772277227723</v>
      </c>
      <c r="AT7" s="37">
        <v>303150</v>
      </c>
      <c r="AU7" s="39">
        <f t="shared" si="20"/>
        <v>1500.7425742574258</v>
      </c>
      <c r="AV7" s="39">
        <v>12760</v>
      </c>
      <c r="AW7" s="39"/>
      <c r="AX7" s="54">
        <f>AR7+AT7+AV7+AW7</f>
        <v>906210</v>
      </c>
      <c r="AY7" s="52">
        <f t="shared" si="21"/>
        <v>4486.1881188118814</v>
      </c>
      <c r="AZ7" s="67">
        <f t="shared" si="22"/>
        <v>44</v>
      </c>
      <c r="BA7" s="44">
        <f t="shared" si="23"/>
        <v>864090</v>
      </c>
      <c r="BB7" s="44">
        <f t="shared" si="24"/>
        <v>406540</v>
      </c>
      <c r="BC7" s="56">
        <f>W7+AF7+AN7+AX7</f>
        <v>1283390</v>
      </c>
      <c r="BD7" s="57">
        <f t="shared" ref="BD7:BD35" si="30">BH7+BI7</f>
        <v>5500</v>
      </c>
      <c r="BE7" s="58">
        <v>44</v>
      </c>
      <c r="BF7" s="59">
        <v>273790</v>
      </c>
      <c r="BG7" s="59">
        <v>103390</v>
      </c>
      <c r="BH7" s="60">
        <v>5500</v>
      </c>
      <c r="BI7" s="60"/>
      <c r="BJ7" s="60"/>
      <c r="BK7" s="60"/>
      <c r="BL7" s="61">
        <f>SUM(BF7:BI7)</f>
        <v>382680</v>
      </c>
      <c r="BM7" s="32">
        <v>3</v>
      </c>
      <c r="BN7" s="62">
        <f t="shared" si="25"/>
        <v>382680</v>
      </c>
    </row>
    <row r="8" spans="1:68" ht="20" customHeight="1">
      <c r="B8" s="63">
        <f t="shared" si="26"/>
        <v>45904</v>
      </c>
      <c r="C8" s="64"/>
      <c r="D8" s="35"/>
      <c r="E8" s="36">
        <v>13</v>
      </c>
      <c r="F8" s="37">
        <v>59510</v>
      </c>
      <c r="G8" s="38">
        <f t="shared" si="0"/>
        <v>4161.5384615384619</v>
      </c>
      <c r="H8" s="37">
        <v>15150</v>
      </c>
      <c r="I8" s="39">
        <f t="shared" si="27"/>
        <v>1059.3846153846155</v>
      </c>
      <c r="J8" s="40">
        <f t="shared" si="1"/>
        <v>74660</v>
      </c>
      <c r="K8" s="41">
        <f t="shared" si="2"/>
        <v>5743.0769230769229</v>
      </c>
      <c r="L8" s="42"/>
      <c r="M8" s="43">
        <f t="shared" si="3"/>
        <v>44</v>
      </c>
      <c r="N8" s="44">
        <f t="shared" si="3"/>
        <v>388700</v>
      </c>
      <c r="O8" s="38">
        <f t="shared" si="4"/>
        <v>8030.977272727273</v>
      </c>
      <c r="P8" s="44">
        <f t="shared" si="5"/>
        <v>140800</v>
      </c>
      <c r="Q8" s="39">
        <f t="shared" si="6"/>
        <v>2909.090909090909</v>
      </c>
      <c r="R8" s="45">
        <f t="shared" si="7"/>
        <v>529500</v>
      </c>
      <c r="S8" s="41">
        <f t="shared" si="8"/>
        <v>12034.09090909091</v>
      </c>
      <c r="T8" s="65">
        <f t="shared" si="9"/>
        <v>57</v>
      </c>
      <c r="U8" s="44">
        <f t="shared" si="9"/>
        <v>448210</v>
      </c>
      <c r="V8" s="44">
        <f t="shared" si="10"/>
        <v>155950</v>
      </c>
      <c r="W8" s="47">
        <f t="shared" si="11"/>
        <v>604160</v>
      </c>
      <c r="X8" s="66"/>
      <c r="Y8" s="48"/>
      <c r="Z8" s="49">
        <v>0</v>
      </c>
      <c r="AA8" s="49"/>
      <c r="AB8" s="37"/>
      <c r="AC8" s="38" t="e">
        <f t="shared" si="12"/>
        <v>#DIV/0!</v>
      </c>
      <c r="AD8" s="37"/>
      <c r="AE8" s="39" t="e">
        <f t="shared" si="13"/>
        <v>#DIV/0!</v>
      </c>
      <c r="AF8" s="50">
        <f t="shared" si="14"/>
        <v>0</v>
      </c>
      <c r="AG8" s="41" t="e">
        <f t="shared" si="15"/>
        <v>#DIV/0!</v>
      </c>
      <c r="AH8" s="51"/>
      <c r="AI8" s="49">
        <v>61</v>
      </c>
      <c r="AJ8" s="37">
        <v>238815</v>
      </c>
      <c r="AK8" s="38">
        <f t="shared" si="16"/>
        <v>3915</v>
      </c>
      <c r="AL8" s="37">
        <v>93673</v>
      </c>
      <c r="AM8" s="39">
        <f t="shared" si="17"/>
        <v>1535.622950819672</v>
      </c>
      <c r="AN8" s="50">
        <f t="shared" si="28"/>
        <v>332488</v>
      </c>
      <c r="AO8" s="52">
        <f t="shared" si="18"/>
        <v>5450.622950819672</v>
      </c>
      <c r="AP8" s="53"/>
      <c r="AQ8" s="49">
        <v>257</v>
      </c>
      <c r="AR8" s="37">
        <v>817250</v>
      </c>
      <c r="AS8" s="38">
        <f t="shared" si="19"/>
        <v>3179.9610894941634</v>
      </c>
      <c r="AT8" s="37">
        <v>422950</v>
      </c>
      <c r="AU8" s="39">
        <f t="shared" si="20"/>
        <v>1645.7198443579766</v>
      </c>
      <c r="AV8" s="39">
        <v>16610</v>
      </c>
      <c r="AW8" s="39"/>
      <c r="AX8" s="54">
        <f t="shared" ref="AX8:AX16" si="31">AR8+AT8+AV8+AW8</f>
        <v>1256810</v>
      </c>
      <c r="AY8" s="52">
        <f t="shared" si="21"/>
        <v>4890.3112840466929</v>
      </c>
      <c r="AZ8" s="67">
        <f t="shared" si="22"/>
        <v>57</v>
      </c>
      <c r="BA8" s="44">
        <f t="shared" si="23"/>
        <v>1504275</v>
      </c>
      <c r="BB8" s="44">
        <f t="shared" si="24"/>
        <v>672573</v>
      </c>
      <c r="BC8" s="56">
        <f>W8+AF8+AN8+AX8</f>
        <v>2193458</v>
      </c>
      <c r="BD8" s="57">
        <f t="shared" si="30"/>
        <v>0</v>
      </c>
      <c r="BE8" s="58">
        <v>57</v>
      </c>
      <c r="BF8" s="59">
        <v>448210</v>
      </c>
      <c r="BG8" s="59">
        <v>155950</v>
      </c>
      <c r="BH8" s="60"/>
      <c r="BI8" s="60"/>
      <c r="BJ8" s="60"/>
      <c r="BK8" s="60"/>
      <c r="BL8" s="61">
        <f>SUM(BF8:BI8)</f>
        <v>604160</v>
      </c>
      <c r="BM8" s="32">
        <v>4</v>
      </c>
      <c r="BN8" s="62">
        <f t="shared" si="25"/>
        <v>604160</v>
      </c>
      <c r="BO8" s="68"/>
      <c r="BP8" s="68"/>
    </row>
    <row r="9" spans="1:68" ht="20" customHeight="1">
      <c r="B9" s="63">
        <f t="shared" si="26"/>
        <v>45905</v>
      </c>
      <c r="C9" s="64"/>
      <c r="D9" s="35"/>
      <c r="E9" s="36">
        <v>32</v>
      </c>
      <c r="F9" s="37">
        <v>129470</v>
      </c>
      <c r="G9" s="38">
        <f t="shared" si="0"/>
        <v>3678.125</v>
      </c>
      <c r="H9" s="37">
        <v>26690</v>
      </c>
      <c r="I9" s="39">
        <f t="shared" si="27"/>
        <v>758.21875</v>
      </c>
      <c r="J9" s="40">
        <f t="shared" si="1"/>
        <v>156160</v>
      </c>
      <c r="K9" s="41">
        <f t="shared" si="2"/>
        <v>4880</v>
      </c>
      <c r="L9" s="42"/>
      <c r="M9" s="43">
        <f t="shared" si="3"/>
        <v>16</v>
      </c>
      <c r="N9" s="44">
        <f t="shared" si="3"/>
        <v>135960</v>
      </c>
      <c r="O9" s="38">
        <f t="shared" si="4"/>
        <v>7725</v>
      </c>
      <c r="P9" s="44">
        <f t="shared" si="5"/>
        <v>45360</v>
      </c>
      <c r="Q9" s="39">
        <f>ROUNDDOWN(P9/1.1,0)/M9</f>
        <v>2577.25</v>
      </c>
      <c r="R9" s="45">
        <f t="shared" si="7"/>
        <v>181320</v>
      </c>
      <c r="S9" s="41">
        <f t="shared" si="8"/>
        <v>11332.5</v>
      </c>
      <c r="T9" s="65">
        <f t="shared" si="9"/>
        <v>48</v>
      </c>
      <c r="U9" s="44">
        <f t="shared" si="9"/>
        <v>265430</v>
      </c>
      <c r="V9" s="44">
        <f t="shared" si="10"/>
        <v>72050</v>
      </c>
      <c r="W9" s="47">
        <f t="shared" si="11"/>
        <v>337480</v>
      </c>
      <c r="X9" s="66"/>
      <c r="Y9" s="48"/>
      <c r="Z9" s="49">
        <v>0</v>
      </c>
      <c r="AA9" s="49"/>
      <c r="AB9" s="37"/>
      <c r="AC9" s="38" t="e">
        <f t="shared" si="12"/>
        <v>#DIV/0!</v>
      </c>
      <c r="AD9" s="37"/>
      <c r="AE9" s="39" t="e">
        <f t="shared" si="13"/>
        <v>#DIV/0!</v>
      </c>
      <c r="AF9" s="50">
        <f t="shared" si="14"/>
        <v>0</v>
      </c>
      <c r="AG9" s="41" t="e">
        <f t="shared" si="15"/>
        <v>#DIV/0!</v>
      </c>
      <c r="AH9" s="51"/>
      <c r="AI9" s="49"/>
      <c r="AJ9" s="37"/>
      <c r="AK9" s="38" t="e">
        <f t="shared" si="16"/>
        <v>#DIV/0!</v>
      </c>
      <c r="AL9" s="37"/>
      <c r="AM9" s="39" t="e">
        <f t="shared" si="17"/>
        <v>#DIV/0!</v>
      </c>
      <c r="AN9" s="50">
        <f t="shared" si="28"/>
        <v>0</v>
      </c>
      <c r="AO9" s="52" t="str">
        <f t="shared" si="18"/>
        <v/>
      </c>
      <c r="AP9" s="53"/>
      <c r="AQ9" s="49">
        <v>448</v>
      </c>
      <c r="AR9" s="37">
        <v>982950</v>
      </c>
      <c r="AS9" s="38">
        <f t="shared" si="19"/>
        <v>2194.0848214285716</v>
      </c>
      <c r="AT9" s="37">
        <v>525150</v>
      </c>
      <c r="AU9" s="39">
        <f t="shared" si="20"/>
        <v>1172.2098214285713</v>
      </c>
      <c r="AV9" s="39">
        <v>29480</v>
      </c>
      <c r="AW9" s="39"/>
      <c r="AX9" s="54">
        <f t="shared" si="31"/>
        <v>1537580</v>
      </c>
      <c r="AY9" s="52">
        <f>IF(AQ9="","",AX9/AQ9)</f>
        <v>3432.0982142857142</v>
      </c>
      <c r="AZ9" s="67">
        <f t="shared" si="22"/>
        <v>48</v>
      </c>
      <c r="BA9" s="44">
        <f t="shared" si="23"/>
        <v>1248380</v>
      </c>
      <c r="BB9" s="44">
        <f t="shared" si="24"/>
        <v>597200</v>
      </c>
      <c r="BC9" s="56">
        <f>W9+AF9+AN9+AX9-BO9</f>
        <v>1874760</v>
      </c>
      <c r="BD9" s="57">
        <f t="shared" si="30"/>
        <v>1100</v>
      </c>
      <c r="BE9" s="58">
        <v>48</v>
      </c>
      <c r="BF9" s="59">
        <v>265430</v>
      </c>
      <c r="BG9" s="59">
        <v>72050</v>
      </c>
      <c r="BH9" s="60">
        <v>1100</v>
      </c>
      <c r="BI9" s="60"/>
      <c r="BJ9" s="60"/>
      <c r="BK9" s="60"/>
      <c r="BL9" s="61">
        <f t="shared" si="29"/>
        <v>338580</v>
      </c>
      <c r="BM9" s="32">
        <v>5</v>
      </c>
      <c r="BN9" s="62">
        <f t="shared" si="25"/>
        <v>338580</v>
      </c>
      <c r="BO9" s="32">
        <v>300</v>
      </c>
    </row>
    <row r="10" spans="1:68" ht="19.5" customHeight="1">
      <c r="B10" s="63">
        <f t="shared" si="26"/>
        <v>45906</v>
      </c>
      <c r="C10" s="64"/>
      <c r="D10" s="35"/>
      <c r="E10" s="36">
        <v>28</v>
      </c>
      <c r="F10" s="37">
        <v>104280</v>
      </c>
      <c r="G10" s="38">
        <f t="shared" si="0"/>
        <v>3385.7142857142858</v>
      </c>
      <c r="H10" s="37">
        <v>17690</v>
      </c>
      <c r="I10" s="39">
        <f t="shared" si="27"/>
        <v>574.32142857142856</v>
      </c>
      <c r="J10" s="40">
        <f t="shared" si="1"/>
        <v>121970</v>
      </c>
      <c r="K10" s="41">
        <f t="shared" si="2"/>
        <v>4356.0714285714284</v>
      </c>
      <c r="L10" s="42"/>
      <c r="M10" s="43">
        <f t="shared" si="3"/>
        <v>26</v>
      </c>
      <c r="N10" s="44">
        <f t="shared" si="3"/>
        <v>246950</v>
      </c>
      <c r="O10" s="38">
        <f t="shared" si="4"/>
        <v>8634.6153846153848</v>
      </c>
      <c r="P10" s="44">
        <f t="shared" si="5"/>
        <v>53070</v>
      </c>
      <c r="Q10" s="39">
        <f t="shared" si="6"/>
        <v>1855.5769230769231</v>
      </c>
      <c r="R10" s="45">
        <f t="shared" si="7"/>
        <v>300020</v>
      </c>
      <c r="S10" s="41">
        <f t="shared" si="8"/>
        <v>11539.23076923077</v>
      </c>
      <c r="T10" s="65">
        <f t="shared" si="9"/>
        <v>54</v>
      </c>
      <c r="U10" s="44">
        <f t="shared" si="9"/>
        <v>351230</v>
      </c>
      <c r="V10" s="44">
        <f t="shared" si="10"/>
        <v>70760</v>
      </c>
      <c r="W10" s="47">
        <f t="shared" si="11"/>
        <v>421990</v>
      </c>
      <c r="X10" s="66"/>
      <c r="Y10" s="48"/>
      <c r="Z10" s="49">
        <v>3</v>
      </c>
      <c r="AA10" s="49"/>
      <c r="AB10" s="37">
        <v>7500</v>
      </c>
      <c r="AC10" s="38">
        <f t="shared" si="12"/>
        <v>2500</v>
      </c>
      <c r="AD10" s="37">
        <v>750</v>
      </c>
      <c r="AE10" s="39">
        <f t="shared" si="13"/>
        <v>250</v>
      </c>
      <c r="AF10" s="50">
        <f t="shared" si="14"/>
        <v>8250</v>
      </c>
      <c r="AG10" s="41">
        <f t="shared" si="15"/>
        <v>2750</v>
      </c>
      <c r="AH10" s="51"/>
      <c r="AI10" s="49"/>
      <c r="AJ10" s="37"/>
      <c r="AK10" s="38" t="e">
        <f t="shared" si="16"/>
        <v>#DIV/0!</v>
      </c>
      <c r="AL10" s="37"/>
      <c r="AM10" s="39" t="e">
        <f t="shared" si="17"/>
        <v>#DIV/0!</v>
      </c>
      <c r="AN10" s="50">
        <f t="shared" si="28"/>
        <v>0</v>
      </c>
      <c r="AO10" s="52" t="str">
        <f t="shared" si="18"/>
        <v/>
      </c>
      <c r="AP10" s="53"/>
      <c r="AQ10" s="49">
        <v>448</v>
      </c>
      <c r="AR10" s="37">
        <v>1347050</v>
      </c>
      <c r="AS10" s="38">
        <f t="shared" si="19"/>
        <v>3006.8080357142858</v>
      </c>
      <c r="AT10" s="37">
        <v>723100</v>
      </c>
      <c r="AU10" s="39">
        <f t="shared" si="20"/>
        <v>1614.0625</v>
      </c>
      <c r="AV10" s="39">
        <v>34430</v>
      </c>
      <c r="AW10" s="39"/>
      <c r="AX10" s="54">
        <f t="shared" si="31"/>
        <v>2104580</v>
      </c>
      <c r="AY10" s="52">
        <f t="shared" si="21"/>
        <v>4697.7232142857147</v>
      </c>
      <c r="AZ10" s="67">
        <f t="shared" si="22"/>
        <v>54</v>
      </c>
      <c r="BA10" s="44">
        <f t="shared" si="23"/>
        <v>1705780</v>
      </c>
      <c r="BB10" s="44">
        <f t="shared" si="24"/>
        <v>794610</v>
      </c>
      <c r="BC10" s="56">
        <f>W10+AF10+AN10+AX10-BO10</f>
        <v>2534820</v>
      </c>
      <c r="BD10" s="57">
        <f t="shared" si="30"/>
        <v>6600</v>
      </c>
      <c r="BE10" s="58">
        <v>54</v>
      </c>
      <c r="BF10" s="59">
        <v>351230</v>
      </c>
      <c r="BG10" s="59">
        <v>70760</v>
      </c>
      <c r="BH10" s="60">
        <v>6600</v>
      </c>
      <c r="BI10" s="60"/>
      <c r="BJ10" s="60"/>
      <c r="BK10" s="60"/>
      <c r="BL10" s="61">
        <f t="shared" si="29"/>
        <v>428590</v>
      </c>
      <c r="BM10" s="32">
        <v>6</v>
      </c>
      <c r="BN10" s="62">
        <f t="shared" si="25"/>
        <v>428590</v>
      </c>
    </row>
    <row r="11" spans="1:68" ht="20" customHeight="1">
      <c r="B11" s="63">
        <f t="shared" si="26"/>
        <v>45907</v>
      </c>
      <c r="C11" s="64"/>
      <c r="D11" s="35"/>
      <c r="E11" s="36">
        <v>25</v>
      </c>
      <c r="F11" s="37">
        <v>98890</v>
      </c>
      <c r="G11" s="38">
        <f t="shared" si="0"/>
        <v>3596</v>
      </c>
      <c r="H11" s="37">
        <v>28550</v>
      </c>
      <c r="I11" s="39">
        <f t="shared" si="27"/>
        <v>1038.1600000000001</v>
      </c>
      <c r="J11" s="40">
        <f t="shared" si="1"/>
        <v>127440</v>
      </c>
      <c r="K11" s="41">
        <f t="shared" si="2"/>
        <v>5097.6000000000004</v>
      </c>
      <c r="L11" s="42"/>
      <c r="M11" s="43">
        <f t="shared" si="3"/>
        <v>22</v>
      </c>
      <c r="N11" s="44">
        <f t="shared" si="3"/>
        <v>266200</v>
      </c>
      <c r="O11" s="38">
        <f t="shared" si="4"/>
        <v>11000</v>
      </c>
      <c r="P11" s="44">
        <f t="shared" si="5"/>
        <v>109200</v>
      </c>
      <c r="Q11" s="39">
        <f t="shared" si="6"/>
        <v>4512.363636363636</v>
      </c>
      <c r="R11" s="45">
        <f t="shared" si="7"/>
        <v>375400</v>
      </c>
      <c r="S11" s="41">
        <f t="shared" si="8"/>
        <v>17063.636363636364</v>
      </c>
      <c r="T11" s="65">
        <f t="shared" si="9"/>
        <v>47</v>
      </c>
      <c r="U11" s="44">
        <f t="shared" si="9"/>
        <v>365090</v>
      </c>
      <c r="V11" s="44">
        <f t="shared" si="10"/>
        <v>137750</v>
      </c>
      <c r="W11" s="47">
        <f t="shared" si="11"/>
        <v>502840</v>
      </c>
      <c r="X11" s="66"/>
      <c r="Y11" s="48"/>
      <c r="Z11" s="49">
        <v>3</v>
      </c>
      <c r="AA11" s="49"/>
      <c r="AB11" s="37">
        <v>7500</v>
      </c>
      <c r="AC11" s="38">
        <f t="shared" si="12"/>
        <v>2500</v>
      </c>
      <c r="AD11" s="37">
        <v>4050</v>
      </c>
      <c r="AE11" s="39">
        <f t="shared" si="13"/>
        <v>1350</v>
      </c>
      <c r="AF11" s="50">
        <f t="shared" si="14"/>
        <v>11550</v>
      </c>
      <c r="AG11" s="41">
        <f t="shared" si="15"/>
        <v>3850</v>
      </c>
      <c r="AH11" s="51"/>
      <c r="AI11" s="49"/>
      <c r="AJ11" s="37"/>
      <c r="AK11" s="38" t="e">
        <f t="shared" si="16"/>
        <v>#DIV/0!</v>
      </c>
      <c r="AL11" s="37"/>
      <c r="AM11" s="39" t="e">
        <f t="shared" si="17"/>
        <v>#DIV/0!</v>
      </c>
      <c r="AN11" s="50">
        <f t="shared" si="28"/>
        <v>0</v>
      </c>
      <c r="AO11" s="52" t="str">
        <f t="shared" si="18"/>
        <v/>
      </c>
      <c r="AP11" s="53"/>
      <c r="AQ11" s="49">
        <v>343</v>
      </c>
      <c r="AR11" s="37">
        <v>961100</v>
      </c>
      <c r="AS11" s="38">
        <f t="shared" si="19"/>
        <v>2802.0408163265306</v>
      </c>
      <c r="AT11" s="37">
        <v>479150</v>
      </c>
      <c r="AU11" s="39">
        <f t="shared" si="20"/>
        <v>1396.9387755102041</v>
      </c>
      <c r="AV11" s="39">
        <v>26180</v>
      </c>
      <c r="AW11" s="39"/>
      <c r="AX11" s="54">
        <f>AR11+AT11+AV11+AW11-BP11</f>
        <v>1466430</v>
      </c>
      <c r="AY11" s="52">
        <f t="shared" si="21"/>
        <v>4275.3061224489793</v>
      </c>
      <c r="AZ11" s="67">
        <f t="shared" si="22"/>
        <v>47</v>
      </c>
      <c r="BA11" s="44">
        <f t="shared" si="23"/>
        <v>1333690</v>
      </c>
      <c r="BB11" s="44">
        <f t="shared" si="24"/>
        <v>620950</v>
      </c>
      <c r="BC11" s="56">
        <f>W11+AF11+AN11+AX11-BO11</f>
        <v>1980820</v>
      </c>
      <c r="BD11" s="57">
        <f>BH11+BI11</f>
        <v>2750</v>
      </c>
      <c r="BE11" s="58">
        <v>47</v>
      </c>
      <c r="BF11" s="59">
        <v>365090</v>
      </c>
      <c r="BG11" s="59">
        <v>137750</v>
      </c>
      <c r="BH11" s="60">
        <v>2750</v>
      </c>
      <c r="BI11" s="60"/>
      <c r="BJ11" s="60"/>
      <c r="BK11" s="60"/>
      <c r="BL11" s="61">
        <f t="shared" si="29"/>
        <v>505590</v>
      </c>
      <c r="BM11" s="32">
        <v>7</v>
      </c>
      <c r="BN11" s="62">
        <f t="shared" si="25"/>
        <v>505590</v>
      </c>
    </row>
    <row r="12" spans="1:68" ht="20" customHeight="1">
      <c r="B12" s="63">
        <f t="shared" si="26"/>
        <v>45908</v>
      </c>
      <c r="C12" s="69"/>
      <c r="D12" s="35"/>
      <c r="E12" s="36">
        <v>28</v>
      </c>
      <c r="F12" s="37">
        <v>95810</v>
      </c>
      <c r="G12" s="38">
        <f t="shared" si="0"/>
        <v>3110.7142857142858</v>
      </c>
      <c r="H12" s="37">
        <v>12310</v>
      </c>
      <c r="I12" s="39">
        <f t="shared" si="27"/>
        <v>399.64285714285717</v>
      </c>
      <c r="J12" s="40">
        <f t="shared" si="1"/>
        <v>108120</v>
      </c>
      <c r="K12" s="41">
        <f t="shared" si="2"/>
        <v>3861.4285714285716</v>
      </c>
      <c r="L12" s="42"/>
      <c r="M12" s="43">
        <f t="shared" si="3"/>
        <v>19</v>
      </c>
      <c r="N12" s="44">
        <f t="shared" si="3"/>
        <v>181680</v>
      </c>
      <c r="O12" s="38">
        <f t="shared" si="4"/>
        <v>8692.78947368421</v>
      </c>
      <c r="P12" s="44">
        <f t="shared" si="5"/>
        <v>47840</v>
      </c>
      <c r="Q12" s="70">
        <f t="shared" si="6"/>
        <v>2288.9473684210525</v>
      </c>
      <c r="R12" s="45">
        <f t="shared" si="7"/>
        <v>229520</v>
      </c>
      <c r="S12" s="41">
        <f t="shared" si="8"/>
        <v>12080</v>
      </c>
      <c r="T12" s="65">
        <f t="shared" si="9"/>
        <v>47</v>
      </c>
      <c r="U12" s="44">
        <f t="shared" si="9"/>
        <v>277490</v>
      </c>
      <c r="V12" s="44">
        <f t="shared" si="10"/>
        <v>60150</v>
      </c>
      <c r="W12" s="47">
        <f t="shared" si="11"/>
        <v>337640</v>
      </c>
      <c r="X12" s="66"/>
      <c r="Y12" s="48"/>
      <c r="Z12" s="49"/>
      <c r="AA12" s="49"/>
      <c r="AB12" s="37"/>
      <c r="AC12" s="38" t="e">
        <f t="shared" si="12"/>
        <v>#DIV/0!</v>
      </c>
      <c r="AD12" s="37"/>
      <c r="AE12" s="39" t="e">
        <f t="shared" si="13"/>
        <v>#DIV/0!</v>
      </c>
      <c r="AF12" s="50">
        <f t="shared" si="14"/>
        <v>0</v>
      </c>
      <c r="AG12" s="41" t="str">
        <f t="shared" si="15"/>
        <v/>
      </c>
      <c r="AH12" s="51"/>
      <c r="AI12" s="49"/>
      <c r="AJ12" s="37"/>
      <c r="AK12" s="38" t="e">
        <f t="shared" si="16"/>
        <v>#DIV/0!</v>
      </c>
      <c r="AL12" s="37"/>
      <c r="AM12" s="39" t="e">
        <f t="shared" si="17"/>
        <v>#DIV/0!</v>
      </c>
      <c r="AN12" s="50">
        <f t="shared" si="28"/>
        <v>0</v>
      </c>
      <c r="AO12" s="52" t="str">
        <f t="shared" si="18"/>
        <v/>
      </c>
      <c r="AP12" s="53"/>
      <c r="AQ12" s="49">
        <v>253</v>
      </c>
      <c r="AR12" s="37">
        <v>622900</v>
      </c>
      <c r="AS12" s="38">
        <f t="shared" si="19"/>
        <v>2462.0553359683795</v>
      </c>
      <c r="AT12" s="37">
        <v>375800</v>
      </c>
      <c r="AU12" s="39">
        <f t="shared" si="20"/>
        <v>1485.3754940711462</v>
      </c>
      <c r="AV12" s="39">
        <v>3190</v>
      </c>
      <c r="AW12" s="39"/>
      <c r="AX12" s="54">
        <f>AR12+AT12+AV12+AW12</f>
        <v>1001890</v>
      </c>
      <c r="AY12" s="52">
        <f t="shared" si="21"/>
        <v>3960.0395256916995</v>
      </c>
      <c r="AZ12" s="67">
        <f t="shared" si="22"/>
        <v>47</v>
      </c>
      <c r="BA12" s="44">
        <f t="shared" si="23"/>
        <v>900390</v>
      </c>
      <c r="BB12" s="44">
        <f t="shared" si="24"/>
        <v>435950</v>
      </c>
      <c r="BC12" s="56">
        <f>W12+AF12+AN12+AX12-BO12</f>
        <v>1339530</v>
      </c>
      <c r="BD12" s="57">
        <f t="shared" si="30"/>
        <v>8250</v>
      </c>
      <c r="BE12" s="58">
        <v>47</v>
      </c>
      <c r="BF12" s="59">
        <v>277490</v>
      </c>
      <c r="BG12" s="59">
        <v>60150</v>
      </c>
      <c r="BH12" s="60">
        <v>8250</v>
      </c>
      <c r="BI12" s="60"/>
      <c r="BJ12" s="60"/>
      <c r="BK12" s="60"/>
      <c r="BL12" s="61">
        <f t="shared" si="29"/>
        <v>345890</v>
      </c>
      <c r="BM12" s="32">
        <v>8</v>
      </c>
      <c r="BN12" s="62">
        <f t="shared" si="25"/>
        <v>345890</v>
      </c>
    </row>
    <row r="13" spans="1:68" ht="20" customHeight="1">
      <c r="B13" s="63">
        <f t="shared" si="26"/>
        <v>45909</v>
      </c>
      <c r="C13" s="64"/>
      <c r="D13" s="35"/>
      <c r="E13" s="36">
        <v>16</v>
      </c>
      <c r="F13" s="37">
        <v>66880</v>
      </c>
      <c r="G13" s="38">
        <f t="shared" si="0"/>
        <v>3800</v>
      </c>
      <c r="H13" s="37">
        <v>9910</v>
      </c>
      <c r="I13" s="39">
        <f t="shared" si="27"/>
        <v>563.0625</v>
      </c>
      <c r="J13" s="40">
        <f t="shared" si="1"/>
        <v>76790</v>
      </c>
      <c r="K13" s="41">
        <f t="shared" si="2"/>
        <v>4799.375</v>
      </c>
      <c r="L13" s="42"/>
      <c r="M13" s="43">
        <f t="shared" si="3"/>
        <v>4</v>
      </c>
      <c r="N13" s="44">
        <f t="shared" si="3"/>
        <v>30360</v>
      </c>
      <c r="O13" s="38">
        <f t="shared" si="4"/>
        <v>6900</v>
      </c>
      <c r="P13" s="44">
        <f t="shared" si="5"/>
        <v>13310</v>
      </c>
      <c r="Q13" s="39">
        <f t="shared" si="6"/>
        <v>3025</v>
      </c>
      <c r="R13" s="45">
        <f t="shared" si="7"/>
        <v>43670</v>
      </c>
      <c r="S13" s="41">
        <f t="shared" si="8"/>
        <v>10917.5</v>
      </c>
      <c r="T13" s="65">
        <f t="shared" si="9"/>
        <v>20</v>
      </c>
      <c r="U13" s="44">
        <f t="shared" si="9"/>
        <v>97240</v>
      </c>
      <c r="V13" s="44">
        <f t="shared" si="10"/>
        <v>23220</v>
      </c>
      <c r="W13" s="47">
        <f t="shared" si="11"/>
        <v>120460</v>
      </c>
      <c r="X13" s="66"/>
      <c r="Y13" s="48"/>
      <c r="Z13" s="49">
        <v>4</v>
      </c>
      <c r="AA13" s="49"/>
      <c r="AB13" s="37">
        <v>10000</v>
      </c>
      <c r="AC13" s="38">
        <f t="shared" si="12"/>
        <v>2500</v>
      </c>
      <c r="AD13" s="37">
        <v>3310</v>
      </c>
      <c r="AE13" s="39">
        <f t="shared" si="13"/>
        <v>827.5</v>
      </c>
      <c r="AF13" s="50">
        <f t="shared" si="14"/>
        <v>13310</v>
      </c>
      <c r="AG13" s="41">
        <f t="shared" si="15"/>
        <v>3327.5</v>
      </c>
      <c r="AH13" s="51"/>
      <c r="AI13" s="49">
        <v>23</v>
      </c>
      <c r="AJ13" s="37">
        <v>90045</v>
      </c>
      <c r="AK13" s="38">
        <f t="shared" si="16"/>
        <v>3915</v>
      </c>
      <c r="AL13" s="37">
        <v>30015</v>
      </c>
      <c r="AM13" s="39">
        <f t="shared" si="17"/>
        <v>1305</v>
      </c>
      <c r="AN13" s="50">
        <f t="shared" si="28"/>
        <v>120060</v>
      </c>
      <c r="AO13" s="52">
        <f t="shared" si="18"/>
        <v>5220</v>
      </c>
      <c r="AP13" s="53"/>
      <c r="AQ13" s="49">
        <v>647</v>
      </c>
      <c r="AR13" s="37">
        <v>785300</v>
      </c>
      <c r="AS13" s="38">
        <f t="shared" si="19"/>
        <v>1213.7557959814528</v>
      </c>
      <c r="AT13" s="37">
        <v>432550</v>
      </c>
      <c r="AU13" s="39">
        <f t="shared" si="20"/>
        <v>668.54714064914992</v>
      </c>
      <c r="AV13" s="39"/>
      <c r="AW13" s="39">
        <v>2970</v>
      </c>
      <c r="AX13" s="54">
        <f>AR13+AT13+AV13+AW13-BP13</f>
        <v>1220820</v>
      </c>
      <c r="AY13" s="52">
        <f t="shared" si="21"/>
        <v>1886.8933539412674</v>
      </c>
      <c r="AZ13" s="67">
        <f t="shared" si="22"/>
        <v>20</v>
      </c>
      <c r="BA13" s="44">
        <f t="shared" si="23"/>
        <v>982585</v>
      </c>
      <c r="BB13" s="44">
        <f t="shared" si="24"/>
        <v>489095</v>
      </c>
      <c r="BC13" s="56">
        <f t="shared" ref="BC13" si="32">W13+AF13+AN13+AX13</f>
        <v>1474650</v>
      </c>
      <c r="BD13" s="57">
        <f t="shared" si="30"/>
        <v>0</v>
      </c>
      <c r="BE13" s="58">
        <v>20</v>
      </c>
      <c r="BF13" s="59">
        <v>97240</v>
      </c>
      <c r="BG13" s="59">
        <v>23220</v>
      </c>
      <c r="BH13" s="60"/>
      <c r="BI13" s="60"/>
      <c r="BJ13" s="60"/>
      <c r="BK13" s="60"/>
      <c r="BL13" s="61">
        <f t="shared" si="29"/>
        <v>120460</v>
      </c>
      <c r="BM13" s="32">
        <v>9</v>
      </c>
      <c r="BN13" s="62">
        <f t="shared" si="25"/>
        <v>120460</v>
      </c>
    </row>
    <row r="14" spans="1:68" ht="20" customHeight="1">
      <c r="B14" s="63">
        <f t="shared" si="26"/>
        <v>45910</v>
      </c>
      <c r="C14" s="64"/>
      <c r="D14" s="35"/>
      <c r="E14" s="36">
        <v>32</v>
      </c>
      <c r="F14" s="37">
        <v>112750</v>
      </c>
      <c r="G14" s="38">
        <f t="shared" si="0"/>
        <v>3203.125</v>
      </c>
      <c r="H14" s="37">
        <v>16010</v>
      </c>
      <c r="I14" s="39">
        <f>ROUNDDOWN(H14/1.1,0)/E14</f>
        <v>454.8125</v>
      </c>
      <c r="J14" s="40">
        <f t="shared" si="1"/>
        <v>128760</v>
      </c>
      <c r="K14" s="41">
        <f t="shared" si="2"/>
        <v>4023.75</v>
      </c>
      <c r="L14" s="42"/>
      <c r="M14" s="43">
        <f t="shared" si="3"/>
        <v>14</v>
      </c>
      <c r="N14" s="44">
        <f t="shared" si="3"/>
        <v>116600</v>
      </c>
      <c r="O14" s="38">
        <f t="shared" si="4"/>
        <v>7571.4285714285716</v>
      </c>
      <c r="P14" s="44">
        <f t="shared" si="5"/>
        <v>62580</v>
      </c>
      <c r="Q14" s="39">
        <f t="shared" si="6"/>
        <v>4063.5714285714284</v>
      </c>
      <c r="R14" s="45">
        <f t="shared" si="7"/>
        <v>179180</v>
      </c>
      <c r="S14" s="41">
        <f t="shared" si="8"/>
        <v>12798.571428571429</v>
      </c>
      <c r="T14" s="65">
        <f t="shared" si="9"/>
        <v>46</v>
      </c>
      <c r="U14" s="44">
        <f t="shared" si="9"/>
        <v>229350</v>
      </c>
      <c r="V14" s="44">
        <f t="shared" si="10"/>
        <v>78590</v>
      </c>
      <c r="W14" s="47">
        <f t="shared" si="11"/>
        <v>307940</v>
      </c>
      <c r="X14" s="66"/>
      <c r="Y14" s="48"/>
      <c r="Z14" s="49">
        <v>2</v>
      </c>
      <c r="AA14" s="49"/>
      <c r="AB14" s="37">
        <v>5000</v>
      </c>
      <c r="AC14" s="38">
        <f t="shared" si="12"/>
        <v>2500</v>
      </c>
      <c r="AD14" s="37">
        <v>500</v>
      </c>
      <c r="AE14" s="39">
        <f t="shared" si="13"/>
        <v>250</v>
      </c>
      <c r="AF14" s="50">
        <f t="shared" si="14"/>
        <v>5500</v>
      </c>
      <c r="AG14" s="41">
        <f t="shared" si="15"/>
        <v>2750</v>
      </c>
      <c r="AH14" s="51"/>
      <c r="AI14" s="49">
        <v>32</v>
      </c>
      <c r="AJ14" s="37">
        <v>125280</v>
      </c>
      <c r="AK14" s="38">
        <f t="shared" si="16"/>
        <v>3915</v>
      </c>
      <c r="AL14" s="37">
        <v>41760</v>
      </c>
      <c r="AM14" s="39">
        <f t="shared" si="17"/>
        <v>1305</v>
      </c>
      <c r="AN14" s="50">
        <f t="shared" si="28"/>
        <v>167040</v>
      </c>
      <c r="AO14" s="52">
        <f t="shared" si="18"/>
        <v>5220</v>
      </c>
      <c r="AP14" s="53"/>
      <c r="AQ14" s="49">
        <v>174</v>
      </c>
      <c r="AR14" s="37">
        <v>539700</v>
      </c>
      <c r="AS14" s="38">
        <f t="shared" si="19"/>
        <v>3101.7241379310344</v>
      </c>
      <c r="AT14" s="37">
        <v>308250</v>
      </c>
      <c r="AU14" s="39">
        <f t="shared" si="20"/>
        <v>1771.5517241379309</v>
      </c>
      <c r="AV14" s="39">
        <v>12540</v>
      </c>
      <c r="AW14" s="39"/>
      <c r="AX14" s="54">
        <f t="shared" si="31"/>
        <v>860490</v>
      </c>
      <c r="AY14" s="52">
        <f t="shared" si="21"/>
        <v>4945.3448275862065</v>
      </c>
      <c r="AZ14" s="67">
        <f t="shared" si="22"/>
        <v>46</v>
      </c>
      <c r="BA14" s="44">
        <f t="shared" si="23"/>
        <v>899330</v>
      </c>
      <c r="BB14" s="44">
        <f t="shared" si="24"/>
        <v>429100</v>
      </c>
      <c r="BC14" s="56">
        <f>W14+AF14+AN14+AX14-BO14</f>
        <v>1340970</v>
      </c>
      <c r="BD14" s="57">
        <f t="shared" si="30"/>
        <v>1100</v>
      </c>
      <c r="BE14" s="58">
        <v>46</v>
      </c>
      <c r="BF14" s="59">
        <v>229350</v>
      </c>
      <c r="BG14" s="59">
        <v>78590</v>
      </c>
      <c r="BH14" s="60">
        <v>1100</v>
      </c>
      <c r="BI14" s="60"/>
      <c r="BJ14" s="60"/>
      <c r="BK14" s="60"/>
      <c r="BL14" s="61">
        <f t="shared" si="29"/>
        <v>309040</v>
      </c>
      <c r="BM14" s="32">
        <v>10</v>
      </c>
      <c r="BN14" s="62">
        <f t="shared" si="25"/>
        <v>309040</v>
      </c>
    </row>
    <row r="15" spans="1:68" ht="20" customHeight="1">
      <c r="B15" s="63">
        <f t="shared" si="26"/>
        <v>45911</v>
      </c>
      <c r="C15" s="69"/>
      <c r="D15" s="35"/>
      <c r="E15" s="36">
        <v>29</v>
      </c>
      <c r="F15" s="37">
        <v>103180</v>
      </c>
      <c r="G15" s="38">
        <f t="shared" si="0"/>
        <v>3234.4827586206898</v>
      </c>
      <c r="H15" s="37">
        <v>16480</v>
      </c>
      <c r="I15" s="39">
        <f t="shared" si="27"/>
        <v>516.58620689655174</v>
      </c>
      <c r="J15" s="40">
        <f t="shared" si="1"/>
        <v>119660</v>
      </c>
      <c r="K15" s="41">
        <f t="shared" si="2"/>
        <v>4126.2068965517237</v>
      </c>
      <c r="L15" s="42"/>
      <c r="M15" s="43">
        <f t="shared" si="3"/>
        <v>24</v>
      </c>
      <c r="N15" s="44">
        <f t="shared" si="3"/>
        <v>290400</v>
      </c>
      <c r="O15" s="38">
        <f t="shared" si="4"/>
        <v>11000</v>
      </c>
      <c r="P15" s="44">
        <f t="shared" si="5"/>
        <v>69600</v>
      </c>
      <c r="Q15" s="39">
        <f t="shared" si="6"/>
        <v>2636.3333333333335</v>
      </c>
      <c r="R15" s="45">
        <f t="shared" si="7"/>
        <v>360000</v>
      </c>
      <c r="S15" s="41">
        <f t="shared" si="8"/>
        <v>15000</v>
      </c>
      <c r="T15" s="65">
        <f t="shared" si="9"/>
        <v>53</v>
      </c>
      <c r="U15" s="44">
        <f t="shared" si="9"/>
        <v>393580</v>
      </c>
      <c r="V15" s="44">
        <f t="shared" si="10"/>
        <v>86080</v>
      </c>
      <c r="W15" s="47">
        <f t="shared" si="11"/>
        <v>479660</v>
      </c>
      <c r="X15" s="66"/>
      <c r="Y15" s="48"/>
      <c r="Z15" s="49">
        <v>5</v>
      </c>
      <c r="AA15" s="49"/>
      <c r="AB15" s="37">
        <v>12500</v>
      </c>
      <c r="AC15" s="38">
        <f t="shared" si="12"/>
        <v>2500</v>
      </c>
      <c r="AD15" s="37">
        <v>1250</v>
      </c>
      <c r="AE15" s="39">
        <f t="shared" si="13"/>
        <v>250</v>
      </c>
      <c r="AF15" s="50">
        <f t="shared" si="14"/>
        <v>13750</v>
      </c>
      <c r="AG15" s="41">
        <f t="shared" si="15"/>
        <v>2750</v>
      </c>
      <c r="AH15" s="51"/>
      <c r="AI15" s="49"/>
      <c r="AJ15" s="37"/>
      <c r="AK15" s="38" t="e">
        <f t="shared" si="16"/>
        <v>#DIV/0!</v>
      </c>
      <c r="AL15" s="37"/>
      <c r="AM15" s="39" t="e">
        <f t="shared" si="17"/>
        <v>#DIV/0!</v>
      </c>
      <c r="AN15" s="50">
        <f t="shared" si="28"/>
        <v>0</v>
      </c>
      <c r="AO15" s="52" t="str">
        <f t="shared" si="18"/>
        <v/>
      </c>
      <c r="AP15" s="53"/>
      <c r="AQ15" s="49">
        <v>226</v>
      </c>
      <c r="AR15" s="37">
        <v>856100</v>
      </c>
      <c r="AS15" s="38">
        <f t="shared" si="19"/>
        <v>3788.0530973451328</v>
      </c>
      <c r="AT15" s="37">
        <v>376400</v>
      </c>
      <c r="AU15" s="39">
        <f t="shared" si="20"/>
        <v>1665.4867256637169</v>
      </c>
      <c r="AV15" s="39">
        <v>13640</v>
      </c>
      <c r="AW15" s="39"/>
      <c r="AX15" s="54">
        <f t="shared" si="31"/>
        <v>1246140</v>
      </c>
      <c r="AY15" s="52">
        <f t="shared" si="21"/>
        <v>5513.8938053097345</v>
      </c>
      <c r="AZ15" s="67">
        <f t="shared" si="22"/>
        <v>53</v>
      </c>
      <c r="BA15" s="44">
        <f t="shared" si="23"/>
        <v>1262180</v>
      </c>
      <c r="BB15" s="44">
        <f t="shared" si="24"/>
        <v>463730</v>
      </c>
      <c r="BC15" s="56">
        <f>W15+AF15+AN15+AX15-BO15</f>
        <v>1739550</v>
      </c>
      <c r="BD15" s="57">
        <f t="shared" si="30"/>
        <v>1100</v>
      </c>
      <c r="BE15" s="58">
        <v>53</v>
      </c>
      <c r="BF15" s="59">
        <v>393580</v>
      </c>
      <c r="BG15" s="59">
        <v>86080</v>
      </c>
      <c r="BH15" s="60">
        <v>1100</v>
      </c>
      <c r="BI15" s="60"/>
      <c r="BJ15" s="60"/>
      <c r="BK15" s="60"/>
      <c r="BL15" s="61">
        <f t="shared" si="29"/>
        <v>480760</v>
      </c>
      <c r="BM15" s="32">
        <v>11</v>
      </c>
      <c r="BN15" s="62">
        <f t="shared" si="25"/>
        <v>480760</v>
      </c>
    </row>
    <row r="16" spans="1:68" ht="20" customHeight="1">
      <c r="B16" s="63">
        <f t="shared" si="26"/>
        <v>45912</v>
      </c>
      <c r="C16" s="64"/>
      <c r="D16" s="35"/>
      <c r="E16" s="36">
        <v>11</v>
      </c>
      <c r="F16" s="37">
        <v>33330</v>
      </c>
      <c r="G16" s="38">
        <f t="shared" si="0"/>
        <v>2754.5454545454545</v>
      </c>
      <c r="H16" s="37">
        <v>1440</v>
      </c>
      <c r="I16" s="39">
        <f t="shared" si="27"/>
        <v>119</v>
      </c>
      <c r="J16" s="40">
        <f t="shared" si="1"/>
        <v>34770</v>
      </c>
      <c r="K16" s="41">
        <f t="shared" si="2"/>
        <v>3160.909090909091</v>
      </c>
      <c r="L16" s="42"/>
      <c r="M16" s="43">
        <f t="shared" si="3"/>
        <v>19</v>
      </c>
      <c r="N16" s="44">
        <f t="shared" si="3"/>
        <v>195320</v>
      </c>
      <c r="O16" s="38">
        <f t="shared" si="4"/>
        <v>9345.4210526315783</v>
      </c>
      <c r="P16" s="44">
        <f t="shared" si="5"/>
        <v>33350</v>
      </c>
      <c r="Q16" s="39">
        <f t="shared" si="6"/>
        <v>1595.6842105263158</v>
      </c>
      <c r="R16" s="45">
        <f t="shared" si="7"/>
        <v>228670</v>
      </c>
      <c r="S16" s="41">
        <f t="shared" si="8"/>
        <v>12035.263157894737</v>
      </c>
      <c r="T16" s="65">
        <f t="shared" si="9"/>
        <v>30</v>
      </c>
      <c r="U16" s="44">
        <f t="shared" si="9"/>
        <v>228650</v>
      </c>
      <c r="V16" s="44">
        <f t="shared" si="10"/>
        <v>34790</v>
      </c>
      <c r="W16" s="47">
        <f t="shared" si="11"/>
        <v>263440</v>
      </c>
      <c r="X16" s="66"/>
      <c r="Y16" s="48"/>
      <c r="Z16" s="49">
        <v>4</v>
      </c>
      <c r="AA16" s="49"/>
      <c r="AB16" s="37">
        <v>10000</v>
      </c>
      <c r="AC16" s="38">
        <f t="shared" si="12"/>
        <v>2500</v>
      </c>
      <c r="AD16" s="37">
        <v>1000</v>
      </c>
      <c r="AE16" s="39">
        <f t="shared" si="13"/>
        <v>250</v>
      </c>
      <c r="AF16" s="50">
        <f t="shared" si="14"/>
        <v>11000</v>
      </c>
      <c r="AG16" s="41">
        <f t="shared" si="15"/>
        <v>2750</v>
      </c>
      <c r="AH16" s="51"/>
      <c r="AI16" s="49">
        <v>75</v>
      </c>
      <c r="AJ16" s="37">
        <v>293625</v>
      </c>
      <c r="AK16" s="38">
        <f t="shared" si="16"/>
        <v>3915</v>
      </c>
      <c r="AL16" s="37">
        <v>97875</v>
      </c>
      <c r="AM16" s="39">
        <f t="shared" si="17"/>
        <v>1305</v>
      </c>
      <c r="AN16" s="50">
        <f t="shared" si="28"/>
        <v>391500</v>
      </c>
      <c r="AO16" s="52">
        <f t="shared" si="18"/>
        <v>5220</v>
      </c>
      <c r="AP16" s="53"/>
      <c r="AQ16" s="49">
        <v>226</v>
      </c>
      <c r="AR16" s="37">
        <v>718450</v>
      </c>
      <c r="AS16" s="38">
        <f t="shared" si="19"/>
        <v>3178.9823008849557</v>
      </c>
      <c r="AT16" s="37">
        <v>386550</v>
      </c>
      <c r="AU16" s="39">
        <f t="shared" si="20"/>
        <v>1710.3982300884957</v>
      </c>
      <c r="AV16" s="39">
        <v>11550</v>
      </c>
      <c r="AW16" s="39"/>
      <c r="AX16" s="54">
        <f t="shared" si="31"/>
        <v>1116550</v>
      </c>
      <c r="AY16" s="52">
        <f t="shared" si="21"/>
        <v>4940.4867256637172</v>
      </c>
      <c r="AZ16" s="67">
        <f t="shared" si="22"/>
        <v>30</v>
      </c>
      <c r="BA16" s="44">
        <f t="shared" si="23"/>
        <v>1250725</v>
      </c>
      <c r="BB16" s="44">
        <f t="shared" si="24"/>
        <v>520215</v>
      </c>
      <c r="BC16" s="56">
        <f>W16+AF16+AN16+AX16-BO16</f>
        <v>1782490</v>
      </c>
      <c r="BD16" s="57">
        <f t="shared" si="30"/>
        <v>2200</v>
      </c>
      <c r="BE16" s="58">
        <v>30</v>
      </c>
      <c r="BF16" s="59">
        <v>228650</v>
      </c>
      <c r="BG16" s="59">
        <v>34790</v>
      </c>
      <c r="BH16" s="60">
        <v>2200</v>
      </c>
      <c r="BI16" s="60"/>
      <c r="BJ16" s="60"/>
      <c r="BK16" s="60"/>
      <c r="BL16" s="61">
        <f t="shared" si="29"/>
        <v>265640</v>
      </c>
      <c r="BM16" s="32">
        <v>12</v>
      </c>
      <c r="BN16" s="62">
        <f t="shared" si="25"/>
        <v>265640</v>
      </c>
    </row>
    <row r="17" spans="2:68" ht="20" customHeight="1">
      <c r="B17" s="63">
        <f t="shared" si="26"/>
        <v>45913</v>
      </c>
      <c r="C17" s="69"/>
      <c r="D17" s="35"/>
      <c r="E17" s="36">
        <v>20</v>
      </c>
      <c r="F17" s="37">
        <v>87560</v>
      </c>
      <c r="G17" s="38">
        <f t="shared" si="0"/>
        <v>3980</v>
      </c>
      <c r="H17" s="37">
        <v>18930</v>
      </c>
      <c r="I17" s="39">
        <f t="shared" si="27"/>
        <v>860.45</v>
      </c>
      <c r="J17" s="40">
        <f t="shared" si="1"/>
        <v>106490</v>
      </c>
      <c r="K17" s="41">
        <f t="shared" si="2"/>
        <v>5324.5</v>
      </c>
      <c r="L17" s="42"/>
      <c r="M17" s="43">
        <f t="shared" si="3"/>
        <v>20</v>
      </c>
      <c r="N17" s="44">
        <f t="shared" si="3"/>
        <v>161150</v>
      </c>
      <c r="O17" s="38">
        <f t="shared" si="4"/>
        <v>7325</v>
      </c>
      <c r="P17" s="44">
        <f t="shared" si="5"/>
        <v>31050</v>
      </c>
      <c r="Q17" s="39">
        <f t="shared" si="6"/>
        <v>1411.35</v>
      </c>
      <c r="R17" s="45">
        <f t="shared" si="7"/>
        <v>192200</v>
      </c>
      <c r="S17" s="41">
        <f t="shared" si="8"/>
        <v>9610</v>
      </c>
      <c r="T17" s="65">
        <f>E17+M17</f>
        <v>40</v>
      </c>
      <c r="U17" s="44">
        <f t="shared" si="9"/>
        <v>248710</v>
      </c>
      <c r="V17" s="44">
        <f t="shared" si="10"/>
        <v>49980</v>
      </c>
      <c r="W17" s="47">
        <f t="shared" si="11"/>
        <v>298690</v>
      </c>
      <c r="X17" s="66"/>
      <c r="Y17" s="48"/>
      <c r="Z17" s="49">
        <v>0</v>
      </c>
      <c r="AA17" s="49"/>
      <c r="AB17" s="37"/>
      <c r="AC17" s="38" t="e">
        <f t="shared" si="12"/>
        <v>#DIV/0!</v>
      </c>
      <c r="AD17" s="37"/>
      <c r="AE17" s="39" t="e">
        <f t="shared" si="13"/>
        <v>#DIV/0!</v>
      </c>
      <c r="AF17" s="50">
        <f t="shared" si="14"/>
        <v>0</v>
      </c>
      <c r="AG17" s="41" t="e">
        <f t="shared" si="15"/>
        <v>#DIV/0!</v>
      </c>
      <c r="AH17" s="51"/>
      <c r="AI17" s="49">
        <v>84</v>
      </c>
      <c r="AJ17" s="37">
        <v>328860</v>
      </c>
      <c r="AK17" s="38">
        <f>AJ17/AI17</f>
        <v>3915</v>
      </c>
      <c r="AL17" s="37">
        <v>109620</v>
      </c>
      <c r="AM17" s="39">
        <f>AL17/AI17</f>
        <v>1305</v>
      </c>
      <c r="AN17" s="50">
        <f>AJ17+AL17</f>
        <v>438480</v>
      </c>
      <c r="AO17" s="52">
        <f>IF(AI17="","",AN17/AI17)</f>
        <v>5220</v>
      </c>
      <c r="AP17" s="53"/>
      <c r="AQ17" s="49">
        <v>210</v>
      </c>
      <c r="AR17" s="37">
        <v>690000</v>
      </c>
      <c r="AS17" s="38">
        <f t="shared" si="19"/>
        <v>3285.7142857142858</v>
      </c>
      <c r="AT17" s="37">
        <v>351100</v>
      </c>
      <c r="AU17" s="39">
        <f t="shared" si="20"/>
        <v>1671.9047619047619</v>
      </c>
      <c r="AV17" s="39">
        <v>24530</v>
      </c>
      <c r="AW17" s="39">
        <v>2970</v>
      </c>
      <c r="AX17" s="54">
        <f>AR17+AT17+AV17+AW17-BP17</f>
        <v>1068600</v>
      </c>
      <c r="AY17" s="52">
        <f t="shared" si="21"/>
        <v>5088.5714285714284</v>
      </c>
      <c r="AZ17" s="67">
        <f t="shared" si="22"/>
        <v>40</v>
      </c>
      <c r="BA17" s="44">
        <f>U17+AB17+AJ17+AR17</f>
        <v>1267570</v>
      </c>
      <c r="BB17" s="44">
        <f t="shared" si="24"/>
        <v>510700</v>
      </c>
      <c r="BC17" s="56">
        <f t="shared" ref="BC17:BC18" si="33">W17+AF17+AN17+AX17-BO17</f>
        <v>1805770</v>
      </c>
      <c r="BD17" s="57">
        <f t="shared" si="30"/>
        <v>2200</v>
      </c>
      <c r="BE17" s="58">
        <v>40</v>
      </c>
      <c r="BF17" s="59">
        <v>248710</v>
      </c>
      <c r="BG17" s="59">
        <v>49980</v>
      </c>
      <c r="BH17" s="60">
        <v>2200</v>
      </c>
      <c r="BI17" s="60"/>
      <c r="BJ17" s="60"/>
      <c r="BK17" s="60"/>
      <c r="BL17" s="61">
        <f t="shared" si="29"/>
        <v>300890</v>
      </c>
      <c r="BM17" s="32">
        <v>13</v>
      </c>
      <c r="BN17" s="62">
        <f t="shared" si="25"/>
        <v>300890</v>
      </c>
    </row>
    <row r="18" spans="2:68" ht="20" customHeight="1">
      <c r="B18" s="63">
        <f t="shared" si="26"/>
        <v>45914</v>
      </c>
      <c r="C18" s="64"/>
      <c r="D18" s="35"/>
      <c r="E18" s="36">
        <v>33</v>
      </c>
      <c r="F18" s="37">
        <v>179080</v>
      </c>
      <c r="G18" s="38">
        <f t="shared" si="0"/>
        <v>4933.333333333333</v>
      </c>
      <c r="H18" s="37">
        <v>37280</v>
      </c>
      <c r="I18" s="39">
        <f t="shared" si="27"/>
        <v>1026.969696969697</v>
      </c>
      <c r="J18" s="40">
        <f t="shared" si="1"/>
        <v>216360</v>
      </c>
      <c r="K18" s="41">
        <f t="shared" si="2"/>
        <v>6556.363636363636</v>
      </c>
      <c r="L18" s="42"/>
      <c r="M18" s="43">
        <f t="shared" si="3"/>
        <v>28</v>
      </c>
      <c r="N18" s="44">
        <f t="shared" si="3"/>
        <v>267180</v>
      </c>
      <c r="O18" s="38">
        <f t="shared" si="4"/>
        <v>8674.6428571428569</v>
      </c>
      <c r="P18" s="44">
        <f t="shared" si="5"/>
        <v>58900</v>
      </c>
      <c r="Q18" s="39">
        <f t="shared" si="6"/>
        <v>1912.3214285714287</v>
      </c>
      <c r="R18" s="45">
        <f t="shared" si="7"/>
        <v>326080</v>
      </c>
      <c r="S18" s="41">
        <f t="shared" si="8"/>
        <v>11645.714285714286</v>
      </c>
      <c r="T18" s="65">
        <f t="shared" si="9"/>
        <v>61</v>
      </c>
      <c r="U18" s="44">
        <f t="shared" si="9"/>
        <v>446260</v>
      </c>
      <c r="V18" s="44">
        <f t="shared" si="10"/>
        <v>96180</v>
      </c>
      <c r="W18" s="47">
        <f t="shared" si="11"/>
        <v>542440</v>
      </c>
      <c r="X18" s="66"/>
      <c r="Y18" s="48"/>
      <c r="Z18" s="49">
        <v>4</v>
      </c>
      <c r="AA18" s="49"/>
      <c r="AB18" s="37">
        <v>10000</v>
      </c>
      <c r="AC18" s="38">
        <f t="shared" si="12"/>
        <v>2500</v>
      </c>
      <c r="AD18" s="37">
        <v>1000</v>
      </c>
      <c r="AE18" s="39">
        <f t="shared" si="13"/>
        <v>250</v>
      </c>
      <c r="AF18" s="50">
        <f t="shared" si="14"/>
        <v>11000</v>
      </c>
      <c r="AG18" s="41">
        <f t="shared" si="15"/>
        <v>2750</v>
      </c>
      <c r="AH18" s="51"/>
      <c r="AI18" s="49"/>
      <c r="AJ18" s="37"/>
      <c r="AK18" s="38" t="e">
        <f t="shared" si="16"/>
        <v>#DIV/0!</v>
      </c>
      <c r="AL18" s="37"/>
      <c r="AM18" s="39" t="e">
        <f t="shared" si="17"/>
        <v>#DIV/0!</v>
      </c>
      <c r="AN18" s="50">
        <f t="shared" si="28"/>
        <v>0</v>
      </c>
      <c r="AO18" s="52" t="str">
        <f t="shared" si="18"/>
        <v/>
      </c>
      <c r="AP18" s="53"/>
      <c r="AQ18" s="49">
        <v>267</v>
      </c>
      <c r="AR18" s="37">
        <v>742600</v>
      </c>
      <c r="AS18" s="38">
        <f t="shared" si="19"/>
        <v>2781.2734082397005</v>
      </c>
      <c r="AT18" s="37">
        <v>387150</v>
      </c>
      <c r="AU18" s="39">
        <f t="shared" si="20"/>
        <v>1450</v>
      </c>
      <c r="AV18" s="39">
        <v>14850</v>
      </c>
      <c r="AW18" s="39"/>
      <c r="AX18" s="54">
        <f t="shared" ref="AX18:AX22" si="34">AR18+AT18+AV18+AW18</f>
        <v>1144600</v>
      </c>
      <c r="AY18" s="52">
        <f t="shared" si="21"/>
        <v>4286.8913857677899</v>
      </c>
      <c r="AZ18" s="67">
        <f t="shared" si="22"/>
        <v>61</v>
      </c>
      <c r="BA18" s="44">
        <f t="shared" si="23"/>
        <v>1198860</v>
      </c>
      <c r="BB18" s="44">
        <f t="shared" si="24"/>
        <v>484330</v>
      </c>
      <c r="BC18" s="56">
        <f t="shared" si="33"/>
        <v>1698040</v>
      </c>
      <c r="BD18" s="57">
        <f t="shared" si="30"/>
        <v>6050</v>
      </c>
      <c r="BE18" s="58">
        <v>61</v>
      </c>
      <c r="BF18" s="59">
        <v>446260</v>
      </c>
      <c r="BG18" s="59">
        <v>96180</v>
      </c>
      <c r="BH18" s="60">
        <v>6050</v>
      </c>
      <c r="BI18" s="60"/>
      <c r="BJ18" s="60"/>
      <c r="BK18" s="60"/>
      <c r="BL18" s="61">
        <f t="shared" si="29"/>
        <v>548490</v>
      </c>
      <c r="BM18" s="32">
        <v>14</v>
      </c>
      <c r="BN18" s="62">
        <f t="shared" si="25"/>
        <v>548490</v>
      </c>
    </row>
    <row r="19" spans="2:68" ht="20" customHeight="1">
      <c r="B19" s="63">
        <f t="shared" si="26"/>
        <v>45915</v>
      </c>
      <c r="C19" s="64"/>
      <c r="D19" s="35"/>
      <c r="E19" s="36">
        <v>28</v>
      </c>
      <c r="F19" s="37">
        <v>133760</v>
      </c>
      <c r="G19" s="38">
        <f t="shared" si="0"/>
        <v>4342.8571428571431</v>
      </c>
      <c r="H19" s="37">
        <v>80620</v>
      </c>
      <c r="I19" s="39">
        <f t="shared" si="27"/>
        <v>2617.5</v>
      </c>
      <c r="J19" s="40">
        <f t="shared" si="1"/>
        <v>214380</v>
      </c>
      <c r="K19" s="41">
        <f t="shared" si="2"/>
        <v>7656.4285714285716</v>
      </c>
      <c r="L19" s="42"/>
      <c r="M19" s="43">
        <f t="shared" si="3"/>
        <v>22</v>
      </c>
      <c r="N19" s="44">
        <f t="shared" si="3"/>
        <v>237890</v>
      </c>
      <c r="O19" s="38">
        <f t="shared" si="4"/>
        <v>9830.136363636364</v>
      </c>
      <c r="P19" s="44">
        <f t="shared" si="5"/>
        <v>50730</v>
      </c>
      <c r="Q19" s="70">
        <f t="shared" si="6"/>
        <v>2096.2727272727275</v>
      </c>
      <c r="R19" s="45">
        <f t="shared" si="7"/>
        <v>288620</v>
      </c>
      <c r="S19" s="41">
        <f t="shared" si="8"/>
        <v>13119.09090909091</v>
      </c>
      <c r="T19" s="65">
        <f t="shared" si="9"/>
        <v>50</v>
      </c>
      <c r="U19" s="44">
        <f t="shared" si="9"/>
        <v>371650</v>
      </c>
      <c r="V19" s="44">
        <f t="shared" si="10"/>
        <v>131350</v>
      </c>
      <c r="W19" s="47">
        <f t="shared" si="11"/>
        <v>503000</v>
      </c>
      <c r="X19" s="66"/>
      <c r="Y19" s="48"/>
      <c r="Z19" s="49"/>
      <c r="AA19" s="49"/>
      <c r="AB19" s="37"/>
      <c r="AC19" s="38" t="e">
        <f t="shared" si="12"/>
        <v>#DIV/0!</v>
      </c>
      <c r="AD19" s="37"/>
      <c r="AE19" s="39" t="e">
        <f t="shared" si="13"/>
        <v>#DIV/0!</v>
      </c>
      <c r="AF19" s="50">
        <f t="shared" si="14"/>
        <v>0</v>
      </c>
      <c r="AG19" s="41" t="str">
        <f t="shared" si="15"/>
        <v/>
      </c>
      <c r="AH19" s="51"/>
      <c r="AI19" s="49"/>
      <c r="AJ19" s="37"/>
      <c r="AK19" s="38" t="e">
        <f t="shared" si="16"/>
        <v>#DIV/0!</v>
      </c>
      <c r="AL19" s="37"/>
      <c r="AM19" s="39" t="e">
        <f t="shared" si="17"/>
        <v>#DIV/0!</v>
      </c>
      <c r="AN19" s="50">
        <f t="shared" si="28"/>
        <v>0</v>
      </c>
      <c r="AO19" s="52" t="str">
        <f t="shared" si="18"/>
        <v/>
      </c>
      <c r="AP19" s="53"/>
      <c r="AQ19" s="49">
        <v>158</v>
      </c>
      <c r="AR19" s="37">
        <v>424250</v>
      </c>
      <c r="AS19" s="38">
        <f t="shared" si="19"/>
        <v>2685.1265822784812</v>
      </c>
      <c r="AT19" s="37">
        <v>215450</v>
      </c>
      <c r="AU19" s="39">
        <f t="shared" si="20"/>
        <v>1363.6075949367089</v>
      </c>
      <c r="AV19" s="39">
        <v>1320</v>
      </c>
      <c r="AW19" s="39"/>
      <c r="AX19" s="54">
        <f>AR19+AT19+AV19+AW19</f>
        <v>641020</v>
      </c>
      <c r="AY19" s="52">
        <f t="shared" si="21"/>
        <v>4057.0886075949365</v>
      </c>
      <c r="AZ19" s="67">
        <f t="shared" si="22"/>
        <v>50</v>
      </c>
      <c r="BA19" s="44">
        <f t="shared" si="23"/>
        <v>795900</v>
      </c>
      <c r="BB19" s="44">
        <f t="shared" si="24"/>
        <v>346800</v>
      </c>
      <c r="BC19" s="56">
        <f>W19+AF19+AN19+AX19-BO19</f>
        <v>1138376</v>
      </c>
      <c r="BD19" s="57">
        <f t="shared" si="30"/>
        <v>4950</v>
      </c>
      <c r="BE19" s="58">
        <v>50</v>
      </c>
      <c r="BF19" s="59">
        <v>371650</v>
      </c>
      <c r="BG19" s="59">
        <v>131350</v>
      </c>
      <c r="BH19" s="60">
        <v>4950</v>
      </c>
      <c r="BI19" s="60"/>
      <c r="BJ19" s="60"/>
      <c r="BK19" s="60"/>
      <c r="BL19" s="61">
        <f t="shared" si="29"/>
        <v>507950</v>
      </c>
      <c r="BM19" s="32">
        <v>15</v>
      </c>
      <c r="BN19" s="62">
        <f t="shared" si="25"/>
        <v>507950</v>
      </c>
      <c r="BO19" s="32">
        <v>5644</v>
      </c>
    </row>
    <row r="20" spans="2:68" ht="20" customHeight="1">
      <c r="B20" s="63">
        <f t="shared" si="26"/>
        <v>45916</v>
      </c>
      <c r="C20" s="64"/>
      <c r="D20" s="35"/>
      <c r="E20" s="36">
        <v>21</v>
      </c>
      <c r="F20" s="37">
        <v>85250</v>
      </c>
      <c r="G20" s="38">
        <f t="shared" si="0"/>
        <v>3690.4761904761904</v>
      </c>
      <c r="H20" s="37">
        <v>11880</v>
      </c>
      <c r="I20" s="39">
        <f t="shared" si="27"/>
        <v>514.28571428571433</v>
      </c>
      <c r="J20" s="40">
        <f t="shared" si="1"/>
        <v>97130</v>
      </c>
      <c r="K20" s="41">
        <f t="shared" si="2"/>
        <v>4625.2380952380954</v>
      </c>
      <c r="L20" s="42"/>
      <c r="M20" s="43">
        <f t="shared" si="3"/>
        <v>22</v>
      </c>
      <c r="N20" s="44">
        <f t="shared" si="3"/>
        <v>262130</v>
      </c>
      <c r="O20" s="38">
        <f t="shared" si="4"/>
        <v>10831.818181818182</v>
      </c>
      <c r="P20" s="44">
        <f t="shared" si="5"/>
        <v>84330</v>
      </c>
      <c r="Q20" s="70">
        <f t="shared" si="6"/>
        <v>3484.681818181818</v>
      </c>
      <c r="R20" s="45">
        <f t="shared" si="7"/>
        <v>346460</v>
      </c>
      <c r="S20" s="41">
        <f t="shared" si="8"/>
        <v>15748.181818181818</v>
      </c>
      <c r="T20" s="65">
        <f t="shared" si="9"/>
        <v>43</v>
      </c>
      <c r="U20" s="44">
        <f t="shared" si="9"/>
        <v>347380</v>
      </c>
      <c r="V20" s="44">
        <f t="shared" si="10"/>
        <v>96210</v>
      </c>
      <c r="W20" s="47">
        <f t="shared" si="11"/>
        <v>443590</v>
      </c>
      <c r="X20" s="66"/>
      <c r="Y20" s="48"/>
      <c r="Z20" s="49">
        <v>4</v>
      </c>
      <c r="AA20" s="49"/>
      <c r="AB20" s="37">
        <v>10000</v>
      </c>
      <c r="AC20" s="38">
        <f t="shared" si="12"/>
        <v>2500</v>
      </c>
      <c r="AD20" s="37">
        <v>1000</v>
      </c>
      <c r="AE20" s="39">
        <f t="shared" si="13"/>
        <v>250</v>
      </c>
      <c r="AF20" s="50">
        <f t="shared" si="14"/>
        <v>11000</v>
      </c>
      <c r="AG20" s="41">
        <f t="shared" si="15"/>
        <v>2750</v>
      </c>
      <c r="AH20" s="51"/>
      <c r="AI20" s="49">
        <v>13</v>
      </c>
      <c r="AJ20" s="37">
        <v>50895</v>
      </c>
      <c r="AK20" s="38">
        <f t="shared" si="16"/>
        <v>3915</v>
      </c>
      <c r="AL20" s="37">
        <v>16965</v>
      </c>
      <c r="AM20" s="39">
        <f t="shared" si="17"/>
        <v>1305</v>
      </c>
      <c r="AN20" s="50">
        <f t="shared" si="28"/>
        <v>67860</v>
      </c>
      <c r="AO20" s="52">
        <f t="shared" si="18"/>
        <v>5220</v>
      </c>
      <c r="AP20" s="53"/>
      <c r="AQ20" s="49"/>
      <c r="AR20" s="37"/>
      <c r="AS20" s="38" t="e">
        <f t="shared" si="19"/>
        <v>#DIV/0!</v>
      </c>
      <c r="AT20" s="37"/>
      <c r="AU20" s="39" t="e">
        <f t="shared" si="20"/>
        <v>#DIV/0!</v>
      </c>
      <c r="AV20" s="39"/>
      <c r="AW20" s="39"/>
      <c r="AX20" s="54">
        <f t="shared" si="34"/>
        <v>0</v>
      </c>
      <c r="AY20" s="52" t="str">
        <f t="shared" si="21"/>
        <v/>
      </c>
      <c r="AZ20" s="67">
        <f t="shared" si="22"/>
        <v>43</v>
      </c>
      <c r="BA20" s="44">
        <f t="shared" si="23"/>
        <v>408275</v>
      </c>
      <c r="BB20" s="44">
        <f t="shared" si="24"/>
        <v>114175</v>
      </c>
      <c r="BC20" s="56">
        <f>W20+AF20+AN20+AX20</f>
        <v>522450</v>
      </c>
      <c r="BD20" s="57">
        <f t="shared" si="30"/>
        <v>14300</v>
      </c>
      <c r="BE20" s="58">
        <v>43</v>
      </c>
      <c r="BF20" s="59">
        <v>347380</v>
      </c>
      <c r="BG20" s="59">
        <v>96210</v>
      </c>
      <c r="BH20" s="60">
        <v>14300</v>
      </c>
      <c r="BI20" s="60"/>
      <c r="BJ20" s="60"/>
      <c r="BK20" s="60"/>
      <c r="BL20" s="61">
        <f t="shared" si="29"/>
        <v>457890</v>
      </c>
      <c r="BM20" s="32">
        <v>16</v>
      </c>
      <c r="BN20" s="62">
        <f t="shared" si="25"/>
        <v>457890</v>
      </c>
    </row>
    <row r="21" spans="2:68" ht="20" customHeight="1">
      <c r="B21" s="63">
        <f t="shared" si="26"/>
        <v>45917</v>
      </c>
      <c r="C21" s="64"/>
      <c r="D21" s="35"/>
      <c r="E21" s="36">
        <v>31</v>
      </c>
      <c r="F21" s="37">
        <v>116930</v>
      </c>
      <c r="G21" s="38">
        <f>ROUNDDOWN(F21/1.1,0)/E21</f>
        <v>3429.0322580645161</v>
      </c>
      <c r="H21" s="37">
        <v>31160</v>
      </c>
      <c r="I21" s="39">
        <f t="shared" si="27"/>
        <v>913.77419354838707</v>
      </c>
      <c r="J21" s="40">
        <f t="shared" si="1"/>
        <v>148090</v>
      </c>
      <c r="K21" s="41">
        <f t="shared" si="2"/>
        <v>4777.0967741935483</v>
      </c>
      <c r="L21" s="42"/>
      <c r="M21" s="43">
        <f t="shared" si="3"/>
        <v>22</v>
      </c>
      <c r="N21" s="44">
        <f t="shared" si="3"/>
        <v>205000</v>
      </c>
      <c r="O21" s="38">
        <f t="shared" si="4"/>
        <v>8471.045454545454</v>
      </c>
      <c r="P21" s="44">
        <f t="shared" si="5"/>
        <v>50180</v>
      </c>
      <c r="Q21" s="70">
        <f t="shared" si="6"/>
        <v>2073.5454545454545</v>
      </c>
      <c r="R21" s="45">
        <f>N21+P21</f>
        <v>255180</v>
      </c>
      <c r="S21" s="41">
        <f t="shared" si="8"/>
        <v>11599.09090909091</v>
      </c>
      <c r="T21" s="65">
        <f t="shared" si="9"/>
        <v>53</v>
      </c>
      <c r="U21" s="44">
        <f t="shared" si="9"/>
        <v>321930</v>
      </c>
      <c r="V21" s="44">
        <f t="shared" si="10"/>
        <v>81340</v>
      </c>
      <c r="W21" s="47">
        <f t="shared" si="11"/>
        <v>403270</v>
      </c>
      <c r="X21" s="66"/>
      <c r="Y21" s="48"/>
      <c r="Z21" s="49"/>
      <c r="AA21" s="49"/>
      <c r="AB21" s="37"/>
      <c r="AC21" s="38" t="e">
        <f t="shared" si="12"/>
        <v>#DIV/0!</v>
      </c>
      <c r="AD21" s="37"/>
      <c r="AE21" s="39" t="e">
        <f t="shared" si="13"/>
        <v>#DIV/0!</v>
      </c>
      <c r="AF21" s="50">
        <f t="shared" si="14"/>
        <v>0</v>
      </c>
      <c r="AG21" s="41" t="str">
        <f t="shared" si="15"/>
        <v/>
      </c>
      <c r="AH21" s="51"/>
      <c r="AI21" s="49">
        <v>31</v>
      </c>
      <c r="AJ21" s="37">
        <v>121365</v>
      </c>
      <c r="AK21" s="38">
        <f t="shared" si="16"/>
        <v>3915</v>
      </c>
      <c r="AL21" s="37">
        <v>40455</v>
      </c>
      <c r="AM21" s="39">
        <f t="shared" si="17"/>
        <v>1305</v>
      </c>
      <c r="AN21" s="50">
        <f t="shared" si="28"/>
        <v>161820</v>
      </c>
      <c r="AO21" s="52">
        <f t="shared" si="18"/>
        <v>5220</v>
      </c>
      <c r="AP21" s="53"/>
      <c r="AQ21" s="49"/>
      <c r="AR21" s="37"/>
      <c r="AS21" s="38" t="e">
        <f t="shared" si="19"/>
        <v>#DIV/0!</v>
      </c>
      <c r="AT21" s="37"/>
      <c r="AU21" s="39" t="e">
        <f t="shared" si="20"/>
        <v>#DIV/0!</v>
      </c>
      <c r="AV21" s="39"/>
      <c r="AW21" s="39"/>
      <c r="AX21" s="54">
        <f t="shared" si="34"/>
        <v>0</v>
      </c>
      <c r="AY21" s="52" t="str">
        <f t="shared" si="21"/>
        <v/>
      </c>
      <c r="AZ21" s="67">
        <f t="shared" si="22"/>
        <v>53</v>
      </c>
      <c r="BA21" s="44">
        <f t="shared" si="23"/>
        <v>443295</v>
      </c>
      <c r="BB21" s="44">
        <f t="shared" si="24"/>
        <v>121795</v>
      </c>
      <c r="BC21" s="56">
        <f>W21+AF21+AN21+AX21-BO21</f>
        <v>565090</v>
      </c>
      <c r="BD21" s="57">
        <f t="shared" si="30"/>
        <v>2200</v>
      </c>
      <c r="BE21" s="58">
        <v>53</v>
      </c>
      <c r="BF21" s="59">
        <v>321930</v>
      </c>
      <c r="BG21" s="59">
        <v>81340</v>
      </c>
      <c r="BH21" s="60">
        <v>2200</v>
      </c>
      <c r="BI21" s="60"/>
      <c r="BJ21" s="60"/>
      <c r="BK21" s="60"/>
      <c r="BL21" s="61">
        <f t="shared" si="29"/>
        <v>405470</v>
      </c>
      <c r="BM21" s="32">
        <v>17</v>
      </c>
      <c r="BN21" s="62">
        <f t="shared" si="25"/>
        <v>405470</v>
      </c>
    </row>
    <row r="22" spans="2:68" ht="20" customHeight="1">
      <c r="B22" s="63">
        <f t="shared" si="26"/>
        <v>45918</v>
      </c>
      <c r="C22" s="64"/>
      <c r="D22" s="35"/>
      <c r="E22" s="36">
        <v>18</v>
      </c>
      <c r="F22" s="37">
        <v>57200</v>
      </c>
      <c r="G22" s="38">
        <f t="shared" si="0"/>
        <v>2888.8888888888887</v>
      </c>
      <c r="H22" s="37">
        <v>5890</v>
      </c>
      <c r="I22" s="39">
        <f t="shared" si="27"/>
        <v>297.44444444444446</v>
      </c>
      <c r="J22" s="40">
        <f t="shared" si="1"/>
        <v>63090</v>
      </c>
      <c r="K22" s="41">
        <f t="shared" si="2"/>
        <v>3505</v>
      </c>
      <c r="L22" s="42"/>
      <c r="M22" s="43">
        <f>BE22-E22</f>
        <v>11</v>
      </c>
      <c r="N22" s="44">
        <f t="shared" si="3"/>
        <v>119860</v>
      </c>
      <c r="O22" s="38">
        <f t="shared" si="4"/>
        <v>9905.7272727272721</v>
      </c>
      <c r="P22" s="44">
        <f t="shared" si="5"/>
        <v>10140</v>
      </c>
      <c r="Q22" s="70">
        <f t="shared" si="6"/>
        <v>838</v>
      </c>
      <c r="R22" s="45">
        <f t="shared" si="7"/>
        <v>130000</v>
      </c>
      <c r="S22" s="41">
        <f t="shared" si="8"/>
        <v>11818.181818181818</v>
      </c>
      <c r="T22" s="65">
        <f t="shared" si="9"/>
        <v>29</v>
      </c>
      <c r="U22" s="44">
        <f t="shared" si="9"/>
        <v>177060</v>
      </c>
      <c r="V22" s="44">
        <f t="shared" si="10"/>
        <v>16030</v>
      </c>
      <c r="W22" s="47">
        <f t="shared" si="11"/>
        <v>193090</v>
      </c>
      <c r="X22" s="66"/>
      <c r="Y22" s="48"/>
      <c r="Z22" s="49">
        <v>2</v>
      </c>
      <c r="AA22" s="49"/>
      <c r="AB22" s="37">
        <v>5000</v>
      </c>
      <c r="AC22" s="38">
        <f t="shared" si="12"/>
        <v>2500</v>
      </c>
      <c r="AD22" s="37">
        <v>500</v>
      </c>
      <c r="AE22" s="39">
        <f t="shared" si="13"/>
        <v>250</v>
      </c>
      <c r="AF22" s="50">
        <f t="shared" si="14"/>
        <v>5500</v>
      </c>
      <c r="AG22" s="41">
        <f t="shared" si="15"/>
        <v>2750</v>
      </c>
      <c r="AH22" s="51"/>
      <c r="AI22" s="49"/>
      <c r="AJ22" s="37"/>
      <c r="AK22" s="38" t="e">
        <f t="shared" si="16"/>
        <v>#DIV/0!</v>
      </c>
      <c r="AL22" s="37"/>
      <c r="AM22" s="39" t="e">
        <f t="shared" si="17"/>
        <v>#DIV/0!</v>
      </c>
      <c r="AN22" s="50">
        <f t="shared" si="28"/>
        <v>0</v>
      </c>
      <c r="AO22" s="52" t="str">
        <f t="shared" si="18"/>
        <v/>
      </c>
      <c r="AP22" s="53"/>
      <c r="AQ22" s="49"/>
      <c r="AR22" s="37"/>
      <c r="AS22" s="38" t="e">
        <f t="shared" si="19"/>
        <v>#DIV/0!</v>
      </c>
      <c r="AT22" s="37"/>
      <c r="AU22" s="39" t="e">
        <f t="shared" si="20"/>
        <v>#DIV/0!</v>
      </c>
      <c r="AV22" s="39"/>
      <c r="AW22" s="39"/>
      <c r="AX22" s="54">
        <f t="shared" si="34"/>
        <v>0</v>
      </c>
      <c r="AY22" s="52" t="str">
        <f t="shared" si="21"/>
        <v/>
      </c>
      <c r="AZ22" s="67">
        <f t="shared" si="22"/>
        <v>29</v>
      </c>
      <c r="BA22" s="44">
        <f>U22+AB22+AJ22+AR22</f>
        <v>182060</v>
      </c>
      <c r="BB22" s="44">
        <f t="shared" si="24"/>
        <v>16530</v>
      </c>
      <c r="BC22" s="56">
        <f>W22+AF22+AN22+AX22-BO22</f>
        <v>198590</v>
      </c>
      <c r="BD22" s="57">
        <f t="shared" si="30"/>
        <v>0</v>
      </c>
      <c r="BE22" s="58">
        <v>29</v>
      </c>
      <c r="BF22" s="59">
        <v>177060</v>
      </c>
      <c r="BG22" s="59">
        <v>16030</v>
      </c>
      <c r="BH22" s="60"/>
      <c r="BI22" s="60"/>
      <c r="BJ22" s="60"/>
      <c r="BK22" s="60">
        <v>76560</v>
      </c>
      <c r="BL22" s="61">
        <f t="shared" si="29"/>
        <v>193090</v>
      </c>
      <c r="BM22" s="32">
        <v>18</v>
      </c>
      <c r="BN22" s="62">
        <f t="shared" si="25"/>
        <v>269650</v>
      </c>
      <c r="BP22" s="68"/>
    </row>
    <row r="23" spans="2:68" ht="20" customHeight="1">
      <c r="B23" s="63">
        <f t="shared" si="26"/>
        <v>45919</v>
      </c>
      <c r="C23" s="64"/>
      <c r="D23" s="35"/>
      <c r="E23" s="36">
        <v>22</v>
      </c>
      <c r="F23" s="37">
        <v>96470</v>
      </c>
      <c r="G23" s="38">
        <f t="shared" si="0"/>
        <v>3986.3636363636365</v>
      </c>
      <c r="H23" s="37">
        <v>14400</v>
      </c>
      <c r="I23" s="39">
        <f t="shared" si="27"/>
        <v>595</v>
      </c>
      <c r="J23" s="40">
        <f t="shared" si="1"/>
        <v>110870</v>
      </c>
      <c r="K23" s="41">
        <f t="shared" si="2"/>
        <v>5039.545454545455</v>
      </c>
      <c r="L23" s="42"/>
      <c r="M23" s="43">
        <f t="shared" si="3"/>
        <v>12</v>
      </c>
      <c r="N23" s="44">
        <f t="shared" si="3"/>
        <v>84370</v>
      </c>
      <c r="O23" s="38">
        <f t="shared" si="4"/>
        <v>6391.666666666667</v>
      </c>
      <c r="P23" s="44">
        <f t="shared" si="5"/>
        <v>15090</v>
      </c>
      <c r="Q23" s="70">
        <f t="shared" si="6"/>
        <v>1143.1666666666667</v>
      </c>
      <c r="R23" s="45">
        <f t="shared" si="7"/>
        <v>99460</v>
      </c>
      <c r="S23" s="41">
        <f t="shared" si="8"/>
        <v>8288.3333333333339</v>
      </c>
      <c r="T23" s="65">
        <f t="shared" si="9"/>
        <v>34</v>
      </c>
      <c r="U23" s="44">
        <f t="shared" si="9"/>
        <v>180840</v>
      </c>
      <c r="V23" s="44">
        <f t="shared" si="10"/>
        <v>29490</v>
      </c>
      <c r="W23" s="47">
        <f t="shared" si="11"/>
        <v>210330</v>
      </c>
      <c r="X23" s="66"/>
      <c r="Y23" s="48"/>
      <c r="Z23" s="49">
        <v>3</v>
      </c>
      <c r="AA23" s="49"/>
      <c r="AB23" s="37">
        <v>7500</v>
      </c>
      <c r="AC23" s="38">
        <f t="shared" si="12"/>
        <v>2500</v>
      </c>
      <c r="AD23" s="37">
        <v>750</v>
      </c>
      <c r="AE23" s="39">
        <f t="shared" si="13"/>
        <v>250</v>
      </c>
      <c r="AF23" s="50">
        <f t="shared" si="14"/>
        <v>8250</v>
      </c>
      <c r="AG23" s="41">
        <f t="shared" si="15"/>
        <v>2750</v>
      </c>
      <c r="AH23" s="51"/>
      <c r="AI23" s="49"/>
      <c r="AJ23" s="37"/>
      <c r="AK23" s="38" t="e">
        <f t="shared" si="16"/>
        <v>#DIV/0!</v>
      </c>
      <c r="AL23" s="37"/>
      <c r="AM23" s="39" t="e">
        <f t="shared" si="17"/>
        <v>#DIV/0!</v>
      </c>
      <c r="AN23" s="50">
        <f t="shared" si="28"/>
        <v>0</v>
      </c>
      <c r="AO23" s="52" t="str">
        <f t="shared" si="18"/>
        <v/>
      </c>
      <c r="AP23" s="53"/>
      <c r="AQ23" s="49"/>
      <c r="AR23" s="37"/>
      <c r="AS23" s="38" t="e">
        <f t="shared" si="19"/>
        <v>#DIV/0!</v>
      </c>
      <c r="AT23" s="37"/>
      <c r="AU23" s="39" t="e">
        <f t="shared" si="20"/>
        <v>#DIV/0!</v>
      </c>
      <c r="AV23" s="39"/>
      <c r="AW23" s="39"/>
      <c r="AX23" s="54">
        <f>AR23+AT23+AV23+AW23</f>
        <v>0</v>
      </c>
      <c r="AY23" s="52" t="str">
        <f>IF(AQ23="","",AX23/AQ23)</f>
        <v/>
      </c>
      <c r="AZ23" s="67">
        <f t="shared" si="22"/>
        <v>34</v>
      </c>
      <c r="BA23" s="44">
        <f t="shared" si="23"/>
        <v>188340</v>
      </c>
      <c r="BB23" s="44">
        <f t="shared" si="24"/>
        <v>30240</v>
      </c>
      <c r="BC23" s="56">
        <f>W23+AF23+AN23+AX23</f>
        <v>218580</v>
      </c>
      <c r="BD23" s="57">
        <f t="shared" si="30"/>
        <v>2750</v>
      </c>
      <c r="BE23" s="58">
        <v>34</v>
      </c>
      <c r="BF23" s="59">
        <v>180840</v>
      </c>
      <c r="BG23" s="59">
        <v>29490</v>
      </c>
      <c r="BH23" s="60">
        <v>2750</v>
      </c>
      <c r="BI23" s="60"/>
      <c r="BJ23" s="60"/>
      <c r="BK23" s="60"/>
      <c r="BL23" s="61">
        <f>SUM(BF23:BI23)</f>
        <v>213080</v>
      </c>
      <c r="BM23" s="32">
        <v>19</v>
      </c>
      <c r="BN23" s="62">
        <f t="shared" si="25"/>
        <v>213080</v>
      </c>
    </row>
    <row r="24" spans="2:68" ht="20" customHeight="1">
      <c r="B24" s="63">
        <f t="shared" si="26"/>
        <v>45920</v>
      </c>
      <c r="C24" s="64"/>
      <c r="D24" s="35"/>
      <c r="E24" s="36">
        <v>34</v>
      </c>
      <c r="F24" s="37">
        <v>131120</v>
      </c>
      <c r="G24" s="38">
        <f t="shared" si="0"/>
        <v>3505.8823529411766</v>
      </c>
      <c r="H24" s="37">
        <v>37500</v>
      </c>
      <c r="I24" s="39">
        <f t="shared" si="27"/>
        <v>1002.6470588235294</v>
      </c>
      <c r="J24" s="40">
        <f t="shared" si="1"/>
        <v>168620</v>
      </c>
      <c r="K24" s="41">
        <f t="shared" si="2"/>
        <v>4959.411764705882</v>
      </c>
      <c r="L24" s="42"/>
      <c r="M24" s="43">
        <f t="shared" si="3"/>
        <v>23</v>
      </c>
      <c r="N24" s="44">
        <f t="shared" si="3"/>
        <v>246680</v>
      </c>
      <c r="O24" s="38">
        <f t="shared" si="4"/>
        <v>9750.173913043478</v>
      </c>
      <c r="P24" s="44">
        <f t="shared" si="5"/>
        <v>34150</v>
      </c>
      <c r="Q24" s="70">
        <f t="shared" si="6"/>
        <v>1349.7826086956522</v>
      </c>
      <c r="R24" s="45">
        <f t="shared" si="7"/>
        <v>280830</v>
      </c>
      <c r="S24" s="41">
        <f t="shared" si="8"/>
        <v>12210</v>
      </c>
      <c r="T24" s="65">
        <f t="shared" si="9"/>
        <v>57</v>
      </c>
      <c r="U24" s="44">
        <f t="shared" si="9"/>
        <v>377800</v>
      </c>
      <c r="V24" s="44">
        <f t="shared" si="10"/>
        <v>71650</v>
      </c>
      <c r="W24" s="47">
        <f t="shared" si="11"/>
        <v>449450</v>
      </c>
      <c r="X24" s="66"/>
      <c r="Y24" s="48"/>
      <c r="Z24" s="49">
        <v>2</v>
      </c>
      <c r="AA24" s="49"/>
      <c r="AB24" s="37">
        <v>5000</v>
      </c>
      <c r="AC24" s="38">
        <f t="shared" si="12"/>
        <v>2500</v>
      </c>
      <c r="AD24" s="37">
        <v>500</v>
      </c>
      <c r="AE24" s="39">
        <f t="shared" si="13"/>
        <v>250</v>
      </c>
      <c r="AF24" s="50">
        <f t="shared" si="14"/>
        <v>5500</v>
      </c>
      <c r="AG24" s="41">
        <f t="shared" si="15"/>
        <v>2750</v>
      </c>
      <c r="AH24" s="51"/>
      <c r="AI24" s="49"/>
      <c r="AJ24" s="37"/>
      <c r="AK24" s="38" t="e">
        <f t="shared" si="16"/>
        <v>#DIV/0!</v>
      </c>
      <c r="AL24" s="37"/>
      <c r="AM24" s="39" t="e">
        <f t="shared" si="17"/>
        <v>#DIV/0!</v>
      </c>
      <c r="AN24" s="50">
        <f t="shared" si="28"/>
        <v>0</v>
      </c>
      <c r="AO24" s="52" t="str">
        <f t="shared" si="18"/>
        <v/>
      </c>
      <c r="AP24" s="53"/>
      <c r="AQ24" s="49">
        <v>99</v>
      </c>
      <c r="AR24" s="37">
        <v>78500</v>
      </c>
      <c r="AS24" s="38">
        <f t="shared" si="19"/>
        <v>792.92929292929296</v>
      </c>
      <c r="AT24" s="37">
        <v>52000</v>
      </c>
      <c r="AU24" s="39">
        <f t="shared" si="20"/>
        <v>525.25252525252529</v>
      </c>
      <c r="AV24" s="39"/>
      <c r="AW24" s="39"/>
      <c r="AX24" s="54">
        <f>AR24+AT24+AV24+AW24</f>
        <v>130500</v>
      </c>
      <c r="AY24" s="52">
        <f t="shared" si="21"/>
        <v>1318.1818181818182</v>
      </c>
      <c r="AZ24" s="67">
        <f t="shared" si="22"/>
        <v>57</v>
      </c>
      <c r="BA24" s="44">
        <f t="shared" si="23"/>
        <v>461300</v>
      </c>
      <c r="BB24" s="44">
        <f t="shared" si="24"/>
        <v>124150</v>
      </c>
      <c r="BC24" s="56">
        <f>W24+AF24+AN24+AX24-BO24</f>
        <v>585450</v>
      </c>
      <c r="BD24" s="57">
        <f t="shared" si="30"/>
        <v>4400</v>
      </c>
      <c r="BE24" s="58">
        <v>57</v>
      </c>
      <c r="BF24" s="59">
        <v>377800</v>
      </c>
      <c r="BG24" s="59">
        <v>71650</v>
      </c>
      <c r="BH24" s="60">
        <v>4400</v>
      </c>
      <c r="BI24" s="60"/>
      <c r="BJ24" s="60">
        <v>3300</v>
      </c>
      <c r="BK24" s="60"/>
      <c r="BL24" s="61">
        <f t="shared" si="29"/>
        <v>453850</v>
      </c>
      <c r="BM24" s="32">
        <v>20</v>
      </c>
      <c r="BN24" s="62">
        <f t="shared" si="25"/>
        <v>453850</v>
      </c>
    </row>
    <row r="25" spans="2:68" ht="20" customHeight="1">
      <c r="B25" s="63">
        <f t="shared" si="26"/>
        <v>45921</v>
      </c>
      <c r="C25" s="64"/>
      <c r="D25" s="35"/>
      <c r="E25" s="36">
        <v>33</v>
      </c>
      <c r="F25" s="37">
        <v>122760</v>
      </c>
      <c r="G25" s="38">
        <f t="shared" si="0"/>
        <v>3381.818181818182</v>
      </c>
      <c r="H25" s="37">
        <v>11930</v>
      </c>
      <c r="I25" s="39">
        <f t="shared" si="27"/>
        <v>328.63636363636363</v>
      </c>
      <c r="J25" s="40">
        <f t="shared" si="1"/>
        <v>134690</v>
      </c>
      <c r="K25" s="41">
        <f t="shared" si="2"/>
        <v>4081.5151515151515</v>
      </c>
      <c r="L25" s="42"/>
      <c r="M25" s="43">
        <f t="shared" si="3"/>
        <v>24</v>
      </c>
      <c r="N25" s="44">
        <f t="shared" si="3"/>
        <v>213360</v>
      </c>
      <c r="O25" s="38">
        <f t="shared" si="4"/>
        <v>8081.791666666667</v>
      </c>
      <c r="P25" s="44">
        <f t="shared" si="5"/>
        <v>73840</v>
      </c>
      <c r="Q25" s="70">
        <f t="shared" si="6"/>
        <v>2796.9583333333335</v>
      </c>
      <c r="R25" s="45">
        <f t="shared" si="7"/>
        <v>287200</v>
      </c>
      <c r="S25" s="41">
        <f t="shared" si="8"/>
        <v>11966.666666666666</v>
      </c>
      <c r="T25" s="65">
        <f t="shared" si="9"/>
        <v>57</v>
      </c>
      <c r="U25" s="44">
        <f t="shared" si="9"/>
        <v>336120</v>
      </c>
      <c r="V25" s="44">
        <f t="shared" si="10"/>
        <v>85770</v>
      </c>
      <c r="W25" s="47">
        <f t="shared" si="11"/>
        <v>421890</v>
      </c>
      <c r="X25" s="66"/>
      <c r="Y25" s="48"/>
      <c r="Z25" s="49">
        <v>0</v>
      </c>
      <c r="AA25" s="49"/>
      <c r="AB25" s="37"/>
      <c r="AC25" s="38" t="e">
        <f t="shared" si="12"/>
        <v>#DIV/0!</v>
      </c>
      <c r="AD25" s="37"/>
      <c r="AE25" s="39" t="e">
        <f t="shared" si="13"/>
        <v>#DIV/0!</v>
      </c>
      <c r="AF25" s="50">
        <f t="shared" si="14"/>
        <v>0</v>
      </c>
      <c r="AG25" s="41" t="e">
        <f t="shared" si="15"/>
        <v>#DIV/0!</v>
      </c>
      <c r="AH25" s="51"/>
      <c r="AI25" s="49"/>
      <c r="AJ25" s="37"/>
      <c r="AK25" s="38" t="e">
        <f t="shared" si="16"/>
        <v>#DIV/0!</v>
      </c>
      <c r="AL25" s="37"/>
      <c r="AM25" s="39" t="e">
        <f t="shared" si="17"/>
        <v>#DIV/0!</v>
      </c>
      <c r="AN25" s="50">
        <f t="shared" si="28"/>
        <v>0</v>
      </c>
      <c r="AO25" s="52" t="str">
        <f t="shared" si="18"/>
        <v/>
      </c>
      <c r="AP25" s="53"/>
      <c r="AQ25" s="49">
        <v>60</v>
      </c>
      <c r="AR25" s="37">
        <v>53650</v>
      </c>
      <c r="AS25" s="38">
        <f t="shared" si="19"/>
        <v>894.16666666666663</v>
      </c>
      <c r="AT25" s="37">
        <v>29000</v>
      </c>
      <c r="AU25" s="39">
        <f t="shared" si="20"/>
        <v>483.33333333333331</v>
      </c>
      <c r="AV25" s="39"/>
      <c r="AW25" s="39"/>
      <c r="AX25" s="54">
        <f t="shared" ref="AX25:AX37" si="35">AR25+AT25+AV25+AW25</f>
        <v>82650</v>
      </c>
      <c r="AY25" s="52">
        <f t="shared" si="21"/>
        <v>1377.5</v>
      </c>
      <c r="AZ25" s="67">
        <f t="shared" si="22"/>
        <v>57</v>
      </c>
      <c r="BA25" s="44">
        <f t="shared" si="23"/>
        <v>389770</v>
      </c>
      <c r="BB25" s="44">
        <f t="shared" si="24"/>
        <v>114770</v>
      </c>
      <c r="BC25" s="56">
        <f>W25+AF25+AN25+AX25-BO25</f>
        <v>504540</v>
      </c>
      <c r="BD25" s="57">
        <f t="shared" si="30"/>
        <v>14300</v>
      </c>
      <c r="BE25" s="58">
        <v>57</v>
      </c>
      <c r="BF25" s="59">
        <v>336120</v>
      </c>
      <c r="BG25" s="59">
        <v>85770</v>
      </c>
      <c r="BH25" s="60">
        <v>14300</v>
      </c>
      <c r="BI25" s="60"/>
      <c r="BJ25" s="60"/>
      <c r="BK25" s="60"/>
      <c r="BL25" s="61">
        <f t="shared" si="29"/>
        <v>436190</v>
      </c>
      <c r="BM25" s="32">
        <v>21</v>
      </c>
      <c r="BN25" s="62">
        <f t="shared" si="25"/>
        <v>436190</v>
      </c>
    </row>
    <row r="26" spans="2:68" ht="20" customHeight="1">
      <c r="B26" s="63">
        <f t="shared" si="26"/>
        <v>45922</v>
      </c>
      <c r="C26" s="64"/>
      <c r="D26" s="35"/>
      <c r="E26" s="36">
        <v>28</v>
      </c>
      <c r="F26" s="37">
        <v>121220</v>
      </c>
      <c r="G26" s="38">
        <f t="shared" si="0"/>
        <v>3935.7142857142858</v>
      </c>
      <c r="H26" s="37">
        <v>23480</v>
      </c>
      <c r="I26" s="39">
        <f t="shared" si="27"/>
        <v>762.32142857142856</v>
      </c>
      <c r="J26" s="40">
        <f t="shared" si="1"/>
        <v>144700</v>
      </c>
      <c r="K26" s="41">
        <f t="shared" si="2"/>
        <v>5167.8571428571431</v>
      </c>
      <c r="L26" s="42"/>
      <c r="M26" s="43">
        <f t="shared" si="3"/>
        <v>19</v>
      </c>
      <c r="N26" s="44">
        <f t="shared" si="3"/>
        <v>250060</v>
      </c>
      <c r="O26" s="38">
        <f t="shared" si="4"/>
        <v>11964.578947368422</v>
      </c>
      <c r="P26" s="44">
        <f t="shared" si="5"/>
        <v>55230</v>
      </c>
      <c r="Q26" s="70">
        <f t="shared" si="6"/>
        <v>2642.5789473684213</v>
      </c>
      <c r="R26" s="45">
        <f t="shared" si="7"/>
        <v>305290</v>
      </c>
      <c r="S26" s="41">
        <f t="shared" si="8"/>
        <v>16067.894736842105</v>
      </c>
      <c r="T26" s="65">
        <f t="shared" si="9"/>
        <v>47</v>
      </c>
      <c r="U26" s="44">
        <f t="shared" si="9"/>
        <v>371280</v>
      </c>
      <c r="V26" s="44">
        <f t="shared" si="10"/>
        <v>78710</v>
      </c>
      <c r="W26" s="47">
        <f t="shared" si="11"/>
        <v>449990</v>
      </c>
      <c r="X26" s="66"/>
      <c r="Y26" s="48"/>
      <c r="Z26" s="49">
        <v>0</v>
      </c>
      <c r="AA26" s="49"/>
      <c r="AB26" s="37"/>
      <c r="AC26" s="38" t="e">
        <f t="shared" si="12"/>
        <v>#DIV/0!</v>
      </c>
      <c r="AD26" s="37"/>
      <c r="AE26" s="39" t="e">
        <f t="shared" si="13"/>
        <v>#DIV/0!</v>
      </c>
      <c r="AF26" s="50">
        <f t="shared" si="14"/>
        <v>0</v>
      </c>
      <c r="AG26" s="41" t="e">
        <f t="shared" si="15"/>
        <v>#DIV/0!</v>
      </c>
      <c r="AH26" s="51"/>
      <c r="AI26" s="49">
        <v>42</v>
      </c>
      <c r="AJ26" s="37">
        <v>164430</v>
      </c>
      <c r="AK26" s="38">
        <f t="shared" si="16"/>
        <v>3915</v>
      </c>
      <c r="AL26" s="37">
        <v>66555</v>
      </c>
      <c r="AM26" s="39">
        <f t="shared" si="17"/>
        <v>1584.6428571428571</v>
      </c>
      <c r="AN26" s="50">
        <f t="shared" si="28"/>
        <v>230985</v>
      </c>
      <c r="AO26" s="52">
        <f t="shared" si="18"/>
        <v>5499.6428571428569</v>
      </c>
      <c r="AP26" s="53"/>
      <c r="AQ26" s="49">
        <v>38</v>
      </c>
      <c r="AR26" s="37">
        <v>37700</v>
      </c>
      <c r="AS26" s="38">
        <f t="shared" si="19"/>
        <v>992.10526315789468</v>
      </c>
      <c r="AT26" s="37">
        <v>16700</v>
      </c>
      <c r="AU26" s="39">
        <f t="shared" si="20"/>
        <v>439.4736842105263</v>
      </c>
      <c r="AV26" s="39"/>
      <c r="AW26" s="39"/>
      <c r="AX26" s="54">
        <f t="shared" si="35"/>
        <v>54400</v>
      </c>
      <c r="AY26" s="52">
        <f>IF(AQ26="","",AX26/AQ26)</f>
        <v>1431.578947368421</v>
      </c>
      <c r="AZ26" s="67">
        <f t="shared" si="22"/>
        <v>47</v>
      </c>
      <c r="BA26" s="44">
        <f t="shared" si="23"/>
        <v>573410</v>
      </c>
      <c r="BB26" s="44">
        <f t="shared" si="24"/>
        <v>161965</v>
      </c>
      <c r="BC26" s="56">
        <f>W26+AF26+AN26+AX26-BO26</f>
        <v>735375</v>
      </c>
      <c r="BD26" s="57">
        <f>BH26+BI26</f>
        <v>6600</v>
      </c>
      <c r="BE26" s="58">
        <v>47</v>
      </c>
      <c r="BF26" s="59">
        <v>371280</v>
      </c>
      <c r="BG26" s="59">
        <v>78710</v>
      </c>
      <c r="BH26" s="60">
        <v>6600</v>
      </c>
      <c r="BI26" s="60"/>
      <c r="BJ26" s="60"/>
      <c r="BK26" s="60"/>
      <c r="BL26" s="61">
        <f t="shared" si="29"/>
        <v>456590</v>
      </c>
      <c r="BM26" s="32">
        <v>22</v>
      </c>
      <c r="BN26" s="62">
        <f t="shared" si="25"/>
        <v>456590</v>
      </c>
    </row>
    <row r="27" spans="2:68" ht="20" customHeight="1">
      <c r="B27" s="63">
        <f t="shared" si="26"/>
        <v>45923</v>
      </c>
      <c r="C27" s="64"/>
      <c r="D27" s="35"/>
      <c r="E27" s="36">
        <v>23</v>
      </c>
      <c r="F27" s="37">
        <v>84700</v>
      </c>
      <c r="G27" s="38">
        <f t="shared" si="0"/>
        <v>3347.8260869565215</v>
      </c>
      <c r="H27" s="37">
        <v>22180</v>
      </c>
      <c r="I27" s="39">
        <f t="shared" si="27"/>
        <v>876.6521739130435</v>
      </c>
      <c r="J27" s="40">
        <f t="shared" si="1"/>
        <v>106880</v>
      </c>
      <c r="K27" s="41">
        <f t="shared" si="2"/>
        <v>4646.95652173913</v>
      </c>
      <c r="L27" s="42"/>
      <c r="M27" s="43">
        <f t="shared" si="3"/>
        <v>22</v>
      </c>
      <c r="N27" s="44">
        <f t="shared" si="3"/>
        <v>222770</v>
      </c>
      <c r="O27" s="38">
        <f t="shared" si="4"/>
        <v>9205.363636363636</v>
      </c>
      <c r="P27" s="44">
        <f t="shared" si="5"/>
        <v>31990</v>
      </c>
      <c r="Q27" s="39">
        <f t="shared" si="6"/>
        <v>1321.8636363636363</v>
      </c>
      <c r="R27" s="45">
        <f t="shared" si="7"/>
        <v>254760</v>
      </c>
      <c r="S27" s="41">
        <f t="shared" si="8"/>
        <v>11580</v>
      </c>
      <c r="T27" s="65">
        <f t="shared" si="9"/>
        <v>45</v>
      </c>
      <c r="U27" s="44">
        <f t="shared" si="9"/>
        <v>307470</v>
      </c>
      <c r="V27" s="44">
        <f t="shared" si="10"/>
        <v>54170</v>
      </c>
      <c r="W27" s="47">
        <f t="shared" si="11"/>
        <v>361640</v>
      </c>
      <c r="X27" s="66"/>
      <c r="Y27" s="48"/>
      <c r="Z27" s="49">
        <v>2</v>
      </c>
      <c r="AA27" s="49"/>
      <c r="AB27" s="37">
        <v>5000</v>
      </c>
      <c r="AC27" s="38">
        <f t="shared" si="12"/>
        <v>2500</v>
      </c>
      <c r="AD27" s="37">
        <v>500</v>
      </c>
      <c r="AE27" s="39">
        <f t="shared" si="13"/>
        <v>250</v>
      </c>
      <c r="AF27" s="50">
        <f t="shared" si="14"/>
        <v>5500</v>
      </c>
      <c r="AG27" s="41">
        <f t="shared" si="15"/>
        <v>2750</v>
      </c>
      <c r="AH27" s="51"/>
      <c r="AI27" s="49"/>
      <c r="AJ27" s="37"/>
      <c r="AK27" s="38" t="e">
        <f t="shared" si="16"/>
        <v>#DIV/0!</v>
      </c>
      <c r="AL27" s="37"/>
      <c r="AM27" s="39" t="e">
        <f t="shared" si="17"/>
        <v>#DIV/0!</v>
      </c>
      <c r="AN27" s="50">
        <f t="shared" si="28"/>
        <v>0</v>
      </c>
      <c r="AO27" s="52" t="str">
        <f t="shared" si="18"/>
        <v/>
      </c>
      <c r="AP27" s="53"/>
      <c r="AQ27" s="49">
        <v>76</v>
      </c>
      <c r="AR27" s="37">
        <v>64200</v>
      </c>
      <c r="AS27" s="38">
        <f t="shared" si="19"/>
        <v>844.73684210526312</v>
      </c>
      <c r="AT27" s="37">
        <v>46700</v>
      </c>
      <c r="AU27" s="39">
        <f t="shared" si="20"/>
        <v>614.47368421052636</v>
      </c>
      <c r="AV27" s="39"/>
      <c r="AW27" s="39"/>
      <c r="AX27" s="54">
        <f t="shared" si="35"/>
        <v>110900</v>
      </c>
      <c r="AY27" s="52">
        <f t="shared" si="21"/>
        <v>1459.2105263157894</v>
      </c>
      <c r="AZ27" s="67">
        <f t="shared" si="22"/>
        <v>45</v>
      </c>
      <c r="BA27" s="44">
        <f t="shared" si="23"/>
        <v>376670</v>
      </c>
      <c r="BB27" s="44">
        <f t="shared" si="24"/>
        <v>101370</v>
      </c>
      <c r="BC27" s="56">
        <f>W27+AF27+AN27+AX27-BO27+BD27+BJ27</f>
        <v>480240</v>
      </c>
      <c r="BD27" s="57">
        <f t="shared" si="30"/>
        <v>2200</v>
      </c>
      <c r="BE27" s="58">
        <v>45</v>
      </c>
      <c r="BF27" s="59">
        <v>307470</v>
      </c>
      <c r="BG27" s="59">
        <v>54170</v>
      </c>
      <c r="BH27" s="60">
        <v>2200</v>
      </c>
      <c r="BI27" s="60"/>
      <c r="BJ27" s="60"/>
      <c r="BK27" s="60"/>
      <c r="BL27" s="61">
        <f t="shared" si="29"/>
        <v>363840</v>
      </c>
      <c r="BM27" s="32">
        <v>23</v>
      </c>
      <c r="BN27" s="62">
        <f t="shared" si="25"/>
        <v>363840</v>
      </c>
    </row>
    <row r="28" spans="2:68" ht="20" customHeight="1">
      <c r="B28" s="63">
        <f>B27+1</f>
        <v>45924</v>
      </c>
      <c r="C28" s="64"/>
      <c r="D28" s="35"/>
      <c r="E28" s="36">
        <v>32</v>
      </c>
      <c r="F28" s="37">
        <v>125950</v>
      </c>
      <c r="G28" s="38">
        <f t="shared" si="0"/>
        <v>3578.125</v>
      </c>
      <c r="H28" s="37">
        <v>15580</v>
      </c>
      <c r="I28" s="39">
        <f t="shared" si="27"/>
        <v>442.59375</v>
      </c>
      <c r="J28" s="40">
        <f t="shared" si="1"/>
        <v>141530</v>
      </c>
      <c r="K28" s="41">
        <f t="shared" si="2"/>
        <v>4422.8125</v>
      </c>
      <c r="L28" s="42"/>
      <c r="M28" s="43">
        <f t="shared" si="3"/>
        <v>2</v>
      </c>
      <c r="N28" s="44">
        <f t="shared" si="3"/>
        <v>12760</v>
      </c>
      <c r="O28" s="38">
        <f t="shared" si="4"/>
        <v>5800</v>
      </c>
      <c r="P28" s="44">
        <f t="shared" si="5"/>
        <v>1870</v>
      </c>
      <c r="Q28" s="39">
        <f>ROUNDDOWN(P28/1.1,0)/M28</f>
        <v>850</v>
      </c>
      <c r="R28" s="45">
        <f t="shared" si="7"/>
        <v>14630</v>
      </c>
      <c r="S28" s="41">
        <f t="shared" si="8"/>
        <v>7315</v>
      </c>
      <c r="T28" s="65">
        <f t="shared" si="9"/>
        <v>34</v>
      </c>
      <c r="U28" s="44">
        <f t="shared" si="9"/>
        <v>138710</v>
      </c>
      <c r="V28" s="44">
        <f t="shared" si="10"/>
        <v>17450</v>
      </c>
      <c r="W28" s="47">
        <f t="shared" si="11"/>
        <v>156160</v>
      </c>
      <c r="X28" s="66"/>
      <c r="Y28" s="48"/>
      <c r="Z28" s="49">
        <v>4</v>
      </c>
      <c r="AA28" s="49"/>
      <c r="AB28" s="37">
        <v>10000</v>
      </c>
      <c r="AC28" s="38">
        <f t="shared" si="12"/>
        <v>2500</v>
      </c>
      <c r="AD28" s="37">
        <v>1000</v>
      </c>
      <c r="AE28" s="39">
        <f t="shared" si="13"/>
        <v>250</v>
      </c>
      <c r="AF28" s="50">
        <f t="shared" si="14"/>
        <v>11000</v>
      </c>
      <c r="AG28" s="41">
        <f t="shared" si="15"/>
        <v>2750</v>
      </c>
      <c r="AH28" s="51"/>
      <c r="AI28" s="49"/>
      <c r="AJ28" s="37"/>
      <c r="AK28" s="38" t="e">
        <f t="shared" si="16"/>
        <v>#DIV/0!</v>
      </c>
      <c r="AL28" s="37"/>
      <c r="AM28" s="39" t="e">
        <f t="shared" si="17"/>
        <v>#DIV/0!</v>
      </c>
      <c r="AN28" s="50">
        <f t="shared" si="28"/>
        <v>0</v>
      </c>
      <c r="AO28" s="52" t="str">
        <f t="shared" si="18"/>
        <v/>
      </c>
      <c r="AP28" s="53"/>
      <c r="AQ28" s="49">
        <v>44</v>
      </c>
      <c r="AR28" s="37">
        <v>43300</v>
      </c>
      <c r="AS28" s="38">
        <f t="shared" si="19"/>
        <v>984.09090909090912</v>
      </c>
      <c r="AT28" s="37">
        <v>19700</v>
      </c>
      <c r="AU28" s="39">
        <f t="shared" si="20"/>
        <v>447.72727272727275</v>
      </c>
      <c r="AV28" s="39"/>
      <c r="AW28" s="39"/>
      <c r="AX28" s="54">
        <f t="shared" si="35"/>
        <v>63000</v>
      </c>
      <c r="AY28" s="52">
        <f t="shared" si="21"/>
        <v>1431.8181818181818</v>
      </c>
      <c r="AZ28" s="67">
        <f t="shared" si="22"/>
        <v>34</v>
      </c>
      <c r="BA28" s="44">
        <f t="shared" si="23"/>
        <v>192010</v>
      </c>
      <c r="BB28" s="44">
        <f t="shared" si="24"/>
        <v>38150</v>
      </c>
      <c r="BC28" s="56">
        <f>W28+AF28+AN28+AX28</f>
        <v>230160</v>
      </c>
      <c r="BD28" s="57">
        <f t="shared" si="30"/>
        <v>2200</v>
      </c>
      <c r="BE28" s="58">
        <v>34</v>
      </c>
      <c r="BF28" s="59">
        <v>138710</v>
      </c>
      <c r="BG28" s="59">
        <v>17450</v>
      </c>
      <c r="BH28" s="60">
        <v>2200</v>
      </c>
      <c r="BI28" s="60"/>
      <c r="BJ28" s="60"/>
      <c r="BK28" s="60"/>
      <c r="BL28" s="61">
        <f t="shared" si="29"/>
        <v>158360</v>
      </c>
      <c r="BM28" s="32">
        <v>24</v>
      </c>
      <c r="BN28" s="62">
        <f t="shared" si="25"/>
        <v>158360</v>
      </c>
    </row>
    <row r="29" spans="2:68" ht="20" customHeight="1">
      <c r="B29" s="63">
        <f t="shared" si="26"/>
        <v>45925</v>
      </c>
      <c r="C29" s="64"/>
      <c r="D29" s="35"/>
      <c r="E29" s="36">
        <v>23</v>
      </c>
      <c r="F29" s="37">
        <v>99440</v>
      </c>
      <c r="G29" s="38">
        <f t="shared" si="0"/>
        <v>3930.4347826086955</v>
      </c>
      <c r="H29" s="37">
        <v>24610</v>
      </c>
      <c r="I29" s="38">
        <f t="shared" si="27"/>
        <v>972.695652173913</v>
      </c>
      <c r="J29" s="40">
        <f t="shared" si="1"/>
        <v>124050</v>
      </c>
      <c r="K29" s="41">
        <f t="shared" si="2"/>
        <v>5393.478260869565</v>
      </c>
      <c r="L29" s="42"/>
      <c r="M29" s="43">
        <f t="shared" si="3"/>
        <v>20</v>
      </c>
      <c r="N29" s="44">
        <f t="shared" si="3"/>
        <v>199500</v>
      </c>
      <c r="O29" s="38">
        <f t="shared" si="4"/>
        <v>9068.15</v>
      </c>
      <c r="P29" s="44">
        <f t="shared" si="5"/>
        <v>59340</v>
      </c>
      <c r="Q29" s="39">
        <f t="shared" si="6"/>
        <v>2697.25</v>
      </c>
      <c r="R29" s="45">
        <f t="shared" si="7"/>
        <v>258840</v>
      </c>
      <c r="S29" s="41">
        <f t="shared" si="8"/>
        <v>12942</v>
      </c>
      <c r="T29" s="65">
        <f t="shared" si="9"/>
        <v>43</v>
      </c>
      <c r="U29" s="44">
        <f t="shared" si="9"/>
        <v>298940</v>
      </c>
      <c r="V29" s="44">
        <f t="shared" si="10"/>
        <v>83950</v>
      </c>
      <c r="W29" s="47">
        <f t="shared" si="11"/>
        <v>382890</v>
      </c>
      <c r="X29" s="66"/>
      <c r="Y29" s="48"/>
      <c r="Z29" s="49">
        <v>2</v>
      </c>
      <c r="AA29" s="49"/>
      <c r="AB29" s="37">
        <v>5000</v>
      </c>
      <c r="AC29" s="38">
        <f t="shared" si="12"/>
        <v>2500</v>
      </c>
      <c r="AD29" s="37">
        <v>500</v>
      </c>
      <c r="AE29" s="39">
        <f t="shared" si="13"/>
        <v>250</v>
      </c>
      <c r="AF29" s="50">
        <f t="shared" si="14"/>
        <v>5500</v>
      </c>
      <c r="AG29" s="41">
        <f t="shared" si="15"/>
        <v>2750</v>
      </c>
      <c r="AH29" s="51"/>
      <c r="AI29" s="49">
        <v>7</v>
      </c>
      <c r="AJ29" s="37">
        <v>2740</v>
      </c>
      <c r="AK29" s="38">
        <f t="shared" si="16"/>
        <v>391.42857142857144</v>
      </c>
      <c r="AL29" s="37">
        <v>3350</v>
      </c>
      <c r="AM29" s="39">
        <f t="shared" si="17"/>
        <v>478.57142857142856</v>
      </c>
      <c r="AN29" s="50">
        <f t="shared" si="28"/>
        <v>6090</v>
      </c>
      <c r="AO29" s="52">
        <f t="shared" si="18"/>
        <v>870</v>
      </c>
      <c r="AP29" s="53"/>
      <c r="AQ29" s="49">
        <v>22</v>
      </c>
      <c r="AR29" s="37">
        <v>12100</v>
      </c>
      <c r="AS29" s="38">
        <f t="shared" si="19"/>
        <v>550</v>
      </c>
      <c r="AT29" s="37">
        <v>14700</v>
      </c>
      <c r="AU29" s="39">
        <f t="shared" si="20"/>
        <v>668.18181818181813</v>
      </c>
      <c r="AV29" s="39"/>
      <c r="AW29" s="39"/>
      <c r="AX29" s="54">
        <f t="shared" si="35"/>
        <v>26800</v>
      </c>
      <c r="AY29" s="52">
        <f t="shared" si="21"/>
        <v>1218.1818181818182</v>
      </c>
      <c r="AZ29" s="67">
        <f t="shared" si="22"/>
        <v>43</v>
      </c>
      <c r="BA29" s="44">
        <f t="shared" si="23"/>
        <v>318780</v>
      </c>
      <c r="BB29" s="44">
        <f t="shared" si="24"/>
        <v>102500</v>
      </c>
      <c r="BC29" s="56">
        <f>W29+AF29+AN29+AX29</f>
        <v>421280</v>
      </c>
      <c r="BD29" s="57">
        <f t="shared" si="30"/>
        <v>7700</v>
      </c>
      <c r="BE29" s="58">
        <v>43</v>
      </c>
      <c r="BF29" s="59">
        <v>298940</v>
      </c>
      <c r="BG29" s="59">
        <v>83950</v>
      </c>
      <c r="BH29" s="60">
        <v>7700</v>
      </c>
      <c r="BI29" s="60"/>
      <c r="BJ29" s="60"/>
      <c r="BK29" s="60"/>
      <c r="BL29" s="61">
        <f t="shared" si="29"/>
        <v>390590</v>
      </c>
      <c r="BM29" s="32">
        <v>25</v>
      </c>
      <c r="BN29" s="62">
        <f t="shared" si="25"/>
        <v>390590</v>
      </c>
    </row>
    <row r="30" spans="2:68" ht="20" customHeight="1">
      <c r="B30" s="63">
        <f t="shared" si="26"/>
        <v>45926</v>
      </c>
      <c r="C30" s="64"/>
      <c r="D30" s="35"/>
      <c r="E30" s="36">
        <v>17</v>
      </c>
      <c r="F30" s="37">
        <v>68090</v>
      </c>
      <c r="G30" s="38">
        <f t="shared" si="0"/>
        <v>3641.1764705882351</v>
      </c>
      <c r="H30" s="37">
        <v>4800</v>
      </c>
      <c r="I30" s="38">
        <f t="shared" si="27"/>
        <v>256.64705882352939</v>
      </c>
      <c r="J30" s="40">
        <f t="shared" si="1"/>
        <v>72890</v>
      </c>
      <c r="K30" s="41">
        <f t="shared" si="2"/>
        <v>4287.6470588235297</v>
      </c>
      <c r="L30" s="42"/>
      <c r="M30" s="43">
        <f t="shared" si="3"/>
        <v>6</v>
      </c>
      <c r="N30" s="44">
        <f t="shared" si="3"/>
        <v>47920</v>
      </c>
      <c r="O30" s="38">
        <f t="shared" si="4"/>
        <v>7260.5</v>
      </c>
      <c r="P30" s="44">
        <f t="shared" si="5"/>
        <v>12760</v>
      </c>
      <c r="Q30" s="38">
        <f t="shared" si="6"/>
        <v>1933.3333333333333</v>
      </c>
      <c r="R30" s="45">
        <f t="shared" si="7"/>
        <v>60680</v>
      </c>
      <c r="S30" s="41">
        <f t="shared" si="8"/>
        <v>10113.333333333334</v>
      </c>
      <c r="T30" s="65">
        <f t="shared" si="9"/>
        <v>23</v>
      </c>
      <c r="U30" s="44">
        <f t="shared" si="9"/>
        <v>116010</v>
      </c>
      <c r="V30" s="44">
        <f t="shared" si="10"/>
        <v>17560</v>
      </c>
      <c r="W30" s="47">
        <f t="shared" si="11"/>
        <v>133570</v>
      </c>
      <c r="X30" s="66"/>
      <c r="Y30" s="48"/>
      <c r="Z30" s="49">
        <v>3</v>
      </c>
      <c r="AA30" s="49"/>
      <c r="AB30" s="37">
        <v>7500</v>
      </c>
      <c r="AC30" s="38">
        <f t="shared" si="12"/>
        <v>2500</v>
      </c>
      <c r="AD30" s="37">
        <v>750</v>
      </c>
      <c r="AE30" s="39">
        <f t="shared" si="13"/>
        <v>250</v>
      </c>
      <c r="AF30" s="50">
        <f t="shared" si="14"/>
        <v>8250</v>
      </c>
      <c r="AG30" s="41">
        <f t="shared" si="15"/>
        <v>2750</v>
      </c>
      <c r="AH30" s="51"/>
      <c r="AI30" s="49"/>
      <c r="AJ30" s="37"/>
      <c r="AK30" s="38" t="e">
        <f t="shared" si="16"/>
        <v>#DIV/0!</v>
      </c>
      <c r="AL30" s="37"/>
      <c r="AM30" s="39" t="e">
        <f t="shared" si="17"/>
        <v>#DIV/0!</v>
      </c>
      <c r="AN30" s="50">
        <f t="shared" si="28"/>
        <v>0</v>
      </c>
      <c r="AO30" s="52" t="str">
        <f t="shared" si="18"/>
        <v/>
      </c>
      <c r="AP30" s="53"/>
      <c r="AQ30" s="49">
        <v>45</v>
      </c>
      <c r="AR30" s="37">
        <v>48300</v>
      </c>
      <c r="AS30" s="38">
        <f t="shared" si="19"/>
        <v>1073.3333333333333</v>
      </c>
      <c r="AT30" s="37">
        <v>52100</v>
      </c>
      <c r="AU30" s="39">
        <f t="shared" si="20"/>
        <v>1157.7777777777778</v>
      </c>
      <c r="AV30" s="39"/>
      <c r="AW30" s="39"/>
      <c r="AX30" s="54">
        <f t="shared" si="35"/>
        <v>100400</v>
      </c>
      <c r="AY30" s="52">
        <f t="shared" si="21"/>
        <v>2231.1111111111113</v>
      </c>
      <c r="AZ30" s="67">
        <f t="shared" si="22"/>
        <v>23</v>
      </c>
      <c r="BA30" s="44">
        <f t="shared" si="23"/>
        <v>171810</v>
      </c>
      <c r="BB30" s="44">
        <f t="shared" si="24"/>
        <v>70410</v>
      </c>
      <c r="BC30" s="56">
        <f>W30+AF30+AN30+AX30</f>
        <v>242220</v>
      </c>
      <c r="BD30" s="57">
        <f>BH30+BI30</f>
        <v>2200</v>
      </c>
      <c r="BE30" s="58">
        <v>23</v>
      </c>
      <c r="BF30" s="59">
        <v>116010</v>
      </c>
      <c r="BG30" s="59">
        <v>17560</v>
      </c>
      <c r="BH30" s="60">
        <v>2200</v>
      </c>
      <c r="BI30" s="60"/>
      <c r="BJ30" s="60"/>
      <c r="BK30" s="60"/>
      <c r="BL30" s="61">
        <f t="shared" si="29"/>
        <v>135770</v>
      </c>
      <c r="BM30" s="32">
        <v>26</v>
      </c>
      <c r="BN30" s="62">
        <f t="shared" si="25"/>
        <v>135770</v>
      </c>
    </row>
    <row r="31" spans="2:68" ht="20" customHeight="1">
      <c r="B31" s="63">
        <f t="shared" si="26"/>
        <v>45927</v>
      </c>
      <c r="C31" s="64"/>
      <c r="D31" s="35"/>
      <c r="E31" s="36">
        <v>29</v>
      </c>
      <c r="F31" s="37">
        <v>124480</v>
      </c>
      <c r="G31" s="38">
        <f t="shared" si="0"/>
        <v>3902.1724137931033</v>
      </c>
      <c r="H31" s="37">
        <v>31970</v>
      </c>
      <c r="I31" s="38">
        <f t="shared" si="27"/>
        <v>1002.1724137931035</v>
      </c>
      <c r="J31" s="40">
        <f t="shared" si="1"/>
        <v>156450</v>
      </c>
      <c r="K31" s="41">
        <f t="shared" si="2"/>
        <v>5394.8275862068967</v>
      </c>
      <c r="L31" s="42"/>
      <c r="M31" s="43">
        <f t="shared" si="3"/>
        <v>15</v>
      </c>
      <c r="N31" s="44">
        <f t="shared" si="3"/>
        <v>147320</v>
      </c>
      <c r="O31" s="38">
        <f t="shared" si="4"/>
        <v>8928.4666666666672</v>
      </c>
      <c r="P31" s="44">
        <f t="shared" si="5"/>
        <v>27830</v>
      </c>
      <c r="Q31" s="38">
        <f t="shared" si="6"/>
        <v>1686.6666666666667</v>
      </c>
      <c r="R31" s="45">
        <f t="shared" si="7"/>
        <v>175150</v>
      </c>
      <c r="S31" s="41">
        <f t="shared" si="8"/>
        <v>11676.666666666666</v>
      </c>
      <c r="T31" s="65">
        <f t="shared" si="9"/>
        <v>44</v>
      </c>
      <c r="U31" s="44">
        <f t="shared" si="9"/>
        <v>271800</v>
      </c>
      <c r="V31" s="44">
        <f t="shared" si="10"/>
        <v>59800</v>
      </c>
      <c r="W31" s="47">
        <f t="shared" si="11"/>
        <v>331600</v>
      </c>
      <c r="X31" s="66"/>
      <c r="Y31" s="48"/>
      <c r="Z31" s="49">
        <v>2</v>
      </c>
      <c r="AA31" s="49"/>
      <c r="AB31" s="37">
        <v>5000</v>
      </c>
      <c r="AC31" s="38">
        <f t="shared" si="12"/>
        <v>2500</v>
      </c>
      <c r="AD31" s="37">
        <v>3300</v>
      </c>
      <c r="AE31" s="39">
        <f t="shared" si="13"/>
        <v>1650</v>
      </c>
      <c r="AF31" s="50">
        <f t="shared" si="14"/>
        <v>8300</v>
      </c>
      <c r="AG31" s="41">
        <f t="shared" si="15"/>
        <v>4150</v>
      </c>
      <c r="AH31" s="51"/>
      <c r="AI31" s="49">
        <v>64</v>
      </c>
      <c r="AJ31" s="37">
        <v>250560</v>
      </c>
      <c r="AK31" s="38">
        <f t="shared" si="16"/>
        <v>3915</v>
      </c>
      <c r="AL31" s="37">
        <v>83520</v>
      </c>
      <c r="AM31" s="39">
        <f t="shared" si="17"/>
        <v>1305</v>
      </c>
      <c r="AN31" s="50">
        <f t="shared" si="28"/>
        <v>334080</v>
      </c>
      <c r="AO31" s="52">
        <f t="shared" si="18"/>
        <v>5220</v>
      </c>
      <c r="AP31" s="53"/>
      <c r="AQ31" s="49">
        <v>76</v>
      </c>
      <c r="AR31" s="37">
        <v>67600</v>
      </c>
      <c r="AS31" s="38">
        <f t="shared" si="19"/>
        <v>889.47368421052636</v>
      </c>
      <c r="AT31" s="37">
        <v>68700</v>
      </c>
      <c r="AU31" s="39">
        <f t="shared" si="20"/>
        <v>903.9473684210526</v>
      </c>
      <c r="AV31" s="39"/>
      <c r="AW31" s="39"/>
      <c r="AX31" s="54">
        <f t="shared" si="35"/>
        <v>136300</v>
      </c>
      <c r="AY31" s="52">
        <f t="shared" si="21"/>
        <v>1793.421052631579</v>
      </c>
      <c r="AZ31" s="67">
        <f t="shared" si="22"/>
        <v>44</v>
      </c>
      <c r="BA31" s="44">
        <f t="shared" si="23"/>
        <v>594960</v>
      </c>
      <c r="BB31" s="44">
        <f t="shared" si="24"/>
        <v>215320</v>
      </c>
      <c r="BC31" s="56">
        <f>W31+AF31+AN31+AX31-BO31</f>
        <v>810280</v>
      </c>
      <c r="BD31" s="57">
        <f t="shared" ref="BD31:BD34" si="36">BH31+BI31</f>
        <v>2200</v>
      </c>
      <c r="BE31" s="58">
        <v>44</v>
      </c>
      <c r="BF31" s="59">
        <v>271800</v>
      </c>
      <c r="BG31" s="59">
        <v>59800</v>
      </c>
      <c r="BH31" s="60">
        <v>2200</v>
      </c>
      <c r="BI31" s="60"/>
      <c r="BJ31" s="60">
        <v>3300</v>
      </c>
      <c r="BK31" s="60"/>
      <c r="BL31" s="61">
        <f t="shared" si="29"/>
        <v>333800</v>
      </c>
      <c r="BM31" s="32">
        <v>27</v>
      </c>
      <c r="BN31" s="62">
        <f t="shared" si="25"/>
        <v>333800</v>
      </c>
    </row>
    <row r="32" spans="2:68" ht="20" customHeight="1">
      <c r="B32" s="63">
        <f t="shared" si="26"/>
        <v>45928</v>
      </c>
      <c r="C32" s="64"/>
      <c r="D32" s="35"/>
      <c r="E32" s="36">
        <v>37</v>
      </c>
      <c r="F32" s="37">
        <v>187330</v>
      </c>
      <c r="G32" s="38">
        <f t="shared" si="0"/>
        <v>4602.7027027027025</v>
      </c>
      <c r="H32" s="37">
        <v>30140</v>
      </c>
      <c r="I32" s="38">
        <f t="shared" si="27"/>
        <v>740.54054054054052</v>
      </c>
      <c r="J32" s="40">
        <f t="shared" si="1"/>
        <v>217470</v>
      </c>
      <c r="K32" s="41">
        <f t="shared" si="2"/>
        <v>5877.5675675675675</v>
      </c>
      <c r="L32" s="42"/>
      <c r="M32" s="43">
        <f t="shared" si="3"/>
        <v>27</v>
      </c>
      <c r="N32" s="44">
        <f t="shared" si="3"/>
        <v>260220</v>
      </c>
      <c r="O32" s="38">
        <f t="shared" si="4"/>
        <v>8761.5925925925931</v>
      </c>
      <c r="P32" s="44">
        <f t="shared" si="5"/>
        <v>96930</v>
      </c>
      <c r="Q32" s="38">
        <f t="shared" si="6"/>
        <v>3263.6296296296296</v>
      </c>
      <c r="R32" s="45">
        <f t="shared" si="7"/>
        <v>357150</v>
      </c>
      <c r="S32" s="41">
        <f t="shared" si="8"/>
        <v>13227.777777777777</v>
      </c>
      <c r="T32" s="65">
        <f t="shared" si="9"/>
        <v>64</v>
      </c>
      <c r="U32" s="44">
        <f t="shared" si="9"/>
        <v>447550</v>
      </c>
      <c r="V32" s="44">
        <f t="shared" si="10"/>
        <v>127070</v>
      </c>
      <c r="W32" s="47">
        <f t="shared" si="11"/>
        <v>574620</v>
      </c>
      <c r="X32" s="66"/>
      <c r="Y32" s="48"/>
      <c r="Z32" s="49">
        <v>6</v>
      </c>
      <c r="AA32" s="49"/>
      <c r="AB32" s="37">
        <v>15000</v>
      </c>
      <c r="AC32" s="38">
        <f t="shared" si="12"/>
        <v>2500</v>
      </c>
      <c r="AD32" s="37">
        <v>1500</v>
      </c>
      <c r="AE32" s="39">
        <f t="shared" si="13"/>
        <v>250</v>
      </c>
      <c r="AF32" s="50">
        <f t="shared" si="14"/>
        <v>16500</v>
      </c>
      <c r="AG32" s="41">
        <f t="shared" si="15"/>
        <v>2750</v>
      </c>
      <c r="AH32" s="51"/>
      <c r="AI32" s="49"/>
      <c r="AJ32" s="37"/>
      <c r="AK32" s="38" t="e">
        <f t="shared" si="16"/>
        <v>#DIV/0!</v>
      </c>
      <c r="AL32" s="37"/>
      <c r="AM32" s="39" t="e">
        <f t="shared" si="17"/>
        <v>#DIV/0!</v>
      </c>
      <c r="AN32" s="50">
        <f t="shared" si="28"/>
        <v>0</v>
      </c>
      <c r="AO32" s="52" t="str">
        <f t="shared" si="18"/>
        <v/>
      </c>
      <c r="AP32" s="53"/>
      <c r="AQ32" s="49">
        <v>76</v>
      </c>
      <c r="AR32" s="37">
        <v>48450</v>
      </c>
      <c r="AS32" s="38">
        <f t="shared" si="19"/>
        <v>637.5</v>
      </c>
      <c r="AT32" s="37">
        <v>45600</v>
      </c>
      <c r="AU32" s="39">
        <f t="shared" si="20"/>
        <v>600</v>
      </c>
      <c r="AV32" s="39"/>
      <c r="AW32" s="39"/>
      <c r="AX32" s="54">
        <f t="shared" si="35"/>
        <v>94050</v>
      </c>
      <c r="AY32" s="52">
        <f t="shared" si="21"/>
        <v>1237.5</v>
      </c>
      <c r="AZ32" s="67">
        <f t="shared" si="22"/>
        <v>64</v>
      </c>
      <c r="BA32" s="44">
        <f>U32+AB32+AJ32+AR32</f>
        <v>511000</v>
      </c>
      <c r="BB32" s="44">
        <f t="shared" si="24"/>
        <v>174170</v>
      </c>
      <c r="BC32" s="56">
        <f>W32+AF32+AN32+AX32-BO32</f>
        <v>685170</v>
      </c>
      <c r="BD32" s="57">
        <f>BH32+BI32</f>
        <v>17600</v>
      </c>
      <c r="BE32" s="58">
        <v>64</v>
      </c>
      <c r="BF32" s="59">
        <v>447550</v>
      </c>
      <c r="BG32" s="59">
        <v>127070</v>
      </c>
      <c r="BH32" s="60">
        <v>17600</v>
      </c>
      <c r="BI32" s="60"/>
      <c r="BJ32" s="60"/>
      <c r="BK32" s="60"/>
      <c r="BL32" s="61">
        <f>SUM(BF32:BI32)</f>
        <v>592220</v>
      </c>
      <c r="BM32" s="32">
        <v>28</v>
      </c>
    </row>
    <row r="33" spans="2:66" ht="20" customHeight="1">
      <c r="B33" s="63">
        <f t="shared" si="26"/>
        <v>45929</v>
      </c>
      <c r="C33" s="64"/>
      <c r="D33" s="35"/>
      <c r="E33" s="36">
        <v>15</v>
      </c>
      <c r="F33" s="37">
        <v>54670</v>
      </c>
      <c r="G33" s="38">
        <f t="shared" si="0"/>
        <v>3313.3333333333335</v>
      </c>
      <c r="H33" s="37">
        <v>15850</v>
      </c>
      <c r="I33" s="38">
        <f t="shared" si="27"/>
        <v>960.6</v>
      </c>
      <c r="J33" s="40">
        <f t="shared" si="1"/>
        <v>70520</v>
      </c>
      <c r="K33" s="41">
        <f t="shared" si="2"/>
        <v>4701.333333333333</v>
      </c>
      <c r="L33" s="42"/>
      <c r="M33" s="43">
        <f t="shared" si="3"/>
        <v>9</v>
      </c>
      <c r="N33" s="44">
        <f t="shared" si="3"/>
        <v>66440</v>
      </c>
      <c r="O33" s="38">
        <f t="shared" si="4"/>
        <v>6711.1111111111113</v>
      </c>
      <c r="P33" s="44">
        <f t="shared" si="5"/>
        <v>12510</v>
      </c>
      <c r="Q33" s="38">
        <f t="shared" si="6"/>
        <v>1263.5555555555557</v>
      </c>
      <c r="R33" s="45">
        <f t="shared" si="7"/>
        <v>78950</v>
      </c>
      <c r="S33" s="41">
        <f t="shared" si="8"/>
        <v>8772.2222222222226</v>
      </c>
      <c r="T33" s="65">
        <f t="shared" si="9"/>
        <v>24</v>
      </c>
      <c r="U33" s="44">
        <f t="shared" si="9"/>
        <v>121110</v>
      </c>
      <c r="V33" s="44">
        <f t="shared" si="10"/>
        <v>28360</v>
      </c>
      <c r="W33" s="47">
        <f>J33+R33</f>
        <v>149470</v>
      </c>
      <c r="X33" s="66"/>
      <c r="Y33" s="48"/>
      <c r="Z33" s="49">
        <v>4</v>
      </c>
      <c r="AA33" s="49"/>
      <c r="AB33" s="37">
        <v>10000</v>
      </c>
      <c r="AC33" s="38">
        <f t="shared" si="12"/>
        <v>2500</v>
      </c>
      <c r="AD33" s="37">
        <v>1000</v>
      </c>
      <c r="AE33" s="39">
        <f t="shared" si="13"/>
        <v>250</v>
      </c>
      <c r="AF33" s="50">
        <f t="shared" si="14"/>
        <v>11000</v>
      </c>
      <c r="AG33" s="41">
        <f t="shared" si="15"/>
        <v>2750</v>
      </c>
      <c r="AH33" s="51"/>
      <c r="AI33" s="49"/>
      <c r="AJ33" s="37"/>
      <c r="AK33" s="38" t="e">
        <f t="shared" si="16"/>
        <v>#DIV/0!</v>
      </c>
      <c r="AL33" s="37"/>
      <c r="AM33" s="39" t="e">
        <f t="shared" si="17"/>
        <v>#DIV/0!</v>
      </c>
      <c r="AN33" s="50">
        <f t="shared" si="28"/>
        <v>0</v>
      </c>
      <c r="AO33" s="52" t="str">
        <f t="shared" si="18"/>
        <v/>
      </c>
      <c r="AP33" s="53"/>
      <c r="AQ33" s="49">
        <v>30</v>
      </c>
      <c r="AR33" s="37">
        <v>32450</v>
      </c>
      <c r="AS33" s="38">
        <f t="shared" si="19"/>
        <v>1081.6666666666667</v>
      </c>
      <c r="AT33" s="37">
        <v>16000</v>
      </c>
      <c r="AU33" s="39">
        <f t="shared" si="20"/>
        <v>533.33333333333337</v>
      </c>
      <c r="AV33" s="39"/>
      <c r="AW33" s="39"/>
      <c r="AX33" s="54">
        <f t="shared" si="35"/>
        <v>48450</v>
      </c>
      <c r="AY33" s="52">
        <f t="shared" si="21"/>
        <v>1615</v>
      </c>
      <c r="AZ33" s="67">
        <f t="shared" si="22"/>
        <v>24</v>
      </c>
      <c r="BA33" s="44">
        <f t="shared" si="23"/>
        <v>163560</v>
      </c>
      <c r="BB33" s="44">
        <f t="shared" si="24"/>
        <v>45360</v>
      </c>
      <c r="BC33" s="56">
        <f>W33+AF33+AN33+AX33-BO33</f>
        <v>208920</v>
      </c>
      <c r="BD33" s="57">
        <f t="shared" si="36"/>
        <v>0</v>
      </c>
      <c r="BE33" s="58">
        <v>24</v>
      </c>
      <c r="BF33" s="59">
        <v>121110</v>
      </c>
      <c r="BG33" s="59">
        <v>28360</v>
      </c>
      <c r="BH33" s="60"/>
      <c r="BI33" s="60"/>
      <c r="BJ33" s="60">
        <v>11000</v>
      </c>
      <c r="BK33" s="60"/>
      <c r="BL33" s="61">
        <f t="shared" si="29"/>
        <v>149470</v>
      </c>
      <c r="BM33" s="32">
        <v>29</v>
      </c>
      <c r="BN33" s="62">
        <f t="shared" si="25"/>
        <v>149470</v>
      </c>
    </row>
    <row r="34" spans="2:66" ht="20" customHeight="1">
      <c r="B34" s="63">
        <f t="shared" si="26"/>
        <v>45930</v>
      </c>
      <c r="C34" s="64"/>
      <c r="D34" s="35"/>
      <c r="E34" s="36">
        <v>13</v>
      </c>
      <c r="F34" s="37">
        <v>56430</v>
      </c>
      <c r="G34" s="38">
        <f t="shared" si="0"/>
        <v>3946.1538461538462</v>
      </c>
      <c r="H34" s="37">
        <v>13530</v>
      </c>
      <c r="I34" s="38">
        <f t="shared" si="27"/>
        <v>946.15384615384619</v>
      </c>
      <c r="J34" s="40">
        <f t="shared" si="1"/>
        <v>69960</v>
      </c>
      <c r="K34" s="41">
        <f t="shared" si="2"/>
        <v>5381.5384615384619</v>
      </c>
      <c r="L34" s="42"/>
      <c r="M34" s="43">
        <f t="shared" si="3"/>
        <v>22</v>
      </c>
      <c r="N34" s="44">
        <f t="shared" si="3"/>
        <v>263560</v>
      </c>
      <c r="O34" s="38">
        <f t="shared" si="4"/>
        <v>10890.90909090909</v>
      </c>
      <c r="P34" s="44">
        <f t="shared" si="5"/>
        <v>93110</v>
      </c>
      <c r="Q34" s="38">
        <f t="shared" si="6"/>
        <v>3847.5</v>
      </c>
      <c r="R34" s="45">
        <f t="shared" si="7"/>
        <v>356670</v>
      </c>
      <c r="S34" s="41">
        <f t="shared" si="8"/>
        <v>16212.272727272728</v>
      </c>
      <c r="T34" s="65">
        <f t="shared" si="9"/>
        <v>35</v>
      </c>
      <c r="U34" s="44">
        <f t="shared" si="9"/>
        <v>319990</v>
      </c>
      <c r="V34" s="44">
        <f t="shared" si="10"/>
        <v>106640</v>
      </c>
      <c r="W34" s="47">
        <f t="shared" si="11"/>
        <v>426630</v>
      </c>
      <c r="X34" s="66"/>
      <c r="Y34" s="71"/>
      <c r="Z34" s="72">
        <v>2</v>
      </c>
      <c r="AA34" s="72"/>
      <c r="AB34" s="73">
        <v>5000</v>
      </c>
      <c r="AC34" s="38">
        <f t="shared" si="12"/>
        <v>2500</v>
      </c>
      <c r="AD34" s="73">
        <v>500</v>
      </c>
      <c r="AE34" s="39">
        <f t="shared" si="13"/>
        <v>250</v>
      </c>
      <c r="AF34" s="50">
        <f t="shared" si="14"/>
        <v>5500</v>
      </c>
      <c r="AG34" s="41">
        <f t="shared" si="15"/>
        <v>2750</v>
      </c>
      <c r="AH34" s="51"/>
      <c r="AI34" s="49"/>
      <c r="AJ34" s="37"/>
      <c r="AK34" s="38" t="e">
        <f t="shared" si="16"/>
        <v>#DIV/0!</v>
      </c>
      <c r="AL34" s="37"/>
      <c r="AM34" s="39" t="e">
        <f t="shared" si="17"/>
        <v>#DIV/0!</v>
      </c>
      <c r="AN34" s="50">
        <f t="shared" si="28"/>
        <v>0</v>
      </c>
      <c r="AO34" s="52" t="str">
        <f t="shared" si="18"/>
        <v/>
      </c>
      <c r="AP34" s="53"/>
      <c r="AQ34" s="72">
        <v>30</v>
      </c>
      <c r="AR34" s="73">
        <v>26600</v>
      </c>
      <c r="AS34" s="38">
        <f t="shared" si="19"/>
        <v>886.66666666666663</v>
      </c>
      <c r="AT34" s="73">
        <v>19900</v>
      </c>
      <c r="AU34" s="39">
        <f t="shared" si="20"/>
        <v>663.33333333333337</v>
      </c>
      <c r="AV34" s="39"/>
      <c r="AW34" s="39"/>
      <c r="AX34" s="54">
        <f t="shared" si="35"/>
        <v>46500</v>
      </c>
      <c r="AY34" s="52">
        <f t="shared" si="21"/>
        <v>1550</v>
      </c>
      <c r="AZ34" s="67">
        <f t="shared" si="22"/>
        <v>35</v>
      </c>
      <c r="BA34" s="44">
        <f t="shared" si="23"/>
        <v>351590</v>
      </c>
      <c r="BB34" s="44">
        <f t="shared" si="24"/>
        <v>127040</v>
      </c>
      <c r="BC34" s="56">
        <f>W34+AF34+AN34+AX34</f>
        <v>478630</v>
      </c>
      <c r="BD34" s="57">
        <f t="shared" si="36"/>
        <v>0</v>
      </c>
      <c r="BE34" s="58">
        <v>35</v>
      </c>
      <c r="BF34" s="59">
        <v>319990</v>
      </c>
      <c r="BG34" s="59">
        <v>106640</v>
      </c>
      <c r="BH34" s="60"/>
      <c r="BI34" s="60"/>
      <c r="BJ34" s="60"/>
      <c r="BK34" s="60"/>
      <c r="BL34" s="61">
        <f t="shared" si="29"/>
        <v>426630</v>
      </c>
      <c r="BM34" s="32">
        <v>30</v>
      </c>
      <c r="BN34" s="62">
        <f t="shared" si="25"/>
        <v>426630</v>
      </c>
    </row>
    <row r="35" spans="2:66" ht="20" customHeight="1" thickBot="1">
      <c r="B35" s="63">
        <f t="shared" si="26"/>
        <v>45931</v>
      </c>
      <c r="C35" s="64"/>
      <c r="D35" s="35"/>
      <c r="E35" s="36"/>
      <c r="F35" s="37"/>
      <c r="G35" s="38" t="e">
        <f t="shared" si="0"/>
        <v>#DIV/0!</v>
      </c>
      <c r="H35" s="37"/>
      <c r="I35" s="38" t="e">
        <f t="shared" si="27"/>
        <v>#DIV/0!</v>
      </c>
      <c r="J35" s="40">
        <f t="shared" si="1"/>
        <v>0</v>
      </c>
      <c r="K35" s="41" t="str">
        <f t="shared" si="2"/>
        <v/>
      </c>
      <c r="L35" s="42"/>
      <c r="M35" s="74">
        <f t="shared" si="3"/>
        <v>0</v>
      </c>
      <c r="N35" s="44">
        <f t="shared" si="3"/>
        <v>0</v>
      </c>
      <c r="O35" s="38" t="e">
        <f t="shared" si="4"/>
        <v>#DIV/0!</v>
      </c>
      <c r="P35" s="44">
        <f t="shared" si="5"/>
        <v>0</v>
      </c>
      <c r="Q35" s="38" t="e">
        <f t="shared" si="6"/>
        <v>#DIV/0!</v>
      </c>
      <c r="R35" s="45">
        <f t="shared" si="7"/>
        <v>0</v>
      </c>
      <c r="S35" s="41" t="e">
        <f t="shared" si="8"/>
        <v>#DIV/0!</v>
      </c>
      <c r="T35" s="75">
        <f t="shared" si="9"/>
        <v>0</v>
      </c>
      <c r="U35" s="76">
        <f t="shared" si="9"/>
        <v>0</v>
      </c>
      <c r="V35" s="76">
        <f t="shared" si="10"/>
        <v>0</v>
      </c>
      <c r="W35" s="77">
        <f t="shared" si="11"/>
        <v>0</v>
      </c>
      <c r="X35" s="76"/>
      <c r="Y35" s="78"/>
      <c r="Z35" s="79"/>
      <c r="AA35" s="79"/>
      <c r="AB35" s="80"/>
      <c r="AC35" s="81" t="e">
        <f t="shared" si="12"/>
        <v>#DIV/0!</v>
      </c>
      <c r="AD35" s="80"/>
      <c r="AE35" s="82" t="e">
        <f t="shared" si="13"/>
        <v>#DIV/0!</v>
      </c>
      <c r="AF35" s="83">
        <f t="shared" si="14"/>
        <v>0</v>
      </c>
      <c r="AG35" s="41" t="str">
        <f t="shared" si="15"/>
        <v/>
      </c>
      <c r="AH35" s="84"/>
      <c r="AI35" s="79"/>
      <c r="AJ35" s="80"/>
      <c r="AK35" s="81" t="e">
        <f t="shared" si="16"/>
        <v>#DIV/0!</v>
      </c>
      <c r="AL35" s="80"/>
      <c r="AM35" s="82" t="e">
        <f t="shared" si="17"/>
        <v>#DIV/0!</v>
      </c>
      <c r="AN35" s="50">
        <f t="shared" si="28"/>
        <v>0</v>
      </c>
      <c r="AO35" s="52" t="str">
        <f t="shared" si="18"/>
        <v/>
      </c>
      <c r="AP35" s="85"/>
      <c r="AQ35" s="79"/>
      <c r="AR35" s="80"/>
      <c r="AS35" s="81" t="e">
        <f t="shared" si="19"/>
        <v>#DIV/0!</v>
      </c>
      <c r="AT35" s="80"/>
      <c r="AU35" s="82" t="e">
        <f t="shared" si="20"/>
        <v>#DIV/0!</v>
      </c>
      <c r="AV35" s="82"/>
      <c r="AW35" s="39"/>
      <c r="AX35" s="54">
        <f t="shared" si="35"/>
        <v>0</v>
      </c>
      <c r="AY35" s="52" t="str">
        <f t="shared" si="21"/>
        <v/>
      </c>
      <c r="AZ35" s="86">
        <f t="shared" si="22"/>
        <v>0</v>
      </c>
      <c r="BA35" s="44">
        <f t="shared" si="23"/>
        <v>0</v>
      </c>
      <c r="BB35" s="44">
        <f t="shared" si="24"/>
        <v>0</v>
      </c>
      <c r="BC35" s="56">
        <f>W35+AF35+AN35+AX35</f>
        <v>0</v>
      </c>
      <c r="BD35" s="57">
        <f t="shared" si="30"/>
        <v>0</v>
      </c>
      <c r="BE35" s="87"/>
      <c r="BF35" s="88"/>
      <c r="BG35" s="88"/>
      <c r="BH35" s="89"/>
      <c r="BI35" s="89"/>
      <c r="BJ35" s="89"/>
      <c r="BK35" s="89"/>
      <c r="BL35" s="61">
        <f t="shared" si="29"/>
        <v>0</v>
      </c>
      <c r="BM35" s="32">
        <v>31</v>
      </c>
      <c r="BN35" s="62">
        <f t="shared" si="25"/>
        <v>0</v>
      </c>
    </row>
    <row r="36" spans="2:66" s="112" customFormat="1" ht="20" customHeight="1" thickTop="1">
      <c r="B36" s="90" t="s">
        <v>28</v>
      </c>
      <c r="C36" s="91">
        <f>SUM(C5:C35)</f>
        <v>0</v>
      </c>
      <c r="D36" s="92">
        <f>SUM(D5:D35)</f>
        <v>0</v>
      </c>
      <c r="E36" s="93">
        <f>SUM(E5:E35)</f>
        <v>726</v>
      </c>
      <c r="F36" s="94">
        <f>SUM(F5:F35)</f>
        <v>2942900</v>
      </c>
      <c r="G36" s="95">
        <f>F36/E36</f>
        <v>4053.5812672176307</v>
      </c>
      <c r="H36" s="91">
        <f>SUM(H5:H35)</f>
        <v>607960</v>
      </c>
      <c r="I36" s="96">
        <f>H36/E36</f>
        <v>837.41046831955919</v>
      </c>
      <c r="J36" s="97">
        <f>SUM(J5:J35)</f>
        <v>3550860</v>
      </c>
      <c r="K36" s="98">
        <f>J36/E36</f>
        <v>4890.9917355371899</v>
      </c>
      <c r="L36" s="99">
        <f>SUM(L5:L35)</f>
        <v>0</v>
      </c>
      <c r="M36" s="93">
        <f>SUM(M5:M35)</f>
        <v>544</v>
      </c>
      <c r="N36" s="94">
        <f>SUM(N5:N35)</f>
        <v>5397330</v>
      </c>
      <c r="O36" s="95">
        <f>N36/M36</f>
        <v>9921.5625</v>
      </c>
      <c r="P36" s="100">
        <f>SUM(P5:P35)</f>
        <v>1476490</v>
      </c>
      <c r="Q36" s="96">
        <f>P36/M36</f>
        <v>2714.1360294117649</v>
      </c>
      <c r="R36" s="101">
        <f>SUM(R5:R35)</f>
        <v>6873820</v>
      </c>
      <c r="S36" s="102">
        <f>R36/M36</f>
        <v>12635.698529411764</v>
      </c>
      <c r="T36" s="93">
        <f t="shared" ref="T36:AB36" si="37">SUM(T5:T35)</f>
        <v>1270</v>
      </c>
      <c r="U36" s="100">
        <f t="shared" si="37"/>
        <v>8340230</v>
      </c>
      <c r="V36" s="100">
        <f t="shared" si="37"/>
        <v>2084450</v>
      </c>
      <c r="W36" s="97">
        <f>SUM(W5:W35)</f>
        <v>10424680</v>
      </c>
      <c r="X36" s="103">
        <f t="shared" si="37"/>
        <v>0</v>
      </c>
      <c r="Y36" s="92">
        <f t="shared" si="37"/>
        <v>0</v>
      </c>
      <c r="Z36" s="93">
        <f t="shared" si="37"/>
        <v>63</v>
      </c>
      <c r="AA36" s="104"/>
      <c r="AB36" s="95">
        <f t="shared" si="37"/>
        <v>157500</v>
      </c>
      <c r="AC36" s="95">
        <f>AB36/Z36</f>
        <v>2500</v>
      </c>
      <c r="AD36" s="91">
        <f>SUM(AD5:AD35)</f>
        <v>24160</v>
      </c>
      <c r="AE36" s="96">
        <f>AD36/Z36</f>
        <v>383.49206349206349</v>
      </c>
      <c r="AF36" s="101">
        <f>SUM(AF5:AF35)</f>
        <v>181660</v>
      </c>
      <c r="AG36" s="105">
        <f>AF36/Z36</f>
        <v>2883.4920634920636</v>
      </c>
      <c r="AH36" s="106">
        <f t="shared" ref="AH36:AJ36" si="38">SUM(AH5:AH35)</f>
        <v>0</v>
      </c>
      <c r="AI36" s="93">
        <f t="shared" si="38"/>
        <v>454</v>
      </c>
      <c r="AJ36" s="95">
        <f t="shared" si="38"/>
        <v>1752745</v>
      </c>
      <c r="AK36" s="95"/>
      <c r="AL36" s="91">
        <f>SUM(AL5:AL35)</f>
        <v>612498</v>
      </c>
      <c r="AM36" s="96"/>
      <c r="AN36" s="101">
        <f>SUM(AN5:AN35)</f>
        <v>2365243</v>
      </c>
      <c r="AO36" s="107">
        <f>AN36/AI36</f>
        <v>5209.7863436123343</v>
      </c>
      <c r="AP36" s="108">
        <f t="shared" ref="AP36:AR36" si="39">SUM(AP5:AP35)</f>
        <v>0</v>
      </c>
      <c r="AQ36" s="93">
        <f t="shared" si="39"/>
        <v>4669</v>
      </c>
      <c r="AR36" s="95">
        <f t="shared" si="39"/>
        <v>11161500</v>
      </c>
      <c r="AS36" s="95"/>
      <c r="AT36" s="91">
        <f>SUM(AT5:AT35)</f>
        <v>5977100</v>
      </c>
      <c r="AU36" s="96"/>
      <c r="AV36" s="91">
        <f>SUM(AV5:AV35)</f>
        <v>212520</v>
      </c>
      <c r="AW36" s="91">
        <f>SUM(AW5:AW35)</f>
        <v>5940</v>
      </c>
      <c r="AX36" s="54">
        <f t="shared" si="35"/>
        <v>17357060</v>
      </c>
      <c r="AY36" s="107">
        <f>AX36/AQ36</f>
        <v>3717.5112443778112</v>
      </c>
      <c r="AZ36" s="104">
        <f t="shared" ref="AZ36:BL36" si="40">SUM(AZ5:AZ35)</f>
        <v>1270</v>
      </c>
      <c r="BA36" s="100">
        <f t="shared" si="40"/>
        <v>21411975</v>
      </c>
      <c r="BB36" s="100">
        <f t="shared" si="40"/>
        <v>8698208</v>
      </c>
      <c r="BC36" s="101">
        <f>SUM(BC5:BC35)</f>
        <v>30324899</v>
      </c>
      <c r="BD36" s="109">
        <f t="shared" si="40"/>
        <v>188650</v>
      </c>
      <c r="BE36" s="110">
        <f t="shared" si="40"/>
        <v>1270</v>
      </c>
      <c r="BF36" s="110">
        <f t="shared" si="40"/>
        <v>8340230</v>
      </c>
      <c r="BG36" s="110">
        <f t="shared" si="40"/>
        <v>2084450</v>
      </c>
      <c r="BH36" s="110">
        <f t="shared" si="40"/>
        <v>188650</v>
      </c>
      <c r="BI36" s="110">
        <f t="shared" si="40"/>
        <v>0</v>
      </c>
      <c r="BJ36" s="110">
        <f t="shared" si="40"/>
        <v>17600</v>
      </c>
      <c r="BK36" s="110">
        <f t="shared" si="40"/>
        <v>76560</v>
      </c>
      <c r="BL36" s="111">
        <f t="shared" si="40"/>
        <v>10613330</v>
      </c>
      <c r="BN36" s="113">
        <f>SUM(BN5:BN35)</f>
        <v>10097670</v>
      </c>
    </row>
    <row r="37" spans="2:66" s="112" customFormat="1" ht="18">
      <c r="B37" s="114"/>
      <c r="E37" s="115" t="s">
        <v>41</v>
      </c>
      <c r="F37" s="116">
        <f>F36/1.1</f>
        <v>2675363.6363636362</v>
      </c>
      <c r="G37" s="117">
        <f>F37/E36</f>
        <v>3685.0738792887551</v>
      </c>
      <c r="H37" s="118">
        <f>H36/1.1</f>
        <v>552690.90909090906</v>
      </c>
      <c r="I37" s="117">
        <f>H37/E36</f>
        <v>761.28224392687196</v>
      </c>
      <c r="J37" s="119">
        <f>J36/1.1</f>
        <v>3228054.5454545454</v>
      </c>
      <c r="K37" s="120">
        <f>G37+I37</f>
        <v>4446.3561232156271</v>
      </c>
      <c r="L37" s="121"/>
      <c r="M37" s="115" t="s">
        <v>41</v>
      </c>
      <c r="N37" s="116">
        <f>N36/1.1</f>
        <v>4906663.6363636358</v>
      </c>
      <c r="O37" s="117">
        <f>N37/M36</f>
        <v>9019.6022727272721</v>
      </c>
      <c r="P37" s="118">
        <f>P36/1.1</f>
        <v>1342263.6363636362</v>
      </c>
      <c r="Q37" s="117">
        <f>P37/M36</f>
        <v>2467.3963903743315</v>
      </c>
      <c r="R37" s="117">
        <f>R36/1.1</f>
        <v>6248927.2727272725</v>
      </c>
      <c r="S37" s="122">
        <f>R37/M36</f>
        <v>11486.998663101604</v>
      </c>
      <c r="T37" s="115" t="s">
        <v>41</v>
      </c>
      <c r="U37" s="116">
        <f>U36/1.1</f>
        <v>7582027.2727272725</v>
      </c>
      <c r="V37" s="116">
        <f>V36/1.1</f>
        <v>1894954.5454545454</v>
      </c>
      <c r="W37" s="119">
        <f>W36/1.1</f>
        <v>9476981.8181818165</v>
      </c>
      <c r="X37" s="123"/>
      <c r="Y37" s="121"/>
      <c r="Z37" s="115" t="s">
        <v>41</v>
      </c>
      <c r="AA37" s="115"/>
      <c r="AB37" s="116">
        <f>AB36/1.1</f>
        <v>143181.81818181818</v>
      </c>
      <c r="AC37" s="118">
        <f>AB37/Z36</f>
        <v>2272.7272727272725</v>
      </c>
      <c r="AD37" s="118">
        <f>AD36/1.1</f>
        <v>21963.63636363636</v>
      </c>
      <c r="AE37" s="118">
        <f>AD37/Z36</f>
        <v>348.62914862914857</v>
      </c>
      <c r="AF37" s="117">
        <f>AF36/1.1</f>
        <v>165145.45454545453</v>
      </c>
      <c r="AG37" s="124">
        <f>AF37/Z36</f>
        <v>2621.3564213564209</v>
      </c>
      <c r="AH37" s="121"/>
      <c r="AI37" s="115" t="s">
        <v>41</v>
      </c>
      <c r="AJ37" s="116">
        <f>AJ36/1.1</f>
        <v>1593404.5454545454</v>
      </c>
      <c r="AK37" s="118">
        <f>AJ37/AI36</f>
        <v>3509.7016419703646</v>
      </c>
      <c r="AL37" s="118">
        <f>AL36/1.1</f>
        <v>556816.36363636365</v>
      </c>
      <c r="AM37" s="118">
        <f>AL37/AI36</f>
        <v>1226.4677613135764</v>
      </c>
      <c r="AN37" s="117">
        <f>AN36/1.1</f>
        <v>2150220.9090909087</v>
      </c>
      <c r="AO37" s="125" t="e">
        <f>AN37/AH36</f>
        <v>#DIV/0!</v>
      </c>
      <c r="AP37" s="121"/>
      <c r="AQ37" s="115" t="s">
        <v>41</v>
      </c>
      <c r="AR37" s="116">
        <f>AR36/1.1</f>
        <v>10146818.181818182</v>
      </c>
      <c r="AS37" s="118">
        <f>AR37/AQ36</f>
        <v>2173.2315660351642</v>
      </c>
      <c r="AT37" s="118">
        <f>AT36/1.1</f>
        <v>5433727.2727272725</v>
      </c>
      <c r="AU37" s="118">
        <f>AT37/AQ36</f>
        <v>1163.7882357522537</v>
      </c>
      <c r="AV37" s="118">
        <f>AV36/1.1</f>
        <v>193199.99999999997</v>
      </c>
      <c r="AW37" s="118">
        <f>AW36/1.1</f>
        <v>5400</v>
      </c>
      <c r="AX37" s="54">
        <f t="shared" si="35"/>
        <v>15779145.454545453</v>
      </c>
      <c r="AY37" s="125">
        <f>AX37/AQ36</f>
        <v>3379.5556767071007</v>
      </c>
      <c r="AZ37" s="126" t="s">
        <v>41</v>
      </c>
      <c r="BA37" s="116">
        <f>BA36/1.1</f>
        <v>19465431.818181816</v>
      </c>
      <c r="BB37" s="116">
        <f>BB36/1.1</f>
        <v>7907461.8181818174</v>
      </c>
      <c r="BC37" s="117">
        <f>BC36/1.1</f>
        <v>27568089.999999996</v>
      </c>
      <c r="BD37" s="127">
        <f>BD36/1.1</f>
        <v>171500</v>
      </c>
      <c r="BI37" s="128"/>
      <c r="BL37" s="129">
        <f>BL36/1.1</f>
        <v>9648481.8181818165</v>
      </c>
      <c r="BN37" s="129"/>
    </row>
    <row r="38" spans="2:66">
      <c r="C38" s="32">
        <v>30</v>
      </c>
      <c r="E38" s="130" t="s">
        <v>42</v>
      </c>
      <c r="F38" s="131">
        <f>E36/G38</f>
        <v>24.2</v>
      </c>
      <c r="G38" s="132">
        <v>30</v>
      </c>
      <c r="H38" s="131"/>
      <c r="I38" s="131"/>
      <c r="J38" s="133" t="s">
        <v>43</v>
      </c>
      <c r="K38" s="134">
        <f>J37/G38</f>
        <v>107601.81818181818</v>
      </c>
      <c r="M38" s="130" t="s">
        <v>42</v>
      </c>
      <c r="N38" s="131">
        <f>M36/O38</f>
        <v>18.133333333333333</v>
      </c>
      <c r="O38" s="132">
        <f>G38</f>
        <v>30</v>
      </c>
      <c r="P38" s="131"/>
      <c r="Q38" s="131"/>
      <c r="R38" s="133" t="s">
        <v>43</v>
      </c>
      <c r="S38" s="135">
        <f>R37/O38</f>
        <v>208297.57575757575</v>
      </c>
      <c r="U38" s="136">
        <f>O38</f>
        <v>30</v>
      </c>
      <c r="W38" s="68">
        <f>W37/U38</f>
        <v>315899.39393939386</v>
      </c>
      <c r="X38" s="62"/>
      <c r="AB38" s="137">
        <f>G38</f>
        <v>30</v>
      </c>
      <c r="AC38" s="131"/>
      <c r="AD38" s="131"/>
      <c r="AE38" s="131"/>
      <c r="AF38" s="131"/>
      <c r="AG38" s="134">
        <f>AF37/AB38</f>
        <v>5504.8484848484841</v>
      </c>
      <c r="AJ38" s="137">
        <f>AB38</f>
        <v>30</v>
      </c>
      <c r="AK38" s="131"/>
      <c r="AL38" s="131"/>
      <c r="AM38" s="131"/>
      <c r="AN38" s="131"/>
      <c r="AO38" s="134">
        <f>AN37/AJ38</f>
        <v>71674.030303030289</v>
      </c>
      <c r="AR38" s="137">
        <f>G38</f>
        <v>30</v>
      </c>
      <c r="AS38" s="131"/>
      <c r="AT38" s="131"/>
      <c r="AU38" s="131"/>
      <c r="AV38" s="131"/>
      <c r="AW38" s="131"/>
      <c r="AX38" s="131"/>
      <c r="AY38" s="134">
        <f>AX37/AR38</f>
        <v>525971.51515151514</v>
      </c>
      <c r="BC38" s="68"/>
      <c r="BD38" s="62" t="e">
        <f>BC37/BE37</f>
        <v>#DIV/0!</v>
      </c>
      <c r="BE38" s="138">
        <f>AZ36+T36</f>
        <v>2540</v>
      </c>
      <c r="BI38" s="68"/>
    </row>
    <row r="39" spans="2:66">
      <c r="D39" s="139" t="s">
        <v>44</v>
      </c>
      <c r="E39" s="140"/>
      <c r="F39" s="131"/>
      <c r="G39" s="141"/>
      <c r="H39" s="131"/>
      <c r="I39" s="131"/>
      <c r="J39" s="133"/>
      <c r="K39" s="134"/>
      <c r="L39" s="142" t="s">
        <v>45</v>
      </c>
      <c r="M39" s="130"/>
      <c r="N39" s="131"/>
      <c r="O39" s="131"/>
      <c r="P39" s="131"/>
      <c r="Q39" s="131"/>
      <c r="R39" s="133"/>
      <c r="S39" s="134"/>
      <c r="V39" s="68">
        <f>V37/T36</f>
        <v>1492.0901932712957</v>
      </c>
      <c r="W39" s="68"/>
      <c r="X39" s="62"/>
      <c r="Y39" s="142" t="s">
        <v>46</v>
      </c>
      <c r="AB39" s="131"/>
      <c r="AC39" s="131"/>
      <c r="AD39" s="131"/>
      <c r="AE39" s="131"/>
      <c r="AF39" s="131"/>
      <c r="AG39" s="134"/>
      <c r="AH39" s="142" t="s">
        <v>47</v>
      </c>
      <c r="AJ39" s="131"/>
      <c r="AK39" s="131"/>
      <c r="AL39" s="131"/>
      <c r="AM39" s="131"/>
      <c r="AN39" s="131"/>
      <c r="AO39" s="134"/>
      <c r="AP39" s="142" t="s">
        <v>48</v>
      </c>
      <c r="AR39" s="131"/>
      <c r="AS39" s="131"/>
      <c r="AT39" s="131"/>
      <c r="AU39" s="131"/>
      <c r="AV39" s="131"/>
      <c r="AW39" s="131"/>
      <c r="AX39" s="131"/>
      <c r="AY39" s="134"/>
      <c r="BC39" s="62">
        <f>BC36+BD36</f>
        <v>30513549</v>
      </c>
      <c r="BD39" s="143">
        <f>BC39/G38</f>
        <v>1017118.3</v>
      </c>
      <c r="BE39" s="32" t="s">
        <v>49</v>
      </c>
      <c r="BI39" s="68"/>
    </row>
    <row r="40" spans="2:66" ht="21.5" customHeight="1">
      <c r="C40" s="142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32">
        <v>25</v>
      </c>
      <c r="W40" s="62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BC40" s="144">
        <f>BC37+BD37</f>
        <v>27739589.999999996</v>
      </c>
    </row>
    <row r="41" spans="2:66" ht="21.5" customHeight="1">
      <c r="C41" s="142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32">
        <v>15</v>
      </c>
      <c r="U41" s="68">
        <f>W37+AF37+AN37</f>
        <v>11792348.18181818</v>
      </c>
      <c r="V41" s="32">
        <f>17+10+14+5+7+8+9+6</f>
        <v>76</v>
      </c>
      <c r="W41" s="68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BC41" s="62"/>
      <c r="BD41" s="143">
        <f>BC40/G38</f>
        <v>924652.99999999988</v>
      </c>
      <c r="BE41" s="32" t="s">
        <v>50</v>
      </c>
      <c r="BF41" s="32">
        <v>9</v>
      </c>
    </row>
    <row r="42" spans="2:66" ht="21.5" customHeight="1">
      <c r="C42" s="142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32">
        <v>13</v>
      </c>
      <c r="W42" s="62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BF42" s="32">
        <v>8</v>
      </c>
      <c r="BG42" s="68">
        <f>AT37</f>
        <v>5433727.2727272725</v>
      </c>
    </row>
    <row r="43" spans="2:66" ht="21.5" customHeight="1">
      <c r="C43" s="142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32">
        <v>10</v>
      </c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BC43" s="68">
        <f>BC37+BD37</f>
        <v>27739589.999999996</v>
      </c>
      <c r="BD43" s="145" t="s">
        <v>51</v>
      </c>
      <c r="BF43" s="32">
        <v>7</v>
      </c>
      <c r="BG43" s="146">
        <f>'[1]2023(7)'!AS37</f>
        <v>15843636.363636361</v>
      </c>
      <c r="BH43" s="146">
        <v>6266320</v>
      </c>
      <c r="BI43" s="147">
        <f>BH43/BG43</f>
        <v>0.39551021344962134</v>
      </c>
    </row>
    <row r="44" spans="2:66" ht="21.5" customHeight="1">
      <c r="C44" s="142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32">
        <v>40</v>
      </c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BA44" s="112"/>
      <c r="BB44" s="148" t="s">
        <v>52</v>
      </c>
      <c r="BC44" s="129">
        <f>J45+R45+AF45+BD44+AN45+AX45</f>
        <v>30987968</v>
      </c>
      <c r="BD44" s="149">
        <v>90000</v>
      </c>
      <c r="BE44" s="112"/>
      <c r="BF44" s="32">
        <v>6</v>
      </c>
      <c r="BG44" s="146">
        <v>7119727</v>
      </c>
      <c r="BH44" s="146">
        <v>2680643</v>
      </c>
      <c r="BI44" s="147">
        <f t="shared" ref="BI44:BI45" si="41">BH44/BG44</f>
        <v>0.37650923975034434</v>
      </c>
      <c r="BJ44" s="32" t="s">
        <v>53</v>
      </c>
    </row>
    <row r="45" spans="2:66" ht="21" customHeight="1">
      <c r="H45" s="150"/>
      <c r="I45" s="151" t="s">
        <v>54</v>
      </c>
      <c r="J45" s="129">
        <v>3440000</v>
      </c>
      <c r="K45" s="152" t="s">
        <v>55</v>
      </c>
      <c r="L45" s="112"/>
      <c r="M45" s="112"/>
      <c r="N45" s="112"/>
      <c r="O45" s="112"/>
      <c r="P45" s="112"/>
      <c r="Q45" s="151" t="s">
        <v>56</v>
      </c>
      <c r="R45" s="129">
        <v>5311000</v>
      </c>
      <c r="S45" s="152" t="s">
        <v>55</v>
      </c>
      <c r="T45" s="112">
        <v>10</v>
      </c>
      <c r="U45" s="112"/>
      <c r="V45" s="151" t="s">
        <v>57</v>
      </c>
      <c r="W45" s="129">
        <f>J45+R45</f>
        <v>8751000</v>
      </c>
      <c r="X45" s="152" t="s">
        <v>55</v>
      </c>
      <c r="Y45" s="112"/>
      <c r="Z45" s="112"/>
      <c r="AA45" s="112"/>
      <c r="AB45" s="112"/>
      <c r="AC45" s="112"/>
      <c r="AD45" s="112"/>
      <c r="AE45" s="150" t="s">
        <v>102</v>
      </c>
      <c r="AF45" s="129">
        <v>345400</v>
      </c>
      <c r="AG45" s="152" t="s">
        <v>55</v>
      </c>
      <c r="AH45" s="152"/>
      <c r="AI45" s="152"/>
      <c r="AJ45" s="152"/>
      <c r="AK45" s="152"/>
      <c r="AL45" s="112"/>
      <c r="AM45" s="151" t="s">
        <v>58</v>
      </c>
      <c r="AN45" s="129">
        <v>959543</v>
      </c>
      <c r="AO45" s="152" t="s">
        <v>55</v>
      </c>
      <c r="AP45" s="152"/>
      <c r="AQ45" s="152"/>
      <c r="AR45" s="152">
        <f>5596000/1.1</f>
        <v>5087272.7272727266</v>
      </c>
      <c r="AS45" s="152"/>
      <c r="AT45" s="112"/>
      <c r="AU45" s="151" t="s">
        <v>59</v>
      </c>
      <c r="AV45" s="151"/>
      <c r="AW45" s="151"/>
      <c r="AX45" s="129">
        <v>20842025</v>
      </c>
      <c r="AY45" s="152" t="s">
        <v>55</v>
      </c>
      <c r="AZ45" s="112"/>
      <c r="BA45" s="112"/>
      <c r="BB45" s="148" t="s">
        <v>60</v>
      </c>
      <c r="BC45" s="128">
        <f>BC44-BC37-BD37</f>
        <v>3248378.0000000037</v>
      </c>
      <c r="BD45" s="128">
        <v>90000</v>
      </c>
      <c r="BE45" s="153">
        <f>BD37/BD44</f>
        <v>1.9055555555555554</v>
      </c>
      <c r="BF45" s="32">
        <v>5</v>
      </c>
      <c r="BG45" s="146">
        <v>637682</v>
      </c>
      <c r="BH45" s="146"/>
      <c r="BI45" s="147">
        <f t="shared" si="41"/>
        <v>0</v>
      </c>
      <c r="BJ45" s="62" t="s">
        <v>61</v>
      </c>
      <c r="BN45" s="32"/>
    </row>
    <row r="46" spans="2:66" ht="21" customHeight="1">
      <c r="H46" s="150"/>
      <c r="I46" s="150" t="s">
        <v>60</v>
      </c>
      <c r="J46" s="128">
        <f>J45-J37</f>
        <v>211945.45454545459</v>
      </c>
      <c r="K46" s="154">
        <f>C38-G38</f>
        <v>0</v>
      </c>
      <c r="L46" s="112"/>
      <c r="M46" s="112"/>
      <c r="N46" s="112"/>
      <c r="O46" s="112"/>
      <c r="P46" s="112"/>
      <c r="Q46" s="150" t="s">
        <v>60</v>
      </c>
      <c r="R46" s="128">
        <f>R45-R37</f>
        <v>-937927.27272727247</v>
      </c>
      <c r="S46" s="112">
        <f>K46</f>
        <v>0</v>
      </c>
      <c r="T46" s="112"/>
      <c r="U46" s="112"/>
      <c r="V46" s="150" t="s">
        <v>60</v>
      </c>
      <c r="W46" s="128">
        <f>W45-W37</f>
        <v>-725981.81818181649</v>
      </c>
      <c r="X46" s="112">
        <f>S46</f>
        <v>0</v>
      </c>
      <c r="Y46" s="112"/>
      <c r="Z46" s="112"/>
      <c r="AA46" s="112"/>
      <c r="AB46" s="112"/>
      <c r="AC46" s="112"/>
      <c r="AD46" s="112"/>
      <c r="AE46" s="150" t="s">
        <v>60</v>
      </c>
      <c r="AF46" s="128">
        <f>AF45-AF37</f>
        <v>180254.54545454547</v>
      </c>
      <c r="AG46" s="112">
        <f>K46</f>
        <v>0</v>
      </c>
      <c r="AH46" s="112"/>
      <c r="AI46" s="112"/>
      <c r="AJ46" s="112"/>
      <c r="AK46" s="112"/>
      <c r="AL46" s="112"/>
      <c r="AM46" s="150" t="s">
        <v>60</v>
      </c>
      <c r="AN46" s="128">
        <f>AN45-AN37</f>
        <v>-1190677.9090909087</v>
      </c>
      <c r="AO46" s="112">
        <f>AG46</f>
        <v>0</v>
      </c>
      <c r="AP46" s="112"/>
      <c r="AQ46" s="112"/>
      <c r="AR46" s="112"/>
      <c r="AS46" s="112"/>
      <c r="AT46" s="112"/>
      <c r="AU46" s="150" t="s">
        <v>60</v>
      </c>
      <c r="AV46" s="150"/>
      <c r="AW46" s="155"/>
      <c r="AX46" s="128">
        <f>AX45-AX37</f>
        <v>5062879.5454545468</v>
      </c>
      <c r="AY46" s="112">
        <f>AO46</f>
        <v>0</v>
      </c>
      <c r="AZ46" s="112"/>
      <c r="BA46" s="156"/>
      <c r="BB46" s="157" t="s">
        <v>62</v>
      </c>
      <c r="BC46" s="158" t="e">
        <f>BC45/K46</f>
        <v>#DIV/0!</v>
      </c>
      <c r="BD46" s="159">
        <f>(BC37+BD37)/BC44</f>
        <v>0.89517292647262303</v>
      </c>
      <c r="BE46" s="156"/>
      <c r="BF46" s="160"/>
      <c r="BG46" s="161">
        <f>SUM(BG41:BG45)</f>
        <v>29034772.636363633</v>
      </c>
      <c r="BH46" s="162">
        <f>BL71</f>
        <v>9138052</v>
      </c>
      <c r="BI46" s="163">
        <f>BH46/BG46</f>
        <v>0.31472786491034377</v>
      </c>
      <c r="BJ46" s="164">
        <f>BG46-BH46</f>
        <v>19896720.636363633</v>
      </c>
      <c r="BN46" s="32"/>
    </row>
    <row r="47" spans="2:66" s="160" customFormat="1" ht="26" customHeight="1">
      <c r="B47" s="165"/>
      <c r="H47" s="166"/>
      <c r="I47" s="157" t="s">
        <v>62</v>
      </c>
      <c r="J47" s="167" t="e">
        <f>J46/K46</f>
        <v>#DIV/0!</v>
      </c>
      <c r="K47" s="168">
        <f>J37/J45</f>
        <v>0.93838794926004232</v>
      </c>
      <c r="L47" s="156"/>
      <c r="M47" s="156"/>
      <c r="N47" s="156"/>
      <c r="O47" s="156"/>
      <c r="P47" s="156"/>
      <c r="Q47" s="157" t="s">
        <v>62</v>
      </c>
      <c r="R47" s="158" t="e">
        <f>R46/S46</f>
        <v>#DIV/0!</v>
      </c>
      <c r="S47" s="168">
        <f>R37/R45</f>
        <v>1.1766008798206125</v>
      </c>
      <c r="T47" s="156"/>
      <c r="U47" s="156"/>
      <c r="V47" s="157" t="s">
        <v>62</v>
      </c>
      <c r="W47" s="158" t="e">
        <f>W46/X46</f>
        <v>#DIV/0!</v>
      </c>
      <c r="X47" s="168">
        <f>W37/W45</f>
        <v>1.0829598695214051</v>
      </c>
      <c r="Y47" s="156"/>
      <c r="Z47" s="156"/>
      <c r="AA47" s="156"/>
      <c r="AB47" s="156"/>
      <c r="AC47" s="156"/>
      <c r="AD47" s="156"/>
      <c r="AE47" s="157" t="s">
        <v>62</v>
      </c>
      <c r="AF47" s="167" t="e">
        <f>AF46/AG46</f>
        <v>#DIV/0!</v>
      </c>
      <c r="AG47" s="168">
        <f>AF37/AF45</f>
        <v>0.47812812549349892</v>
      </c>
      <c r="AH47" s="168"/>
      <c r="AI47" s="168"/>
      <c r="AJ47" s="168"/>
      <c r="AK47" s="168"/>
      <c r="AL47" s="156"/>
      <c r="AM47" s="157" t="s">
        <v>62</v>
      </c>
      <c r="AN47" s="158" t="e">
        <f>AN46/AO46</f>
        <v>#DIV/0!</v>
      </c>
      <c r="AO47" s="168">
        <f>AN37/AN45</f>
        <v>2.2408801993145788</v>
      </c>
      <c r="AP47" s="168"/>
      <c r="AQ47" s="168"/>
      <c r="AR47" s="168"/>
      <c r="AS47" s="168"/>
      <c r="AT47" s="156"/>
      <c r="AU47" s="157" t="s">
        <v>62</v>
      </c>
      <c r="AV47" s="157"/>
      <c r="AW47" s="157" t="e">
        <f>AW46/AY46</f>
        <v>#DIV/0!</v>
      </c>
      <c r="AX47" s="158" t="e">
        <f>AX46/AY46</f>
        <v>#DIV/0!</v>
      </c>
      <c r="AY47" s="168">
        <f>AX37/AX45</f>
        <v>0.75708312673770684</v>
      </c>
      <c r="AZ47" s="156"/>
      <c r="BA47" s="32"/>
      <c r="BB47" s="32"/>
      <c r="BC47" s="68"/>
      <c r="BD47" s="32"/>
      <c r="BE47" s="32"/>
      <c r="BF47" s="32"/>
      <c r="BJ47" s="169"/>
      <c r="BL47" s="169"/>
    </row>
    <row r="48" spans="2:66">
      <c r="H48" s="32">
        <v>931</v>
      </c>
      <c r="I48" s="32">
        <f>H48/31</f>
        <v>30.032258064516128</v>
      </c>
      <c r="K48" s="32">
        <f>J45/31</f>
        <v>110967.74193548386</v>
      </c>
      <c r="P48" s="32">
        <v>557</v>
      </c>
      <c r="Q48" s="32">
        <f>P48/31</f>
        <v>17.967741935483872</v>
      </c>
      <c r="S48" s="32">
        <f>R45/31</f>
        <v>171322.5806451613</v>
      </c>
      <c r="AY48" s="32" t="e">
        <f>AX37/AW45</f>
        <v>#DIV/0!</v>
      </c>
      <c r="BA48" s="170"/>
      <c r="BB48" s="170"/>
      <c r="BC48" s="170"/>
      <c r="BD48" s="170"/>
      <c r="BE48" s="170"/>
      <c r="BF48" s="170"/>
      <c r="BJ48" s="62"/>
      <c r="BN48" s="32"/>
    </row>
    <row r="49" spans="2:64" s="170" customFormat="1" ht="24" customHeight="1">
      <c r="B49" s="171"/>
      <c r="I49" s="170" t="s">
        <v>63</v>
      </c>
      <c r="J49" s="172">
        <f>(I5+I8+I9+I10+I11+I12+I15+I16+I17+I18+I19+I22+I23+I24+I25+I26)/16</f>
        <v>765.39267815255732</v>
      </c>
      <c r="K49" s="170">
        <v>800000</v>
      </c>
      <c r="L49" s="173"/>
      <c r="M49" s="32"/>
      <c r="N49" s="32"/>
      <c r="O49" s="32"/>
      <c r="P49" s="32"/>
      <c r="Q49" s="32"/>
      <c r="R49" s="173">
        <v>400000</v>
      </c>
      <c r="AF49" s="170">
        <f>AF45/30</f>
        <v>11513.333333333334</v>
      </c>
      <c r="AR49" s="174">
        <f>AQ14+AQ21</f>
        <v>174</v>
      </c>
      <c r="AS49" s="175" t="e">
        <f>AS14+AS21</f>
        <v>#DIV/0!</v>
      </c>
      <c r="AT49" s="175" t="e">
        <f>AU14+AU21</f>
        <v>#DIV/0!</v>
      </c>
      <c r="AX49" s="170">
        <f>AX45/30</f>
        <v>694734.16666666663</v>
      </c>
      <c r="BA49" s="1"/>
      <c r="BB49" s="1"/>
      <c r="BC49" s="1"/>
      <c r="BD49" s="1"/>
      <c r="BE49" s="176" t="s">
        <v>64</v>
      </c>
      <c r="BF49" s="1" t="s">
        <v>65</v>
      </c>
      <c r="BG49" s="1" t="s">
        <v>66</v>
      </c>
      <c r="BH49" s="1" t="s">
        <v>67</v>
      </c>
      <c r="BI49" s="1" t="s">
        <v>68</v>
      </c>
      <c r="BJ49" s="177" t="s">
        <v>69</v>
      </c>
      <c r="BK49" s="177" t="s">
        <v>70</v>
      </c>
      <c r="BL49" s="177" t="s">
        <v>71</v>
      </c>
    </row>
    <row r="50" spans="2:64" s="1" customFormat="1" ht="24" customHeight="1">
      <c r="B50" s="171"/>
      <c r="I50" s="1" t="s">
        <v>72</v>
      </c>
      <c r="J50" s="172">
        <f>(I6+I7+I13+I14+I20+I21+I27)/7</f>
        <v>638.33982120197311</v>
      </c>
      <c r="L50" s="178"/>
      <c r="M50" s="32"/>
      <c r="N50" s="32"/>
      <c r="O50" s="32"/>
      <c r="P50" s="32"/>
      <c r="Q50" s="32"/>
      <c r="R50" s="178"/>
      <c r="S50" s="178"/>
      <c r="Z50" s="179"/>
      <c r="AA50" s="179"/>
      <c r="AR50" s="1">
        <f>AR49/2</f>
        <v>87</v>
      </c>
      <c r="AS50" s="180" t="e">
        <f t="shared" ref="AS50:AT50" si="42">AS49/2</f>
        <v>#DIV/0!</v>
      </c>
      <c r="AT50" s="180" t="e">
        <f t="shared" si="42"/>
        <v>#DIV/0!</v>
      </c>
      <c r="AX50" s="1">
        <v>54000000</v>
      </c>
      <c r="AY50" s="181">
        <f>AX50-AX37</f>
        <v>38220854.545454547</v>
      </c>
      <c r="BA50" s="170"/>
      <c r="BB50" s="170"/>
      <c r="BC50" s="170"/>
      <c r="BD50" s="170"/>
      <c r="BE50" s="176" t="s">
        <v>73</v>
      </c>
      <c r="BF50" s="182">
        <v>1800</v>
      </c>
      <c r="BG50" s="182">
        <v>21</v>
      </c>
      <c r="BH50" s="183">
        <v>0</v>
      </c>
      <c r="BI50" s="182"/>
      <c r="BJ50" s="184">
        <f>BG50*BF50</f>
        <v>37800</v>
      </c>
      <c r="BK50" s="184">
        <f>BF50*BH50</f>
        <v>0</v>
      </c>
      <c r="BL50" s="184">
        <f>BJ50-BK50</f>
        <v>37800</v>
      </c>
    </row>
    <row r="51" spans="2:64" s="170" customFormat="1" ht="24" customHeight="1">
      <c r="B51" s="171"/>
      <c r="K51" s="1"/>
      <c r="L51" s="178"/>
      <c r="M51" s="32"/>
      <c r="N51" s="32"/>
      <c r="O51" s="32"/>
      <c r="P51" s="32"/>
      <c r="Q51" s="32"/>
      <c r="R51" s="185"/>
      <c r="S51" s="186"/>
      <c r="T51" s="186"/>
      <c r="U51" s="186" t="s">
        <v>74</v>
      </c>
      <c r="V51" s="186"/>
      <c r="W51" s="187"/>
      <c r="X51" s="188"/>
      <c r="Y51" s="176"/>
      <c r="Z51" s="184"/>
      <c r="AA51" s="184"/>
      <c r="AY51" s="170" t="e">
        <f>AY50/AY46</f>
        <v>#DIV/0!</v>
      </c>
      <c r="BE51" s="176" t="s">
        <v>75</v>
      </c>
      <c r="BF51" s="182">
        <v>10800</v>
      </c>
      <c r="BG51" s="182">
        <v>640</v>
      </c>
      <c r="BH51" s="182">
        <v>20</v>
      </c>
      <c r="BI51" s="182"/>
      <c r="BJ51" s="184">
        <f t="shared" ref="BJ51:BJ70" si="43">BF51*BG51</f>
        <v>6912000</v>
      </c>
      <c r="BK51" s="184">
        <f t="shared" ref="BK51:BK70" si="44">BF51*BH51</f>
        <v>216000</v>
      </c>
      <c r="BL51" s="184">
        <f t="shared" ref="BL51:BL70" si="45">BJ51-BK51</f>
        <v>6696000</v>
      </c>
    </row>
    <row r="52" spans="2:64" s="170" customFormat="1" ht="24" customHeight="1">
      <c r="B52" s="171"/>
      <c r="K52" s="1"/>
      <c r="L52" s="178"/>
      <c r="M52" s="32"/>
      <c r="N52" s="32"/>
      <c r="O52" s="32"/>
      <c r="P52" s="32"/>
      <c r="Q52" s="32"/>
      <c r="R52" s="187"/>
      <c r="S52" s="186"/>
      <c r="T52" s="186"/>
      <c r="U52" s="199" t="s">
        <v>76</v>
      </c>
      <c r="V52" s="189" t="s">
        <v>77</v>
      </c>
      <c r="W52" s="190"/>
      <c r="X52" s="191" t="e">
        <f>W52/Y52</f>
        <v>#DIV/0!</v>
      </c>
      <c r="Y52" s="200">
        <f>W52+W53</f>
        <v>0</v>
      </c>
      <c r="Z52" s="201"/>
      <c r="AA52" s="201"/>
      <c r="AB52" s="201"/>
      <c r="BE52" s="176" t="s">
        <v>78</v>
      </c>
      <c r="BF52" s="182">
        <v>6120</v>
      </c>
      <c r="BG52" s="182">
        <v>40</v>
      </c>
      <c r="BH52" s="182">
        <v>4</v>
      </c>
      <c r="BI52" s="182"/>
      <c r="BJ52" s="184">
        <f t="shared" si="43"/>
        <v>244800</v>
      </c>
      <c r="BK52" s="184">
        <f t="shared" si="44"/>
        <v>24480</v>
      </c>
      <c r="BL52" s="184">
        <f t="shared" si="45"/>
        <v>220320</v>
      </c>
    </row>
    <row r="53" spans="2:64" s="170" customFormat="1" ht="24" customHeight="1">
      <c r="B53" s="171"/>
      <c r="K53" s="1"/>
      <c r="L53" s="178"/>
      <c r="M53" s="32"/>
      <c r="N53" s="32"/>
      <c r="O53" s="32"/>
      <c r="P53" s="32"/>
      <c r="Q53" s="32"/>
      <c r="R53" s="187"/>
      <c r="S53" s="186"/>
      <c r="T53" s="186"/>
      <c r="U53" s="199"/>
      <c r="V53" s="189" t="s">
        <v>79</v>
      </c>
      <c r="W53" s="190"/>
      <c r="X53" s="191" t="e">
        <f>W53/Y52</f>
        <v>#DIV/0!</v>
      </c>
      <c r="Y53" s="201"/>
      <c r="Z53" s="201"/>
      <c r="AA53" s="201"/>
      <c r="AB53" s="201"/>
      <c r="AV53" s="170">
        <v>4670600</v>
      </c>
      <c r="AW53" s="170">
        <v>19016645.454545453</v>
      </c>
      <c r="AX53" s="170">
        <v>16482254.545454545</v>
      </c>
      <c r="AY53" s="170">
        <v>6958118.1818181816</v>
      </c>
      <c r="BC53" s="170" t="s">
        <v>80</v>
      </c>
      <c r="BE53" s="176" t="s">
        <v>81</v>
      </c>
      <c r="BF53" s="182">
        <v>1780</v>
      </c>
      <c r="BG53" s="182">
        <v>24</v>
      </c>
      <c r="BH53" s="182">
        <v>4</v>
      </c>
      <c r="BI53" s="182"/>
      <c r="BJ53" s="184">
        <f t="shared" si="43"/>
        <v>42720</v>
      </c>
      <c r="BK53" s="184">
        <f t="shared" si="44"/>
        <v>7120</v>
      </c>
      <c r="BL53" s="184">
        <f t="shared" si="45"/>
        <v>35600</v>
      </c>
    </row>
    <row r="54" spans="2:64" s="170" customFormat="1" ht="24" customHeight="1">
      <c r="B54" s="171"/>
      <c r="K54" s="1"/>
      <c r="L54" s="178"/>
      <c r="M54" s="32"/>
      <c r="N54" s="32"/>
      <c r="O54" s="32"/>
      <c r="P54" s="32"/>
      <c r="Q54" s="32"/>
      <c r="R54" s="187"/>
      <c r="S54" s="186"/>
      <c r="T54" s="186"/>
      <c r="U54" s="202" t="s">
        <v>82</v>
      </c>
      <c r="V54" s="189" t="s">
        <v>77</v>
      </c>
      <c r="W54" s="190"/>
      <c r="X54" s="191" t="e">
        <f t="shared" ref="X54" si="46">W54/Y54</f>
        <v>#DIV/0!</v>
      </c>
      <c r="Y54" s="200">
        <f t="shared" ref="Y54" si="47">W54+W55</f>
        <v>0</v>
      </c>
      <c r="Z54" s="201"/>
      <c r="AA54" s="201"/>
      <c r="AB54" s="201"/>
      <c r="BE54" s="176" t="s">
        <v>83</v>
      </c>
      <c r="BF54" s="182">
        <v>1780</v>
      </c>
      <c r="BG54" s="182">
        <v>24</v>
      </c>
      <c r="BH54" s="182">
        <v>20</v>
      </c>
      <c r="BI54" s="182"/>
      <c r="BJ54" s="184">
        <f t="shared" si="43"/>
        <v>42720</v>
      </c>
      <c r="BK54" s="184">
        <f t="shared" si="44"/>
        <v>35600</v>
      </c>
      <c r="BL54" s="184">
        <f t="shared" si="45"/>
        <v>7120</v>
      </c>
    </row>
    <row r="55" spans="2:64" s="170" customFormat="1" ht="24" customHeight="1">
      <c r="B55" s="171"/>
      <c r="L55" s="173"/>
      <c r="M55" s="32"/>
      <c r="N55" s="32"/>
      <c r="O55" s="32"/>
      <c r="P55" s="32"/>
      <c r="Q55" s="32"/>
      <c r="R55" s="192"/>
      <c r="S55" s="186"/>
      <c r="T55" s="186"/>
      <c r="U55" s="202"/>
      <c r="V55" s="189" t="s">
        <v>79</v>
      </c>
      <c r="W55" s="190"/>
      <c r="X55" s="191" t="e">
        <f t="shared" ref="X55" si="48">W55/Y54</f>
        <v>#DIV/0!</v>
      </c>
      <c r="Y55" s="201"/>
      <c r="Z55" s="201"/>
      <c r="AA55" s="201"/>
      <c r="AB55" s="201"/>
      <c r="AX55" s="182">
        <f>AX36 +1000</f>
        <v>17358060</v>
      </c>
      <c r="AY55" s="172">
        <f>'[1]2025(5)'!AX34+'[1]2025(5)'!AX35</f>
        <v>2847290</v>
      </c>
      <c r="BA55" s="68">
        <f>AX55+AY55</f>
        <v>20205350</v>
      </c>
      <c r="BB55" s="32"/>
      <c r="BC55" s="32"/>
      <c r="BD55" s="32"/>
      <c r="BE55" s="176" t="s">
        <v>84</v>
      </c>
      <c r="BF55" s="193">
        <v>8190</v>
      </c>
      <c r="BG55" s="182">
        <v>13</v>
      </c>
      <c r="BH55" s="182">
        <v>4</v>
      </c>
      <c r="BI55" s="182"/>
      <c r="BJ55" s="184">
        <f t="shared" si="43"/>
        <v>106470</v>
      </c>
      <c r="BK55" s="184">
        <f t="shared" si="44"/>
        <v>32760</v>
      </c>
      <c r="BL55" s="184">
        <f t="shared" si="45"/>
        <v>73710</v>
      </c>
    </row>
    <row r="56" spans="2:64" ht="24" customHeight="1">
      <c r="U56" s="203" t="s">
        <v>2</v>
      </c>
      <c r="V56" s="194" t="s">
        <v>77</v>
      </c>
      <c r="W56" s="190"/>
      <c r="X56" s="191" t="e">
        <f t="shared" ref="X56:X58" si="49">W56/Y56</f>
        <v>#DIV/0!</v>
      </c>
      <c r="Y56" s="200">
        <f t="shared" ref="Y56" si="50">W56+W57</f>
        <v>0</v>
      </c>
      <c r="Z56" s="201"/>
      <c r="AA56" s="201"/>
      <c r="AB56" s="201"/>
      <c r="AX56" s="193"/>
      <c r="AY56" s="145"/>
      <c r="BA56" s="68">
        <f>BA55-BA57</f>
        <v>9163710</v>
      </c>
      <c r="BE56" s="176" t="s">
        <v>85</v>
      </c>
      <c r="BF56" s="193">
        <v>5784</v>
      </c>
      <c r="BG56" s="193">
        <v>36</v>
      </c>
      <c r="BH56" s="193">
        <v>28</v>
      </c>
      <c r="BI56" s="193"/>
      <c r="BJ56" s="184">
        <f t="shared" si="43"/>
        <v>208224</v>
      </c>
      <c r="BK56" s="184">
        <f t="shared" si="44"/>
        <v>161952</v>
      </c>
      <c r="BL56" s="184">
        <f t="shared" si="45"/>
        <v>46272</v>
      </c>
    </row>
    <row r="57" spans="2:64" ht="24" customHeight="1">
      <c r="U57" s="203"/>
      <c r="V57" s="194" t="s">
        <v>79</v>
      </c>
      <c r="W57" s="190"/>
      <c r="X57" s="191" t="e">
        <f t="shared" ref="X57:X59" si="51">W57/Y56</f>
        <v>#DIV/0!</v>
      </c>
      <c r="Y57" s="201"/>
      <c r="Z57" s="201"/>
      <c r="AA57" s="201"/>
      <c r="AB57" s="201"/>
      <c r="AX57" s="193">
        <v>10513690</v>
      </c>
      <c r="AY57" s="145">
        <v>527950</v>
      </c>
      <c r="BA57" s="68">
        <f t="shared" ref="BA57" si="52">AX57+AY57</f>
        <v>11041640</v>
      </c>
      <c r="BE57" s="176" t="s">
        <v>86</v>
      </c>
      <c r="BF57" s="193">
        <v>6775</v>
      </c>
      <c r="BG57" s="193">
        <v>12</v>
      </c>
      <c r="BH57" s="193">
        <v>11</v>
      </c>
      <c r="BI57" s="193"/>
      <c r="BJ57" s="184">
        <f t="shared" si="43"/>
        <v>81300</v>
      </c>
      <c r="BK57" s="184">
        <f t="shared" si="44"/>
        <v>74525</v>
      </c>
      <c r="BL57" s="184">
        <f t="shared" si="45"/>
        <v>6775</v>
      </c>
    </row>
    <row r="58" spans="2:64" ht="24" customHeight="1">
      <c r="U58" s="196" t="s">
        <v>87</v>
      </c>
      <c r="V58" s="194" t="s">
        <v>77</v>
      </c>
      <c r="W58" s="190"/>
      <c r="X58" s="191" t="e">
        <f t="shared" si="49"/>
        <v>#DIV/0!</v>
      </c>
      <c r="Y58" s="197">
        <f>SUM(Y52:AB56)</f>
        <v>0</v>
      </c>
      <c r="Z58" s="198"/>
      <c r="AA58" s="198"/>
      <c r="AB58" s="198"/>
      <c r="AX58" s="193"/>
      <c r="BA58" s="32">
        <f>BA55/BA57</f>
        <v>1.8299229100024996</v>
      </c>
      <c r="BE58" s="176" t="s">
        <v>88</v>
      </c>
      <c r="BF58" s="193">
        <v>1755</v>
      </c>
      <c r="BG58" s="193">
        <v>14</v>
      </c>
      <c r="BH58" s="193">
        <v>2</v>
      </c>
      <c r="BI58" s="193"/>
      <c r="BJ58" s="184">
        <f t="shared" si="43"/>
        <v>24570</v>
      </c>
      <c r="BK58" s="184">
        <f t="shared" si="44"/>
        <v>3510</v>
      </c>
      <c r="BL58" s="184">
        <f t="shared" si="45"/>
        <v>21060</v>
      </c>
    </row>
    <row r="59" spans="2:64" ht="24" customHeight="1">
      <c r="F59" s="32">
        <v>346.60869565217394</v>
      </c>
      <c r="G59" s="32">
        <v>301.36363636363637</v>
      </c>
      <c r="H59" s="32">
        <v>801.17391304347825</v>
      </c>
      <c r="I59" s="32">
        <v>591.75</v>
      </c>
      <c r="N59" s="32">
        <v>2473.9333333333334</v>
      </c>
      <c r="O59" s="32">
        <v>6122.2222222222226</v>
      </c>
      <c r="P59" s="32">
        <v>3277</v>
      </c>
      <c r="Q59" s="32">
        <v>507.14285714285717</v>
      </c>
      <c r="U59" s="196"/>
      <c r="V59" s="194" t="s">
        <v>79</v>
      </c>
      <c r="W59" s="190"/>
      <c r="X59" s="191" t="e">
        <f t="shared" si="51"/>
        <v>#DIV/0!</v>
      </c>
      <c r="Y59" s="198"/>
      <c r="Z59" s="198"/>
      <c r="AA59" s="198"/>
      <c r="AB59" s="198"/>
      <c r="AX59" s="193"/>
      <c r="BE59" s="176" t="s">
        <v>89</v>
      </c>
      <c r="BF59" s="193">
        <v>1755</v>
      </c>
      <c r="BG59" s="193">
        <v>10</v>
      </c>
      <c r="BH59" s="193">
        <v>0</v>
      </c>
      <c r="BI59" s="193"/>
      <c r="BJ59" s="184">
        <f t="shared" si="43"/>
        <v>17550</v>
      </c>
      <c r="BK59" s="184">
        <f t="shared" si="44"/>
        <v>0</v>
      </c>
      <c r="BL59" s="184">
        <f t="shared" si="45"/>
        <v>17550</v>
      </c>
    </row>
    <row r="60" spans="2:64" ht="24" customHeight="1">
      <c r="F60" s="32">
        <v>313.11111111111109</v>
      </c>
      <c r="G60" s="32">
        <v>301.125</v>
      </c>
      <c r="H60" s="32">
        <v>991.89189189189187</v>
      </c>
      <c r="I60" s="32">
        <v>595.73333333333335</v>
      </c>
      <c r="N60" s="32">
        <v>1887.1176470588234</v>
      </c>
      <c r="O60" s="32">
        <v>2474.4615384615386</v>
      </c>
      <c r="P60" s="32">
        <v>1210.7142857142858</v>
      </c>
      <c r="Q60" s="32">
        <v>1056.9666666666667</v>
      </c>
      <c r="BE60" s="176" t="s">
        <v>90</v>
      </c>
      <c r="BF60" s="193">
        <v>1075</v>
      </c>
      <c r="BG60" s="193">
        <v>96</v>
      </c>
      <c r="BH60" s="193">
        <v>38</v>
      </c>
      <c r="BI60" s="193"/>
      <c r="BJ60" s="184">
        <f t="shared" si="43"/>
        <v>103200</v>
      </c>
      <c r="BK60" s="184">
        <f t="shared" si="44"/>
        <v>40850</v>
      </c>
      <c r="BL60" s="184">
        <f t="shared" si="45"/>
        <v>62350</v>
      </c>
    </row>
    <row r="61" spans="2:64" ht="24" customHeight="1">
      <c r="F61" s="32">
        <v>603.85</v>
      </c>
      <c r="G61" s="32">
        <v>457.44</v>
      </c>
      <c r="H61" s="32">
        <v>1139.4827586206898</v>
      </c>
      <c r="I61" s="32">
        <v>847.56666666666672</v>
      </c>
      <c r="N61" s="32">
        <v>1504.7619047619048</v>
      </c>
      <c r="O61" s="32">
        <v>1838.3333333333333</v>
      </c>
      <c r="P61" s="32">
        <v>1940.7241379310344</v>
      </c>
      <c r="Q61" s="32">
        <v>1493</v>
      </c>
      <c r="BE61" s="176" t="s">
        <v>91</v>
      </c>
      <c r="BF61" s="193">
        <v>3860</v>
      </c>
      <c r="BG61" s="193">
        <v>166</v>
      </c>
      <c r="BH61" s="193">
        <v>13</v>
      </c>
      <c r="BI61" s="193"/>
      <c r="BJ61" s="184">
        <f t="shared" si="43"/>
        <v>640760</v>
      </c>
      <c r="BK61" s="184">
        <f t="shared" si="44"/>
        <v>50180</v>
      </c>
      <c r="BL61" s="184">
        <f t="shared" si="45"/>
        <v>590580</v>
      </c>
    </row>
    <row r="62" spans="2:64" ht="24" customHeight="1">
      <c r="F62" s="32">
        <v>343.40740740740739</v>
      </c>
      <c r="G62" s="32">
        <v>387.26666666666665</v>
      </c>
      <c r="H62" s="32">
        <v>2381.804347826087</v>
      </c>
      <c r="I62" s="32">
        <v>694.28571428571433</v>
      </c>
      <c r="N62" s="32">
        <v>1742.5625</v>
      </c>
      <c r="O62" s="32">
        <v>1967.25</v>
      </c>
      <c r="P62" s="32">
        <v>1330.2962962962963</v>
      </c>
      <c r="Q62" s="32">
        <v>1470.4166666666667</v>
      </c>
      <c r="BE62" s="176" t="s">
        <v>92</v>
      </c>
      <c r="BF62" s="193">
        <v>6450</v>
      </c>
      <c r="BG62" s="193">
        <v>137</v>
      </c>
      <c r="BH62" s="193">
        <v>12</v>
      </c>
      <c r="BI62" s="193"/>
      <c r="BJ62" s="184">
        <f t="shared" si="43"/>
        <v>883650</v>
      </c>
      <c r="BK62" s="184">
        <f t="shared" si="44"/>
        <v>77400</v>
      </c>
      <c r="BL62" s="184">
        <f t="shared" si="45"/>
        <v>806250</v>
      </c>
    </row>
    <row r="63" spans="2:64" ht="24" customHeight="1">
      <c r="F63" s="32">
        <v>208.22727272727272</v>
      </c>
      <c r="G63" s="32">
        <v>257.91666666666669</v>
      </c>
      <c r="H63" s="32">
        <v>560.46153846153845</v>
      </c>
      <c r="I63" s="32">
        <v>858.42857142857144</v>
      </c>
      <c r="N63" s="32">
        <v>2161.5555555555557</v>
      </c>
      <c r="O63" s="32">
        <v>2455.9230769230771</v>
      </c>
      <c r="P63" s="32">
        <v>2270</v>
      </c>
      <c r="Q63" s="32">
        <v>1696.9666666666667</v>
      </c>
      <c r="BE63" s="176" t="s">
        <v>93</v>
      </c>
      <c r="BF63" s="193">
        <v>1380</v>
      </c>
      <c r="BG63" s="193">
        <v>35</v>
      </c>
      <c r="BH63" s="193">
        <v>5</v>
      </c>
      <c r="BI63" s="193"/>
      <c r="BJ63" s="184">
        <f t="shared" si="43"/>
        <v>48300</v>
      </c>
      <c r="BK63" s="184">
        <f t="shared" si="44"/>
        <v>6900</v>
      </c>
      <c r="BL63" s="184">
        <f t="shared" si="45"/>
        <v>41400</v>
      </c>
    </row>
    <row r="64" spans="2:64" ht="24" customHeight="1">
      <c r="F64" s="32">
        <v>1347.6206896551723</v>
      </c>
      <c r="G64" s="32">
        <v>382.63636363636363</v>
      </c>
      <c r="H64" s="32">
        <v>791.6</v>
      </c>
      <c r="I64" s="32">
        <v>821.5</v>
      </c>
      <c r="N64" s="32">
        <v>3109.0731707317073</v>
      </c>
      <c r="O64" s="32">
        <v>2867.5</v>
      </c>
      <c r="P64" s="32">
        <v>1673.8333333333333</v>
      </c>
      <c r="Q64" s="32">
        <v>1269</v>
      </c>
      <c r="BE64" s="176" t="s">
        <v>94</v>
      </c>
      <c r="BF64" s="193">
        <v>1380</v>
      </c>
      <c r="BG64" s="193">
        <v>39</v>
      </c>
      <c r="BH64" s="193">
        <v>6</v>
      </c>
      <c r="BI64" s="193"/>
      <c r="BJ64" s="184">
        <f t="shared" si="43"/>
        <v>53820</v>
      </c>
      <c r="BK64" s="184">
        <f t="shared" si="44"/>
        <v>8280</v>
      </c>
      <c r="BL64" s="184">
        <f t="shared" si="45"/>
        <v>45540</v>
      </c>
    </row>
    <row r="65" spans="6:64" ht="24" customHeight="1">
      <c r="F65" s="32">
        <v>547.19354838709683</v>
      </c>
      <c r="G65" s="32">
        <v>174.07407407407408</v>
      </c>
      <c r="H65" s="32">
        <v>791.66666666666663</v>
      </c>
      <c r="I65" s="32">
        <v>1078.7878787878788</v>
      </c>
      <c r="N65" s="32">
        <v>2510.9</v>
      </c>
      <c r="O65" s="32">
        <v>4228.2222222222226</v>
      </c>
      <c r="P65" s="32">
        <v>2237.6999999999998</v>
      </c>
      <c r="Q65" s="32">
        <v>1475</v>
      </c>
      <c r="BE65" s="176" t="s">
        <v>95</v>
      </c>
      <c r="BF65" s="193">
        <v>160</v>
      </c>
      <c r="BG65" s="193">
        <v>594</v>
      </c>
      <c r="BH65" s="193">
        <v>53</v>
      </c>
      <c r="BI65" s="193"/>
      <c r="BJ65" s="184">
        <f t="shared" si="43"/>
        <v>95040</v>
      </c>
      <c r="BK65" s="184">
        <f t="shared" si="44"/>
        <v>8480</v>
      </c>
      <c r="BL65" s="184">
        <f t="shared" si="45"/>
        <v>86560</v>
      </c>
    </row>
    <row r="66" spans="6:64" ht="24" customHeight="1">
      <c r="F66" s="32">
        <v>517.64705882352939</v>
      </c>
      <c r="G66" s="32">
        <v>457.8</v>
      </c>
      <c r="I66" s="32">
        <v>796.08571428571429</v>
      </c>
      <c r="N66" s="32">
        <v>2083.0952380952381</v>
      </c>
      <c r="O66" s="32">
        <v>596.20000000000005</v>
      </c>
      <c r="Q66" s="32">
        <v>1050.8148148148148</v>
      </c>
      <c r="BE66" s="176" t="s">
        <v>96</v>
      </c>
      <c r="BF66" s="193">
        <v>160</v>
      </c>
      <c r="BG66" s="193">
        <v>300</v>
      </c>
      <c r="BH66" s="193">
        <v>47</v>
      </c>
      <c r="BI66" s="193"/>
      <c r="BJ66" s="184">
        <f t="shared" si="43"/>
        <v>48000</v>
      </c>
      <c r="BK66" s="184">
        <f t="shared" si="44"/>
        <v>7520</v>
      </c>
      <c r="BL66" s="184">
        <f t="shared" si="45"/>
        <v>40480</v>
      </c>
    </row>
    <row r="67" spans="6:64" ht="24" customHeight="1">
      <c r="F67" s="32">
        <v>558.35483870967744</v>
      </c>
      <c r="G67" s="32">
        <v>370</v>
      </c>
      <c r="N67" s="32">
        <v>1328.1290322580646</v>
      </c>
      <c r="O67" s="32">
        <v>1228.2142857142858</v>
      </c>
      <c r="BE67" s="176" t="s">
        <v>97</v>
      </c>
      <c r="BF67" s="193">
        <v>205</v>
      </c>
      <c r="BG67" s="193">
        <v>366</v>
      </c>
      <c r="BH67" s="193">
        <v>49</v>
      </c>
      <c r="BI67" s="193"/>
      <c r="BJ67" s="184">
        <f t="shared" si="43"/>
        <v>75030</v>
      </c>
      <c r="BK67" s="184">
        <f t="shared" si="44"/>
        <v>10045</v>
      </c>
      <c r="BL67" s="184">
        <f t="shared" si="45"/>
        <v>64985</v>
      </c>
    </row>
    <row r="68" spans="6:64" ht="24" customHeight="1">
      <c r="F68" s="32">
        <v>522.70000000000005</v>
      </c>
      <c r="G68" s="32">
        <v>100</v>
      </c>
      <c r="N68" s="32">
        <v>2040.8333333333333</v>
      </c>
      <c r="O68" s="32">
        <v>3688.1</v>
      </c>
      <c r="BE68" s="176" t="s">
        <v>98</v>
      </c>
      <c r="BF68" s="193">
        <v>295</v>
      </c>
      <c r="BG68" s="193">
        <v>612</v>
      </c>
      <c r="BH68" s="193">
        <v>86</v>
      </c>
      <c r="BI68" s="193"/>
      <c r="BJ68" s="184">
        <f t="shared" si="43"/>
        <v>180540</v>
      </c>
      <c r="BK68" s="184">
        <f t="shared" si="44"/>
        <v>25370</v>
      </c>
      <c r="BL68" s="184">
        <f t="shared" si="45"/>
        <v>155170</v>
      </c>
    </row>
    <row r="69" spans="6:64" ht="24" customHeight="1">
      <c r="F69" s="32">
        <v>406</v>
      </c>
      <c r="G69" s="32">
        <v>201.25</v>
      </c>
      <c r="N69" s="32">
        <v>4227.2222222222226</v>
      </c>
      <c r="O69" s="32">
        <v>1802.7</v>
      </c>
      <c r="BE69" s="176" t="s">
        <v>99</v>
      </c>
      <c r="BF69" s="193">
        <v>70</v>
      </c>
      <c r="BG69" s="193">
        <v>480</v>
      </c>
      <c r="BH69" s="193">
        <v>71</v>
      </c>
      <c r="BI69" s="193"/>
      <c r="BJ69" s="184">
        <f t="shared" si="43"/>
        <v>33600</v>
      </c>
      <c r="BK69" s="184">
        <f t="shared" si="44"/>
        <v>4970</v>
      </c>
      <c r="BL69" s="184">
        <f t="shared" si="45"/>
        <v>28630</v>
      </c>
    </row>
    <row r="70" spans="6:64" ht="24" customHeight="1">
      <c r="F70" s="32">
        <v>500</v>
      </c>
      <c r="G70" s="32">
        <v>572.21621621621625</v>
      </c>
      <c r="N70" s="32">
        <v>2111.25</v>
      </c>
      <c r="O70" s="32">
        <v>1473.1578947368421</v>
      </c>
      <c r="BE70" s="176" t="s">
        <v>100</v>
      </c>
      <c r="BF70" s="193">
        <v>2450</v>
      </c>
      <c r="BG70" s="193">
        <v>31</v>
      </c>
      <c r="BH70" s="193">
        <v>9</v>
      </c>
      <c r="BI70" s="193"/>
      <c r="BJ70" s="184">
        <f t="shared" si="43"/>
        <v>75950</v>
      </c>
      <c r="BK70" s="184">
        <f t="shared" si="44"/>
        <v>22050</v>
      </c>
      <c r="BL70" s="184">
        <f t="shared" si="45"/>
        <v>53900</v>
      </c>
    </row>
    <row r="71" spans="6:64" ht="24" customHeight="1">
      <c r="F71" s="32">
        <v>671.68571428571431</v>
      </c>
      <c r="G71" s="32">
        <v>475.84615384615387</v>
      </c>
      <c r="N71" s="32">
        <v>1641.0322580645161</v>
      </c>
      <c r="O71" s="32">
        <v>2539.5294117647059</v>
      </c>
      <c r="BE71" s="176"/>
      <c r="BJ71" s="195">
        <f>SUM(BJ50:BJ70)</f>
        <v>9956044</v>
      </c>
      <c r="BK71" s="195">
        <f t="shared" ref="BK71:BL71" si="53">SUM(BK50:BK70)</f>
        <v>817992</v>
      </c>
      <c r="BL71" s="195">
        <f t="shared" si="53"/>
        <v>9138052</v>
      </c>
    </row>
    <row r="72" spans="6:64" ht="24" customHeight="1">
      <c r="F72" s="32">
        <v>333.33333333333331</v>
      </c>
      <c r="G72" s="32">
        <v>439.60714285714283</v>
      </c>
      <c r="N72" s="32">
        <v>5737.5714285714284</v>
      </c>
      <c r="O72" s="32">
        <v>1814.2333333333333</v>
      </c>
      <c r="BE72" s="176"/>
    </row>
    <row r="73" spans="6:64" ht="24" customHeight="1">
      <c r="F73" s="32">
        <v>424.20833333333331</v>
      </c>
      <c r="G73" s="32">
        <v>253.18518518518519</v>
      </c>
      <c r="N73" s="32">
        <v>2000</v>
      </c>
      <c r="O73" s="32">
        <v>920</v>
      </c>
      <c r="BE73" s="176"/>
    </row>
    <row r="74" spans="6:64" ht="24" customHeight="1">
      <c r="F74" s="32">
        <v>316.66666666666669</v>
      </c>
      <c r="G74" s="32">
        <v>497.22222222222223</v>
      </c>
      <c r="N74" s="32">
        <v>1563.1111111111111</v>
      </c>
      <c r="O74" s="32">
        <v>1221.4545454545455</v>
      </c>
      <c r="BE74" s="176"/>
    </row>
    <row r="75" spans="6:64" ht="24" customHeight="1">
      <c r="F75" s="32">
        <v>625.79999999999995</v>
      </c>
      <c r="N75" s="32">
        <v>1707.5</v>
      </c>
      <c r="BE75" s="176"/>
    </row>
    <row r="76" spans="6:64" ht="24" customHeight="1">
      <c r="F76" s="32">
        <f>SUM(F59:F75)</f>
        <v>8586.4146700924884</v>
      </c>
      <c r="G76" s="32">
        <f>SUM(G59:G75)</f>
        <v>5628.949327734329</v>
      </c>
      <c r="H76" s="32">
        <f>SUM(H59:H66)</f>
        <v>7458.0811165103523</v>
      </c>
      <c r="I76" s="32">
        <f>SUM(I59:I68)</f>
        <v>6284.1378787878784</v>
      </c>
      <c r="N76" s="32">
        <f>SUM(N59:N75)</f>
        <v>39829.648735097238</v>
      </c>
      <c r="O76" s="32">
        <f>SUM(O59:O75)</f>
        <v>37237.501864166101</v>
      </c>
      <c r="P76" s="32">
        <f>SUM(P59:P68)</f>
        <v>13940.268053274951</v>
      </c>
      <c r="Q76" s="32">
        <f>SUM(Q59:Q66)</f>
        <v>10019.307671957671</v>
      </c>
      <c r="BE76" s="176"/>
    </row>
    <row r="77" spans="6:64" ht="24" customHeight="1">
      <c r="F77" s="32">
        <f>F76/17</f>
        <v>505.08321588779341</v>
      </c>
      <c r="G77" s="32">
        <f>G76/16</f>
        <v>351.80933298339556</v>
      </c>
      <c r="H77" s="32">
        <f>H76/7</f>
        <v>1065.440159501479</v>
      </c>
      <c r="I77" s="32">
        <f>I76/8</f>
        <v>785.5172348484848</v>
      </c>
      <c r="N77" s="32">
        <f>N76/17</f>
        <v>2342.9205138292491</v>
      </c>
      <c r="O77" s="32">
        <f>O76/16</f>
        <v>2327.3438665103813</v>
      </c>
      <c r="P77" s="32">
        <f>P76/7</f>
        <v>1991.4668647535643</v>
      </c>
      <c r="Q77" s="32">
        <f>Q76/8</f>
        <v>1252.4134589947089</v>
      </c>
      <c r="BE77" s="176"/>
    </row>
    <row r="78" spans="6:64" ht="24" customHeight="1">
      <c r="BE78" s="176"/>
    </row>
    <row r="79" spans="6:64" ht="24" customHeight="1">
      <c r="BE79" s="176"/>
    </row>
    <row r="80" spans="6:64" ht="24" customHeight="1">
      <c r="BE80" s="176"/>
    </row>
    <row r="81" spans="57:57" ht="24" customHeight="1">
      <c r="BE81" s="176"/>
    </row>
    <row r="82" spans="57:57" ht="24" customHeight="1">
      <c r="BE82" s="176"/>
    </row>
    <row r="83" spans="57:57" ht="24" customHeight="1">
      <c r="BE83" s="176"/>
    </row>
    <row r="84" spans="57:57" ht="24" customHeight="1">
      <c r="BE84" s="176"/>
    </row>
    <row r="85" spans="57:57" ht="24" customHeight="1">
      <c r="BE85" s="176"/>
    </row>
    <row r="86" spans="57:57" ht="24" customHeight="1">
      <c r="BE86" s="176"/>
    </row>
    <row r="87" spans="57:57" ht="24" customHeight="1">
      <c r="BE87" s="176"/>
    </row>
    <row r="88" spans="57:57" ht="24" customHeight="1">
      <c r="BE88" s="176"/>
    </row>
    <row r="89" spans="57:57" ht="24" customHeight="1">
      <c r="BE89" s="176"/>
    </row>
    <row r="90" spans="57:57" ht="24" customHeight="1">
      <c r="BE90" s="176"/>
    </row>
    <row r="91" spans="57:57" ht="24" customHeight="1">
      <c r="BE91" s="176"/>
    </row>
    <row r="92" spans="57:57" ht="24" customHeight="1">
      <c r="BE92" s="176"/>
    </row>
    <row r="93" spans="57:57" ht="24" customHeight="1">
      <c r="BE93" s="176"/>
    </row>
    <row r="94" spans="57:57" ht="24" customHeight="1">
      <c r="BE94" s="176"/>
    </row>
    <row r="95" spans="57:57" ht="24" customHeight="1">
      <c r="BE95" s="176"/>
    </row>
    <row r="96" spans="57:57" ht="24" customHeight="1">
      <c r="BE96" s="176"/>
    </row>
    <row r="97" spans="57:57" ht="24" customHeight="1">
      <c r="BE97" s="176"/>
    </row>
    <row r="98" spans="57:57" ht="24" customHeight="1">
      <c r="BE98" s="176"/>
    </row>
    <row r="99" spans="57:57" ht="24" customHeight="1">
      <c r="BE99" s="176"/>
    </row>
    <row r="100" spans="57:57" ht="24" customHeight="1">
      <c r="BE100" s="176"/>
    </row>
    <row r="101" spans="57:57" ht="24" customHeight="1">
      <c r="BE101" s="176"/>
    </row>
    <row r="102" spans="57:57" ht="24" customHeight="1">
      <c r="BE102" s="176"/>
    </row>
    <row r="103" spans="57:57" ht="24" customHeight="1">
      <c r="BE103" s="176"/>
    </row>
    <row r="104" spans="57:57" ht="24" customHeight="1">
      <c r="BE104" s="176"/>
    </row>
    <row r="105" spans="57:57" ht="24" customHeight="1">
      <c r="BE105" s="176"/>
    </row>
    <row r="106" spans="57:57" ht="24" customHeight="1">
      <c r="BE106" s="176"/>
    </row>
    <row r="107" spans="57:57" ht="24" customHeight="1">
      <c r="BE107" s="176"/>
    </row>
    <row r="108" spans="57:57" ht="24" customHeight="1">
      <c r="BE108" s="176"/>
    </row>
    <row r="109" spans="57:57" ht="24" customHeight="1">
      <c r="BE109" s="176"/>
    </row>
    <row r="110" spans="57:57" ht="24" customHeight="1">
      <c r="BE110" s="176"/>
    </row>
    <row r="111" spans="57:57" ht="24" customHeight="1">
      <c r="BE111" s="176"/>
    </row>
    <row r="112" spans="57:57" ht="24" customHeight="1">
      <c r="BE112" s="176"/>
    </row>
    <row r="113" spans="57:57" ht="24" customHeight="1">
      <c r="BE113" s="176"/>
    </row>
    <row r="114" spans="57:57" ht="24" customHeight="1">
      <c r="BE114" s="176"/>
    </row>
    <row r="115" spans="57:57" ht="24" customHeight="1">
      <c r="BE115" s="176"/>
    </row>
    <row r="116" spans="57:57" ht="24" customHeight="1">
      <c r="BE116" s="176"/>
    </row>
    <row r="117" spans="57:57" ht="24" customHeight="1">
      <c r="BE117" s="176"/>
    </row>
    <row r="118" spans="57:57" ht="24" customHeight="1">
      <c r="BE118" s="176"/>
    </row>
    <row r="119" spans="57:57" ht="24" customHeight="1">
      <c r="BE119" s="176"/>
    </row>
    <row r="120" spans="57:57" ht="24" customHeight="1">
      <c r="BE120" s="176"/>
    </row>
    <row r="121" spans="57:57" ht="24" customHeight="1">
      <c r="BE121" s="176"/>
    </row>
    <row r="122" spans="57:57" ht="24" customHeight="1">
      <c r="BE122" s="176"/>
    </row>
    <row r="123" spans="57:57" ht="24" customHeight="1">
      <c r="BE123" s="176"/>
    </row>
    <row r="124" spans="57:57" ht="24" customHeight="1">
      <c r="BE124" s="176"/>
    </row>
    <row r="125" spans="57:57" ht="24" customHeight="1">
      <c r="BE125" s="176"/>
    </row>
    <row r="126" spans="57:57" ht="24" customHeight="1">
      <c r="BE126" s="176"/>
    </row>
    <row r="127" spans="57:57" ht="24" customHeight="1">
      <c r="BE127" s="176"/>
    </row>
    <row r="128" spans="57:57" ht="24" customHeight="1">
      <c r="BE128" s="176"/>
    </row>
    <row r="129" spans="57:57" ht="24" customHeight="1">
      <c r="BE129" s="176"/>
    </row>
    <row r="130" spans="57:57" ht="24" customHeight="1">
      <c r="BE130" s="176"/>
    </row>
    <row r="131" spans="57:57" ht="24" customHeight="1">
      <c r="BE131" s="176"/>
    </row>
    <row r="132" spans="57:57" ht="24" customHeight="1">
      <c r="BE132" s="176"/>
    </row>
    <row r="133" spans="57:57" ht="24" customHeight="1">
      <c r="BE133" s="176"/>
    </row>
    <row r="134" spans="57:57" ht="24" customHeight="1">
      <c r="BE134" s="176"/>
    </row>
    <row r="135" spans="57:57" ht="24" customHeight="1">
      <c r="BE135" s="176"/>
    </row>
    <row r="136" spans="57:57" ht="24" customHeight="1">
      <c r="BE136" s="176"/>
    </row>
    <row r="137" spans="57:57" ht="24" customHeight="1">
      <c r="BE137" s="176"/>
    </row>
    <row r="138" spans="57:57" ht="24" customHeight="1">
      <c r="BE138" s="176"/>
    </row>
    <row r="139" spans="57:57" ht="24" customHeight="1">
      <c r="BE139" s="176"/>
    </row>
    <row r="140" spans="57:57" ht="24" customHeight="1">
      <c r="BE140" s="176"/>
    </row>
    <row r="141" spans="57:57" ht="24" customHeight="1">
      <c r="BE141" s="176"/>
    </row>
    <row r="142" spans="57:57" ht="24" customHeight="1">
      <c r="BE142" s="176"/>
    </row>
    <row r="143" spans="57:57" ht="24" customHeight="1">
      <c r="BE143" s="176"/>
    </row>
    <row r="144" spans="57:57" ht="24" customHeight="1">
      <c r="BE144" s="176"/>
    </row>
    <row r="145" spans="57:57" ht="24" customHeight="1">
      <c r="BE145" s="176"/>
    </row>
    <row r="146" spans="57:57" ht="24" customHeight="1">
      <c r="BE146" s="176"/>
    </row>
    <row r="147" spans="57:57" ht="24" customHeight="1">
      <c r="BE147" s="176"/>
    </row>
    <row r="148" spans="57:57" ht="24" customHeight="1">
      <c r="BE148" s="176"/>
    </row>
    <row r="149" spans="57:57" ht="24" customHeight="1">
      <c r="BE149" s="176"/>
    </row>
    <row r="150" spans="57:57" ht="24" customHeight="1">
      <c r="BE150" s="176"/>
    </row>
    <row r="151" spans="57:57" ht="24" customHeight="1">
      <c r="BE151" s="176"/>
    </row>
    <row r="152" spans="57:57" ht="24" customHeight="1">
      <c r="BE152" s="176"/>
    </row>
    <row r="153" spans="57:57" ht="24" customHeight="1">
      <c r="BE153" s="176"/>
    </row>
    <row r="154" spans="57:57" ht="24" customHeight="1">
      <c r="BE154" s="176"/>
    </row>
    <row r="155" spans="57:57" ht="24" customHeight="1">
      <c r="BE155" s="176"/>
    </row>
    <row r="156" spans="57:57" ht="24" customHeight="1">
      <c r="BE156" s="176"/>
    </row>
    <row r="157" spans="57:57" ht="24" customHeight="1">
      <c r="BE157" s="176"/>
    </row>
    <row r="158" spans="57:57" ht="24" customHeight="1">
      <c r="BE158" s="176"/>
    </row>
    <row r="159" spans="57:57" ht="24" customHeight="1">
      <c r="BE159" s="176"/>
    </row>
    <row r="160" spans="57:57" ht="24" customHeight="1">
      <c r="BE160" s="176"/>
    </row>
    <row r="161" spans="57:57" ht="24" customHeight="1">
      <c r="BE161" s="176"/>
    </row>
    <row r="162" spans="57:57" ht="24" customHeight="1">
      <c r="BE162" s="176"/>
    </row>
    <row r="163" spans="57:57" ht="24" customHeight="1">
      <c r="BE163" s="176"/>
    </row>
    <row r="164" spans="57:57" ht="24" customHeight="1">
      <c r="BE164" s="176"/>
    </row>
    <row r="165" spans="57:57" ht="24" customHeight="1">
      <c r="BE165" s="176"/>
    </row>
    <row r="166" spans="57:57" ht="24" customHeight="1">
      <c r="BE166" s="176"/>
    </row>
    <row r="167" spans="57:57" ht="24" customHeight="1">
      <c r="BE167" s="176"/>
    </row>
    <row r="168" spans="57:57" ht="24" customHeight="1">
      <c r="BE168" s="176"/>
    </row>
    <row r="169" spans="57:57" ht="24" customHeight="1">
      <c r="BE169" s="176"/>
    </row>
    <row r="170" spans="57:57" ht="24" customHeight="1">
      <c r="BE170" s="176"/>
    </row>
    <row r="171" spans="57:57" ht="24" customHeight="1">
      <c r="BE171" s="176"/>
    </row>
    <row r="172" spans="57:57" ht="24" customHeight="1">
      <c r="BE172" s="176"/>
    </row>
    <row r="173" spans="57:57" ht="24" customHeight="1">
      <c r="BE173" s="176"/>
    </row>
    <row r="174" spans="57:57" ht="24" customHeight="1">
      <c r="BE174" s="176"/>
    </row>
    <row r="175" spans="57:57" ht="24" customHeight="1">
      <c r="BE175" s="176"/>
    </row>
    <row r="176" spans="57:57" ht="24" customHeight="1">
      <c r="BE176" s="176"/>
    </row>
    <row r="177" spans="57:57" ht="24" customHeight="1">
      <c r="BE177" s="176"/>
    </row>
    <row r="178" spans="57:57" ht="24" customHeight="1">
      <c r="BE178" s="176"/>
    </row>
    <row r="179" spans="57:57" ht="24" customHeight="1">
      <c r="BE179" s="176"/>
    </row>
    <row r="180" spans="57:57" ht="24" customHeight="1">
      <c r="BE180" s="176"/>
    </row>
    <row r="181" spans="57:57" ht="24" customHeight="1">
      <c r="BE181" s="176"/>
    </row>
    <row r="182" spans="57:57" ht="24" customHeight="1">
      <c r="BE182" s="176"/>
    </row>
    <row r="183" spans="57:57" ht="24" customHeight="1">
      <c r="BE183" s="176"/>
    </row>
    <row r="184" spans="57:57">
      <c r="BE184" s="176"/>
    </row>
    <row r="185" spans="57:57">
      <c r="BE185" s="176"/>
    </row>
    <row r="186" spans="57:57">
      <c r="BE186" s="176"/>
    </row>
    <row r="187" spans="57:57">
      <c r="BE187" s="176"/>
    </row>
    <row r="188" spans="57:57">
      <c r="BE188" s="176"/>
    </row>
    <row r="189" spans="57:57">
      <c r="BE189" s="176"/>
    </row>
    <row r="190" spans="57:57">
      <c r="BE190" s="176"/>
    </row>
    <row r="191" spans="57:57">
      <c r="BE191" s="176"/>
    </row>
    <row r="192" spans="57:57">
      <c r="BE192" s="176"/>
    </row>
    <row r="193" spans="57:57">
      <c r="BE193" s="176"/>
    </row>
    <row r="194" spans="57:57">
      <c r="BE194" s="176"/>
    </row>
    <row r="195" spans="57:57">
      <c r="BE195" s="176"/>
    </row>
    <row r="196" spans="57:57">
      <c r="BE196" s="176"/>
    </row>
    <row r="197" spans="57:57">
      <c r="BE197" s="176"/>
    </row>
    <row r="198" spans="57:57">
      <c r="BE198" s="176"/>
    </row>
    <row r="199" spans="57:57">
      <c r="BE199" s="176"/>
    </row>
    <row r="200" spans="57:57">
      <c r="BE200" s="176"/>
    </row>
    <row r="201" spans="57:57">
      <c r="BE201" s="176"/>
    </row>
    <row r="202" spans="57:57">
      <c r="BE202" s="176"/>
    </row>
    <row r="203" spans="57:57">
      <c r="BE203" s="176"/>
    </row>
    <row r="204" spans="57:57">
      <c r="BE204" s="176"/>
    </row>
    <row r="205" spans="57:57">
      <c r="BE205" s="176"/>
    </row>
    <row r="206" spans="57:57">
      <c r="BE206" s="176"/>
    </row>
    <row r="207" spans="57:57">
      <c r="BE207" s="176"/>
    </row>
    <row r="208" spans="57:57">
      <c r="BE208" s="176"/>
    </row>
    <row r="209" spans="57:57">
      <c r="BE209" s="176"/>
    </row>
    <row r="210" spans="57:57">
      <c r="BE210" s="176"/>
    </row>
    <row r="211" spans="57:57">
      <c r="BE211" s="176"/>
    </row>
    <row r="212" spans="57:57">
      <c r="BE212" s="176"/>
    </row>
    <row r="213" spans="57:57">
      <c r="BE213" s="176"/>
    </row>
    <row r="214" spans="57:57">
      <c r="BE214" s="176"/>
    </row>
    <row r="215" spans="57:57">
      <c r="BE215" s="176"/>
    </row>
    <row r="216" spans="57:57">
      <c r="BE216" s="176"/>
    </row>
    <row r="217" spans="57:57">
      <c r="BE217" s="176"/>
    </row>
    <row r="218" spans="57:57">
      <c r="BE218" s="176"/>
    </row>
    <row r="219" spans="57:57">
      <c r="BE219" s="176"/>
    </row>
    <row r="220" spans="57:57">
      <c r="BE220" s="176"/>
    </row>
    <row r="221" spans="57:57">
      <c r="BE221" s="176"/>
    </row>
    <row r="222" spans="57:57">
      <c r="BE222" s="176"/>
    </row>
    <row r="223" spans="57:57">
      <c r="BE223" s="176"/>
    </row>
    <row r="224" spans="57:57">
      <c r="BE224" s="176"/>
    </row>
  </sheetData>
  <mergeCells count="22">
    <mergeCell ref="B3:B4"/>
    <mergeCell ref="D3:K3"/>
    <mergeCell ref="L3:S3"/>
    <mergeCell ref="T3:X3"/>
    <mergeCell ref="Y3:AG3"/>
    <mergeCell ref="AP3:AY3"/>
    <mergeCell ref="AZ3:BD3"/>
    <mergeCell ref="BE3:BL3"/>
    <mergeCell ref="D40:K44"/>
    <mergeCell ref="L40:S44"/>
    <mergeCell ref="Y40:AG44"/>
    <mergeCell ref="AH40:AO44"/>
    <mergeCell ref="AP40:AY44"/>
    <mergeCell ref="AH3:AO3"/>
    <mergeCell ref="U58:U59"/>
    <mergeCell ref="Y58:AB59"/>
    <mergeCell ref="U52:U53"/>
    <mergeCell ref="Y52:AB53"/>
    <mergeCell ref="U54:U55"/>
    <mergeCell ref="Y54:AB55"/>
    <mergeCell ref="U56:U57"/>
    <mergeCell ref="Y56:AB57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2025.0７</vt:lpstr>
      <vt:lpstr>2025.0８</vt:lpstr>
      <vt:lpstr>2025.0９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SATOSHI IGA</cp:lastModifiedBy>
  <dcterms:created xsi:type="dcterms:W3CDTF">2026-02-11T11:17:29Z</dcterms:created>
  <dcterms:modified xsi:type="dcterms:W3CDTF">2026-02-11T11:55:39Z</dcterms:modified>
</cp:coreProperties>
</file>