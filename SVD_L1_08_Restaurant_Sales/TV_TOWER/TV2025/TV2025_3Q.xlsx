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"/>
    </mc:Choice>
  </mc:AlternateContent>
  <xr:revisionPtr revIDLastSave="0" documentId="8_{18605FD3-F744-A349-B715-12B81CF7B119}" xr6:coauthVersionLast="47" xr6:coauthVersionMax="47" xr10:uidLastSave="{00000000-0000-0000-0000-000000000000}"/>
  <bookViews>
    <workbookView xWindow="0" yWindow="660" windowWidth="30240" windowHeight="18980" activeTab="2" xr2:uid="{BD4C9608-8D1C-7342-80E5-67F463CF7BCF}"/>
  </bookViews>
  <sheets>
    <sheet name="2025.１０" sheetId="1" r:id="rId1"/>
    <sheet name="2025.１１" sheetId="2" r:id="rId2"/>
    <sheet name="2025.１２" sheetId="3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" i="3" l="1"/>
  <c r="N77" i="3"/>
  <c r="F77" i="3"/>
  <c r="Q76" i="3"/>
  <c r="Q77" i="3" s="1"/>
  <c r="P76" i="3"/>
  <c r="P77" i="3" s="1"/>
  <c r="O76" i="3"/>
  <c r="N76" i="3"/>
  <c r="I76" i="3"/>
  <c r="I77" i="3" s="1"/>
  <c r="H76" i="3"/>
  <c r="H77" i="3" s="1"/>
  <c r="G76" i="3"/>
  <c r="G77" i="3" s="1"/>
  <c r="F76" i="3"/>
  <c r="BL70" i="3"/>
  <c r="BK70" i="3"/>
  <c r="BJ70" i="3"/>
  <c r="BL69" i="3"/>
  <c r="BK69" i="3"/>
  <c r="BJ69" i="3"/>
  <c r="BK68" i="3"/>
  <c r="BJ68" i="3"/>
  <c r="BL68" i="3" s="1"/>
  <c r="BL67" i="3"/>
  <c r="BK67" i="3"/>
  <c r="BJ67" i="3"/>
  <c r="BK66" i="3"/>
  <c r="BJ66" i="3"/>
  <c r="BL66" i="3" s="1"/>
  <c r="BL65" i="3"/>
  <c r="BK65" i="3"/>
  <c r="BJ65" i="3"/>
  <c r="BK64" i="3"/>
  <c r="BL64" i="3" s="1"/>
  <c r="BJ64" i="3"/>
  <c r="BK63" i="3"/>
  <c r="BJ63" i="3"/>
  <c r="BL63" i="3" s="1"/>
  <c r="BK62" i="3"/>
  <c r="BJ62" i="3"/>
  <c r="BL62" i="3" s="1"/>
  <c r="BL61" i="3"/>
  <c r="BK61" i="3"/>
  <c r="BJ61" i="3"/>
  <c r="BL60" i="3"/>
  <c r="BK60" i="3"/>
  <c r="BJ60" i="3"/>
  <c r="BK59" i="3"/>
  <c r="BJ59" i="3"/>
  <c r="BL59" i="3" s="1"/>
  <c r="BL58" i="3"/>
  <c r="BK58" i="3"/>
  <c r="BJ58" i="3"/>
  <c r="BK57" i="3"/>
  <c r="BL57" i="3" s="1"/>
  <c r="BJ57" i="3"/>
  <c r="BA57" i="3"/>
  <c r="X57" i="3"/>
  <c r="BL56" i="3"/>
  <c r="BK56" i="3"/>
  <c r="BJ56" i="3"/>
  <c r="Y56" i="3"/>
  <c r="X56" i="3"/>
  <c r="G56" i="3"/>
  <c r="F56" i="3"/>
  <c r="E56" i="3"/>
  <c r="BL55" i="3"/>
  <c r="BK55" i="3"/>
  <c r="BJ55" i="3"/>
  <c r="AY55" i="3"/>
  <c r="G55" i="3"/>
  <c r="F55" i="3"/>
  <c r="E55" i="3"/>
  <c r="BK54" i="3"/>
  <c r="BJ54" i="3"/>
  <c r="BL54" i="3" s="1"/>
  <c r="Y54" i="3"/>
  <c r="X55" i="3" s="1"/>
  <c r="X54" i="3"/>
  <c r="G54" i="3"/>
  <c r="F54" i="3"/>
  <c r="E54" i="3"/>
  <c r="BK53" i="3"/>
  <c r="BJ53" i="3"/>
  <c r="BL53" i="3" s="1"/>
  <c r="X53" i="3"/>
  <c r="E53" i="3"/>
  <c r="BL52" i="3"/>
  <c r="BK52" i="3"/>
  <c r="BJ52" i="3"/>
  <c r="Y52" i="3"/>
  <c r="X52" i="3"/>
  <c r="G52" i="3"/>
  <c r="F52" i="3"/>
  <c r="E52" i="3"/>
  <c r="BL51" i="3"/>
  <c r="BK51" i="3"/>
  <c r="BJ51" i="3"/>
  <c r="F51" i="3"/>
  <c r="E51" i="3"/>
  <c r="BK50" i="3"/>
  <c r="BK71" i="3" s="1"/>
  <c r="BJ50" i="3"/>
  <c r="BJ71" i="3" s="1"/>
  <c r="G50" i="3"/>
  <c r="F50" i="3"/>
  <c r="E50" i="3"/>
  <c r="AX49" i="3"/>
  <c r="AR49" i="3"/>
  <c r="AR50" i="3" s="1"/>
  <c r="AF49" i="3"/>
  <c r="S48" i="3"/>
  <c r="Q48" i="3"/>
  <c r="K48" i="3"/>
  <c r="I48" i="3"/>
  <c r="AY46" i="3"/>
  <c r="AW47" i="3" s="1"/>
  <c r="AO46" i="3"/>
  <c r="K46" i="3"/>
  <c r="AG46" i="3" s="1"/>
  <c r="BI45" i="3"/>
  <c r="W45" i="3"/>
  <c r="BI44" i="3"/>
  <c r="BC44" i="3"/>
  <c r="BI43" i="3"/>
  <c r="BG43" i="3"/>
  <c r="V41" i="3"/>
  <c r="AR38" i="3"/>
  <c r="AJ38" i="3"/>
  <c r="AB38" i="3"/>
  <c r="O38" i="3"/>
  <c r="U38" i="3" s="1"/>
  <c r="AW37" i="3"/>
  <c r="AV37" i="3"/>
  <c r="AU37" i="3"/>
  <c r="AK37" i="3"/>
  <c r="AJ37" i="3"/>
  <c r="BO36" i="3"/>
  <c r="BK36" i="3"/>
  <c r="BJ36" i="3"/>
  <c r="BI36" i="3"/>
  <c r="BH36" i="3"/>
  <c r="BG36" i="3"/>
  <c r="BF36" i="3"/>
  <c r="BE36" i="3"/>
  <c r="AW36" i="3"/>
  <c r="AV36" i="3"/>
  <c r="AT36" i="3"/>
  <c r="AT37" i="3" s="1"/>
  <c r="BG42" i="3" s="1"/>
  <c r="BG46" i="3" s="1"/>
  <c r="AR36" i="3"/>
  <c r="AR37" i="3" s="1"/>
  <c r="AS37" i="3" s="1"/>
  <c r="AQ36" i="3"/>
  <c r="AP36" i="3"/>
  <c r="AL36" i="3"/>
  <c r="AL37" i="3" s="1"/>
  <c r="AM37" i="3" s="1"/>
  <c r="AJ36" i="3"/>
  <c r="AI36" i="3"/>
  <c r="AH36" i="3"/>
  <c r="AD36" i="3"/>
  <c r="AB36" i="3"/>
  <c r="AC36" i="3" s="1"/>
  <c r="Z36" i="3"/>
  <c r="Y36" i="3"/>
  <c r="X36" i="3"/>
  <c r="L36" i="3"/>
  <c r="E36" i="3"/>
  <c r="F38" i="3" s="1"/>
  <c r="D36" i="3"/>
  <c r="C36" i="3"/>
  <c r="BN35" i="3"/>
  <c r="BL35" i="3"/>
  <c r="BD35" i="3"/>
  <c r="AY35" i="3"/>
  <c r="AX35" i="3"/>
  <c r="AU35" i="3"/>
  <c r="AS35" i="3"/>
  <c r="AO35" i="3"/>
  <c r="AN35" i="3"/>
  <c r="AM35" i="3"/>
  <c r="AK35" i="3"/>
  <c r="AG35" i="3"/>
  <c r="AF35" i="3"/>
  <c r="AE35" i="3"/>
  <c r="AC35" i="3"/>
  <c r="P35" i="3"/>
  <c r="V35" i="3" s="1"/>
  <c r="BB35" i="3" s="1"/>
  <c r="O35" i="3"/>
  <c r="N35" i="3"/>
  <c r="U35" i="3" s="1"/>
  <c r="BA35" i="3" s="1"/>
  <c r="M35" i="3"/>
  <c r="K35" i="3"/>
  <c r="J35" i="3"/>
  <c r="I35" i="3"/>
  <c r="G35" i="3"/>
  <c r="BL34" i="3"/>
  <c r="BN34" i="3" s="1"/>
  <c r="BD34" i="3"/>
  <c r="AY34" i="3"/>
  <c r="AX34" i="3"/>
  <c r="AU34" i="3"/>
  <c r="AS34" i="3"/>
  <c r="AO34" i="3"/>
  <c r="AN34" i="3"/>
  <c r="AM34" i="3"/>
  <c r="AK34" i="3"/>
  <c r="AG34" i="3"/>
  <c r="AF34" i="3"/>
  <c r="AE34" i="3"/>
  <c r="AC34" i="3"/>
  <c r="V34" i="3"/>
  <c r="BB34" i="3" s="1"/>
  <c r="U34" i="3"/>
  <c r="BA34" i="3" s="1"/>
  <c r="T34" i="3"/>
  <c r="S34" i="3"/>
  <c r="R34" i="3"/>
  <c r="P34" i="3"/>
  <c r="Q34" i="3" s="1"/>
  <c r="N34" i="3"/>
  <c r="M34" i="3"/>
  <c r="J34" i="3"/>
  <c r="W34" i="3" s="1"/>
  <c r="BC34" i="3" s="1"/>
  <c r="I34" i="3"/>
  <c r="G34" i="3"/>
  <c r="BN33" i="3"/>
  <c r="BL33" i="3"/>
  <c r="BD33" i="3"/>
  <c r="AY33" i="3"/>
  <c r="AX33" i="3"/>
  <c r="AU33" i="3"/>
  <c r="AS33" i="3"/>
  <c r="AO33" i="3"/>
  <c r="AN33" i="3"/>
  <c r="AM33" i="3"/>
  <c r="AK33" i="3"/>
  <c r="AF33" i="3"/>
  <c r="AG33" i="3" s="1"/>
  <c r="AE33" i="3"/>
  <c r="AC33" i="3"/>
  <c r="V33" i="3"/>
  <c r="BB33" i="3" s="1"/>
  <c r="P33" i="3"/>
  <c r="Q33" i="3" s="1"/>
  <c r="N33" i="3"/>
  <c r="R33" i="3" s="1"/>
  <c r="M33" i="3"/>
  <c r="K33" i="3"/>
  <c r="J33" i="3"/>
  <c r="I33" i="3"/>
  <c r="G33" i="3"/>
  <c r="BL32" i="3"/>
  <c r="BD32" i="3"/>
  <c r="BA32" i="3"/>
  <c r="AZ32" i="3"/>
  <c r="AY32" i="3"/>
  <c r="AX32" i="3"/>
  <c r="AU32" i="3"/>
  <c r="AS32" i="3"/>
  <c r="AO32" i="3"/>
  <c r="AN32" i="3"/>
  <c r="AM32" i="3"/>
  <c r="AK32" i="3"/>
  <c r="AF32" i="3"/>
  <c r="AG32" i="3" s="1"/>
  <c r="AE32" i="3"/>
  <c r="AC32" i="3"/>
  <c r="U32" i="3"/>
  <c r="T32" i="3"/>
  <c r="P32" i="3"/>
  <c r="R32" i="3" s="1"/>
  <c r="S32" i="3" s="1"/>
  <c r="O32" i="3"/>
  <c r="N32" i="3"/>
  <c r="M32" i="3"/>
  <c r="K32" i="3"/>
  <c r="J32" i="3"/>
  <c r="I32" i="3"/>
  <c r="G32" i="3"/>
  <c r="BL31" i="3"/>
  <c r="BN31" i="3" s="1"/>
  <c r="BD31" i="3"/>
  <c r="AZ31" i="3"/>
  <c r="AY31" i="3"/>
  <c r="AX31" i="3"/>
  <c r="AU31" i="3"/>
  <c r="AS31" i="3"/>
  <c r="AO31" i="3"/>
  <c r="AN31" i="3"/>
  <c r="AM31" i="3"/>
  <c r="AK31" i="3"/>
  <c r="AF31" i="3"/>
  <c r="AG31" i="3" s="1"/>
  <c r="AE31" i="3"/>
  <c r="AC31" i="3"/>
  <c r="T31" i="3"/>
  <c r="P31" i="3"/>
  <c r="V31" i="3" s="1"/>
  <c r="BB31" i="3" s="1"/>
  <c r="N31" i="3"/>
  <c r="M31" i="3"/>
  <c r="I31" i="3"/>
  <c r="H31" i="3"/>
  <c r="G53" i="3" s="1"/>
  <c r="F31" i="3"/>
  <c r="BN30" i="3"/>
  <c r="BL30" i="3"/>
  <c r="BD30" i="3"/>
  <c r="AY30" i="3"/>
  <c r="AX30" i="3"/>
  <c r="AU30" i="3"/>
  <c r="AS30" i="3"/>
  <c r="AO30" i="3"/>
  <c r="AN30" i="3"/>
  <c r="AM30" i="3"/>
  <c r="AK30" i="3"/>
  <c r="AG30" i="3"/>
  <c r="AF30" i="3"/>
  <c r="AE30" i="3"/>
  <c r="AC30" i="3"/>
  <c r="V30" i="3"/>
  <c r="BB30" i="3" s="1"/>
  <c r="U30" i="3"/>
  <c r="BA30" i="3" s="1"/>
  <c r="T30" i="3"/>
  <c r="P30" i="3"/>
  <c r="N30" i="3"/>
  <c r="R30" i="3" s="1"/>
  <c r="S30" i="3" s="1"/>
  <c r="M30" i="3"/>
  <c r="AZ30" i="3" s="1"/>
  <c r="J30" i="3"/>
  <c r="W30" i="3" s="1"/>
  <c r="BC30" i="3" s="1"/>
  <c r="I30" i="3"/>
  <c r="G30" i="3"/>
  <c r="BN29" i="3"/>
  <c r="BL29" i="3"/>
  <c r="BD29" i="3"/>
  <c r="AY29" i="3"/>
  <c r="AX29" i="3"/>
  <c r="AU29" i="3"/>
  <c r="AS29" i="3"/>
  <c r="AO29" i="3"/>
  <c r="AN29" i="3"/>
  <c r="AM29" i="3"/>
  <c r="AK29" i="3"/>
  <c r="AF29" i="3"/>
  <c r="AG29" i="3" s="1"/>
  <c r="AE29" i="3"/>
  <c r="AC29" i="3"/>
  <c r="N29" i="3"/>
  <c r="M29" i="3"/>
  <c r="T29" i="3" s="1"/>
  <c r="H29" i="3"/>
  <c r="H36" i="3" s="1"/>
  <c r="G29" i="3"/>
  <c r="F29" i="3"/>
  <c r="F36" i="3" s="1"/>
  <c r="BL28" i="3"/>
  <c r="BN28" i="3" s="1"/>
  <c r="BD28" i="3"/>
  <c r="AY28" i="3"/>
  <c r="AX28" i="3"/>
  <c r="AU28" i="3"/>
  <c r="AS28" i="3"/>
  <c r="AO28" i="3"/>
  <c r="AN28" i="3"/>
  <c r="AM28" i="3"/>
  <c r="AK28" i="3"/>
  <c r="AF28" i="3"/>
  <c r="AG28" i="3" s="1"/>
  <c r="AE28" i="3"/>
  <c r="AC28" i="3"/>
  <c r="P28" i="3"/>
  <c r="V28" i="3" s="1"/>
  <c r="BB28" i="3" s="1"/>
  <c r="N28" i="3"/>
  <c r="R28" i="3" s="1"/>
  <c r="M28" i="3"/>
  <c r="T28" i="3" s="1"/>
  <c r="K28" i="3"/>
  <c r="J28" i="3"/>
  <c r="W28" i="3" s="1"/>
  <c r="BC28" i="3" s="1"/>
  <c r="I28" i="3"/>
  <c r="G28" i="3"/>
  <c r="BL27" i="3"/>
  <c r="BN27" i="3" s="1"/>
  <c r="BD27" i="3"/>
  <c r="AZ27" i="3"/>
  <c r="AY27" i="3"/>
  <c r="AX27" i="3"/>
  <c r="AU27" i="3"/>
  <c r="AS27" i="3"/>
  <c r="AN27" i="3"/>
  <c r="AO27" i="3" s="1"/>
  <c r="AM27" i="3"/>
  <c r="AK27" i="3"/>
  <c r="AF27" i="3"/>
  <c r="AG27" i="3" s="1"/>
  <c r="AE27" i="3"/>
  <c r="AC27" i="3"/>
  <c r="T27" i="3"/>
  <c r="Q27" i="3"/>
  <c r="P27" i="3"/>
  <c r="V27" i="3" s="1"/>
  <c r="BB27" i="3" s="1"/>
  <c r="N27" i="3"/>
  <c r="R27" i="3" s="1"/>
  <c r="S27" i="3" s="1"/>
  <c r="M27" i="3"/>
  <c r="J27" i="3"/>
  <c r="I27" i="3"/>
  <c r="G27" i="3"/>
  <c r="BL26" i="3"/>
  <c r="BN26" i="3" s="1"/>
  <c r="BD26" i="3"/>
  <c r="AY26" i="3"/>
  <c r="AX26" i="3"/>
  <c r="AU26" i="3"/>
  <c r="AS26" i="3"/>
  <c r="AN26" i="3"/>
  <c r="AO26" i="3" s="1"/>
  <c r="AM26" i="3"/>
  <c r="AK26" i="3"/>
  <c r="AF26" i="3"/>
  <c r="AG26" i="3" s="1"/>
  <c r="AE26" i="3"/>
  <c r="AC26" i="3"/>
  <c r="P26" i="3"/>
  <c r="V26" i="3" s="1"/>
  <c r="BB26" i="3" s="1"/>
  <c r="N26" i="3"/>
  <c r="R26" i="3" s="1"/>
  <c r="M26" i="3"/>
  <c r="T26" i="3" s="1"/>
  <c r="K26" i="3"/>
  <c r="J26" i="3"/>
  <c r="W26" i="3" s="1"/>
  <c r="BC26" i="3" s="1"/>
  <c r="I26" i="3"/>
  <c r="G26" i="3"/>
  <c r="BL25" i="3"/>
  <c r="BN25" i="3" s="1"/>
  <c r="BD25" i="3"/>
  <c r="AZ25" i="3"/>
  <c r="AY25" i="3"/>
  <c r="AX25" i="3"/>
  <c r="AU25" i="3"/>
  <c r="AS25" i="3"/>
  <c r="AO25" i="3"/>
  <c r="AN25" i="3"/>
  <c r="AM25" i="3"/>
  <c r="AK25" i="3"/>
  <c r="AF25" i="3"/>
  <c r="AG25" i="3" s="1"/>
  <c r="AE25" i="3"/>
  <c r="AC25" i="3"/>
  <c r="T25" i="3"/>
  <c r="Q25" i="3"/>
  <c r="P25" i="3"/>
  <c r="V25" i="3" s="1"/>
  <c r="BB25" i="3" s="1"/>
  <c r="N25" i="3"/>
  <c r="R25" i="3" s="1"/>
  <c r="S25" i="3" s="1"/>
  <c r="M25" i="3"/>
  <c r="J25" i="3"/>
  <c r="I25" i="3"/>
  <c r="G25" i="3"/>
  <c r="BL24" i="3"/>
  <c r="BN24" i="3" s="1"/>
  <c r="BD24" i="3"/>
  <c r="AY24" i="3"/>
  <c r="AX24" i="3"/>
  <c r="AU24" i="3"/>
  <c r="AS24" i="3"/>
  <c r="AO24" i="3"/>
  <c r="AN24" i="3"/>
  <c r="AM24" i="3"/>
  <c r="AK24" i="3"/>
  <c r="AF24" i="3"/>
  <c r="AG24" i="3" s="1"/>
  <c r="AE24" i="3"/>
  <c r="AC24" i="3"/>
  <c r="P24" i="3"/>
  <c r="V24" i="3" s="1"/>
  <c r="BB24" i="3" s="1"/>
  <c r="N24" i="3"/>
  <c r="R24" i="3" s="1"/>
  <c r="M24" i="3"/>
  <c r="T24" i="3" s="1"/>
  <c r="K24" i="3"/>
  <c r="J24" i="3"/>
  <c r="W24" i="3" s="1"/>
  <c r="BC24" i="3" s="1"/>
  <c r="I24" i="3"/>
  <c r="G24" i="3"/>
  <c r="BL23" i="3"/>
  <c r="BN23" i="3" s="1"/>
  <c r="BD23" i="3"/>
  <c r="AZ23" i="3"/>
  <c r="AY23" i="3"/>
  <c r="AX23" i="3"/>
  <c r="AU23" i="3"/>
  <c r="AS23" i="3"/>
  <c r="AN23" i="3"/>
  <c r="AO23" i="3" s="1"/>
  <c r="AM23" i="3"/>
  <c r="AK23" i="3"/>
  <c r="AG23" i="3"/>
  <c r="AF23" i="3"/>
  <c r="AE23" i="3"/>
  <c r="AC23" i="3"/>
  <c r="T23" i="3"/>
  <c r="Q23" i="3"/>
  <c r="P23" i="3"/>
  <c r="V23" i="3" s="1"/>
  <c r="BB23" i="3" s="1"/>
  <c r="O23" i="3"/>
  <c r="N23" i="3"/>
  <c r="R23" i="3" s="1"/>
  <c r="S23" i="3" s="1"/>
  <c r="M23" i="3"/>
  <c r="J23" i="3"/>
  <c r="I23" i="3"/>
  <c r="G23" i="3"/>
  <c r="BL22" i="3"/>
  <c r="BN22" i="3" s="1"/>
  <c r="BD22" i="3"/>
  <c r="AY22" i="3"/>
  <c r="AX22" i="3"/>
  <c r="AU22" i="3"/>
  <c r="AS22" i="3"/>
  <c r="AO22" i="3"/>
  <c r="AN22" i="3"/>
  <c r="AM22" i="3"/>
  <c r="AK22" i="3"/>
  <c r="AF22" i="3"/>
  <c r="AG22" i="3" s="1"/>
  <c r="AE22" i="3"/>
  <c r="AC22" i="3"/>
  <c r="P22" i="3"/>
  <c r="V22" i="3" s="1"/>
  <c r="BB22" i="3" s="1"/>
  <c r="N22" i="3"/>
  <c r="R22" i="3" s="1"/>
  <c r="M22" i="3"/>
  <c r="T22" i="3" s="1"/>
  <c r="K22" i="3"/>
  <c r="J22" i="3"/>
  <c r="W22" i="3" s="1"/>
  <c r="BC22" i="3" s="1"/>
  <c r="I22" i="3"/>
  <c r="G22" i="3"/>
  <c r="BL21" i="3"/>
  <c r="BN21" i="3" s="1"/>
  <c r="BD21" i="3"/>
  <c r="AZ21" i="3"/>
  <c r="AY21" i="3"/>
  <c r="AX21" i="3"/>
  <c r="AU21" i="3"/>
  <c r="AS21" i="3"/>
  <c r="AN21" i="3"/>
  <c r="AO21" i="3" s="1"/>
  <c r="AM21" i="3"/>
  <c r="AK21" i="3"/>
  <c r="AG21" i="3"/>
  <c r="AF21" i="3"/>
  <c r="AE21" i="3"/>
  <c r="AC21" i="3"/>
  <c r="T21" i="3"/>
  <c r="Q21" i="3"/>
  <c r="P21" i="3"/>
  <c r="V21" i="3" s="1"/>
  <c r="BB21" i="3" s="1"/>
  <c r="O21" i="3"/>
  <c r="N21" i="3"/>
  <c r="R21" i="3" s="1"/>
  <c r="S21" i="3" s="1"/>
  <c r="M21" i="3"/>
  <c r="J21" i="3"/>
  <c r="I21" i="3"/>
  <c r="G21" i="3"/>
  <c r="BL20" i="3"/>
  <c r="BN20" i="3" s="1"/>
  <c r="BD20" i="3"/>
  <c r="AY20" i="3"/>
  <c r="AX20" i="3"/>
  <c r="AU20" i="3"/>
  <c r="AS20" i="3"/>
  <c r="AO20" i="3"/>
  <c r="AN20" i="3"/>
  <c r="AM20" i="3"/>
  <c r="AK20" i="3"/>
  <c r="AF20" i="3"/>
  <c r="AG20" i="3" s="1"/>
  <c r="AE20" i="3"/>
  <c r="AC20" i="3"/>
  <c r="V20" i="3"/>
  <c r="BB20" i="3" s="1"/>
  <c r="P20" i="3"/>
  <c r="N20" i="3"/>
  <c r="R20" i="3" s="1"/>
  <c r="M20" i="3"/>
  <c r="T20" i="3" s="1"/>
  <c r="K20" i="3"/>
  <c r="J20" i="3"/>
  <c r="W20" i="3" s="1"/>
  <c r="BC20" i="3" s="1"/>
  <c r="I20" i="3"/>
  <c r="G20" i="3"/>
  <c r="BL19" i="3"/>
  <c r="BN19" i="3" s="1"/>
  <c r="BD19" i="3"/>
  <c r="AZ19" i="3"/>
  <c r="AY19" i="3"/>
  <c r="AX19" i="3"/>
  <c r="AU19" i="3"/>
  <c r="AS19" i="3"/>
  <c r="AN19" i="3"/>
  <c r="AO19" i="3" s="1"/>
  <c r="AM19" i="3"/>
  <c r="AK19" i="3"/>
  <c r="AG19" i="3"/>
  <c r="AF19" i="3"/>
  <c r="AE19" i="3"/>
  <c r="AC19" i="3"/>
  <c r="T19" i="3"/>
  <c r="Q19" i="3"/>
  <c r="P19" i="3"/>
  <c r="V19" i="3" s="1"/>
  <c r="BB19" i="3" s="1"/>
  <c r="O19" i="3"/>
  <c r="N19" i="3"/>
  <c r="R19" i="3" s="1"/>
  <c r="S19" i="3" s="1"/>
  <c r="M19" i="3"/>
  <c r="J19" i="3"/>
  <c r="I19" i="3"/>
  <c r="G19" i="3"/>
  <c r="BL18" i="3"/>
  <c r="BN18" i="3" s="1"/>
  <c r="BD18" i="3"/>
  <c r="AY18" i="3"/>
  <c r="AX18" i="3"/>
  <c r="AU18" i="3"/>
  <c r="AS18" i="3"/>
  <c r="AO18" i="3"/>
  <c r="AN18" i="3"/>
  <c r="AM18" i="3"/>
  <c r="AK18" i="3"/>
  <c r="AF18" i="3"/>
  <c r="AG18" i="3" s="1"/>
  <c r="AE18" i="3"/>
  <c r="AC18" i="3"/>
  <c r="V18" i="3"/>
  <c r="BB18" i="3" s="1"/>
  <c r="P18" i="3"/>
  <c r="N18" i="3"/>
  <c r="R18" i="3" s="1"/>
  <c r="M18" i="3"/>
  <c r="T18" i="3" s="1"/>
  <c r="K18" i="3"/>
  <c r="J18" i="3"/>
  <c r="W18" i="3" s="1"/>
  <c r="BC18" i="3" s="1"/>
  <c r="I18" i="3"/>
  <c r="G18" i="3"/>
  <c r="BL17" i="3"/>
  <c r="BN17" i="3" s="1"/>
  <c r="BD17" i="3"/>
  <c r="AZ17" i="3"/>
  <c r="AY17" i="3"/>
  <c r="AX17" i="3"/>
  <c r="AU17" i="3"/>
  <c r="AS17" i="3"/>
  <c r="AN17" i="3"/>
  <c r="AO17" i="3" s="1"/>
  <c r="AM17" i="3"/>
  <c r="AK17" i="3"/>
  <c r="AG17" i="3"/>
  <c r="AF17" i="3"/>
  <c r="AE17" i="3"/>
  <c r="AC17" i="3"/>
  <c r="P17" i="3"/>
  <c r="V17" i="3" s="1"/>
  <c r="BB17" i="3" s="1"/>
  <c r="O17" i="3"/>
  <c r="N17" i="3"/>
  <c r="U17" i="3" s="1"/>
  <c r="BA17" i="3" s="1"/>
  <c r="M17" i="3"/>
  <c r="T17" i="3" s="1"/>
  <c r="J17" i="3"/>
  <c r="K17" i="3" s="1"/>
  <c r="I17" i="3"/>
  <c r="G17" i="3"/>
  <c r="BL16" i="3"/>
  <c r="BN16" i="3" s="1"/>
  <c r="BD16" i="3"/>
  <c r="AZ16" i="3"/>
  <c r="AY16" i="3"/>
  <c r="AX16" i="3"/>
  <c r="AU16" i="3"/>
  <c r="AS16" i="3"/>
  <c r="AN16" i="3"/>
  <c r="AO16" i="3" s="1"/>
  <c r="AM16" i="3"/>
  <c r="AK16" i="3"/>
  <c r="AF16" i="3"/>
  <c r="AG16" i="3" s="1"/>
  <c r="AE16" i="3"/>
  <c r="AC16" i="3"/>
  <c r="R16" i="3"/>
  <c r="P16" i="3"/>
  <c r="Q16" i="3" s="1"/>
  <c r="O16" i="3"/>
  <c r="N16" i="3"/>
  <c r="U16" i="3" s="1"/>
  <c r="BA16" i="3" s="1"/>
  <c r="M16" i="3"/>
  <c r="T16" i="3" s="1"/>
  <c r="J16" i="3"/>
  <c r="W16" i="3" s="1"/>
  <c r="BC16" i="3" s="1"/>
  <c r="I16" i="3"/>
  <c r="G16" i="3"/>
  <c r="BL15" i="3"/>
  <c r="BN15" i="3" s="1"/>
  <c r="BD15" i="3"/>
  <c r="BB15" i="3"/>
  <c r="BA15" i="3"/>
  <c r="AY15" i="3"/>
  <c r="AX15" i="3"/>
  <c r="AU15" i="3"/>
  <c r="AS15" i="3"/>
  <c r="AO15" i="3"/>
  <c r="AN15" i="3"/>
  <c r="AM15" i="3"/>
  <c r="AK15" i="3"/>
  <c r="AG15" i="3"/>
  <c r="AF15" i="3"/>
  <c r="AE15" i="3"/>
  <c r="AC15" i="3"/>
  <c r="U15" i="3"/>
  <c r="T15" i="3"/>
  <c r="S15" i="3"/>
  <c r="R15" i="3"/>
  <c r="Q15" i="3"/>
  <c r="P15" i="3"/>
  <c r="V15" i="3" s="1"/>
  <c r="N15" i="3"/>
  <c r="O15" i="3" s="1"/>
  <c r="M15" i="3"/>
  <c r="AZ15" i="3" s="1"/>
  <c r="J15" i="3"/>
  <c r="K15" i="3" s="1"/>
  <c r="I15" i="3"/>
  <c r="G15" i="3"/>
  <c r="BN14" i="3"/>
  <c r="BL14" i="3"/>
  <c r="BD14" i="3"/>
  <c r="AY14" i="3"/>
  <c r="AX14" i="3"/>
  <c r="AU14" i="3"/>
  <c r="AT49" i="3" s="1"/>
  <c r="AT50" i="3" s="1"/>
  <c r="AS14" i="3"/>
  <c r="AS49" i="3" s="1"/>
  <c r="AS50" i="3" s="1"/>
  <c r="AO14" i="3"/>
  <c r="AN14" i="3"/>
  <c r="AM14" i="3"/>
  <c r="AK14" i="3"/>
  <c r="AF14" i="3"/>
  <c r="AG14" i="3" s="1"/>
  <c r="AE14" i="3"/>
  <c r="AC14" i="3"/>
  <c r="V14" i="3"/>
  <c r="BB14" i="3" s="1"/>
  <c r="U14" i="3"/>
  <c r="BA14" i="3" s="1"/>
  <c r="T14" i="3"/>
  <c r="S14" i="3"/>
  <c r="R14" i="3"/>
  <c r="P14" i="3"/>
  <c r="N14" i="3"/>
  <c r="O14" i="3" s="1"/>
  <c r="M14" i="3"/>
  <c r="AZ14" i="3" s="1"/>
  <c r="J14" i="3"/>
  <c r="W14" i="3" s="1"/>
  <c r="BC14" i="3" s="1"/>
  <c r="I14" i="3"/>
  <c r="G14" i="3"/>
  <c r="BL13" i="3"/>
  <c r="BN13" i="3" s="1"/>
  <c r="BD13" i="3"/>
  <c r="AY13" i="3"/>
  <c r="AX13" i="3"/>
  <c r="AU13" i="3"/>
  <c r="AS13" i="3"/>
  <c r="AO13" i="3"/>
  <c r="AN13" i="3"/>
  <c r="AM13" i="3"/>
  <c r="AK13" i="3"/>
  <c r="AF13" i="3"/>
  <c r="AG13" i="3" s="1"/>
  <c r="AE13" i="3"/>
  <c r="AC13" i="3"/>
  <c r="P13" i="3"/>
  <c r="V13" i="3" s="1"/>
  <c r="BB13" i="3" s="1"/>
  <c r="N13" i="3"/>
  <c r="R13" i="3" s="1"/>
  <c r="M13" i="3"/>
  <c r="S13" i="3" s="1"/>
  <c r="J13" i="3"/>
  <c r="K13" i="3" s="1"/>
  <c r="I13" i="3"/>
  <c r="G13" i="3"/>
  <c r="BL12" i="3"/>
  <c r="BN12" i="3" s="1"/>
  <c r="BD12" i="3"/>
  <c r="AZ12" i="3"/>
  <c r="AY12" i="3"/>
  <c r="AX12" i="3"/>
  <c r="AU12" i="3"/>
  <c r="AS12" i="3"/>
  <c r="AN12" i="3"/>
  <c r="AO12" i="3" s="1"/>
  <c r="AM12" i="3"/>
  <c r="AK12" i="3"/>
  <c r="AF12" i="3"/>
  <c r="AG12" i="3" s="1"/>
  <c r="AE12" i="3"/>
  <c r="AC12" i="3"/>
  <c r="P12" i="3"/>
  <c r="O55" i="3" s="1"/>
  <c r="O12" i="3"/>
  <c r="N12" i="3"/>
  <c r="U12" i="3" s="1"/>
  <c r="BA12" i="3" s="1"/>
  <c r="M12" i="3"/>
  <c r="T12" i="3" s="1"/>
  <c r="K12" i="3"/>
  <c r="J12" i="3"/>
  <c r="I12" i="3"/>
  <c r="G12" i="3"/>
  <c r="BL11" i="3"/>
  <c r="BN11" i="3" s="1"/>
  <c r="BD11" i="3"/>
  <c r="BB11" i="3"/>
  <c r="AZ11" i="3"/>
  <c r="AY11" i="3"/>
  <c r="AX11" i="3"/>
  <c r="AU11" i="3"/>
  <c r="AS11" i="3"/>
  <c r="AO11" i="3"/>
  <c r="AN11" i="3"/>
  <c r="AM11" i="3"/>
  <c r="AK11" i="3"/>
  <c r="AG11" i="3"/>
  <c r="AF11" i="3"/>
  <c r="AE11" i="3"/>
  <c r="AC11" i="3"/>
  <c r="T11" i="3"/>
  <c r="R11" i="3"/>
  <c r="S11" i="3" s="1"/>
  <c r="Q11" i="3"/>
  <c r="P11" i="3"/>
  <c r="V11" i="3" s="1"/>
  <c r="O11" i="3"/>
  <c r="N11" i="3"/>
  <c r="U11" i="3" s="1"/>
  <c r="BA11" i="3" s="1"/>
  <c r="M11" i="3"/>
  <c r="J11" i="3"/>
  <c r="K11" i="3" s="1"/>
  <c r="I11" i="3"/>
  <c r="G11" i="3"/>
  <c r="BL10" i="3"/>
  <c r="BN10" i="3" s="1"/>
  <c r="BD10" i="3"/>
  <c r="AY10" i="3"/>
  <c r="AX10" i="3"/>
  <c r="AU10" i="3"/>
  <c r="AS10" i="3"/>
  <c r="AN10" i="3"/>
  <c r="AO10" i="3" s="1"/>
  <c r="AM10" i="3"/>
  <c r="AK10" i="3"/>
  <c r="AF10" i="3"/>
  <c r="AG10" i="3" s="1"/>
  <c r="AE10" i="3"/>
  <c r="AC10" i="3"/>
  <c r="U10" i="3"/>
  <c r="BA10" i="3" s="1"/>
  <c r="T10" i="3"/>
  <c r="S10" i="3"/>
  <c r="R10" i="3"/>
  <c r="Q10" i="3"/>
  <c r="P10" i="3"/>
  <c r="V10" i="3" s="1"/>
  <c r="BB10" i="3" s="1"/>
  <c r="N10" i="3"/>
  <c r="O10" i="3" s="1"/>
  <c r="M10" i="3"/>
  <c r="J10" i="3"/>
  <c r="W10" i="3" s="1"/>
  <c r="BC10" i="3" s="1"/>
  <c r="I10" i="3"/>
  <c r="G10" i="3"/>
  <c r="BN9" i="3"/>
  <c r="BL9" i="3"/>
  <c r="BD9" i="3"/>
  <c r="AY9" i="3"/>
  <c r="AX9" i="3"/>
  <c r="AU9" i="3"/>
  <c r="AS9" i="3"/>
  <c r="AO9" i="3"/>
  <c r="AN9" i="3"/>
  <c r="AM9" i="3"/>
  <c r="AK9" i="3"/>
  <c r="AF9" i="3"/>
  <c r="AG9" i="3" s="1"/>
  <c r="AE9" i="3"/>
  <c r="AC9" i="3"/>
  <c r="V9" i="3"/>
  <c r="BB9" i="3" s="1"/>
  <c r="P9" i="3"/>
  <c r="O52" i="3" s="1"/>
  <c r="N9" i="3"/>
  <c r="N52" i="3" s="1"/>
  <c r="M9" i="3"/>
  <c r="M52" i="3" s="1"/>
  <c r="K9" i="3"/>
  <c r="J9" i="3"/>
  <c r="I9" i="3"/>
  <c r="G9" i="3"/>
  <c r="BL8" i="3"/>
  <c r="BN8" i="3" s="1"/>
  <c r="BD8" i="3"/>
  <c r="BA8" i="3"/>
  <c r="AZ8" i="3"/>
  <c r="AY8" i="3"/>
  <c r="AX8" i="3"/>
  <c r="AU8" i="3"/>
  <c r="AS8" i="3"/>
  <c r="AO8" i="3"/>
  <c r="AN8" i="3"/>
  <c r="AM8" i="3"/>
  <c r="AK8" i="3"/>
  <c r="AG8" i="3"/>
  <c r="AF8" i="3"/>
  <c r="AE8" i="3"/>
  <c r="AC8" i="3"/>
  <c r="U8" i="3"/>
  <c r="T8" i="3"/>
  <c r="S8" i="3"/>
  <c r="R8" i="3"/>
  <c r="Q8" i="3"/>
  <c r="P8" i="3"/>
  <c r="N8" i="3"/>
  <c r="M8" i="3"/>
  <c r="J8" i="3"/>
  <c r="W8" i="3" s="1"/>
  <c r="BC8" i="3" s="1"/>
  <c r="I8" i="3"/>
  <c r="G8" i="3"/>
  <c r="BN7" i="3"/>
  <c r="BL7" i="3"/>
  <c r="BD7" i="3"/>
  <c r="AY7" i="3"/>
  <c r="AX7" i="3"/>
  <c r="AU7" i="3"/>
  <c r="AS7" i="3"/>
  <c r="AO7" i="3"/>
  <c r="AN7" i="3"/>
  <c r="AM7" i="3"/>
  <c r="AK7" i="3"/>
  <c r="AF7" i="3"/>
  <c r="AG7" i="3" s="1"/>
  <c r="AE7" i="3"/>
  <c r="AC7" i="3"/>
  <c r="V7" i="3"/>
  <c r="BB7" i="3" s="1"/>
  <c r="P7" i="3"/>
  <c r="O50" i="3" s="1"/>
  <c r="N7" i="3"/>
  <c r="R7" i="3" s="1"/>
  <c r="W7" i="3" s="1"/>
  <c r="BC7" i="3" s="1"/>
  <c r="M7" i="3"/>
  <c r="M50" i="3" s="1"/>
  <c r="K7" i="3"/>
  <c r="J7" i="3"/>
  <c r="I7" i="3"/>
  <c r="G7" i="3"/>
  <c r="BL6" i="3"/>
  <c r="BN6" i="3" s="1"/>
  <c r="BD6" i="3"/>
  <c r="BB6" i="3"/>
  <c r="BA6" i="3"/>
  <c r="AZ6" i="3"/>
  <c r="AY6" i="3"/>
  <c r="AX6" i="3"/>
  <c r="AU6" i="3"/>
  <c r="AS6" i="3"/>
  <c r="AN6" i="3"/>
  <c r="AO6" i="3" s="1"/>
  <c r="AM6" i="3"/>
  <c r="AK6" i="3"/>
  <c r="AG6" i="3"/>
  <c r="AF6" i="3"/>
  <c r="AE6" i="3"/>
  <c r="AC6" i="3"/>
  <c r="V6" i="3"/>
  <c r="U6" i="3"/>
  <c r="T6" i="3"/>
  <c r="S6" i="3"/>
  <c r="R6" i="3"/>
  <c r="Q6" i="3"/>
  <c r="P6" i="3"/>
  <c r="N6" i="3"/>
  <c r="O6" i="3" s="1"/>
  <c r="M6" i="3"/>
  <c r="J6" i="3"/>
  <c r="W6" i="3" s="1"/>
  <c r="BC6" i="3" s="1"/>
  <c r="I6" i="3"/>
  <c r="G6" i="3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N5" i="3"/>
  <c r="BL5" i="3"/>
  <c r="BD5" i="3"/>
  <c r="AY5" i="3"/>
  <c r="AX5" i="3"/>
  <c r="AX36" i="3" s="1"/>
  <c r="AU5" i="3"/>
  <c r="AS5" i="3"/>
  <c r="AO5" i="3"/>
  <c r="AN5" i="3"/>
  <c r="AM5" i="3"/>
  <c r="AK5" i="3"/>
  <c r="AF5" i="3"/>
  <c r="AE5" i="3"/>
  <c r="AC5" i="3"/>
  <c r="V5" i="3"/>
  <c r="P5" i="3"/>
  <c r="Q5" i="3" s="1"/>
  <c r="N5" i="3"/>
  <c r="R5" i="3" s="1"/>
  <c r="M5" i="3"/>
  <c r="T5" i="3" s="1"/>
  <c r="K5" i="3"/>
  <c r="J5" i="3"/>
  <c r="I5" i="3"/>
  <c r="G5" i="3"/>
  <c r="B5" i="3"/>
  <c r="O77" i="2"/>
  <c r="N77" i="2"/>
  <c r="H77" i="2"/>
  <c r="G77" i="2"/>
  <c r="Q76" i="2"/>
  <c r="Q77" i="2" s="1"/>
  <c r="P76" i="2"/>
  <c r="P77" i="2" s="1"/>
  <c r="O76" i="2"/>
  <c r="N76" i="2"/>
  <c r="I76" i="2"/>
  <c r="I77" i="2" s="1"/>
  <c r="H76" i="2"/>
  <c r="G76" i="2"/>
  <c r="F76" i="2"/>
  <c r="F77" i="2" s="1"/>
  <c r="BL70" i="2"/>
  <c r="BK70" i="2"/>
  <c r="BJ70" i="2"/>
  <c r="BK69" i="2"/>
  <c r="BJ69" i="2"/>
  <c r="BL69" i="2" s="1"/>
  <c r="BK68" i="2"/>
  <c r="BL68" i="2" s="1"/>
  <c r="BJ68" i="2"/>
  <c r="BK67" i="2"/>
  <c r="BL67" i="2" s="1"/>
  <c r="BJ67" i="2"/>
  <c r="BK66" i="2"/>
  <c r="BJ66" i="2"/>
  <c r="BL66" i="2" s="1"/>
  <c r="BK65" i="2"/>
  <c r="BJ65" i="2"/>
  <c r="BL65" i="2" s="1"/>
  <c r="BL64" i="2"/>
  <c r="BK64" i="2"/>
  <c r="BJ64" i="2"/>
  <c r="BK63" i="2"/>
  <c r="BJ63" i="2"/>
  <c r="BL63" i="2" s="1"/>
  <c r="BK62" i="2"/>
  <c r="BJ62" i="2"/>
  <c r="BL62" i="2" s="1"/>
  <c r="BK61" i="2"/>
  <c r="BL61" i="2" s="1"/>
  <c r="BJ61" i="2"/>
  <c r="BL60" i="2"/>
  <c r="BK60" i="2"/>
  <c r="BJ60" i="2"/>
  <c r="BK59" i="2"/>
  <c r="BJ59" i="2"/>
  <c r="BL59" i="2" s="1"/>
  <c r="BL58" i="2"/>
  <c r="BK58" i="2"/>
  <c r="BJ58" i="2"/>
  <c r="BK57" i="2"/>
  <c r="BJ57" i="2"/>
  <c r="BL57" i="2" s="1"/>
  <c r="BA57" i="2"/>
  <c r="X57" i="2"/>
  <c r="BL56" i="2"/>
  <c r="BK56" i="2"/>
  <c r="BJ56" i="2"/>
  <c r="Y56" i="2"/>
  <c r="X56" i="2"/>
  <c r="G56" i="2"/>
  <c r="F56" i="2"/>
  <c r="E56" i="2"/>
  <c r="BL55" i="2"/>
  <c r="BK55" i="2"/>
  <c r="BJ55" i="2"/>
  <c r="AY55" i="2"/>
  <c r="X55" i="2"/>
  <c r="G55" i="2"/>
  <c r="E55" i="2"/>
  <c r="BK54" i="2"/>
  <c r="BL54" i="2" s="1"/>
  <c r="BJ54" i="2"/>
  <c r="Y54" i="2"/>
  <c r="X54" i="2"/>
  <c r="G54" i="2"/>
  <c r="F54" i="2"/>
  <c r="E54" i="2"/>
  <c r="BK53" i="2"/>
  <c r="BJ53" i="2"/>
  <c r="BL53" i="2" s="1"/>
  <c r="X53" i="2"/>
  <c r="O53" i="2"/>
  <c r="G53" i="2"/>
  <c r="F53" i="2"/>
  <c r="E53" i="2"/>
  <c r="BK52" i="2"/>
  <c r="BJ52" i="2"/>
  <c r="BL52" i="2" s="1"/>
  <c r="Y52" i="2"/>
  <c r="Y58" i="2" s="1"/>
  <c r="X58" i="2" s="1"/>
  <c r="X52" i="2"/>
  <c r="F52" i="2"/>
  <c r="E52" i="2"/>
  <c r="BK51" i="2"/>
  <c r="BJ51" i="2"/>
  <c r="G51" i="2"/>
  <c r="F51" i="2"/>
  <c r="E51" i="2"/>
  <c r="BK50" i="2"/>
  <c r="BJ50" i="2"/>
  <c r="G50" i="2"/>
  <c r="F50" i="2"/>
  <c r="E50" i="2"/>
  <c r="AX49" i="2"/>
  <c r="AR49" i="2"/>
  <c r="AR50" i="2" s="1"/>
  <c r="AF49" i="2"/>
  <c r="S48" i="2"/>
  <c r="Q48" i="2"/>
  <c r="K48" i="2"/>
  <c r="I48" i="2"/>
  <c r="K46" i="2"/>
  <c r="BI45" i="2"/>
  <c r="W45" i="2"/>
  <c r="BI44" i="2"/>
  <c r="BC44" i="2"/>
  <c r="BG43" i="2"/>
  <c r="BI43" i="2" s="1"/>
  <c r="V41" i="2"/>
  <c r="AR38" i="2"/>
  <c r="AJ38" i="2"/>
  <c r="AB38" i="2"/>
  <c r="O38" i="2"/>
  <c r="U38" i="2" s="1"/>
  <c r="AV37" i="2"/>
  <c r="AL37" i="2"/>
  <c r="AM37" i="2" s="1"/>
  <c r="AJ37" i="2"/>
  <c r="AK37" i="2" s="1"/>
  <c r="BK36" i="2"/>
  <c r="BJ36" i="2"/>
  <c r="BH36" i="2"/>
  <c r="BG36" i="2"/>
  <c r="BE36" i="2"/>
  <c r="AW36" i="2"/>
  <c r="AW37" i="2" s="1"/>
  <c r="AV36" i="2"/>
  <c r="AT36" i="2"/>
  <c r="AT37" i="2" s="1"/>
  <c r="AR36" i="2"/>
  <c r="AR37" i="2" s="1"/>
  <c r="AQ36" i="2"/>
  <c r="AP36" i="2"/>
  <c r="AL36" i="2"/>
  <c r="AJ36" i="2"/>
  <c r="AI36" i="2"/>
  <c r="AH36" i="2"/>
  <c r="AE36" i="2"/>
  <c r="AD36" i="2"/>
  <c r="AD37" i="2" s="1"/>
  <c r="AE37" i="2" s="1"/>
  <c r="AB36" i="2"/>
  <c r="AC36" i="2" s="1"/>
  <c r="Z36" i="2"/>
  <c r="Y36" i="2"/>
  <c r="X36" i="2"/>
  <c r="L36" i="2"/>
  <c r="E36" i="2"/>
  <c r="F38" i="2" s="1"/>
  <c r="D36" i="2"/>
  <c r="C36" i="2"/>
  <c r="BN35" i="2"/>
  <c r="BL35" i="2"/>
  <c r="BD35" i="2"/>
  <c r="AY35" i="2"/>
  <c r="AX35" i="2"/>
  <c r="AU35" i="2"/>
  <c r="AS35" i="2"/>
  <c r="AO35" i="2"/>
  <c r="AN35" i="2"/>
  <c r="AM35" i="2"/>
  <c r="AK35" i="2"/>
  <c r="AG35" i="2"/>
  <c r="AF35" i="2"/>
  <c r="AE35" i="2"/>
  <c r="AC35" i="2"/>
  <c r="V35" i="2"/>
  <c r="BB35" i="2" s="1"/>
  <c r="T35" i="2"/>
  <c r="P35" i="2"/>
  <c r="Q35" i="2" s="1"/>
  <c r="N35" i="2"/>
  <c r="M35" i="2"/>
  <c r="K35" i="2"/>
  <c r="J35" i="2"/>
  <c r="I35" i="2"/>
  <c r="G35" i="2"/>
  <c r="BL34" i="2"/>
  <c r="BN34" i="2" s="1"/>
  <c r="BD34" i="2"/>
  <c r="BB34" i="2"/>
  <c r="AZ34" i="2"/>
  <c r="AY34" i="2"/>
  <c r="AX34" i="2"/>
  <c r="AU34" i="2"/>
  <c r="AS34" i="2"/>
  <c r="AO34" i="2"/>
  <c r="AN34" i="2"/>
  <c r="AM34" i="2"/>
  <c r="AK34" i="2"/>
  <c r="AG34" i="2"/>
  <c r="AF34" i="2"/>
  <c r="AE34" i="2"/>
  <c r="AC34" i="2"/>
  <c r="V34" i="2"/>
  <c r="U34" i="2"/>
  <c r="BA34" i="2" s="1"/>
  <c r="T34" i="2"/>
  <c r="R34" i="2"/>
  <c r="S34" i="2" s="1"/>
  <c r="Q34" i="2"/>
  <c r="P34" i="2"/>
  <c r="O34" i="2"/>
  <c r="N34" i="2"/>
  <c r="M34" i="2"/>
  <c r="J34" i="2"/>
  <c r="I34" i="2"/>
  <c r="G34" i="2"/>
  <c r="BN33" i="2"/>
  <c r="BL33" i="2"/>
  <c r="BD33" i="2"/>
  <c r="AY33" i="2"/>
  <c r="AX33" i="2"/>
  <c r="AU33" i="2"/>
  <c r="AS33" i="2"/>
  <c r="AO33" i="2"/>
  <c r="AN33" i="2"/>
  <c r="AM33" i="2"/>
  <c r="AK33" i="2"/>
  <c r="AF33" i="2"/>
  <c r="AG33" i="2" s="1"/>
  <c r="AE33" i="2"/>
  <c r="AC33" i="2"/>
  <c r="P33" i="2"/>
  <c r="N33" i="2"/>
  <c r="M33" i="2"/>
  <c r="K33" i="2"/>
  <c r="J33" i="2"/>
  <c r="I33" i="2"/>
  <c r="G33" i="2"/>
  <c r="BL32" i="2"/>
  <c r="BD32" i="2"/>
  <c r="AZ32" i="2"/>
  <c r="AY32" i="2"/>
  <c r="AX32" i="2"/>
  <c r="AU32" i="2"/>
  <c r="AS32" i="2"/>
  <c r="AO32" i="2"/>
  <c r="AN32" i="2"/>
  <c r="AM32" i="2"/>
  <c r="AK32" i="2"/>
  <c r="AF32" i="2"/>
  <c r="AG32" i="2" s="1"/>
  <c r="AE32" i="2"/>
  <c r="AC32" i="2"/>
  <c r="T32" i="2"/>
  <c r="P32" i="2"/>
  <c r="V32" i="2" s="1"/>
  <c r="BB32" i="2" s="1"/>
  <c r="N32" i="2"/>
  <c r="M32" i="2"/>
  <c r="J32" i="2"/>
  <c r="I32" i="2"/>
  <c r="G32" i="2"/>
  <c r="BN31" i="2"/>
  <c r="BL31" i="2"/>
  <c r="BD31" i="2"/>
  <c r="AY31" i="2"/>
  <c r="AX31" i="2"/>
  <c r="AU31" i="2"/>
  <c r="AS31" i="2"/>
  <c r="AO31" i="2"/>
  <c r="AN31" i="2"/>
  <c r="AM31" i="2"/>
  <c r="AK31" i="2"/>
  <c r="AF31" i="2"/>
  <c r="AG31" i="2" s="1"/>
  <c r="AE31" i="2"/>
  <c r="AC31" i="2"/>
  <c r="W31" i="2"/>
  <c r="BC31" i="2" s="1"/>
  <c r="V31" i="2"/>
  <c r="BB31" i="2" s="1"/>
  <c r="P31" i="2"/>
  <c r="O31" i="2"/>
  <c r="N31" i="2"/>
  <c r="R31" i="2" s="1"/>
  <c r="M31" i="2"/>
  <c r="J31" i="2"/>
  <c r="K31" i="2" s="1"/>
  <c r="I31" i="2"/>
  <c r="G31" i="2"/>
  <c r="BI30" i="2"/>
  <c r="BI36" i="2" s="1"/>
  <c r="BF30" i="2"/>
  <c r="N30" i="2" s="1"/>
  <c r="BD30" i="2"/>
  <c r="AZ30" i="2"/>
  <c r="AY30" i="2"/>
  <c r="AX30" i="2"/>
  <c r="AU30" i="2"/>
  <c r="AS30" i="2"/>
  <c r="AO30" i="2"/>
  <c r="AN30" i="2"/>
  <c r="AM30" i="2"/>
  <c r="AK30" i="2"/>
  <c r="AF30" i="2"/>
  <c r="AG30" i="2" s="1"/>
  <c r="AE30" i="2"/>
  <c r="AC30" i="2"/>
  <c r="M30" i="2"/>
  <c r="T30" i="2" s="1"/>
  <c r="H30" i="2"/>
  <c r="G30" i="2"/>
  <c r="BN29" i="2"/>
  <c r="BL29" i="2"/>
  <c r="BD29" i="2"/>
  <c r="AZ29" i="2"/>
  <c r="AY29" i="2"/>
  <c r="AX29" i="2"/>
  <c r="AU29" i="2"/>
  <c r="AS29" i="2"/>
  <c r="AO29" i="2"/>
  <c r="AN29" i="2"/>
  <c r="AM29" i="2"/>
  <c r="AK29" i="2"/>
  <c r="AF29" i="2"/>
  <c r="AG29" i="2" s="1"/>
  <c r="AE29" i="2"/>
  <c r="AC29" i="2"/>
  <c r="Q29" i="2"/>
  <c r="P29" i="2"/>
  <c r="V29" i="2" s="1"/>
  <c r="BB29" i="2" s="1"/>
  <c r="N29" i="2"/>
  <c r="U29" i="2" s="1"/>
  <c r="BA29" i="2" s="1"/>
  <c r="M29" i="2"/>
  <c r="T29" i="2" s="1"/>
  <c r="K29" i="2"/>
  <c r="J29" i="2"/>
  <c r="I29" i="2"/>
  <c r="G29" i="2"/>
  <c r="BN28" i="2"/>
  <c r="BL28" i="2"/>
  <c r="BD28" i="2"/>
  <c r="AY28" i="2"/>
  <c r="AX28" i="2"/>
  <c r="AU28" i="2"/>
  <c r="AS28" i="2"/>
  <c r="AO28" i="2"/>
  <c r="AN28" i="2"/>
  <c r="AM28" i="2"/>
  <c r="AK28" i="2"/>
  <c r="AG28" i="2"/>
  <c r="AF28" i="2"/>
  <c r="AE28" i="2"/>
  <c r="AC28" i="2"/>
  <c r="V28" i="2"/>
  <c r="BB28" i="2" s="1"/>
  <c r="P28" i="2"/>
  <c r="N28" i="2"/>
  <c r="M28" i="2"/>
  <c r="AZ28" i="2" s="1"/>
  <c r="K28" i="2"/>
  <c r="J28" i="2"/>
  <c r="I28" i="2"/>
  <c r="G28" i="2"/>
  <c r="BN27" i="2"/>
  <c r="BL27" i="2"/>
  <c r="BD27" i="2"/>
  <c r="AZ27" i="2"/>
  <c r="AY27" i="2"/>
  <c r="AX27" i="2"/>
  <c r="AU27" i="2"/>
  <c r="AS27" i="2"/>
  <c r="AO27" i="2"/>
  <c r="AN27" i="2"/>
  <c r="AM27" i="2"/>
  <c r="AK27" i="2"/>
  <c r="AG27" i="2"/>
  <c r="AF27" i="2"/>
  <c r="AE27" i="2"/>
  <c r="AC27" i="2"/>
  <c r="P27" i="2"/>
  <c r="V27" i="2" s="1"/>
  <c r="BB27" i="2" s="1"/>
  <c r="N27" i="2"/>
  <c r="U27" i="2" s="1"/>
  <c r="BA27" i="2" s="1"/>
  <c r="M27" i="2"/>
  <c r="T27" i="2" s="1"/>
  <c r="K27" i="2"/>
  <c r="J27" i="2"/>
  <c r="I27" i="2"/>
  <c r="G27" i="2"/>
  <c r="BL26" i="2"/>
  <c r="BN26" i="2" s="1"/>
  <c r="BD26" i="2"/>
  <c r="AY26" i="2"/>
  <c r="AX26" i="2"/>
  <c r="AU26" i="2"/>
  <c r="AS26" i="2"/>
  <c r="AN26" i="2"/>
  <c r="AO26" i="2" s="1"/>
  <c r="AM26" i="2"/>
  <c r="AK26" i="2"/>
  <c r="AG26" i="2"/>
  <c r="AF26" i="2"/>
  <c r="AE26" i="2"/>
  <c r="AC26" i="2"/>
  <c r="V26" i="2"/>
  <c r="BB26" i="2" s="1"/>
  <c r="T26" i="2"/>
  <c r="Q26" i="2"/>
  <c r="P26" i="2"/>
  <c r="N26" i="2"/>
  <c r="M26" i="2"/>
  <c r="AZ26" i="2" s="1"/>
  <c r="K26" i="2"/>
  <c r="J26" i="2"/>
  <c r="I26" i="2"/>
  <c r="G26" i="2"/>
  <c r="BN25" i="2"/>
  <c r="BL25" i="2"/>
  <c r="BD25" i="2"/>
  <c r="AZ25" i="2"/>
  <c r="AY25" i="2"/>
  <c r="AX25" i="2"/>
  <c r="AU25" i="2"/>
  <c r="AS25" i="2"/>
  <c r="AO25" i="2"/>
  <c r="AN25" i="2"/>
  <c r="AM25" i="2"/>
  <c r="AK25" i="2"/>
  <c r="AF25" i="2"/>
  <c r="AG25" i="2" s="1"/>
  <c r="AE25" i="2"/>
  <c r="AC25" i="2"/>
  <c r="P25" i="2"/>
  <c r="V25" i="2" s="1"/>
  <c r="BB25" i="2" s="1"/>
  <c r="O25" i="2"/>
  <c r="N25" i="2"/>
  <c r="U25" i="2" s="1"/>
  <c r="BA25" i="2" s="1"/>
  <c r="M25" i="2"/>
  <c r="T25" i="2" s="1"/>
  <c r="K25" i="2"/>
  <c r="J25" i="2"/>
  <c r="I25" i="2"/>
  <c r="G25" i="2"/>
  <c r="BL24" i="2"/>
  <c r="BN24" i="2" s="1"/>
  <c r="BD24" i="2"/>
  <c r="AY24" i="2"/>
  <c r="AX24" i="2"/>
  <c r="AU24" i="2"/>
  <c r="AS24" i="2"/>
  <c r="AO24" i="2"/>
  <c r="AN24" i="2"/>
  <c r="AM24" i="2"/>
  <c r="AK24" i="2"/>
  <c r="AG24" i="2"/>
  <c r="AF24" i="2"/>
  <c r="AE24" i="2"/>
  <c r="AC24" i="2"/>
  <c r="V24" i="2"/>
  <c r="BB24" i="2" s="1"/>
  <c r="U24" i="2"/>
  <c r="BA24" i="2" s="1"/>
  <c r="T24" i="2"/>
  <c r="Q24" i="2"/>
  <c r="P24" i="2"/>
  <c r="N24" i="2"/>
  <c r="M24" i="2"/>
  <c r="AZ24" i="2" s="1"/>
  <c r="K24" i="2"/>
  <c r="J24" i="2"/>
  <c r="I24" i="2"/>
  <c r="G24" i="2"/>
  <c r="BN23" i="2"/>
  <c r="BL23" i="2"/>
  <c r="BD23" i="2"/>
  <c r="AZ23" i="2"/>
  <c r="AY23" i="2"/>
  <c r="AX23" i="2"/>
  <c r="AU23" i="2"/>
  <c r="AS23" i="2"/>
  <c r="AO23" i="2"/>
  <c r="AN23" i="2"/>
  <c r="AM23" i="2"/>
  <c r="AK23" i="2"/>
  <c r="AF23" i="2"/>
  <c r="AG23" i="2" s="1"/>
  <c r="AE23" i="2"/>
  <c r="AC23" i="2"/>
  <c r="V23" i="2"/>
  <c r="BB23" i="2" s="1"/>
  <c r="R23" i="2"/>
  <c r="W23" i="2" s="1"/>
  <c r="BC23" i="2" s="1"/>
  <c r="Q23" i="2"/>
  <c r="P23" i="2"/>
  <c r="N23" i="2"/>
  <c r="U23" i="2" s="1"/>
  <c r="BA23" i="2" s="1"/>
  <c r="M23" i="2"/>
  <c r="T23" i="2" s="1"/>
  <c r="K23" i="2"/>
  <c r="J23" i="2"/>
  <c r="I23" i="2"/>
  <c r="G23" i="2"/>
  <c r="BN22" i="2"/>
  <c r="BL22" i="2"/>
  <c r="BD22" i="2"/>
  <c r="AY22" i="2"/>
  <c r="AX22" i="2"/>
  <c r="AU22" i="2"/>
  <c r="AS22" i="2"/>
  <c r="AN22" i="2"/>
  <c r="AO22" i="2" s="1"/>
  <c r="AM22" i="2"/>
  <c r="AK22" i="2"/>
  <c r="AG22" i="2"/>
  <c r="AF22" i="2"/>
  <c r="AE22" i="2"/>
  <c r="AC22" i="2"/>
  <c r="V22" i="2"/>
  <c r="BB22" i="2" s="1"/>
  <c r="U22" i="2"/>
  <c r="BA22" i="2" s="1"/>
  <c r="T22" i="2"/>
  <c r="Q22" i="2"/>
  <c r="P22" i="2"/>
  <c r="N22" i="2"/>
  <c r="M22" i="2"/>
  <c r="AZ22" i="2" s="1"/>
  <c r="J22" i="2"/>
  <c r="K22" i="2" s="1"/>
  <c r="I22" i="2"/>
  <c r="G22" i="2"/>
  <c r="BN21" i="2"/>
  <c r="BL21" i="2"/>
  <c r="BD21" i="2"/>
  <c r="AZ21" i="2"/>
  <c r="AY21" i="2"/>
  <c r="AX21" i="2"/>
  <c r="AU21" i="2"/>
  <c r="AS21" i="2"/>
  <c r="AO21" i="2"/>
  <c r="AN21" i="2"/>
  <c r="AM21" i="2"/>
  <c r="AK21" i="2"/>
  <c r="AF21" i="2"/>
  <c r="AG21" i="2" s="1"/>
  <c r="AE21" i="2"/>
  <c r="AC21" i="2"/>
  <c r="V21" i="2"/>
  <c r="BB21" i="2" s="1"/>
  <c r="Q21" i="2"/>
  <c r="P21" i="2"/>
  <c r="O21" i="2"/>
  <c r="N21" i="2"/>
  <c r="U21" i="2" s="1"/>
  <c r="BA21" i="2" s="1"/>
  <c r="M21" i="2"/>
  <c r="T21" i="2" s="1"/>
  <c r="K21" i="2"/>
  <c r="J21" i="2"/>
  <c r="I21" i="2"/>
  <c r="G21" i="2"/>
  <c r="BN20" i="2"/>
  <c r="BL20" i="2"/>
  <c r="BD20" i="2"/>
  <c r="AY20" i="2"/>
  <c r="AX20" i="2"/>
  <c r="AU20" i="2"/>
  <c r="AS20" i="2"/>
  <c r="AO20" i="2"/>
  <c r="AN20" i="2"/>
  <c r="AM20" i="2"/>
  <c r="AK20" i="2"/>
  <c r="AG20" i="2"/>
  <c r="AF20" i="2"/>
  <c r="AE20" i="2"/>
  <c r="AC20" i="2"/>
  <c r="V20" i="2"/>
  <c r="BB20" i="2" s="1"/>
  <c r="P20" i="2"/>
  <c r="N20" i="2"/>
  <c r="M20" i="2"/>
  <c r="AZ20" i="2" s="1"/>
  <c r="J20" i="2"/>
  <c r="K20" i="2" s="1"/>
  <c r="I20" i="2"/>
  <c r="G20" i="2"/>
  <c r="BN19" i="2"/>
  <c r="BL19" i="2"/>
  <c r="BD19" i="2"/>
  <c r="BA19" i="2"/>
  <c r="AZ19" i="2"/>
  <c r="AY19" i="2"/>
  <c r="AX19" i="2"/>
  <c r="AU19" i="2"/>
  <c r="AS19" i="2"/>
  <c r="AO19" i="2"/>
  <c r="AN19" i="2"/>
  <c r="AM19" i="2"/>
  <c r="AK19" i="2"/>
  <c r="AF19" i="2"/>
  <c r="AG19" i="2" s="1"/>
  <c r="AE19" i="2"/>
  <c r="AC19" i="2"/>
  <c r="Q19" i="2"/>
  <c r="P19" i="2"/>
  <c r="V19" i="2" s="1"/>
  <c r="BB19" i="2" s="1"/>
  <c r="N19" i="2"/>
  <c r="U19" i="2" s="1"/>
  <c r="M19" i="2"/>
  <c r="T19" i="2" s="1"/>
  <c r="K19" i="2"/>
  <c r="J19" i="2"/>
  <c r="I19" i="2"/>
  <c r="G19" i="2"/>
  <c r="BN18" i="2"/>
  <c r="BL18" i="2"/>
  <c r="BD18" i="2"/>
  <c r="AY18" i="2"/>
  <c r="AX18" i="2"/>
  <c r="AU18" i="2"/>
  <c r="AS18" i="2"/>
  <c r="AO18" i="2"/>
  <c r="AN18" i="2"/>
  <c r="AM18" i="2"/>
  <c r="AK18" i="2"/>
  <c r="AG18" i="2"/>
  <c r="AF18" i="2"/>
  <c r="AE18" i="2"/>
  <c r="AC18" i="2"/>
  <c r="V18" i="2"/>
  <c r="BB18" i="2" s="1"/>
  <c r="P18" i="2"/>
  <c r="N18" i="2"/>
  <c r="M18" i="2"/>
  <c r="T18" i="2" s="1"/>
  <c r="K18" i="2"/>
  <c r="J18" i="2"/>
  <c r="I18" i="2"/>
  <c r="G18" i="2"/>
  <c r="BN17" i="2"/>
  <c r="BL17" i="2"/>
  <c r="BD17" i="2"/>
  <c r="BA17" i="2"/>
  <c r="AZ17" i="2"/>
  <c r="AY17" i="2"/>
  <c r="AX17" i="2"/>
  <c r="AU17" i="2"/>
  <c r="AS17" i="2"/>
  <c r="AO17" i="2"/>
  <c r="AN17" i="2"/>
  <c r="AM17" i="2"/>
  <c r="AK17" i="2"/>
  <c r="AF17" i="2"/>
  <c r="AG17" i="2" s="1"/>
  <c r="AE17" i="2"/>
  <c r="AC17" i="2"/>
  <c r="P17" i="2"/>
  <c r="V17" i="2" s="1"/>
  <c r="BB17" i="2" s="1"/>
  <c r="N17" i="2"/>
  <c r="U17" i="2" s="1"/>
  <c r="M17" i="2"/>
  <c r="T17" i="2" s="1"/>
  <c r="K17" i="2"/>
  <c r="J17" i="2"/>
  <c r="I17" i="2"/>
  <c r="G17" i="2"/>
  <c r="BL16" i="2"/>
  <c r="BN16" i="2" s="1"/>
  <c r="BD16" i="2"/>
  <c r="AY16" i="2"/>
  <c r="AX16" i="2"/>
  <c r="AU16" i="2"/>
  <c r="AS16" i="2"/>
  <c r="AO16" i="2"/>
  <c r="AN16" i="2"/>
  <c r="AM16" i="2"/>
  <c r="AK16" i="2"/>
  <c r="AG16" i="2"/>
  <c r="AF16" i="2"/>
  <c r="AE16" i="2"/>
  <c r="AC16" i="2"/>
  <c r="V16" i="2"/>
  <c r="BB16" i="2" s="1"/>
  <c r="T16" i="2"/>
  <c r="Q16" i="2"/>
  <c r="P16" i="2"/>
  <c r="N16" i="2"/>
  <c r="M16" i="2"/>
  <c r="AZ16" i="2" s="1"/>
  <c r="K16" i="2"/>
  <c r="J16" i="2"/>
  <c r="I16" i="2"/>
  <c r="G16" i="2"/>
  <c r="BN15" i="2"/>
  <c r="BL15" i="2"/>
  <c r="BD15" i="2"/>
  <c r="AZ15" i="2"/>
  <c r="AY15" i="2"/>
  <c r="AX15" i="2"/>
  <c r="AU15" i="2"/>
  <c r="AS15" i="2"/>
  <c r="AO15" i="2"/>
  <c r="AN15" i="2"/>
  <c r="AM15" i="2"/>
  <c r="AK15" i="2"/>
  <c r="AF15" i="2"/>
  <c r="AG15" i="2" s="1"/>
  <c r="AE15" i="2"/>
  <c r="AC15" i="2"/>
  <c r="P15" i="2"/>
  <c r="V15" i="2" s="1"/>
  <c r="BB15" i="2" s="1"/>
  <c r="O15" i="2"/>
  <c r="N15" i="2"/>
  <c r="U15" i="2" s="1"/>
  <c r="BA15" i="2" s="1"/>
  <c r="M15" i="2"/>
  <c r="T15" i="2" s="1"/>
  <c r="K15" i="2"/>
  <c r="J15" i="2"/>
  <c r="I15" i="2"/>
  <c r="G15" i="2"/>
  <c r="BL14" i="2"/>
  <c r="BN14" i="2" s="1"/>
  <c r="BD14" i="2"/>
  <c r="AY14" i="2"/>
  <c r="AX14" i="2"/>
  <c r="AU14" i="2"/>
  <c r="AT49" i="2" s="1"/>
  <c r="AT50" i="2" s="1"/>
  <c r="AS14" i="2"/>
  <c r="AS49" i="2" s="1"/>
  <c r="AS50" i="2" s="1"/>
  <c r="AO14" i="2"/>
  <c r="AN14" i="2"/>
  <c r="AM14" i="2"/>
  <c r="AK14" i="2"/>
  <c r="AG14" i="2"/>
  <c r="AF14" i="2"/>
  <c r="AE14" i="2"/>
  <c r="AC14" i="2"/>
  <c r="V14" i="2"/>
  <c r="BB14" i="2" s="1"/>
  <c r="U14" i="2"/>
  <c r="BA14" i="2" s="1"/>
  <c r="T14" i="2"/>
  <c r="Q14" i="2"/>
  <c r="P14" i="2"/>
  <c r="N14" i="2"/>
  <c r="M14" i="2"/>
  <c r="AZ14" i="2" s="1"/>
  <c r="K14" i="2"/>
  <c r="J14" i="2"/>
  <c r="I14" i="2"/>
  <c r="G14" i="2"/>
  <c r="BN13" i="2"/>
  <c r="BL13" i="2"/>
  <c r="BD13" i="2"/>
  <c r="AZ13" i="2"/>
  <c r="AY13" i="2"/>
  <c r="AX13" i="2"/>
  <c r="AU13" i="2"/>
  <c r="AS13" i="2"/>
  <c r="AO13" i="2"/>
  <c r="AN13" i="2"/>
  <c r="AM13" i="2"/>
  <c r="AK13" i="2"/>
  <c r="AG13" i="2"/>
  <c r="AF13" i="2"/>
  <c r="AE13" i="2"/>
  <c r="AC13" i="2"/>
  <c r="V13" i="2"/>
  <c r="BB13" i="2" s="1"/>
  <c r="R13" i="2"/>
  <c r="W13" i="2" s="1"/>
  <c r="BC13" i="2" s="1"/>
  <c r="Q13" i="2"/>
  <c r="P13" i="2"/>
  <c r="N13" i="2"/>
  <c r="M13" i="2"/>
  <c r="T13" i="2" s="1"/>
  <c r="K13" i="2"/>
  <c r="J13" i="2"/>
  <c r="I13" i="2"/>
  <c r="G13" i="2"/>
  <c r="BN12" i="2"/>
  <c r="BL12" i="2"/>
  <c r="BD12" i="2"/>
  <c r="AY12" i="2"/>
  <c r="AX12" i="2"/>
  <c r="AU12" i="2"/>
  <c r="AS12" i="2"/>
  <c r="AN12" i="2"/>
  <c r="AO12" i="2" s="1"/>
  <c r="AM12" i="2"/>
  <c r="AK12" i="2"/>
  <c r="AG12" i="2"/>
  <c r="AF12" i="2"/>
  <c r="AE12" i="2"/>
  <c r="AC12" i="2"/>
  <c r="V12" i="2"/>
  <c r="BB12" i="2" s="1"/>
  <c r="U12" i="2"/>
  <c r="BA12" i="2" s="1"/>
  <c r="T12" i="2"/>
  <c r="Q12" i="2"/>
  <c r="P12" i="2"/>
  <c r="N12" i="2"/>
  <c r="N55" i="2" s="1"/>
  <c r="M12" i="2"/>
  <c r="J12" i="2"/>
  <c r="K12" i="2" s="1"/>
  <c r="I12" i="2"/>
  <c r="G12" i="2"/>
  <c r="BN11" i="2"/>
  <c r="BL11" i="2"/>
  <c r="BD11" i="2"/>
  <c r="AZ11" i="2"/>
  <c r="AY11" i="2"/>
  <c r="AX11" i="2"/>
  <c r="AU11" i="2"/>
  <c r="AS11" i="2"/>
  <c r="AN11" i="2"/>
  <c r="AO11" i="2" s="1"/>
  <c r="AM11" i="2"/>
  <c r="AK11" i="2"/>
  <c r="AG11" i="2"/>
  <c r="AF11" i="2"/>
  <c r="AE11" i="2"/>
  <c r="AC11" i="2"/>
  <c r="V11" i="2"/>
  <c r="BB11" i="2" s="1"/>
  <c r="R11" i="2"/>
  <c r="W11" i="2" s="1"/>
  <c r="BC11" i="2" s="1"/>
  <c r="P11" i="2"/>
  <c r="Q11" i="2" s="1"/>
  <c r="N11" i="2"/>
  <c r="M11" i="2"/>
  <c r="T11" i="2" s="1"/>
  <c r="K11" i="2"/>
  <c r="J11" i="2"/>
  <c r="I11" i="2"/>
  <c r="G11" i="2"/>
  <c r="BL10" i="2"/>
  <c r="BN10" i="2" s="1"/>
  <c r="BD10" i="2"/>
  <c r="AY10" i="2"/>
  <c r="AX10" i="2"/>
  <c r="AU10" i="2"/>
  <c r="AS10" i="2"/>
  <c r="AO10" i="2"/>
  <c r="AN10" i="2"/>
  <c r="AM10" i="2"/>
  <c r="AK10" i="2"/>
  <c r="AG10" i="2"/>
  <c r="AF10" i="2"/>
  <c r="AE10" i="2"/>
  <c r="AC10" i="2"/>
  <c r="V10" i="2"/>
  <c r="BB10" i="2" s="1"/>
  <c r="U10" i="2"/>
  <c r="BA10" i="2" s="1"/>
  <c r="P10" i="2"/>
  <c r="N10" i="2"/>
  <c r="M10" i="2"/>
  <c r="J10" i="2"/>
  <c r="K10" i="2" s="1"/>
  <c r="I10" i="2"/>
  <c r="G10" i="2"/>
  <c r="BN9" i="2"/>
  <c r="BL9" i="2"/>
  <c r="BD9" i="2"/>
  <c r="AZ9" i="2"/>
  <c r="AY9" i="2"/>
  <c r="AX9" i="2"/>
  <c r="AU9" i="2"/>
  <c r="AS9" i="2"/>
  <c r="AN9" i="2"/>
  <c r="AO9" i="2" s="1"/>
  <c r="AM9" i="2"/>
  <c r="AK9" i="2"/>
  <c r="AF9" i="2"/>
  <c r="AG9" i="2" s="1"/>
  <c r="AE9" i="2"/>
  <c r="AC9" i="2"/>
  <c r="V9" i="2"/>
  <c r="BB9" i="2" s="1"/>
  <c r="P9" i="2"/>
  <c r="O9" i="2"/>
  <c r="N9" i="2"/>
  <c r="M9" i="2"/>
  <c r="M52" i="2" s="1"/>
  <c r="K9" i="2"/>
  <c r="J9" i="2"/>
  <c r="I9" i="2"/>
  <c r="G9" i="2"/>
  <c r="BL8" i="2"/>
  <c r="BN8" i="2" s="1"/>
  <c r="BD8" i="2"/>
  <c r="AY8" i="2"/>
  <c r="AX8" i="2"/>
  <c r="AU8" i="2"/>
  <c r="AS8" i="2"/>
  <c r="AO8" i="2"/>
  <c r="AN8" i="2"/>
  <c r="AM8" i="2"/>
  <c r="AK8" i="2"/>
  <c r="AG8" i="2"/>
  <c r="AF8" i="2"/>
  <c r="AE8" i="2"/>
  <c r="AC8" i="2"/>
  <c r="V8" i="2"/>
  <c r="BB8" i="2" s="1"/>
  <c r="P8" i="2"/>
  <c r="N8" i="2"/>
  <c r="M8" i="2"/>
  <c r="T8" i="2" s="1"/>
  <c r="J8" i="2"/>
  <c r="K8" i="2" s="1"/>
  <c r="I8" i="2"/>
  <c r="G8" i="2"/>
  <c r="BN7" i="2"/>
  <c r="BL7" i="2"/>
  <c r="BD7" i="2"/>
  <c r="AZ7" i="2"/>
  <c r="AY7" i="2"/>
  <c r="AX7" i="2"/>
  <c r="AU7" i="2"/>
  <c r="AS7" i="2"/>
  <c r="AO7" i="2"/>
  <c r="AN7" i="2"/>
  <c r="AM7" i="2"/>
  <c r="AK7" i="2"/>
  <c r="AF7" i="2"/>
  <c r="AG7" i="2" s="1"/>
  <c r="AE7" i="2"/>
  <c r="AC7" i="2"/>
  <c r="Q7" i="2"/>
  <c r="P7" i="2"/>
  <c r="O50" i="2" s="1"/>
  <c r="N7" i="2"/>
  <c r="O7" i="2" s="1"/>
  <c r="M7" i="2"/>
  <c r="T7" i="2" s="1"/>
  <c r="K7" i="2"/>
  <c r="J7" i="2"/>
  <c r="I7" i="2"/>
  <c r="G7" i="2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N6" i="2"/>
  <c r="BL6" i="2"/>
  <c r="BD6" i="2"/>
  <c r="AY6" i="2"/>
  <c r="AX6" i="2"/>
  <c r="AU6" i="2"/>
  <c r="AS6" i="2"/>
  <c r="AO6" i="2"/>
  <c r="AN6" i="2"/>
  <c r="AM6" i="2"/>
  <c r="AK6" i="2"/>
  <c r="AG6" i="2"/>
  <c r="AF6" i="2"/>
  <c r="AE6" i="2"/>
  <c r="AC6" i="2"/>
  <c r="V6" i="2"/>
  <c r="BB6" i="2" s="1"/>
  <c r="P6" i="2"/>
  <c r="N6" i="2"/>
  <c r="M6" i="2"/>
  <c r="AZ6" i="2" s="1"/>
  <c r="K6" i="2"/>
  <c r="J6" i="2"/>
  <c r="I6" i="2"/>
  <c r="G6" i="2"/>
  <c r="BN5" i="2"/>
  <c r="BL5" i="2"/>
  <c r="BD5" i="2"/>
  <c r="AZ5" i="2"/>
  <c r="AY5" i="2"/>
  <c r="AX5" i="2"/>
  <c r="AU5" i="2"/>
  <c r="AS5" i="2"/>
  <c r="AO5" i="2"/>
  <c r="AN5" i="2"/>
  <c r="AM5" i="2"/>
  <c r="AK5" i="2"/>
  <c r="AF5" i="2"/>
  <c r="AF36" i="2" s="1"/>
  <c r="AG36" i="2" s="1"/>
  <c r="AE5" i="2"/>
  <c r="AC5" i="2"/>
  <c r="P5" i="2"/>
  <c r="Q5" i="2" s="1"/>
  <c r="N5" i="2"/>
  <c r="N36" i="2" s="1"/>
  <c r="M5" i="2"/>
  <c r="T5" i="2" s="1"/>
  <c r="I5" i="2"/>
  <c r="G5" i="2"/>
  <c r="F5" i="2"/>
  <c r="B5" i="2"/>
  <c r="B6" i="2" s="1"/>
  <c r="O77" i="1"/>
  <c r="N77" i="1"/>
  <c r="G77" i="1"/>
  <c r="F77" i="1"/>
  <c r="Q76" i="1"/>
  <c r="Q77" i="1" s="1"/>
  <c r="P76" i="1"/>
  <c r="P77" i="1" s="1"/>
  <c r="O76" i="1"/>
  <c r="N76" i="1"/>
  <c r="I76" i="1"/>
  <c r="I77" i="1" s="1"/>
  <c r="H76" i="1"/>
  <c r="H77" i="1" s="1"/>
  <c r="G76" i="1"/>
  <c r="F76" i="1"/>
  <c r="BL70" i="1"/>
  <c r="BK70" i="1"/>
  <c r="BJ70" i="1"/>
  <c r="BK69" i="1"/>
  <c r="BJ69" i="1"/>
  <c r="BL69" i="1" s="1"/>
  <c r="BK68" i="1"/>
  <c r="BJ68" i="1"/>
  <c r="BL68" i="1" s="1"/>
  <c r="BK67" i="1"/>
  <c r="BL67" i="1" s="1"/>
  <c r="BJ67" i="1"/>
  <c r="BK66" i="1"/>
  <c r="BJ66" i="1"/>
  <c r="BL66" i="1" s="1"/>
  <c r="BK65" i="1"/>
  <c r="BJ65" i="1"/>
  <c r="BL65" i="1" s="1"/>
  <c r="BK64" i="1"/>
  <c r="BJ64" i="1"/>
  <c r="BL64" i="1" s="1"/>
  <c r="BK63" i="1"/>
  <c r="BJ63" i="1"/>
  <c r="BL63" i="1" s="1"/>
  <c r="BK62" i="1"/>
  <c r="BL62" i="1" s="1"/>
  <c r="BJ62" i="1"/>
  <c r="BK61" i="1"/>
  <c r="BJ61" i="1"/>
  <c r="BL61" i="1" s="1"/>
  <c r="BL60" i="1"/>
  <c r="BK60" i="1"/>
  <c r="BJ60" i="1"/>
  <c r="BK59" i="1"/>
  <c r="BJ59" i="1"/>
  <c r="BL59" i="1" s="1"/>
  <c r="BK58" i="1"/>
  <c r="BJ58" i="1"/>
  <c r="BJ71" i="1" s="1"/>
  <c r="BK57" i="1"/>
  <c r="BJ57" i="1"/>
  <c r="BL57" i="1" s="1"/>
  <c r="BA57" i="1"/>
  <c r="N57" i="1"/>
  <c r="G57" i="1"/>
  <c r="F57" i="1"/>
  <c r="E57" i="1"/>
  <c r="BK56" i="1"/>
  <c r="BL56" i="1" s="1"/>
  <c r="BJ56" i="1"/>
  <c r="Y56" i="1"/>
  <c r="X57" i="1" s="1"/>
  <c r="X56" i="1"/>
  <c r="G56" i="1"/>
  <c r="F56" i="1"/>
  <c r="E56" i="1"/>
  <c r="BK55" i="1"/>
  <c r="BJ55" i="1"/>
  <c r="BL55" i="1" s="1"/>
  <c r="AY55" i="1"/>
  <c r="G55" i="1"/>
  <c r="F55" i="1"/>
  <c r="E55" i="1"/>
  <c r="BK54" i="1"/>
  <c r="BJ54" i="1"/>
  <c r="Y54" i="1"/>
  <c r="X55" i="1" s="1"/>
  <c r="X54" i="1"/>
  <c r="G54" i="1"/>
  <c r="F54" i="1"/>
  <c r="E54" i="1"/>
  <c r="BL53" i="1"/>
  <c r="BK53" i="1"/>
  <c r="BJ53" i="1"/>
  <c r="G53" i="1"/>
  <c r="F53" i="1"/>
  <c r="E53" i="1"/>
  <c r="BL52" i="1"/>
  <c r="BK52" i="1"/>
  <c r="BJ52" i="1"/>
  <c r="Y52" i="1"/>
  <c r="Y58" i="1" s="1"/>
  <c r="X52" i="1"/>
  <c r="G52" i="1"/>
  <c r="F52" i="1"/>
  <c r="E52" i="1"/>
  <c r="BK51" i="1"/>
  <c r="BJ51" i="1"/>
  <c r="BL51" i="1" s="1"/>
  <c r="G51" i="1"/>
  <c r="F51" i="1"/>
  <c r="E51" i="1"/>
  <c r="BK50" i="1"/>
  <c r="BJ50" i="1"/>
  <c r="BL50" i="1" s="1"/>
  <c r="AR50" i="1"/>
  <c r="AX49" i="1"/>
  <c r="AT49" i="1"/>
  <c r="AT50" i="1" s="1"/>
  <c r="AR49" i="1"/>
  <c r="AF49" i="1"/>
  <c r="S48" i="1"/>
  <c r="Q48" i="1"/>
  <c r="K48" i="1"/>
  <c r="I48" i="1"/>
  <c r="K46" i="1"/>
  <c r="AG46" i="1" s="1"/>
  <c r="AO46" i="1" s="1"/>
  <c r="AY46" i="1" s="1"/>
  <c r="AW47" i="1" s="1"/>
  <c r="BI45" i="1"/>
  <c r="W45" i="1"/>
  <c r="BI44" i="1"/>
  <c r="BC44" i="1"/>
  <c r="BG43" i="1"/>
  <c r="BI43" i="1" s="1"/>
  <c r="V41" i="1"/>
  <c r="AR38" i="1"/>
  <c r="AB38" i="1"/>
  <c r="AJ38" i="1" s="1"/>
  <c r="O38" i="1"/>
  <c r="U38" i="1" s="1"/>
  <c r="AW37" i="1"/>
  <c r="AV37" i="1"/>
  <c r="AR37" i="1"/>
  <c r="AS37" i="1" s="1"/>
  <c r="AL37" i="1"/>
  <c r="AM37" i="1" s="1"/>
  <c r="AJ37" i="1"/>
  <c r="AK37" i="1" s="1"/>
  <c r="H37" i="1"/>
  <c r="I37" i="1" s="1"/>
  <c r="BK36" i="1"/>
  <c r="BJ36" i="1"/>
  <c r="BI36" i="1"/>
  <c r="BH36" i="1"/>
  <c r="BG36" i="1"/>
  <c r="BF36" i="1"/>
  <c r="BE36" i="1"/>
  <c r="AW36" i="1"/>
  <c r="AV36" i="1"/>
  <c r="AT36" i="1"/>
  <c r="AT37" i="1" s="1"/>
  <c r="AU37" i="1" s="1"/>
  <c r="AR36" i="1"/>
  <c r="AQ36" i="1"/>
  <c r="AP36" i="1"/>
  <c r="AL36" i="1"/>
  <c r="AJ36" i="1"/>
  <c r="AI36" i="1"/>
  <c r="AH36" i="1"/>
  <c r="AD36" i="1"/>
  <c r="AE36" i="1" s="1"/>
  <c r="AB36" i="1"/>
  <c r="AC36" i="1" s="1"/>
  <c r="Z36" i="1"/>
  <c r="Y36" i="1"/>
  <c r="X36" i="1"/>
  <c r="L36" i="1"/>
  <c r="H36" i="1"/>
  <c r="I36" i="1" s="1"/>
  <c r="E36" i="1"/>
  <c r="F38" i="1" s="1"/>
  <c r="D36" i="1"/>
  <c r="C36" i="1"/>
  <c r="BN35" i="1"/>
  <c r="BL35" i="1"/>
  <c r="BD35" i="1"/>
  <c r="AY35" i="1"/>
  <c r="AX35" i="1"/>
  <c r="AU35" i="1"/>
  <c r="AS35" i="1"/>
  <c r="AO35" i="1"/>
  <c r="AN35" i="1"/>
  <c r="AM35" i="1"/>
  <c r="AK35" i="1"/>
  <c r="AG35" i="1"/>
  <c r="AF35" i="1"/>
  <c r="AE35" i="1"/>
  <c r="AC35" i="1"/>
  <c r="V35" i="1"/>
  <c r="BB35" i="1" s="1"/>
  <c r="P35" i="1"/>
  <c r="N35" i="1"/>
  <c r="U35" i="1" s="1"/>
  <c r="BA35" i="1" s="1"/>
  <c r="M35" i="1"/>
  <c r="K35" i="1"/>
  <c r="J35" i="1"/>
  <c r="I35" i="1"/>
  <c r="G35" i="1"/>
  <c r="BN34" i="1"/>
  <c r="BL34" i="1"/>
  <c r="BD34" i="1"/>
  <c r="BB34" i="1"/>
  <c r="AY34" i="1"/>
  <c r="AX34" i="1"/>
  <c r="AU34" i="1"/>
  <c r="AS34" i="1"/>
  <c r="AN34" i="1"/>
  <c r="AO34" i="1" s="1"/>
  <c r="AM34" i="1"/>
  <c r="AK34" i="1"/>
  <c r="AG34" i="1"/>
  <c r="AF34" i="1"/>
  <c r="AE34" i="1"/>
  <c r="AC34" i="1"/>
  <c r="V34" i="1"/>
  <c r="R34" i="1"/>
  <c r="W34" i="1" s="1"/>
  <c r="BC34" i="1" s="1"/>
  <c r="Q34" i="1"/>
  <c r="P34" i="1"/>
  <c r="N34" i="1"/>
  <c r="O34" i="1" s="1"/>
  <c r="M34" i="1"/>
  <c r="AZ34" i="1" s="1"/>
  <c r="K34" i="1"/>
  <c r="J34" i="1"/>
  <c r="I34" i="1"/>
  <c r="G34" i="1"/>
  <c r="BN33" i="1"/>
  <c r="BL33" i="1"/>
  <c r="BD33" i="1"/>
  <c r="AY33" i="1"/>
  <c r="AX33" i="1"/>
  <c r="AU33" i="1"/>
  <c r="AS33" i="1"/>
  <c r="AO33" i="1"/>
  <c r="AN33" i="1"/>
  <c r="AM33" i="1"/>
  <c r="AK33" i="1"/>
  <c r="AG33" i="1"/>
  <c r="AF33" i="1"/>
  <c r="AE33" i="1"/>
  <c r="AC33" i="1"/>
  <c r="V33" i="1"/>
  <c r="BB33" i="1" s="1"/>
  <c r="P33" i="1"/>
  <c r="N33" i="1"/>
  <c r="U33" i="1" s="1"/>
  <c r="BA33" i="1" s="1"/>
  <c r="M33" i="1"/>
  <c r="T33" i="1" s="1"/>
  <c r="K33" i="1"/>
  <c r="J33" i="1"/>
  <c r="I33" i="1"/>
  <c r="G33" i="1"/>
  <c r="BL32" i="1"/>
  <c r="BD32" i="1"/>
  <c r="BA32" i="1"/>
  <c r="AZ32" i="1"/>
  <c r="AY32" i="1"/>
  <c r="AX32" i="1"/>
  <c r="AU32" i="1"/>
  <c r="AS32" i="1"/>
  <c r="AO32" i="1"/>
  <c r="AN32" i="1"/>
  <c r="AM32" i="1"/>
  <c r="AK32" i="1"/>
  <c r="AF32" i="1"/>
  <c r="AG32" i="1" s="1"/>
  <c r="AE32" i="1"/>
  <c r="AC32" i="1"/>
  <c r="U32" i="1"/>
  <c r="P32" i="1"/>
  <c r="N32" i="1"/>
  <c r="O32" i="1" s="1"/>
  <c r="M32" i="1"/>
  <c r="T32" i="1" s="1"/>
  <c r="J32" i="1"/>
  <c r="I32" i="1"/>
  <c r="G32" i="1"/>
  <c r="BL31" i="1"/>
  <c r="BN31" i="1" s="1"/>
  <c r="BD31" i="1"/>
  <c r="AY31" i="1"/>
  <c r="AX31" i="1"/>
  <c r="AU31" i="1"/>
  <c r="AS31" i="1"/>
  <c r="AO31" i="1"/>
  <c r="AN31" i="1"/>
  <c r="AM31" i="1"/>
  <c r="AK31" i="1"/>
  <c r="AG31" i="1"/>
  <c r="AF31" i="1"/>
  <c r="AE31" i="1"/>
  <c r="AC31" i="1"/>
  <c r="V31" i="1"/>
  <c r="BB31" i="1" s="1"/>
  <c r="U31" i="1"/>
  <c r="BA31" i="1" s="1"/>
  <c r="P31" i="1"/>
  <c r="N31" i="1"/>
  <c r="R31" i="1" s="1"/>
  <c r="M31" i="1"/>
  <c r="T31" i="1" s="1"/>
  <c r="J31" i="1"/>
  <c r="I31" i="1"/>
  <c r="G31" i="1"/>
  <c r="BN30" i="1"/>
  <c r="BL30" i="1"/>
  <c r="BD30" i="1"/>
  <c r="BA30" i="1"/>
  <c r="AZ30" i="1"/>
  <c r="AY30" i="1"/>
  <c r="AX30" i="1"/>
  <c r="AU30" i="1"/>
  <c r="AS30" i="1"/>
  <c r="AO30" i="1"/>
  <c r="AN30" i="1"/>
  <c r="AM30" i="1"/>
  <c r="AK30" i="1"/>
  <c r="AF30" i="1"/>
  <c r="AG30" i="1" s="1"/>
  <c r="AE30" i="1"/>
  <c r="AC30" i="1"/>
  <c r="U30" i="1"/>
  <c r="P30" i="1"/>
  <c r="N30" i="1"/>
  <c r="O30" i="1" s="1"/>
  <c r="M30" i="1"/>
  <c r="T30" i="1" s="1"/>
  <c r="K30" i="1"/>
  <c r="J30" i="1"/>
  <c r="I30" i="1"/>
  <c r="G30" i="1"/>
  <c r="BL29" i="1"/>
  <c r="BN29" i="1" s="1"/>
  <c r="BD29" i="1"/>
  <c r="AY29" i="1"/>
  <c r="AX29" i="1"/>
  <c r="AU29" i="1"/>
  <c r="AS29" i="1"/>
  <c r="AO29" i="1"/>
  <c r="AN29" i="1"/>
  <c r="AM29" i="1"/>
  <c r="AK29" i="1"/>
  <c r="AG29" i="1"/>
  <c r="AF29" i="1"/>
  <c r="AE29" i="1"/>
  <c r="AC29" i="1"/>
  <c r="V29" i="1"/>
  <c r="BB29" i="1" s="1"/>
  <c r="U29" i="1"/>
  <c r="BA29" i="1" s="1"/>
  <c r="P29" i="1"/>
  <c r="N29" i="1"/>
  <c r="R29" i="1" s="1"/>
  <c r="M29" i="1"/>
  <c r="T29" i="1" s="1"/>
  <c r="K29" i="1"/>
  <c r="J29" i="1"/>
  <c r="W29" i="1" s="1"/>
  <c r="BC29" i="1" s="1"/>
  <c r="I29" i="1"/>
  <c r="G29" i="1"/>
  <c r="BN28" i="1"/>
  <c r="BL28" i="1"/>
  <c r="BD28" i="1"/>
  <c r="BA28" i="1"/>
  <c r="AZ28" i="1"/>
  <c r="AY28" i="1"/>
  <c r="AX28" i="1"/>
  <c r="AU28" i="1"/>
  <c r="AS28" i="1"/>
  <c r="AO28" i="1"/>
  <c r="AN28" i="1"/>
  <c r="AM28" i="1"/>
  <c r="AK28" i="1"/>
  <c r="AF28" i="1"/>
  <c r="AG28" i="1" s="1"/>
  <c r="AE28" i="1"/>
  <c r="AC28" i="1"/>
  <c r="U28" i="1"/>
  <c r="P28" i="1"/>
  <c r="N28" i="1"/>
  <c r="M28" i="1"/>
  <c r="O28" i="1" s="1"/>
  <c r="K28" i="1"/>
  <c r="J28" i="1"/>
  <c r="I28" i="1"/>
  <c r="G28" i="1"/>
  <c r="BN27" i="1"/>
  <c r="BL27" i="1"/>
  <c r="BD27" i="1"/>
  <c r="AY27" i="1"/>
  <c r="AX27" i="1"/>
  <c r="AU27" i="1"/>
  <c r="AS27" i="1"/>
  <c r="AO27" i="1"/>
  <c r="AN27" i="1"/>
  <c r="AM27" i="1"/>
  <c r="AK27" i="1"/>
  <c r="AG27" i="1"/>
  <c r="AF27" i="1"/>
  <c r="AE27" i="1"/>
  <c r="AC27" i="1"/>
  <c r="V27" i="1"/>
  <c r="BB27" i="1" s="1"/>
  <c r="U27" i="1"/>
  <c r="BA27" i="1" s="1"/>
  <c r="P27" i="1"/>
  <c r="N27" i="1"/>
  <c r="R27" i="1" s="1"/>
  <c r="M27" i="1"/>
  <c r="T27" i="1" s="1"/>
  <c r="K27" i="1"/>
  <c r="J27" i="1"/>
  <c r="W27" i="1" s="1"/>
  <c r="BC27" i="1" s="1"/>
  <c r="I27" i="1"/>
  <c r="G27" i="1"/>
  <c r="BN26" i="1"/>
  <c r="BL26" i="1"/>
  <c r="BD26" i="1"/>
  <c r="BA26" i="1"/>
  <c r="AZ26" i="1"/>
  <c r="AY26" i="1"/>
  <c r="AX26" i="1"/>
  <c r="AU26" i="1"/>
  <c r="AS26" i="1"/>
  <c r="AO26" i="1"/>
  <c r="AN26" i="1"/>
  <c r="AM26" i="1"/>
  <c r="AK26" i="1"/>
  <c r="AF26" i="1"/>
  <c r="AG26" i="1" s="1"/>
  <c r="AE26" i="1"/>
  <c r="AC26" i="1"/>
  <c r="U26" i="1"/>
  <c r="P26" i="1"/>
  <c r="N26" i="1"/>
  <c r="O26" i="1" s="1"/>
  <c r="M26" i="1"/>
  <c r="T26" i="1" s="1"/>
  <c r="K26" i="1"/>
  <c r="J26" i="1"/>
  <c r="I26" i="1"/>
  <c r="G26" i="1"/>
  <c r="BN25" i="1"/>
  <c r="BL25" i="1"/>
  <c r="BD25" i="1"/>
  <c r="AY25" i="1"/>
  <c r="AX25" i="1"/>
  <c r="AU25" i="1"/>
  <c r="AS25" i="1"/>
  <c r="AO25" i="1"/>
  <c r="AN25" i="1"/>
  <c r="AM25" i="1"/>
  <c r="AK25" i="1"/>
  <c r="AG25" i="1"/>
  <c r="AF25" i="1"/>
  <c r="AE25" i="1"/>
  <c r="AC25" i="1"/>
  <c r="V25" i="1"/>
  <c r="BB25" i="1" s="1"/>
  <c r="U25" i="1"/>
  <c r="BA25" i="1" s="1"/>
  <c r="P25" i="1"/>
  <c r="N25" i="1"/>
  <c r="R25" i="1" s="1"/>
  <c r="M25" i="1"/>
  <c r="T25" i="1" s="1"/>
  <c r="K25" i="1"/>
  <c r="J25" i="1"/>
  <c r="W25" i="1" s="1"/>
  <c r="BC25" i="1" s="1"/>
  <c r="I25" i="1"/>
  <c r="G25" i="1"/>
  <c r="BN24" i="1"/>
  <c r="BL24" i="1"/>
  <c r="BD24" i="1"/>
  <c r="BA24" i="1"/>
  <c r="AZ24" i="1"/>
  <c r="AY24" i="1"/>
  <c r="AX24" i="1"/>
  <c r="AU24" i="1"/>
  <c r="AS24" i="1"/>
  <c r="AO24" i="1"/>
  <c r="AN24" i="1"/>
  <c r="AM24" i="1"/>
  <c r="AK24" i="1"/>
  <c r="AF24" i="1"/>
  <c r="AG24" i="1" s="1"/>
  <c r="AE24" i="1"/>
  <c r="AC24" i="1"/>
  <c r="U24" i="1"/>
  <c r="T24" i="1"/>
  <c r="P24" i="1"/>
  <c r="Q24" i="1" s="1"/>
  <c r="O24" i="1"/>
  <c r="N24" i="1"/>
  <c r="J24" i="1"/>
  <c r="I24" i="1"/>
  <c r="G24" i="1"/>
  <c r="BL23" i="1"/>
  <c r="BN23" i="1" s="1"/>
  <c r="BD23" i="1"/>
  <c r="AZ23" i="1"/>
  <c r="AY23" i="1"/>
  <c r="AX23" i="1"/>
  <c r="AU23" i="1"/>
  <c r="AS23" i="1"/>
  <c r="AO23" i="1"/>
  <c r="AN23" i="1"/>
  <c r="AM23" i="1"/>
  <c r="AK23" i="1"/>
  <c r="AF23" i="1"/>
  <c r="AG23" i="1" s="1"/>
  <c r="AE23" i="1"/>
  <c r="AC23" i="1"/>
  <c r="V23" i="1"/>
  <c r="BB23" i="1" s="1"/>
  <c r="U23" i="1"/>
  <c r="BA23" i="1" s="1"/>
  <c r="T23" i="1"/>
  <c r="P23" i="1"/>
  <c r="Q23" i="1" s="1"/>
  <c r="O23" i="1"/>
  <c r="N23" i="1"/>
  <c r="R23" i="1" s="1"/>
  <c r="M23" i="1"/>
  <c r="S23" i="1" s="1"/>
  <c r="J23" i="1"/>
  <c r="I23" i="1"/>
  <c r="G23" i="1"/>
  <c r="BL22" i="1"/>
  <c r="BN22" i="1" s="1"/>
  <c r="BD22" i="1"/>
  <c r="BA22" i="1"/>
  <c r="AZ22" i="1"/>
  <c r="AY22" i="1"/>
  <c r="AX22" i="1"/>
  <c r="AU22" i="1"/>
  <c r="AS22" i="1"/>
  <c r="AO22" i="1"/>
  <c r="AN22" i="1"/>
  <c r="AM22" i="1"/>
  <c r="AK22" i="1"/>
  <c r="AF22" i="1"/>
  <c r="AG22" i="1" s="1"/>
  <c r="AE22" i="1"/>
  <c r="AC22" i="1"/>
  <c r="U22" i="1"/>
  <c r="T22" i="1"/>
  <c r="P22" i="1"/>
  <c r="O22" i="1"/>
  <c r="N22" i="1"/>
  <c r="M22" i="1"/>
  <c r="J22" i="1"/>
  <c r="I22" i="1"/>
  <c r="G22" i="1"/>
  <c r="BL21" i="1"/>
  <c r="BN21" i="1" s="1"/>
  <c r="BD21" i="1"/>
  <c r="AZ21" i="1"/>
  <c r="AY21" i="1"/>
  <c r="AX21" i="1"/>
  <c r="AU21" i="1"/>
  <c r="AS21" i="1"/>
  <c r="AO21" i="1"/>
  <c r="AN21" i="1"/>
  <c r="AM21" i="1"/>
  <c r="AK21" i="1"/>
  <c r="AF21" i="1"/>
  <c r="AG21" i="1" s="1"/>
  <c r="AE21" i="1"/>
  <c r="AC21" i="1"/>
  <c r="V21" i="1"/>
  <c r="BB21" i="1" s="1"/>
  <c r="U21" i="1"/>
  <c r="BA21" i="1" s="1"/>
  <c r="T21" i="1"/>
  <c r="P21" i="1"/>
  <c r="Q21" i="1" s="1"/>
  <c r="O21" i="1"/>
  <c r="N21" i="1"/>
  <c r="R21" i="1" s="1"/>
  <c r="M21" i="1"/>
  <c r="S21" i="1" s="1"/>
  <c r="J21" i="1"/>
  <c r="I21" i="1"/>
  <c r="G21" i="1"/>
  <c r="BL20" i="1"/>
  <c r="BN20" i="1" s="1"/>
  <c r="BD20" i="1"/>
  <c r="BA20" i="1"/>
  <c r="AZ20" i="1"/>
  <c r="AY20" i="1"/>
  <c r="AX20" i="1"/>
  <c r="AU20" i="1"/>
  <c r="AS20" i="1"/>
  <c r="AO20" i="1"/>
  <c r="AN20" i="1"/>
  <c r="AM20" i="1"/>
  <c r="AK20" i="1"/>
  <c r="AF20" i="1"/>
  <c r="AG20" i="1" s="1"/>
  <c r="AE20" i="1"/>
  <c r="AC20" i="1"/>
  <c r="U20" i="1"/>
  <c r="T20" i="1"/>
  <c r="P20" i="1"/>
  <c r="O56" i="1" s="1"/>
  <c r="O20" i="1"/>
  <c r="N20" i="1"/>
  <c r="M20" i="1"/>
  <c r="J20" i="1"/>
  <c r="I20" i="1"/>
  <c r="G20" i="1"/>
  <c r="BL19" i="1"/>
  <c r="BN19" i="1" s="1"/>
  <c r="BD19" i="1"/>
  <c r="AZ19" i="1"/>
  <c r="AY19" i="1"/>
  <c r="AX19" i="1"/>
  <c r="AU19" i="1"/>
  <c r="AS19" i="1"/>
  <c r="AO19" i="1"/>
  <c r="AN19" i="1"/>
  <c r="AM19" i="1"/>
  <c r="AK19" i="1"/>
  <c r="AF19" i="1"/>
  <c r="AG19" i="1" s="1"/>
  <c r="AE19" i="1"/>
  <c r="AC19" i="1"/>
  <c r="V19" i="1"/>
  <c r="BB19" i="1" s="1"/>
  <c r="U19" i="1"/>
  <c r="BA19" i="1" s="1"/>
  <c r="T19" i="1"/>
  <c r="P19" i="1"/>
  <c r="Q19" i="1" s="1"/>
  <c r="O19" i="1"/>
  <c r="N19" i="1"/>
  <c r="R19" i="1" s="1"/>
  <c r="M19" i="1"/>
  <c r="S19" i="1" s="1"/>
  <c r="J19" i="1"/>
  <c r="I19" i="1"/>
  <c r="G19" i="1"/>
  <c r="BL18" i="1"/>
  <c r="BN18" i="1" s="1"/>
  <c r="BD18" i="1"/>
  <c r="BA18" i="1"/>
  <c r="AZ18" i="1"/>
  <c r="AY18" i="1"/>
  <c r="AX18" i="1"/>
  <c r="AU18" i="1"/>
  <c r="AS18" i="1"/>
  <c r="AO18" i="1"/>
  <c r="AN18" i="1"/>
  <c r="AM18" i="1"/>
  <c r="AK18" i="1"/>
  <c r="AF18" i="1"/>
  <c r="AG18" i="1" s="1"/>
  <c r="AE18" i="1"/>
  <c r="AC18" i="1"/>
  <c r="U18" i="1"/>
  <c r="T18" i="1"/>
  <c r="P18" i="1"/>
  <c r="O18" i="1"/>
  <c r="N18" i="1"/>
  <c r="M18" i="1"/>
  <c r="J18" i="1"/>
  <c r="I18" i="1"/>
  <c r="G18" i="1"/>
  <c r="BL17" i="1"/>
  <c r="BN17" i="1" s="1"/>
  <c r="BD17" i="1"/>
  <c r="AZ17" i="1"/>
  <c r="AY17" i="1"/>
  <c r="AX17" i="1"/>
  <c r="AU17" i="1"/>
  <c r="AS17" i="1"/>
  <c r="AO17" i="1"/>
  <c r="AN17" i="1"/>
  <c r="AM17" i="1"/>
  <c r="AK17" i="1"/>
  <c r="AF17" i="1"/>
  <c r="AG17" i="1" s="1"/>
  <c r="AE17" i="1"/>
  <c r="AC17" i="1"/>
  <c r="V17" i="1"/>
  <c r="BB17" i="1" s="1"/>
  <c r="U17" i="1"/>
  <c r="BA17" i="1" s="1"/>
  <c r="T17" i="1"/>
  <c r="P17" i="1"/>
  <c r="Q17" i="1" s="1"/>
  <c r="O17" i="1"/>
  <c r="N17" i="1"/>
  <c r="R17" i="1" s="1"/>
  <c r="M17" i="1"/>
  <c r="S17" i="1" s="1"/>
  <c r="J17" i="1"/>
  <c r="I17" i="1"/>
  <c r="G17" i="1"/>
  <c r="BL16" i="1"/>
  <c r="BN16" i="1" s="1"/>
  <c r="BD16" i="1"/>
  <c r="BA16" i="1"/>
  <c r="AZ16" i="1"/>
  <c r="AY16" i="1"/>
  <c r="AX16" i="1"/>
  <c r="AU16" i="1"/>
  <c r="AS16" i="1"/>
  <c r="AO16" i="1"/>
  <c r="AN16" i="1"/>
  <c r="AM16" i="1"/>
  <c r="AK16" i="1"/>
  <c r="AF16" i="1"/>
  <c r="AG16" i="1" s="1"/>
  <c r="AE16" i="1"/>
  <c r="AC16" i="1"/>
  <c r="U16" i="1"/>
  <c r="T16" i="1"/>
  <c r="P16" i="1"/>
  <c r="O16" i="1"/>
  <c r="N16" i="1"/>
  <c r="M16" i="1"/>
  <c r="J16" i="1"/>
  <c r="I16" i="1"/>
  <c r="G16" i="1"/>
  <c r="BL15" i="1"/>
  <c r="BN15" i="1" s="1"/>
  <c r="BD15" i="1"/>
  <c r="AZ15" i="1"/>
  <c r="AY15" i="1"/>
  <c r="AX15" i="1"/>
  <c r="AU15" i="1"/>
  <c r="AS15" i="1"/>
  <c r="AN15" i="1"/>
  <c r="AO15" i="1" s="1"/>
  <c r="AM15" i="1"/>
  <c r="AK15" i="1"/>
  <c r="AF15" i="1"/>
  <c r="AG15" i="1" s="1"/>
  <c r="AE15" i="1"/>
  <c r="AC15" i="1"/>
  <c r="V15" i="1"/>
  <c r="BB15" i="1" s="1"/>
  <c r="U15" i="1"/>
  <c r="BA15" i="1" s="1"/>
  <c r="T15" i="1"/>
  <c r="P15" i="1"/>
  <c r="Q15" i="1" s="1"/>
  <c r="O15" i="1"/>
  <c r="N15" i="1"/>
  <c r="R15" i="1" s="1"/>
  <c r="M15" i="1"/>
  <c r="J15" i="1"/>
  <c r="I15" i="1"/>
  <c r="G15" i="1"/>
  <c r="BL14" i="1"/>
  <c r="BN14" i="1" s="1"/>
  <c r="BD14" i="1"/>
  <c r="BA14" i="1"/>
  <c r="AZ14" i="1"/>
  <c r="AY14" i="1"/>
  <c r="AX14" i="1"/>
  <c r="AU14" i="1"/>
  <c r="AS14" i="1"/>
  <c r="AS49" i="1" s="1"/>
  <c r="AS50" i="1" s="1"/>
  <c r="AO14" i="1"/>
  <c r="AN14" i="1"/>
  <c r="AM14" i="1"/>
  <c r="AK14" i="1"/>
  <c r="AF14" i="1"/>
  <c r="AG14" i="1" s="1"/>
  <c r="AE14" i="1"/>
  <c r="AC14" i="1"/>
  <c r="U14" i="1"/>
  <c r="T14" i="1"/>
  <c r="P14" i="1"/>
  <c r="O14" i="1"/>
  <c r="N14" i="1"/>
  <c r="M14" i="1"/>
  <c r="J14" i="1"/>
  <c r="I14" i="1"/>
  <c r="G14" i="1"/>
  <c r="BL13" i="1"/>
  <c r="BN13" i="1" s="1"/>
  <c r="BD13" i="1"/>
  <c r="AZ13" i="1"/>
  <c r="AY13" i="1"/>
  <c r="AX13" i="1"/>
  <c r="AU13" i="1"/>
  <c r="AS13" i="1"/>
  <c r="AO13" i="1"/>
  <c r="AN13" i="1"/>
  <c r="AM13" i="1"/>
  <c r="AK13" i="1"/>
  <c r="AF13" i="1"/>
  <c r="AG13" i="1" s="1"/>
  <c r="AE13" i="1"/>
  <c r="AC13" i="1"/>
  <c r="V13" i="1"/>
  <c r="BB13" i="1" s="1"/>
  <c r="U13" i="1"/>
  <c r="BA13" i="1" s="1"/>
  <c r="T13" i="1"/>
  <c r="P13" i="1"/>
  <c r="Q13" i="1" s="1"/>
  <c r="O13" i="1"/>
  <c r="N13" i="1"/>
  <c r="N56" i="1" s="1"/>
  <c r="M13" i="1"/>
  <c r="J13" i="1"/>
  <c r="I13" i="1"/>
  <c r="J50" i="1" s="1"/>
  <c r="G13" i="1"/>
  <c r="BL12" i="1"/>
  <c r="BN12" i="1" s="1"/>
  <c r="BD12" i="1"/>
  <c r="BA12" i="1"/>
  <c r="AZ12" i="1"/>
  <c r="AY12" i="1"/>
  <c r="AX12" i="1"/>
  <c r="AU12" i="1"/>
  <c r="AS12" i="1"/>
  <c r="AO12" i="1"/>
  <c r="AN12" i="1"/>
  <c r="AM12" i="1"/>
  <c r="AK12" i="1"/>
  <c r="AG12" i="1"/>
  <c r="AF12" i="1"/>
  <c r="AE12" i="1"/>
  <c r="AC12" i="1"/>
  <c r="U12" i="1"/>
  <c r="T12" i="1"/>
  <c r="P12" i="1"/>
  <c r="O12" i="1"/>
  <c r="N12" i="1"/>
  <c r="M12" i="1"/>
  <c r="J12" i="1"/>
  <c r="I12" i="1"/>
  <c r="G12" i="1"/>
  <c r="BL11" i="1"/>
  <c r="BN11" i="1" s="1"/>
  <c r="BD11" i="1"/>
  <c r="AZ11" i="1"/>
  <c r="AY11" i="1"/>
  <c r="AX11" i="1"/>
  <c r="AU11" i="1"/>
  <c r="AS11" i="1"/>
  <c r="AO11" i="1"/>
  <c r="AN11" i="1"/>
  <c r="AM11" i="1"/>
  <c r="AK11" i="1"/>
  <c r="AF11" i="1"/>
  <c r="AG11" i="1" s="1"/>
  <c r="AE11" i="1"/>
  <c r="AC11" i="1"/>
  <c r="V11" i="1"/>
  <c r="BB11" i="1" s="1"/>
  <c r="U11" i="1"/>
  <c r="BA11" i="1" s="1"/>
  <c r="T11" i="1"/>
  <c r="P11" i="1"/>
  <c r="Q11" i="1" s="1"/>
  <c r="O11" i="1"/>
  <c r="N11" i="1"/>
  <c r="R11" i="1" s="1"/>
  <c r="M11" i="1"/>
  <c r="S11" i="1" s="1"/>
  <c r="J11" i="1"/>
  <c r="I11" i="1"/>
  <c r="G11" i="1"/>
  <c r="BL10" i="1"/>
  <c r="BN10" i="1" s="1"/>
  <c r="BD10" i="1"/>
  <c r="BA10" i="1"/>
  <c r="AZ10" i="1"/>
  <c r="AY10" i="1"/>
  <c r="AX10" i="1"/>
  <c r="AU10" i="1"/>
  <c r="AS10" i="1"/>
  <c r="AO10" i="1"/>
  <c r="AN10" i="1"/>
  <c r="AM10" i="1"/>
  <c r="AK10" i="1"/>
  <c r="AF10" i="1"/>
  <c r="AG10" i="1" s="1"/>
  <c r="AE10" i="1"/>
  <c r="AC10" i="1"/>
  <c r="U10" i="1"/>
  <c r="T10" i="1"/>
  <c r="P10" i="1"/>
  <c r="O10" i="1"/>
  <c r="N10" i="1"/>
  <c r="M10" i="1"/>
  <c r="M53" i="1" s="1"/>
  <c r="J10" i="1"/>
  <c r="I10" i="1"/>
  <c r="G10" i="1"/>
  <c r="BL9" i="1"/>
  <c r="BN9" i="1" s="1"/>
  <c r="BD9" i="1"/>
  <c r="AZ9" i="1"/>
  <c r="AY9" i="1"/>
  <c r="AX9" i="1"/>
  <c r="AU9" i="1"/>
  <c r="AS9" i="1"/>
  <c r="AO9" i="1"/>
  <c r="AN9" i="1"/>
  <c r="AM9" i="1"/>
  <c r="AK9" i="1"/>
  <c r="AF9" i="1"/>
  <c r="AG9" i="1" s="1"/>
  <c r="AE9" i="1"/>
  <c r="AC9" i="1"/>
  <c r="V9" i="1"/>
  <c r="BB9" i="1" s="1"/>
  <c r="U9" i="1"/>
  <c r="BA9" i="1" s="1"/>
  <c r="T9" i="1"/>
  <c r="P9" i="1"/>
  <c r="Q9" i="1" s="1"/>
  <c r="O9" i="1"/>
  <c r="N9" i="1"/>
  <c r="R9" i="1" s="1"/>
  <c r="M9" i="1"/>
  <c r="J9" i="1"/>
  <c r="I9" i="1"/>
  <c r="G9" i="1"/>
  <c r="BL8" i="1"/>
  <c r="BN8" i="1" s="1"/>
  <c r="BD8" i="1"/>
  <c r="AZ8" i="1"/>
  <c r="AY8" i="1"/>
  <c r="AX8" i="1"/>
  <c r="AU8" i="1"/>
  <c r="AS8" i="1"/>
  <c r="AN8" i="1"/>
  <c r="AO8" i="1" s="1"/>
  <c r="AM8" i="1"/>
  <c r="AK8" i="1"/>
  <c r="AF8" i="1"/>
  <c r="AG8" i="1" s="1"/>
  <c r="AE8" i="1"/>
  <c r="AC8" i="1"/>
  <c r="T8" i="1"/>
  <c r="P8" i="1"/>
  <c r="O8" i="1"/>
  <c r="M8" i="1"/>
  <c r="I8" i="1"/>
  <c r="H8" i="1"/>
  <c r="F8" i="1"/>
  <c r="N8" i="1" s="1"/>
  <c r="BN7" i="1"/>
  <c r="BL7" i="1"/>
  <c r="BD7" i="1"/>
  <c r="AX7" i="1"/>
  <c r="AY7" i="1" s="1"/>
  <c r="AU7" i="1"/>
  <c r="AS7" i="1"/>
  <c r="AO7" i="1"/>
  <c r="AN7" i="1"/>
  <c r="AM7" i="1"/>
  <c r="AK7" i="1"/>
  <c r="AG7" i="1"/>
  <c r="AF7" i="1"/>
  <c r="AE7" i="1"/>
  <c r="AC7" i="1"/>
  <c r="V7" i="1"/>
  <c r="BB7" i="1" s="1"/>
  <c r="P7" i="1"/>
  <c r="N7" i="1"/>
  <c r="U7" i="1" s="1"/>
  <c r="BA7" i="1" s="1"/>
  <c r="M7" i="1"/>
  <c r="M57" i="1" s="1"/>
  <c r="K7" i="1"/>
  <c r="J7" i="1"/>
  <c r="I7" i="1"/>
  <c r="G7" i="1"/>
  <c r="BN6" i="1"/>
  <c r="BL6" i="1"/>
  <c r="BD6" i="1"/>
  <c r="BB6" i="1"/>
  <c r="AX6" i="1"/>
  <c r="AY6" i="1" s="1"/>
  <c r="AU6" i="1"/>
  <c r="AS6" i="1"/>
  <c r="AO6" i="1"/>
  <c r="AN6" i="1"/>
  <c r="AM6" i="1"/>
  <c r="AK6" i="1"/>
  <c r="AG6" i="1"/>
  <c r="AF6" i="1"/>
  <c r="AE6" i="1"/>
  <c r="AC6" i="1"/>
  <c r="V6" i="1"/>
  <c r="R6" i="1"/>
  <c r="Q6" i="1"/>
  <c r="P6" i="1"/>
  <c r="N6" i="1"/>
  <c r="O6" i="1" s="1"/>
  <c r="M6" i="1"/>
  <c r="AZ6" i="1" s="1"/>
  <c r="K6" i="1"/>
  <c r="J6" i="1"/>
  <c r="I6" i="1"/>
  <c r="G6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N5" i="1"/>
  <c r="BL5" i="1"/>
  <c r="BD5" i="1"/>
  <c r="AX5" i="1"/>
  <c r="AX36" i="1" s="1"/>
  <c r="AU5" i="1"/>
  <c r="AS5" i="1"/>
  <c r="AO5" i="1"/>
  <c r="AN5" i="1"/>
  <c r="AM5" i="1"/>
  <c r="AK5" i="1"/>
  <c r="AG5" i="1"/>
  <c r="AF5" i="1"/>
  <c r="AE5" i="1"/>
  <c r="AC5" i="1"/>
  <c r="V5" i="1"/>
  <c r="BB5" i="1" s="1"/>
  <c r="P5" i="1"/>
  <c r="N5" i="1"/>
  <c r="U5" i="1" s="1"/>
  <c r="M5" i="1"/>
  <c r="K5" i="1"/>
  <c r="J5" i="1"/>
  <c r="I5" i="1"/>
  <c r="G5" i="1"/>
  <c r="B5" i="1"/>
  <c r="W5" i="3" l="1"/>
  <c r="AX55" i="3"/>
  <c r="BA55" i="3" s="1"/>
  <c r="AX37" i="3"/>
  <c r="AY36" i="3"/>
  <c r="O51" i="3"/>
  <c r="G36" i="3"/>
  <c r="F37" i="3"/>
  <c r="G37" i="3" s="1"/>
  <c r="W33" i="3"/>
  <c r="BC33" i="3" s="1"/>
  <c r="I36" i="3"/>
  <c r="H37" i="3"/>
  <c r="I37" i="3" s="1"/>
  <c r="U5" i="3"/>
  <c r="BL36" i="3"/>
  <c r="BL37" i="3" s="1"/>
  <c r="U7" i="3"/>
  <c r="BA7" i="3" s="1"/>
  <c r="U9" i="3"/>
  <c r="BA9" i="3" s="1"/>
  <c r="V12" i="3"/>
  <c r="BB12" i="3" s="1"/>
  <c r="T13" i="3"/>
  <c r="U19" i="3"/>
  <c r="BA19" i="3" s="1"/>
  <c r="U21" i="3"/>
  <c r="BA21" i="3" s="1"/>
  <c r="U23" i="3"/>
  <c r="BA23" i="3" s="1"/>
  <c r="U25" i="3"/>
  <c r="BA25" i="3" s="1"/>
  <c r="U27" i="3"/>
  <c r="BA27" i="3" s="1"/>
  <c r="V29" i="3"/>
  <c r="BB29" i="3" s="1"/>
  <c r="V32" i="3"/>
  <c r="BB32" i="3" s="1"/>
  <c r="U33" i="3"/>
  <c r="BA33" i="3" s="1"/>
  <c r="N50" i="3"/>
  <c r="BN36" i="3"/>
  <c r="U13" i="3"/>
  <c r="BA13" i="3" s="1"/>
  <c r="W19" i="3"/>
  <c r="BC19" i="3" s="1"/>
  <c r="K19" i="3"/>
  <c r="W21" i="3"/>
  <c r="BC21" i="3" s="1"/>
  <c r="K21" i="3"/>
  <c r="W23" i="3"/>
  <c r="BC23" i="3" s="1"/>
  <c r="K23" i="3"/>
  <c r="W25" i="3"/>
  <c r="BC25" i="3" s="1"/>
  <c r="K25" i="3"/>
  <c r="W27" i="3"/>
  <c r="BC27" i="3" s="1"/>
  <c r="K27" i="3"/>
  <c r="G51" i="3"/>
  <c r="I29" i="3"/>
  <c r="R31" i="3"/>
  <c r="S31" i="3" s="1"/>
  <c r="AN36" i="3"/>
  <c r="W13" i="3"/>
  <c r="BC13" i="3" s="1"/>
  <c r="O31" i="3"/>
  <c r="M36" i="3"/>
  <c r="N38" i="3" s="1"/>
  <c r="N54" i="3"/>
  <c r="M55" i="3"/>
  <c r="AZ18" i="3"/>
  <c r="AZ20" i="3"/>
  <c r="AZ22" i="3"/>
  <c r="AZ24" i="3"/>
  <c r="AZ26" i="3"/>
  <c r="AZ28" i="3"/>
  <c r="Q35" i="3"/>
  <c r="N36" i="3"/>
  <c r="AB37" i="3"/>
  <c r="AC37" i="3" s="1"/>
  <c r="N53" i="3"/>
  <c r="O54" i="3"/>
  <c r="N55" i="3"/>
  <c r="O5" i="3"/>
  <c r="O7" i="3"/>
  <c r="O9" i="3"/>
  <c r="O25" i="3"/>
  <c r="O27" i="3"/>
  <c r="AZ29" i="3"/>
  <c r="Q31" i="3"/>
  <c r="T33" i="3"/>
  <c r="S33" i="3"/>
  <c r="R35" i="3"/>
  <c r="W35" i="3" s="1"/>
  <c r="BC35" i="3" s="1"/>
  <c r="O53" i="3"/>
  <c r="AF36" i="3"/>
  <c r="AZ5" i="3"/>
  <c r="AZ7" i="3"/>
  <c r="AZ9" i="3"/>
  <c r="Q12" i="3"/>
  <c r="O13" i="3"/>
  <c r="AZ13" i="3"/>
  <c r="K14" i="3"/>
  <c r="S16" i="3"/>
  <c r="Q17" i="3"/>
  <c r="O18" i="3"/>
  <c r="O20" i="3"/>
  <c r="O22" i="3"/>
  <c r="O24" i="3"/>
  <c r="O26" i="3"/>
  <c r="O28" i="3"/>
  <c r="O29" i="3"/>
  <c r="K30" i="3"/>
  <c r="F53" i="3"/>
  <c r="G31" i="3"/>
  <c r="Q32" i="3"/>
  <c r="AZ33" i="3"/>
  <c r="K34" i="3"/>
  <c r="AE36" i="3"/>
  <c r="BL50" i="3"/>
  <c r="BL71" i="3" s="1"/>
  <c r="BH46" i="3" s="1"/>
  <c r="BI46" i="3" s="1"/>
  <c r="M56" i="3"/>
  <c r="AG5" i="3"/>
  <c r="K6" i="3"/>
  <c r="Q7" i="3"/>
  <c r="K8" i="3"/>
  <c r="V8" i="3"/>
  <c r="BB8" i="3" s="1"/>
  <c r="Q9" i="3"/>
  <c r="K10" i="3"/>
  <c r="R12" i="3"/>
  <c r="W12" i="3" s="1"/>
  <c r="BC12" i="3" s="1"/>
  <c r="W15" i="3"/>
  <c r="BC15" i="3" s="1"/>
  <c r="R17" i="3"/>
  <c r="W17" i="3" s="1"/>
  <c r="BC17" i="3" s="1"/>
  <c r="Q18" i="3"/>
  <c r="Q20" i="3"/>
  <c r="Q22" i="3"/>
  <c r="Q24" i="3"/>
  <c r="Q26" i="3"/>
  <c r="Q28" i="3"/>
  <c r="P29" i="3"/>
  <c r="Q29" i="3" s="1"/>
  <c r="U31" i="3"/>
  <c r="BA31" i="3" s="1"/>
  <c r="O33" i="3"/>
  <c r="O34" i="3"/>
  <c r="AZ34" i="3"/>
  <c r="N56" i="3"/>
  <c r="BB5" i="3"/>
  <c r="M51" i="3"/>
  <c r="R9" i="3"/>
  <c r="W9" i="3" s="1"/>
  <c r="BC9" i="3" s="1"/>
  <c r="M53" i="3"/>
  <c r="S12" i="3"/>
  <c r="Q13" i="3"/>
  <c r="S18" i="3"/>
  <c r="S20" i="3"/>
  <c r="S22" i="3"/>
  <c r="S24" i="3"/>
  <c r="S26" i="3"/>
  <c r="S28" i="3"/>
  <c r="O30" i="3"/>
  <c r="O56" i="3"/>
  <c r="S5" i="3"/>
  <c r="S7" i="3"/>
  <c r="N51" i="3"/>
  <c r="W11" i="3"/>
  <c r="BC11" i="3" s="1"/>
  <c r="V16" i="3"/>
  <c r="BB16" i="3" s="1"/>
  <c r="J31" i="3"/>
  <c r="S46" i="3"/>
  <c r="X46" i="3" s="1"/>
  <c r="Y58" i="3"/>
  <c r="BD36" i="3"/>
  <c r="BD37" i="3" s="1"/>
  <c r="BE45" i="3" s="1"/>
  <c r="T7" i="3"/>
  <c r="T36" i="3" s="1"/>
  <c r="O8" i="3"/>
  <c r="T9" i="3"/>
  <c r="AZ10" i="3"/>
  <c r="M54" i="3"/>
  <c r="Q14" i="3"/>
  <c r="K16" i="3"/>
  <c r="U18" i="3"/>
  <c r="BA18" i="3" s="1"/>
  <c r="U20" i="3"/>
  <c r="BA20" i="3" s="1"/>
  <c r="U22" i="3"/>
  <c r="BA22" i="3" s="1"/>
  <c r="U24" i="3"/>
  <c r="BA24" i="3" s="1"/>
  <c r="U26" i="3"/>
  <c r="BA26" i="3" s="1"/>
  <c r="U28" i="3"/>
  <c r="BA28" i="3" s="1"/>
  <c r="U29" i="3"/>
  <c r="BA29" i="3" s="1"/>
  <c r="J29" i="3"/>
  <c r="Q30" i="3"/>
  <c r="W32" i="3"/>
  <c r="BC32" i="3" s="1"/>
  <c r="T35" i="3"/>
  <c r="AZ35" i="3"/>
  <c r="AD37" i="3"/>
  <c r="AE37" i="3" s="1"/>
  <c r="AU37" i="2"/>
  <c r="BG42" i="2"/>
  <c r="BG46" i="2" s="1"/>
  <c r="W6" i="2"/>
  <c r="BC6" i="2" s="1"/>
  <c r="N37" i="2"/>
  <c r="O37" i="2" s="1"/>
  <c r="O36" i="2"/>
  <c r="W28" i="2"/>
  <c r="BC28" i="2" s="1"/>
  <c r="O16" i="2"/>
  <c r="R16" i="2"/>
  <c r="S16" i="2" s="1"/>
  <c r="O26" i="2"/>
  <c r="R26" i="2"/>
  <c r="S26" i="2" s="1"/>
  <c r="G52" i="2"/>
  <c r="H36" i="2"/>
  <c r="AG5" i="2"/>
  <c r="I30" i="2"/>
  <c r="R33" i="2"/>
  <c r="W33" i="2" s="1"/>
  <c r="BC33" i="2" s="1"/>
  <c r="U33" i="2"/>
  <c r="BA33" i="2" s="1"/>
  <c r="AF37" i="2"/>
  <c r="O5" i="2"/>
  <c r="O6" i="2"/>
  <c r="R6" i="2"/>
  <c r="S13" i="2"/>
  <c r="Q15" i="2"/>
  <c r="O17" i="2"/>
  <c r="O18" i="2"/>
  <c r="R18" i="2"/>
  <c r="W18" i="2" s="1"/>
  <c r="BC18" i="2" s="1"/>
  <c r="S23" i="2"/>
  <c r="Q25" i="2"/>
  <c r="O27" i="2"/>
  <c r="O28" i="2"/>
  <c r="R28" i="2"/>
  <c r="J30" i="2"/>
  <c r="U32" i="2"/>
  <c r="BA32" i="2" s="1"/>
  <c r="O32" i="2"/>
  <c r="O33" i="2"/>
  <c r="AS37" i="2"/>
  <c r="R15" i="2"/>
  <c r="R25" i="2"/>
  <c r="Q33" i="2"/>
  <c r="BL50" i="2"/>
  <c r="BJ71" i="2"/>
  <c r="BD36" i="2"/>
  <c r="BD37" i="2" s="1"/>
  <c r="BE45" i="2" s="1"/>
  <c r="Q6" i="2"/>
  <c r="O8" i="2"/>
  <c r="R8" i="2"/>
  <c r="W8" i="2" s="1"/>
  <c r="BC8" i="2" s="1"/>
  <c r="N51" i="2"/>
  <c r="AZ10" i="2"/>
  <c r="M53" i="2"/>
  <c r="Q17" i="2"/>
  <c r="Q18" i="2"/>
  <c r="O19" i="2"/>
  <c r="O20" i="2"/>
  <c r="R20" i="2"/>
  <c r="W20" i="2" s="1"/>
  <c r="BC20" i="2" s="1"/>
  <c r="Q27" i="2"/>
  <c r="Q28" i="2"/>
  <c r="O29" i="2"/>
  <c r="AZ31" i="2"/>
  <c r="T31" i="2"/>
  <c r="Q32" i="2"/>
  <c r="T33" i="2"/>
  <c r="M36" i="2"/>
  <c r="N38" i="2" s="1"/>
  <c r="BK71" i="2"/>
  <c r="M56" i="2"/>
  <c r="S11" i="2"/>
  <c r="P36" i="2"/>
  <c r="U7" i="2"/>
  <c r="BA7" i="2" s="1"/>
  <c r="N50" i="2"/>
  <c r="R5" i="2"/>
  <c r="S6" i="2"/>
  <c r="O51" i="2"/>
  <c r="U9" i="2"/>
  <c r="BA9" i="2" s="1"/>
  <c r="N52" i="2"/>
  <c r="O10" i="2"/>
  <c r="N53" i="2"/>
  <c r="R10" i="2"/>
  <c r="W10" i="2" s="1"/>
  <c r="BC10" i="2" s="1"/>
  <c r="AZ12" i="2"/>
  <c r="M55" i="2"/>
  <c r="U16" i="2"/>
  <c r="BA16" i="2" s="1"/>
  <c r="R17" i="2"/>
  <c r="U26" i="2"/>
  <c r="BA26" i="2" s="1"/>
  <c r="R27" i="2"/>
  <c r="S28" i="2"/>
  <c r="P30" i="2"/>
  <c r="R32" i="2"/>
  <c r="S32" i="2" s="1"/>
  <c r="V33" i="2"/>
  <c r="BB33" i="2" s="1"/>
  <c r="W34" i="2"/>
  <c r="BC34" i="2" s="1"/>
  <c r="K34" i="2"/>
  <c r="O55" i="2"/>
  <c r="F55" i="2"/>
  <c r="U5" i="2"/>
  <c r="J5" i="2"/>
  <c r="F36" i="2"/>
  <c r="T6" i="2"/>
  <c r="T36" i="2" s="1"/>
  <c r="AN36" i="2"/>
  <c r="Q8" i="2"/>
  <c r="U11" i="2"/>
  <c r="BA11" i="2" s="1"/>
  <c r="N54" i="2"/>
  <c r="O12" i="2"/>
  <c r="R12" i="2"/>
  <c r="W12" i="2" s="1"/>
  <c r="BC12" i="2" s="1"/>
  <c r="Q20" i="2"/>
  <c r="O22" i="2"/>
  <c r="R22" i="2"/>
  <c r="W22" i="2" s="1"/>
  <c r="BC22" i="2" s="1"/>
  <c r="T28" i="2"/>
  <c r="U6" i="2"/>
  <c r="BA6" i="2" s="1"/>
  <c r="R7" i="2"/>
  <c r="Q10" i="2"/>
  <c r="O11" i="2"/>
  <c r="U13" i="2"/>
  <c r="BA13" i="2" s="1"/>
  <c r="N56" i="2"/>
  <c r="U18" i="2"/>
  <c r="BA18" i="2" s="1"/>
  <c r="R19" i="2"/>
  <c r="S20" i="2"/>
  <c r="U28" i="2"/>
  <c r="BA28" i="2" s="1"/>
  <c r="R29" i="2"/>
  <c r="O30" i="2"/>
  <c r="Q31" i="2"/>
  <c r="O54" i="2"/>
  <c r="X59" i="2"/>
  <c r="Q9" i="2"/>
  <c r="O13" i="2"/>
  <c r="T20" i="2"/>
  <c r="O23" i="2"/>
  <c r="O24" i="2"/>
  <c r="R24" i="2"/>
  <c r="S24" i="2" s="1"/>
  <c r="S31" i="2"/>
  <c r="AZ33" i="2"/>
  <c r="S35" i="2"/>
  <c r="AZ35" i="2"/>
  <c r="BF36" i="2"/>
  <c r="AG46" i="2"/>
  <c r="AO46" i="2" s="1"/>
  <c r="AY46" i="2" s="1"/>
  <c r="AW47" i="2" s="1"/>
  <c r="S46" i="2"/>
  <c r="X46" i="2" s="1"/>
  <c r="AZ18" i="2"/>
  <c r="M54" i="2"/>
  <c r="M51" i="2"/>
  <c r="AZ8" i="2"/>
  <c r="AZ36" i="2" s="1"/>
  <c r="BE38" i="2" s="1"/>
  <c r="V5" i="2"/>
  <c r="AX36" i="2"/>
  <c r="O14" i="2"/>
  <c r="R14" i="2"/>
  <c r="S14" i="2" s="1"/>
  <c r="V7" i="2"/>
  <c r="BB7" i="2" s="1"/>
  <c r="U8" i="2"/>
  <c r="BA8" i="2" s="1"/>
  <c r="R9" i="2"/>
  <c r="T10" i="2"/>
  <c r="O56" i="2"/>
  <c r="U20" i="2"/>
  <c r="BA20" i="2" s="1"/>
  <c r="R21" i="2"/>
  <c r="S22" i="2"/>
  <c r="U30" i="2"/>
  <c r="BA30" i="2" s="1"/>
  <c r="BL30" i="2"/>
  <c r="BN30" i="2" s="1"/>
  <c r="BN36" i="2" s="1"/>
  <c r="U31" i="2"/>
  <c r="BA31" i="2" s="1"/>
  <c r="R35" i="2"/>
  <c r="W35" i="2" s="1"/>
  <c r="BC35" i="2" s="1"/>
  <c r="O35" i="2"/>
  <c r="U35" i="2"/>
  <c r="BA35" i="2" s="1"/>
  <c r="BL51" i="2"/>
  <c r="AB37" i="2"/>
  <c r="AC37" i="2" s="1"/>
  <c r="M50" i="2"/>
  <c r="T9" i="2"/>
  <c r="K32" i="2"/>
  <c r="V8" i="1"/>
  <c r="Q8" i="1"/>
  <c r="O51" i="1"/>
  <c r="AF36" i="1"/>
  <c r="Q14" i="1"/>
  <c r="V14" i="1"/>
  <c r="BB14" i="1" s="1"/>
  <c r="R14" i="1"/>
  <c r="S14" i="1" s="1"/>
  <c r="O57" i="1"/>
  <c r="K15" i="1"/>
  <c r="W15" i="1"/>
  <c r="BC15" i="1" s="1"/>
  <c r="W20" i="1"/>
  <c r="BC20" i="1" s="1"/>
  <c r="V26" i="1"/>
  <c r="BB26" i="1" s="1"/>
  <c r="R26" i="1"/>
  <c r="S26" i="1" s="1"/>
  <c r="R28" i="1"/>
  <c r="S28" i="1" s="1"/>
  <c r="V28" i="1"/>
  <c r="BB28" i="1" s="1"/>
  <c r="K31" i="1"/>
  <c r="W31" i="1"/>
  <c r="BC31" i="1" s="1"/>
  <c r="J36" i="1"/>
  <c r="BN36" i="1"/>
  <c r="W6" i="1"/>
  <c r="BC6" i="1" s="1"/>
  <c r="S6" i="1"/>
  <c r="O55" i="1"/>
  <c r="Q12" i="1"/>
  <c r="V12" i="1"/>
  <c r="BB12" i="1" s="1"/>
  <c r="R12" i="1"/>
  <c r="S12" i="1" s="1"/>
  <c r="S15" i="1"/>
  <c r="Q26" i="1"/>
  <c r="Q28" i="1"/>
  <c r="K13" i="1"/>
  <c r="V22" i="1"/>
  <c r="BB22" i="1" s="1"/>
  <c r="R22" i="1"/>
  <c r="S22" i="1" s="1"/>
  <c r="Q22" i="1"/>
  <c r="K23" i="1"/>
  <c r="W23" i="1"/>
  <c r="BC23" i="1" s="1"/>
  <c r="W32" i="1"/>
  <c r="BC32" i="1" s="1"/>
  <c r="Q16" i="1"/>
  <c r="V16" i="1"/>
  <c r="BB16" i="1" s="1"/>
  <c r="R16" i="1"/>
  <c r="S16" i="1" s="1"/>
  <c r="BD36" i="1"/>
  <c r="BD37" i="1" s="1"/>
  <c r="BE45" i="1" s="1"/>
  <c r="T5" i="1"/>
  <c r="M36" i="1"/>
  <c r="N38" i="1" s="1"/>
  <c r="Q5" i="1"/>
  <c r="AZ5" i="1"/>
  <c r="T7" i="1"/>
  <c r="S7" i="1"/>
  <c r="Q7" i="1"/>
  <c r="AZ7" i="1"/>
  <c r="N51" i="1"/>
  <c r="R8" i="1"/>
  <c r="S8" i="1" s="1"/>
  <c r="Q10" i="1"/>
  <c r="V10" i="1"/>
  <c r="BB10" i="1" s="1"/>
  <c r="O53" i="1"/>
  <c r="R10" i="1"/>
  <c r="S10" i="1" s="1"/>
  <c r="K11" i="1"/>
  <c r="W11" i="1"/>
  <c r="BC11" i="1" s="1"/>
  <c r="BL54" i="1"/>
  <c r="BL71" i="1" s="1"/>
  <c r="BH46" i="1" s="1"/>
  <c r="BI46" i="1" s="1"/>
  <c r="BK71" i="1"/>
  <c r="K17" i="1"/>
  <c r="W17" i="1"/>
  <c r="BC17" i="1" s="1"/>
  <c r="BA5" i="1"/>
  <c r="W16" i="1"/>
  <c r="BC16" i="1" s="1"/>
  <c r="V20" i="1"/>
  <c r="BB20" i="1" s="1"/>
  <c r="Q20" i="1"/>
  <c r="R20" i="1"/>
  <c r="S20" i="1" s="1"/>
  <c r="W21" i="1"/>
  <c r="BC21" i="1" s="1"/>
  <c r="K21" i="1"/>
  <c r="X58" i="1"/>
  <c r="X59" i="1"/>
  <c r="AX55" i="1"/>
  <c r="BA55" i="1" s="1"/>
  <c r="AY36" i="1"/>
  <c r="AX37" i="1"/>
  <c r="V24" i="1"/>
  <c r="BB24" i="1" s="1"/>
  <c r="R24" i="1"/>
  <c r="S24" i="1" s="1"/>
  <c r="R30" i="1"/>
  <c r="S30" i="1" s="1"/>
  <c r="V30" i="1"/>
  <c r="BB30" i="1" s="1"/>
  <c r="Q30" i="1"/>
  <c r="P36" i="1"/>
  <c r="J49" i="1"/>
  <c r="K9" i="1"/>
  <c r="W9" i="1"/>
  <c r="BC9" i="1" s="1"/>
  <c r="W30" i="1"/>
  <c r="BC30" i="1" s="1"/>
  <c r="V32" i="1"/>
  <c r="BB32" i="1" s="1"/>
  <c r="Q32" i="1"/>
  <c r="R32" i="1"/>
  <c r="S32" i="1" s="1"/>
  <c r="T35" i="1"/>
  <c r="Q35" i="1"/>
  <c r="AZ35" i="1"/>
  <c r="W12" i="1"/>
  <c r="BC12" i="1" s="1"/>
  <c r="AN36" i="1"/>
  <c r="W10" i="1"/>
  <c r="BC10" i="1" s="1"/>
  <c r="S9" i="1"/>
  <c r="V18" i="1"/>
  <c r="BB18" i="1" s="1"/>
  <c r="Q18" i="1"/>
  <c r="R18" i="1"/>
  <c r="S18" i="1" s="1"/>
  <c r="K19" i="1"/>
  <c r="W19" i="1"/>
  <c r="BC19" i="1" s="1"/>
  <c r="W26" i="1"/>
  <c r="BC26" i="1" s="1"/>
  <c r="W28" i="1"/>
  <c r="BC28" i="1" s="1"/>
  <c r="BG42" i="1"/>
  <c r="BG46" i="1" s="1"/>
  <c r="O5" i="1"/>
  <c r="AY5" i="1"/>
  <c r="T6" i="1"/>
  <c r="T34" i="1"/>
  <c r="O35" i="1"/>
  <c r="S46" i="1"/>
  <c r="X46" i="1" s="1"/>
  <c r="M51" i="1"/>
  <c r="M52" i="1"/>
  <c r="BL58" i="1"/>
  <c r="S34" i="1"/>
  <c r="O7" i="1"/>
  <c r="G8" i="1"/>
  <c r="O33" i="1"/>
  <c r="U6" i="1"/>
  <c r="BA6" i="1" s="1"/>
  <c r="O25" i="1"/>
  <c r="O27" i="1"/>
  <c r="T28" i="1"/>
  <c r="O29" i="1"/>
  <c r="O31" i="1"/>
  <c r="AZ33" i="1"/>
  <c r="U34" i="1"/>
  <c r="BA34" i="1" s="1"/>
  <c r="F36" i="1"/>
  <c r="AB37" i="1"/>
  <c r="AC37" i="1" s="1"/>
  <c r="N52" i="1"/>
  <c r="M54" i="1"/>
  <c r="AZ25" i="1"/>
  <c r="AZ27" i="1"/>
  <c r="AZ29" i="1"/>
  <c r="AZ31" i="1"/>
  <c r="Q33" i="1"/>
  <c r="O52" i="1"/>
  <c r="N53" i="1"/>
  <c r="N54" i="1"/>
  <c r="M55" i="1"/>
  <c r="R5" i="1"/>
  <c r="S5" i="1" s="1"/>
  <c r="U8" i="1"/>
  <c r="BA8" i="1" s="1"/>
  <c r="Q25" i="1"/>
  <c r="Q27" i="1"/>
  <c r="Q29" i="1"/>
  <c r="Q31" i="1"/>
  <c r="K32" i="1"/>
  <c r="R33" i="1"/>
  <c r="W33" i="1" s="1"/>
  <c r="BC33" i="1" s="1"/>
  <c r="R35" i="1"/>
  <c r="W35" i="1" s="1"/>
  <c r="BC35" i="1" s="1"/>
  <c r="AD37" i="1"/>
  <c r="AE37" i="1" s="1"/>
  <c r="O54" i="1"/>
  <c r="N55" i="1"/>
  <c r="R7" i="1"/>
  <c r="W7" i="1" s="1"/>
  <c r="BC7" i="1" s="1"/>
  <c r="J8" i="1"/>
  <c r="K10" i="1"/>
  <c r="K12" i="1"/>
  <c r="K14" i="1"/>
  <c r="K16" i="1"/>
  <c r="K18" i="1"/>
  <c r="K20" i="1"/>
  <c r="K22" i="1"/>
  <c r="K24" i="1"/>
  <c r="S33" i="1"/>
  <c r="BL36" i="1"/>
  <c r="BL37" i="1" s="1"/>
  <c r="R13" i="1"/>
  <c r="S13" i="1" s="1"/>
  <c r="S25" i="1"/>
  <c r="S27" i="1"/>
  <c r="S29" i="1"/>
  <c r="S31" i="1"/>
  <c r="M56" i="1"/>
  <c r="N36" i="1"/>
  <c r="X53" i="1"/>
  <c r="AZ36" i="3" l="1"/>
  <c r="BE38" i="3" s="1"/>
  <c r="K31" i="3"/>
  <c r="W31" i="3"/>
  <c r="BC31" i="3" s="1"/>
  <c r="AF37" i="3"/>
  <c r="AG36" i="3"/>
  <c r="AO36" i="3"/>
  <c r="AN37" i="3"/>
  <c r="K29" i="3"/>
  <c r="R29" i="3"/>
  <c r="S29" i="3" s="1"/>
  <c r="V36" i="3"/>
  <c r="V37" i="3" s="1"/>
  <c r="V39" i="3" s="1"/>
  <c r="J36" i="3"/>
  <c r="S17" i="3"/>
  <c r="BC5" i="3"/>
  <c r="BA56" i="3"/>
  <c r="BA58" i="3"/>
  <c r="N37" i="3"/>
  <c r="O37" i="3" s="1"/>
  <c r="O36" i="3"/>
  <c r="BB36" i="3"/>
  <c r="BB37" i="3" s="1"/>
  <c r="U36" i="3"/>
  <c r="U37" i="3" s="1"/>
  <c r="BA5" i="3"/>
  <c r="BA36" i="3" s="1"/>
  <c r="BA37" i="3" s="1"/>
  <c r="S35" i="3"/>
  <c r="P36" i="3"/>
  <c r="AY47" i="3"/>
  <c r="AY37" i="3"/>
  <c r="AY50" i="3"/>
  <c r="AY51" i="3" s="1"/>
  <c r="AX46" i="3"/>
  <c r="AX47" i="3" s="1"/>
  <c r="AY48" i="3"/>
  <c r="AY38" i="3"/>
  <c r="S9" i="3"/>
  <c r="X58" i="3"/>
  <c r="X59" i="3"/>
  <c r="K37" i="3"/>
  <c r="BJ46" i="3"/>
  <c r="G36" i="2"/>
  <c r="F37" i="2"/>
  <c r="G37" i="2" s="1"/>
  <c r="W7" i="2"/>
  <c r="BC7" i="2" s="1"/>
  <c r="S7" i="2"/>
  <c r="I36" i="2"/>
  <c r="H37" i="2"/>
  <c r="I37" i="2" s="1"/>
  <c r="Q30" i="2"/>
  <c r="R30" i="2"/>
  <c r="S30" i="2" s="1"/>
  <c r="BJ46" i="2"/>
  <c r="W19" i="2"/>
  <c r="BC19" i="2" s="1"/>
  <c r="S19" i="2"/>
  <c r="W14" i="2"/>
  <c r="BC14" i="2" s="1"/>
  <c r="S18" i="2"/>
  <c r="AO36" i="2"/>
  <c r="AN37" i="2"/>
  <c r="W15" i="2"/>
  <c r="BC15" i="2" s="1"/>
  <c r="S15" i="2"/>
  <c r="P37" i="2"/>
  <c r="Q37" i="2" s="1"/>
  <c r="Q36" i="2"/>
  <c r="S10" i="2"/>
  <c r="W5" i="2"/>
  <c r="K5" i="2"/>
  <c r="J36" i="2"/>
  <c r="BL71" i="2"/>
  <c r="BH46" i="2" s="1"/>
  <c r="BI46" i="2" s="1"/>
  <c r="K30" i="2"/>
  <c r="S33" i="2"/>
  <c r="W24" i="2"/>
  <c r="BC24" i="2" s="1"/>
  <c r="AG38" i="2"/>
  <c r="AF46" i="2"/>
  <c r="AF47" i="2" s="1"/>
  <c r="AG47" i="2"/>
  <c r="AG37" i="2"/>
  <c r="W21" i="2"/>
  <c r="BC21" i="2" s="1"/>
  <c r="S21" i="2"/>
  <c r="AY36" i="2"/>
  <c r="AX55" i="2"/>
  <c r="BA55" i="2" s="1"/>
  <c r="AX37" i="2"/>
  <c r="U36" i="2"/>
  <c r="U37" i="2" s="1"/>
  <c r="BA5" i="2"/>
  <c r="BA36" i="2" s="1"/>
  <c r="BA37" i="2" s="1"/>
  <c r="S12" i="2"/>
  <c r="W17" i="2"/>
  <c r="BC17" i="2" s="1"/>
  <c r="S17" i="2"/>
  <c r="O52" i="2"/>
  <c r="BL36" i="2"/>
  <c r="BL37" i="2" s="1"/>
  <c r="W32" i="2"/>
  <c r="BC32" i="2" s="1"/>
  <c r="W26" i="2"/>
  <c r="BC26" i="2" s="1"/>
  <c r="W16" i="2"/>
  <c r="BC16" i="2" s="1"/>
  <c r="W27" i="2"/>
  <c r="BC27" i="2" s="1"/>
  <c r="S27" i="2"/>
  <c r="V36" i="2"/>
  <c r="V37" i="2" s="1"/>
  <c r="V39" i="2" s="1"/>
  <c r="BB5" i="2"/>
  <c r="W9" i="2"/>
  <c r="BC9" i="2" s="1"/>
  <c r="S9" i="2"/>
  <c r="W29" i="2"/>
  <c r="BC29" i="2" s="1"/>
  <c r="S29" i="2"/>
  <c r="S8" i="2"/>
  <c r="S5" i="2"/>
  <c r="W25" i="2"/>
  <c r="BC25" i="2" s="1"/>
  <c r="S25" i="2"/>
  <c r="V30" i="2"/>
  <c r="BB30" i="2" s="1"/>
  <c r="AY50" i="1"/>
  <c r="AY51" i="1" s="1"/>
  <c r="AY38" i="1"/>
  <c r="AY48" i="1"/>
  <c r="AY37" i="1"/>
  <c r="AY47" i="1"/>
  <c r="AX46" i="1"/>
  <c r="AX47" i="1" s="1"/>
  <c r="W24" i="1"/>
  <c r="BC24" i="1" s="1"/>
  <c r="AO36" i="1"/>
  <c r="AN37" i="1"/>
  <c r="BA36" i="1"/>
  <c r="BA37" i="1" s="1"/>
  <c r="BA56" i="1"/>
  <c r="BA58" i="1"/>
  <c r="U36" i="1"/>
  <c r="U37" i="1" s="1"/>
  <c r="AF37" i="1"/>
  <c r="AG36" i="1"/>
  <c r="P37" i="1"/>
  <c r="Q37" i="1" s="1"/>
  <c r="Q36" i="1"/>
  <c r="T36" i="1"/>
  <c r="W22" i="1"/>
  <c r="BC22" i="1" s="1"/>
  <c r="W8" i="1"/>
  <c r="BC8" i="1" s="1"/>
  <c r="K8" i="1"/>
  <c r="R36" i="1"/>
  <c r="W5" i="1"/>
  <c r="W18" i="1"/>
  <c r="BC18" i="1" s="1"/>
  <c r="BJ46" i="1"/>
  <c r="K36" i="1"/>
  <c r="J37" i="1"/>
  <c r="AZ36" i="1"/>
  <c r="BE38" i="1" s="1"/>
  <c r="F37" i="1"/>
  <c r="G37" i="1" s="1"/>
  <c r="K37" i="1" s="1"/>
  <c r="G36" i="1"/>
  <c r="W13" i="1"/>
  <c r="BC13" i="1" s="1"/>
  <c r="N37" i="1"/>
  <c r="O37" i="1" s="1"/>
  <c r="O36" i="1"/>
  <c r="S35" i="1"/>
  <c r="W14" i="1"/>
  <c r="BC14" i="1" s="1"/>
  <c r="BB8" i="1"/>
  <c r="BB36" i="1" s="1"/>
  <c r="BB37" i="1" s="1"/>
  <c r="V36" i="1"/>
  <c r="V37" i="1" s="1"/>
  <c r="W29" i="3" l="1"/>
  <c r="AO47" i="3"/>
  <c r="AN46" i="3"/>
  <c r="AN47" i="3" s="1"/>
  <c r="AO38" i="3"/>
  <c r="AO37" i="3"/>
  <c r="P37" i="3"/>
  <c r="Q37" i="3" s="1"/>
  <c r="Q36" i="3"/>
  <c r="AG38" i="3"/>
  <c r="AF46" i="3"/>
  <c r="AF47" i="3" s="1"/>
  <c r="AG37" i="3"/>
  <c r="AG47" i="3"/>
  <c r="R36" i="3"/>
  <c r="K36" i="3"/>
  <c r="J37" i="3"/>
  <c r="R36" i="2"/>
  <c r="AY48" i="2"/>
  <c r="AY37" i="2"/>
  <c r="AY47" i="2"/>
  <c r="AY38" i="2"/>
  <c r="AY50" i="2"/>
  <c r="AY51" i="2" s="1"/>
  <c r="AX46" i="2"/>
  <c r="AX47" i="2" s="1"/>
  <c r="BA56" i="2"/>
  <c r="BA58" i="2"/>
  <c r="W30" i="2"/>
  <c r="BC30" i="2" s="1"/>
  <c r="AO47" i="2"/>
  <c r="AO37" i="2"/>
  <c r="AO38" i="2"/>
  <c r="AN46" i="2"/>
  <c r="AN47" i="2" s="1"/>
  <c r="J37" i="2"/>
  <c r="K36" i="2"/>
  <c r="K37" i="2"/>
  <c r="BB36" i="2"/>
  <c r="BB37" i="2" s="1"/>
  <c r="BC5" i="2"/>
  <c r="BC36" i="2" s="1"/>
  <c r="W36" i="2"/>
  <c r="W37" i="2" s="1"/>
  <c r="V39" i="1"/>
  <c r="K47" i="1"/>
  <c r="J46" i="1"/>
  <c r="J47" i="1" s="1"/>
  <c r="K38" i="1"/>
  <c r="AG37" i="1"/>
  <c r="AG38" i="1"/>
  <c r="AF46" i="1"/>
  <c r="AF47" i="1" s="1"/>
  <c r="AG47" i="1"/>
  <c r="BC5" i="1"/>
  <c r="BC36" i="1" s="1"/>
  <c r="W36" i="1"/>
  <c r="W37" i="1" s="1"/>
  <c r="AO38" i="1"/>
  <c r="AN46" i="1"/>
  <c r="AN47" i="1" s="1"/>
  <c r="AO47" i="1"/>
  <c r="AO37" i="1"/>
  <c r="R37" i="1"/>
  <c r="S36" i="1"/>
  <c r="K47" i="3" l="1"/>
  <c r="J46" i="3"/>
  <c r="J47" i="3" s="1"/>
  <c r="K38" i="3"/>
  <c r="S36" i="3"/>
  <c r="R37" i="3"/>
  <c r="BC29" i="3"/>
  <c r="BC36" i="3" s="1"/>
  <c r="W36" i="3"/>
  <c r="W37" i="3" s="1"/>
  <c r="W38" i="2"/>
  <c r="W46" i="2"/>
  <c r="W47" i="2" s="1"/>
  <c r="X47" i="2"/>
  <c r="K47" i="2"/>
  <c r="J46" i="2"/>
  <c r="J47" i="2" s="1"/>
  <c r="K38" i="2"/>
  <c r="BC37" i="2"/>
  <c r="BC39" i="2"/>
  <c r="BD39" i="2" s="1"/>
  <c r="S36" i="2"/>
  <c r="R37" i="2"/>
  <c r="BC37" i="1"/>
  <c r="BC39" i="1"/>
  <c r="BD39" i="1" s="1"/>
  <c r="S47" i="1"/>
  <c r="R46" i="1"/>
  <c r="R47" i="1" s="1"/>
  <c r="S38" i="1"/>
  <c r="S37" i="1"/>
  <c r="W38" i="1"/>
  <c r="X47" i="1"/>
  <c r="W46" i="1"/>
  <c r="W47" i="1" s="1"/>
  <c r="BC37" i="3" l="1"/>
  <c r="BC39" i="3"/>
  <c r="BD39" i="3" s="1"/>
  <c r="S37" i="3"/>
  <c r="R46" i="3"/>
  <c r="R47" i="3" s="1"/>
  <c r="S38" i="3"/>
  <c r="S47" i="3"/>
  <c r="W46" i="3"/>
  <c r="W47" i="3" s="1"/>
  <c r="W38" i="3"/>
  <c r="X47" i="3"/>
  <c r="BC40" i="2"/>
  <c r="BD41" i="2" s="1"/>
  <c r="BD46" i="2"/>
  <c r="BD38" i="2"/>
  <c r="BC43" i="2"/>
  <c r="BC45" i="2"/>
  <c r="BC46" i="2" s="1"/>
  <c r="S38" i="2"/>
  <c r="R46" i="2"/>
  <c r="R47" i="2" s="1"/>
  <c r="S37" i="2"/>
  <c r="S47" i="2"/>
  <c r="BC45" i="1"/>
  <c r="BC46" i="1" s="1"/>
  <c r="BC40" i="1"/>
  <c r="BD41" i="1" s="1"/>
  <c r="BC43" i="1"/>
  <c r="BD46" i="1"/>
  <c r="BD38" i="1"/>
  <c r="BC40" i="3" l="1"/>
  <c r="BD41" i="3" s="1"/>
  <c r="BC43" i="3"/>
  <c r="BD46" i="3"/>
  <c r="BD38" i="3"/>
  <c r="BC45" i="3"/>
  <c r="BC4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EC422918-9CC4-DA4F-8C96-A9C85BF1626D}">
      <text>
        <r>
          <rPr>
            <b/>
            <sz val="14"/>
            <color indexed="8"/>
            <rFont val="Meiryo UI"/>
            <family val="2"/>
          </rPr>
          <t>月の数字のみ入力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BBBDC45B-4497-7247-B787-0E0C4425FD96}">
      <text>
        <r>
          <rPr>
            <b/>
            <sz val="14"/>
            <color indexed="8"/>
            <rFont val="Meiryo UI"/>
            <family val="2"/>
          </rPr>
          <t>月の数字のみ入力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6C626AF5-90A4-9845-AF62-26B4B51A1B2A}">
      <text>
        <r>
          <rPr>
            <b/>
            <sz val="14"/>
            <color indexed="8"/>
            <rFont val="Meiryo UI"/>
            <family val="2"/>
          </rPr>
          <t>月の数字のみ入力</t>
        </r>
      </text>
    </comment>
  </commentList>
</comments>
</file>

<file path=xl/sharedStrings.xml><?xml version="1.0" encoding="utf-8"?>
<sst xmlns="http://schemas.openxmlformats.org/spreadsheetml/2006/main" count="556" uniqueCount="118">
  <si>
    <t>※割引反映前</t>
  </si>
  <si>
    <t>金額：(税込)</t>
  </si>
  <si>
    <t>GA</t>
    <phoneticPr fontId="8"/>
  </si>
  <si>
    <t>LUNCH</t>
  </si>
  <si>
    <t>DINNER（計算式あり・入力不要）</t>
  </si>
  <si>
    <t>レストランTOTAL売上（税込）</t>
  </si>
  <si>
    <t>アフターランチ・T/O（税込）</t>
    <phoneticPr fontId="8"/>
  </si>
  <si>
    <t>宴会（テレビ塔ケータリング）手数料払い出し済み</t>
    <rPh sb="0" eb="2">
      <t xml:space="preserve">エンカイ </t>
    </rPh>
    <rPh sb="14" eb="17">
      <t xml:space="preserve">テスウリョウ </t>
    </rPh>
    <rPh sb="17" eb="18">
      <t xml:space="preserve">ハライダシズミ </t>
    </rPh>
    <phoneticPr fontId="8"/>
  </si>
  <si>
    <t>L+D＋T/O＋宴会場+BG（人数は含まず）TOTAL</t>
    <rPh sb="19" eb="22">
      <t xml:space="preserve">エンカイジョウ </t>
    </rPh>
    <phoneticPr fontId="8"/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</si>
  <si>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</si>
  <si>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</si>
  <si>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</si>
  <si>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</si>
  <si>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</si>
  <si>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</si>
  <si>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</si>
  <si>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</si>
  <si>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</si>
  <si>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</si>
  <si>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</si>
  <si>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</si>
  <si>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</si>
  <si>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</si>
  <si>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</si>
  <si>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r>
      <rPr>
        <b/>
        <sz val="6"/>
        <color rgb="FF000000"/>
        <rFont val="游ゴシック"/>
        <family val="3"/>
        <charset val="128"/>
        <scheme val="minor"/>
      </rPr>
      <t>アフタヌーンティー</t>
    </r>
    <r>
      <rPr>
        <b/>
        <sz val="9"/>
        <color indexed="8"/>
        <rFont val="游ゴシック"/>
        <family val="3"/>
        <charset val="128"/>
        <scheme val="minor"/>
      </rPr>
      <t>実績</t>
    </r>
    <rPh sb="9" eb="11">
      <t>ジッセキ</t>
    </rPh>
    <phoneticPr fontId="11"/>
  </si>
  <si>
    <t>料理単価</t>
  </si>
  <si>
    <t>飲料単価</t>
  </si>
  <si>
    <t>合計</t>
  </si>
  <si>
    <t>件数</t>
    <rPh sb="0" eb="2">
      <t xml:space="preserve">ケンスウ </t>
    </rPh>
    <phoneticPr fontId="8"/>
  </si>
  <si>
    <t>テント利用料</t>
    <rPh sb="3" eb="6">
      <t xml:space="preserve">リヨウリョウ </t>
    </rPh>
    <phoneticPr fontId="8"/>
  </si>
  <si>
    <t>物販</t>
    <rPh sb="0" eb="2">
      <t>ブッパン</t>
    </rPh>
    <phoneticPr fontId="8"/>
  </si>
  <si>
    <t>その他</t>
    <phoneticPr fontId="8"/>
  </si>
  <si>
    <t>客数</t>
  </si>
  <si>
    <t>料理</t>
  </si>
  <si>
    <t>飲料</t>
  </si>
  <si>
    <t>室料</t>
    <rPh sb="0" eb="2">
      <t xml:space="preserve">シツリョウ </t>
    </rPh>
    <phoneticPr fontId="8"/>
  </si>
  <si>
    <t>展望台チケット（各種利用料）</t>
    <rPh sb="0" eb="3">
      <t xml:space="preserve">テンボウダイ </t>
    </rPh>
    <rPh sb="8" eb="10">
      <t xml:space="preserve">カクシュ </t>
    </rPh>
    <rPh sb="10" eb="13">
      <t xml:space="preserve">リヨウリョウ </t>
    </rPh>
    <phoneticPr fontId="8"/>
  </si>
  <si>
    <t>花束（各種利用料）</t>
    <rPh sb="3" eb="5">
      <t xml:space="preserve">カクシュ </t>
    </rPh>
    <rPh sb="5" eb="8">
      <t xml:space="preserve">リヨウリョウ </t>
    </rPh>
    <phoneticPr fontId="8"/>
  </si>
  <si>
    <t>招待券</t>
    <phoneticPr fontId="8"/>
  </si>
  <si>
    <t>売上合計　　　　　（花束預り金除く）</t>
  </si>
  <si>
    <t>税抜金額</t>
  </si>
  <si>
    <t>入客</t>
  </si>
  <si>
    <t>一日平均</t>
  </si>
  <si>
    <t>■ランチコメント</t>
  </si>
  <si>
    <t>■ディナーコメント</t>
  </si>
  <si>
    <t>■EAT-INコメント</t>
    <phoneticPr fontId="8"/>
  </si>
  <si>
    <t>■宴会コメント</t>
    <rPh sb="1" eb="3">
      <t xml:space="preserve">エンカイ </t>
    </rPh>
    <phoneticPr fontId="8"/>
  </si>
  <si>
    <t>■BGコメント</t>
    <phoneticPr fontId="8"/>
  </si>
  <si>
    <t>　1日売上平均（税込）</t>
  </si>
  <si>
    <t>　1日売上平均</t>
  </si>
  <si>
    <t>その他予算</t>
  </si>
  <si>
    <t>TOTAL予算</t>
  </si>
  <si>
    <t>7/25現在</t>
    <rPh sb="4" eb="6">
      <t xml:space="preserve">ゲンザイ </t>
    </rPh>
    <phoneticPr fontId="8"/>
  </si>
  <si>
    <t>ランチ予算</t>
  </si>
  <si>
    <t>当月残り日数</t>
  </si>
  <si>
    <t>ディナー予算</t>
  </si>
  <si>
    <t>レストラン予算</t>
    <phoneticPr fontId="8"/>
  </si>
  <si>
    <t>宴会予算</t>
    <rPh sb="0" eb="2">
      <t xml:space="preserve">エンカイ </t>
    </rPh>
    <phoneticPr fontId="8"/>
  </si>
  <si>
    <t>ビアガーデン予算</t>
    <phoneticPr fontId="8"/>
  </si>
  <si>
    <t>予算まで</t>
  </si>
  <si>
    <t>粗利</t>
    <rPh sb="0" eb="2">
      <t xml:space="preserve">アラリ </t>
    </rPh>
    <phoneticPr fontId="8"/>
  </si>
  <si>
    <t>達成まで一日あたり</t>
  </si>
  <si>
    <t>平日BV単価</t>
    <rPh sb="0" eb="2">
      <t>ヘイジツ</t>
    </rPh>
    <rPh sb="4" eb="6">
      <t>タンカ</t>
    </rPh>
    <phoneticPr fontId="8"/>
  </si>
  <si>
    <t>スタートから</t>
    <phoneticPr fontId="8"/>
  </si>
  <si>
    <t>単価</t>
    <rPh sb="0" eb="2">
      <t xml:space="preserve">タンカ </t>
    </rPh>
    <phoneticPr fontId="8"/>
  </si>
  <si>
    <t>数量</t>
    <rPh sb="0" eb="2">
      <t xml:space="preserve">スウリョウ </t>
    </rPh>
    <phoneticPr fontId="8"/>
  </si>
  <si>
    <t>残数</t>
    <rPh sb="0" eb="2">
      <t xml:space="preserve">ザンスウ </t>
    </rPh>
    <phoneticPr fontId="8"/>
  </si>
  <si>
    <t>発注数</t>
    <rPh sb="0" eb="3">
      <t xml:space="preserve">ハッチュウスウ </t>
    </rPh>
    <phoneticPr fontId="8"/>
  </si>
  <si>
    <t>発注金額</t>
    <rPh sb="0" eb="4">
      <t xml:space="preserve">ハッチュウキンガク </t>
    </rPh>
    <phoneticPr fontId="8"/>
  </si>
  <si>
    <t>棚卸</t>
    <rPh sb="0" eb="2">
      <t xml:space="preserve">タナオロシ </t>
    </rPh>
    <phoneticPr fontId="8"/>
  </si>
  <si>
    <t>使用金額</t>
    <rPh sb="0" eb="4">
      <t xml:space="preserve">シヨウキンガク </t>
    </rPh>
    <phoneticPr fontId="8"/>
  </si>
  <si>
    <t>週末BV単価</t>
    <rPh sb="0" eb="2">
      <t>シュウマツ</t>
    </rPh>
    <rPh sb="4" eb="6">
      <t>タンカ</t>
    </rPh>
    <phoneticPr fontId="8"/>
  </si>
  <si>
    <t>焼酎</t>
    <rPh sb="0" eb="2">
      <t xml:space="preserve">ショウチュウ </t>
    </rPh>
    <phoneticPr fontId="8"/>
  </si>
  <si>
    <t>24日終了時点</t>
    <rPh sb="2" eb="3">
      <t xml:space="preserve">ニチ </t>
    </rPh>
    <rPh sb="3" eb="7">
      <t xml:space="preserve">シュウリョウジテン </t>
    </rPh>
    <phoneticPr fontId="8"/>
  </si>
  <si>
    <t>クラシック20</t>
    <phoneticPr fontId="8"/>
  </si>
  <si>
    <t>JW</t>
    <phoneticPr fontId="8"/>
  </si>
  <si>
    <t>L</t>
    <phoneticPr fontId="8"/>
  </si>
  <si>
    <t>ソラチ10</t>
    <phoneticPr fontId="8"/>
  </si>
  <si>
    <t>D</t>
    <phoneticPr fontId="8"/>
  </si>
  <si>
    <t>ç</t>
    <phoneticPr fontId="8"/>
  </si>
  <si>
    <t>余市ケルナー</t>
    <rPh sb="0" eb="2">
      <t xml:space="preserve">ヨイチ </t>
    </rPh>
    <phoneticPr fontId="8"/>
  </si>
  <si>
    <t>NP</t>
    <phoneticPr fontId="8"/>
  </si>
  <si>
    <t>余市ツバい</t>
    <rPh sb="0" eb="1">
      <t xml:space="preserve">ヨイチ </t>
    </rPh>
    <phoneticPr fontId="8"/>
  </si>
  <si>
    <t>ポールスター</t>
    <phoneticPr fontId="8"/>
  </si>
  <si>
    <t>テタンジェ</t>
    <phoneticPr fontId="8"/>
  </si>
  <si>
    <t>ノクターン</t>
    <phoneticPr fontId="8"/>
  </si>
  <si>
    <t>TOTAL</t>
    <phoneticPr fontId="8"/>
  </si>
  <si>
    <t>カベルネ史ラーズ</t>
    <rPh sb="4" eb="5">
      <t xml:space="preserve">シラーズ </t>
    </rPh>
    <phoneticPr fontId="8"/>
  </si>
  <si>
    <t>シャルドネ</t>
    <phoneticPr fontId="8"/>
  </si>
  <si>
    <t>ベリンじゃ</t>
    <phoneticPr fontId="8"/>
  </si>
  <si>
    <t>氷彩サワー</t>
    <rPh sb="0" eb="1">
      <t xml:space="preserve">コオリ </t>
    </rPh>
    <rPh sb="1" eb="2">
      <t xml:space="preserve">イロドル </t>
    </rPh>
    <phoneticPr fontId="8"/>
  </si>
  <si>
    <t>デュワーズ</t>
    <phoneticPr fontId="8"/>
  </si>
  <si>
    <t>カシス</t>
    <phoneticPr fontId="8"/>
  </si>
  <si>
    <t>ピーチ</t>
    <phoneticPr fontId="8"/>
  </si>
  <si>
    <t>ウーロン</t>
    <phoneticPr fontId="8"/>
  </si>
  <si>
    <t>プレミアムフリー</t>
    <phoneticPr fontId="8"/>
  </si>
  <si>
    <t>コーン茶</t>
    <phoneticPr fontId="8"/>
  </si>
  <si>
    <t>オレンジセコマ</t>
    <phoneticPr fontId="8"/>
  </si>
  <si>
    <t>オレンジリボン</t>
    <phoneticPr fontId="8"/>
  </si>
  <si>
    <t>炭酸ガス</t>
    <rPh sb="0" eb="2">
      <t xml:space="preserve">タンサンガス </t>
    </rPh>
    <phoneticPr fontId="8"/>
  </si>
  <si>
    <t>レストラン営業終了後トータル売上（アフターランチ除く・入力用税込）</t>
    <rPh sb="24" eb="25">
      <t>ノゾ</t>
    </rPh>
    <phoneticPr fontId="11"/>
  </si>
  <si>
    <t>TEAタイム予算</t>
    <phoneticPr fontId="11"/>
  </si>
  <si>
    <t>ビアガーデン 9/15まで　ピコレ9/20~10/5まで</t>
    <phoneticPr fontId="8"/>
  </si>
  <si>
    <t>モンティーユセミナー</t>
    <phoneticPr fontId="11"/>
  </si>
  <si>
    <t>土</t>
    <rPh sb="0" eb="1">
      <t xml:space="preserve">ド </t>
    </rPh>
    <phoneticPr fontId="24"/>
  </si>
  <si>
    <t>日</t>
  </si>
  <si>
    <t>月</t>
  </si>
  <si>
    <t>火</t>
  </si>
  <si>
    <t>水</t>
  </si>
  <si>
    <t>木</t>
  </si>
  <si>
    <t>金</t>
  </si>
  <si>
    <t>ランチ</t>
    <phoneticPr fontId="24"/>
  </si>
  <si>
    <t>ディナー</t>
    <phoneticPr fontId="24"/>
  </si>
  <si>
    <t>入客</t>
    <rPh sb="0" eb="2">
      <t>ニュウ</t>
    </rPh>
    <phoneticPr fontId="24"/>
  </si>
  <si>
    <t>料理売上</t>
    <rPh sb="0" eb="2">
      <t>リョウリ</t>
    </rPh>
    <rPh sb="2" eb="4">
      <t>ウリアゲ</t>
    </rPh>
    <phoneticPr fontId="24"/>
  </si>
  <si>
    <t>ドリンク</t>
    <phoneticPr fontId="24"/>
  </si>
  <si>
    <t>月</t>
    <rPh sb="0" eb="1">
      <t>ゲテゥ</t>
    </rPh>
    <phoneticPr fontId="24"/>
  </si>
  <si>
    <t>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</si>
</sst>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87" formatCode="0.0_ "/>
    <numFmt numFmtId="188" formatCode="0_ "/>
  </numFmts>
  <fonts count="25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indexed="8"/>
      <name val="游ゴシック"/>
      <family val="3"/>
    </font>
    <font>
      <sz val="9"/>
      <color indexed="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"/>
      <name val="游ゴシック"/>
      <family val="3"/>
      <charset val="128"/>
      <scheme val="minor"/>
    </font>
    <font>
      <sz val="8"/>
      <color indexed="8"/>
      <name val="游ゴシック"/>
      <family val="3"/>
      <charset val="128"/>
      <scheme val="minor"/>
    </font>
    <font>
      <b/>
      <sz val="12"/>
      <color indexed="8"/>
      <name val="游ゴシック"/>
      <family val="3"/>
      <charset val="128"/>
      <scheme val="minor"/>
    </font>
    <font>
      <sz val="6"/>
      <name val="07LogoTypeGothic-Condense"/>
      <family val="3"/>
      <charset val="128"/>
    </font>
    <font>
      <b/>
      <sz val="11"/>
      <color indexed="8"/>
      <name val="游ゴシック"/>
      <family val="3"/>
      <charset val="128"/>
      <scheme val="minor"/>
    </font>
    <font>
      <b/>
      <sz val="6"/>
      <color rgb="FF000000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8"/>
      <name val="游ゴシック"/>
      <family val="3"/>
      <charset val="128"/>
      <scheme val="minor"/>
    </font>
    <font>
      <b/>
      <sz val="8"/>
      <color indexed="8"/>
      <name val="游ゴシック"/>
      <family val="3"/>
      <charset val="128"/>
      <scheme val="minor"/>
    </font>
    <font>
      <b/>
      <sz val="7"/>
      <color indexed="8"/>
      <name val="游ゴシック"/>
      <family val="3"/>
      <charset val="128"/>
      <scheme val="minor"/>
    </font>
    <font>
      <b/>
      <sz val="6"/>
      <color indexed="8"/>
      <name val="游ゴシック"/>
      <family val="3"/>
      <charset val="128"/>
      <scheme val="minor"/>
    </font>
    <font>
      <sz val="9"/>
      <color indexed="10"/>
      <name val="游ゴシック"/>
      <family val="3"/>
      <charset val="128"/>
      <scheme val="minor"/>
    </font>
    <font>
      <b/>
      <sz val="14"/>
      <color indexed="8"/>
      <name val="游ゴシック"/>
      <family val="3"/>
      <charset val="128"/>
      <scheme val="minor"/>
    </font>
    <font>
      <sz val="11"/>
      <color indexed="8"/>
      <name val="游ゴシック"/>
      <family val="3"/>
      <charset val="128"/>
      <scheme val="minor"/>
    </font>
    <font>
      <b/>
      <sz val="11"/>
      <color indexed="8"/>
      <name val="游ゴシック (本文)"/>
      <family val="3"/>
      <charset val="128"/>
    </font>
    <font>
      <b/>
      <sz val="10"/>
      <color indexed="8"/>
      <name val="游ゴシック"/>
      <family val="3"/>
      <charset val="128"/>
      <scheme val="minor"/>
    </font>
    <font>
      <sz val="12"/>
      <color indexed="8"/>
      <name val="游ゴシック"/>
      <family val="3"/>
      <charset val="128"/>
      <scheme val="minor"/>
    </font>
    <font>
      <b/>
      <sz val="16"/>
      <color indexed="8"/>
      <name val="游ゴシック"/>
      <family val="3"/>
      <charset val="128"/>
      <scheme val="minor"/>
    </font>
    <font>
      <b/>
      <sz val="14"/>
      <color indexed="8"/>
      <name val="Meiryo UI"/>
      <family val="2"/>
    </font>
    <font>
      <sz val="6"/>
      <name val="Tsukushi A Round Gothic Bold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43"/>
      </patternFill>
    </fill>
    <fill>
      <patternFill patternType="solid">
        <fgColor theme="9" tint="0.79998168889431442"/>
        <bgColor indexed="43"/>
      </patternFill>
    </fill>
    <fill>
      <patternFill patternType="solid">
        <fgColor theme="7" tint="0.59999389629810485"/>
        <b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5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E79"/>
        <bgColor indexed="64"/>
      </patternFill>
    </fill>
  </fills>
  <borders count="3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38" fontId="2" fillId="0" borderId="0"/>
    <xf numFmtId="184" fontId="2" fillId="0" borderId="0"/>
  </cellStyleXfs>
  <cellXfs count="225">
    <xf numFmtId="0" fontId="0" fillId="0" borderId="0" xfId="0">
      <alignment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left" vertical="center" wrapText="1"/>
    </xf>
    <xf numFmtId="0" fontId="3" fillId="0" borderId="0" xfId="3" applyFont="1" applyAlignment="1">
      <alignment horizontal="center" vertical="center" wrapText="1"/>
    </xf>
    <xf numFmtId="38" fontId="3" fillId="0" borderId="0" xfId="4" applyFont="1" applyAlignment="1">
      <alignment horizontal="center" vertical="center" wrapText="1"/>
    </xf>
    <xf numFmtId="176" fontId="6" fillId="0" borderId="0" xfId="3" applyNumberFormat="1" applyFont="1" applyAlignment="1">
      <alignment horizontal="center" vertical="center" wrapText="1"/>
    </xf>
    <xf numFmtId="177" fontId="5" fillId="0" borderId="0" xfId="3" applyNumberFormat="1" applyFont="1" applyAlignment="1">
      <alignment horizontal="left" vertical="center" wrapText="1"/>
    </xf>
    <xf numFmtId="177" fontId="5" fillId="0" borderId="0" xfId="3" applyNumberFormat="1" applyFont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176" fontId="3" fillId="0" borderId="0" xfId="3" applyNumberFormat="1" applyFont="1" applyAlignment="1">
      <alignment horizontal="center" vertical="center" wrapText="1"/>
    </xf>
    <xf numFmtId="177" fontId="7" fillId="0" borderId="1" xfId="3" applyNumberFormat="1" applyFont="1" applyBorder="1" applyAlignment="1">
      <alignment horizontal="center" vertical="center" wrapText="1"/>
    </xf>
    <xf numFmtId="177" fontId="3" fillId="0" borderId="2" xfId="3" applyNumberFormat="1" applyFont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 wrapText="1"/>
    </xf>
    <xf numFmtId="0" fontId="9" fillId="4" borderId="5" xfId="3" applyFont="1" applyFill="1" applyBorder="1" applyAlignment="1">
      <alignment horizontal="center" vertical="center" wrapText="1"/>
    </xf>
    <xf numFmtId="0" fontId="9" fillId="4" borderId="6" xfId="3" applyFont="1" applyFill="1" applyBorder="1" applyAlignment="1">
      <alignment horizontal="center" vertical="center" wrapText="1"/>
    </xf>
    <xf numFmtId="0" fontId="9" fillId="5" borderId="7" xfId="3" applyFont="1" applyFill="1" applyBorder="1" applyAlignment="1">
      <alignment horizontal="center" vertical="center" wrapText="1"/>
    </xf>
    <xf numFmtId="0" fontId="9" fillId="5" borderId="8" xfId="3" applyFont="1" applyFill="1" applyBorder="1" applyAlignment="1">
      <alignment horizontal="center" vertical="center" wrapText="1"/>
    </xf>
    <xf numFmtId="0" fontId="9" fillId="5" borderId="9" xfId="3" applyFont="1" applyFill="1" applyBorder="1" applyAlignment="1">
      <alignment horizontal="center" vertical="center" wrapText="1"/>
    </xf>
    <xf numFmtId="0" fontId="9" fillId="6" borderId="7" xfId="3" applyFont="1" applyFill="1" applyBorder="1" applyAlignment="1">
      <alignment horizontal="center" vertical="center" wrapText="1"/>
    </xf>
    <xf numFmtId="0" fontId="9" fillId="6" borderId="8" xfId="3" applyFont="1" applyFill="1" applyBorder="1" applyAlignment="1">
      <alignment horizontal="center" vertical="center" wrapText="1"/>
    </xf>
    <xf numFmtId="0" fontId="9" fillId="6" borderId="9" xfId="3" applyFont="1" applyFill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10" xfId="3" applyFont="1" applyBorder="1" applyAlignment="1">
      <alignment horizontal="center" vertical="center" wrapText="1"/>
    </xf>
    <xf numFmtId="0" fontId="9" fillId="7" borderId="11" xfId="3" applyFont="1" applyFill="1" applyBorder="1" applyAlignment="1">
      <alignment horizontal="center" vertical="center" wrapText="1"/>
    </xf>
    <xf numFmtId="0" fontId="9" fillId="7" borderId="12" xfId="3" applyFont="1" applyFill="1" applyBorder="1" applyAlignment="1">
      <alignment horizontal="center" vertical="center" wrapText="1"/>
    </xf>
    <xf numFmtId="0" fontId="9" fillId="7" borderId="13" xfId="3" applyFont="1" applyFill="1" applyBorder="1" applyAlignment="1">
      <alignment horizontal="center" vertical="center" wrapText="1"/>
    </xf>
    <xf numFmtId="176" fontId="5" fillId="0" borderId="0" xfId="3" applyNumberFormat="1" applyFont="1" applyAlignment="1">
      <alignment horizontal="center" vertical="center" wrapText="1"/>
    </xf>
    <xf numFmtId="177" fontId="5" fillId="0" borderId="14" xfId="3" applyNumberFormat="1" applyFont="1" applyBorder="1" applyAlignment="1">
      <alignment horizontal="center" vertical="center" wrapText="1"/>
    </xf>
    <xf numFmtId="0" fontId="5" fillId="0" borderId="15" xfId="3" applyFont="1" applyBorder="1" applyAlignment="1">
      <alignment horizontal="center" vertical="center" wrapText="1"/>
    </xf>
    <xf numFmtId="0" fontId="5" fillId="2" borderId="15" xfId="3" applyFont="1" applyFill="1" applyBorder="1" applyAlignment="1">
      <alignment horizontal="center" vertical="center" wrapText="1"/>
    </xf>
    <xf numFmtId="0" fontId="5" fillId="0" borderId="16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3" borderId="15" xfId="3" applyFont="1" applyFill="1" applyBorder="1" applyAlignment="1">
      <alignment horizontal="center" vertical="center" wrapText="1"/>
    </xf>
    <xf numFmtId="0" fontId="5" fillId="0" borderId="17" xfId="3" applyFont="1" applyBorder="1" applyAlignment="1">
      <alignment horizontal="center" vertical="center" wrapText="1"/>
    </xf>
    <xf numFmtId="0" fontId="5" fillId="0" borderId="18" xfId="3" applyFont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0" fontId="5" fillId="0" borderId="19" xfId="3" applyFont="1" applyBorder="1" applyAlignment="1">
      <alignment horizontal="center" vertical="center" wrapText="1"/>
    </xf>
    <xf numFmtId="0" fontId="5" fillId="4" borderId="14" xfId="3" applyFont="1" applyFill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0" fontId="5" fillId="3" borderId="14" xfId="3" applyFont="1" applyFill="1" applyBorder="1" applyAlignment="1">
      <alignment horizontal="center" vertical="center" wrapText="1"/>
    </xf>
    <xf numFmtId="0" fontId="5" fillId="0" borderId="21" xfId="3" applyFont="1" applyBorder="1" applyAlignment="1">
      <alignment horizontal="center" vertical="center" wrapText="1"/>
    </xf>
    <xf numFmtId="0" fontId="5" fillId="5" borderId="15" xfId="3" applyFont="1" applyFill="1" applyBorder="1" applyAlignment="1">
      <alignment horizontal="center" vertical="center" wrapText="1"/>
    </xf>
    <xf numFmtId="0" fontId="5" fillId="6" borderId="15" xfId="3" applyFont="1" applyFill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22" xfId="3" applyFont="1" applyBorder="1" applyAlignment="1">
      <alignment horizontal="center" vertical="center" wrapText="1"/>
    </xf>
    <xf numFmtId="38" fontId="5" fillId="0" borderId="23" xfId="4" applyFont="1" applyBorder="1" applyAlignment="1">
      <alignment horizontal="center" vertical="center" wrapText="1"/>
    </xf>
    <xf numFmtId="38" fontId="5" fillId="0" borderId="0" xfId="4" applyFont="1" applyAlignment="1">
      <alignment horizontal="center" vertical="center" wrapText="1"/>
    </xf>
    <xf numFmtId="0" fontId="3" fillId="0" borderId="0" xfId="3" applyFont="1"/>
    <xf numFmtId="178" fontId="12" fillId="0" borderId="24" xfId="3" applyNumberFormat="1" applyFont="1" applyBorder="1" applyAlignment="1">
      <alignment horizontal="left"/>
    </xf>
    <xf numFmtId="38" fontId="3" fillId="0" borderId="24" xfId="3" applyNumberFormat="1" applyFont="1" applyBorder="1"/>
    <xf numFmtId="179" fontId="3" fillId="0" borderId="25" xfId="3" applyNumberFormat="1" applyFont="1" applyBorder="1"/>
    <xf numFmtId="180" fontId="3" fillId="2" borderId="25" xfId="4" applyNumberFormat="1" applyFont="1" applyFill="1" applyBorder="1"/>
    <xf numFmtId="38" fontId="3" fillId="8" borderId="25" xfId="4" applyFont="1" applyFill="1" applyBorder="1"/>
    <xf numFmtId="38" fontId="5" fillId="0" borderId="26" xfId="4" applyFont="1" applyBorder="1"/>
    <xf numFmtId="38" fontId="5" fillId="0" borderId="24" xfId="4" applyFont="1" applyBorder="1"/>
    <xf numFmtId="38" fontId="9" fillId="2" borderId="25" xfId="4" applyFont="1" applyFill="1" applyBorder="1"/>
    <xf numFmtId="40" fontId="3" fillId="0" borderId="27" xfId="3" applyNumberFormat="1" applyFont="1" applyBorder="1"/>
    <xf numFmtId="181" fontId="3" fillId="0" borderId="25" xfId="3" applyNumberFormat="1" applyFont="1" applyBorder="1"/>
    <xf numFmtId="180" fontId="3" fillId="3" borderId="25" xfId="4" applyNumberFormat="1" applyFont="1" applyFill="1" applyBorder="1"/>
    <xf numFmtId="38" fontId="3" fillId="0" borderId="25" xfId="4" applyFont="1" applyBorder="1"/>
    <xf numFmtId="38" fontId="9" fillId="0" borderId="22" xfId="4" applyFont="1" applyBorder="1"/>
    <xf numFmtId="180" fontId="3" fillId="0" borderId="28" xfId="4" applyNumberFormat="1" applyFont="1" applyBorder="1"/>
    <xf numFmtId="38" fontId="3" fillId="9" borderId="24" xfId="4" applyFont="1" applyFill="1" applyBorder="1"/>
    <xf numFmtId="179" fontId="3" fillId="4" borderId="25" xfId="3" applyNumberFormat="1" applyFont="1" applyFill="1" applyBorder="1"/>
    <xf numFmtId="180" fontId="3" fillId="10" borderId="25" xfId="4" applyNumberFormat="1" applyFont="1" applyFill="1" applyBorder="1"/>
    <xf numFmtId="38" fontId="3" fillId="3" borderId="22" xfId="4" applyFont="1" applyFill="1" applyBorder="1"/>
    <xf numFmtId="40" fontId="3" fillId="11" borderId="22" xfId="3" applyNumberFormat="1" applyFont="1" applyFill="1" applyBorder="1"/>
    <xf numFmtId="40" fontId="3" fillId="0" borderId="26" xfId="3" applyNumberFormat="1" applyFont="1" applyBorder="1"/>
    <xf numFmtId="38" fontId="3" fillId="12" borderId="22" xfId="3" applyNumberFormat="1" applyFont="1" applyFill="1" applyBorder="1"/>
    <xf numFmtId="38" fontId="5" fillId="3" borderId="22" xfId="4" applyFont="1" applyFill="1" applyBorder="1"/>
    <xf numFmtId="180" fontId="3" fillId="0" borderId="26" xfId="4" applyNumberFormat="1" applyFont="1" applyBorder="1"/>
    <xf numFmtId="38" fontId="9" fillId="0" borderId="24" xfId="4" applyFont="1" applyBorder="1"/>
    <xf numFmtId="38" fontId="3" fillId="0" borderId="24" xfId="4" applyFont="1" applyBorder="1"/>
    <xf numFmtId="38" fontId="3" fillId="13" borderId="4" xfId="4" applyFont="1" applyFill="1" applyBorder="1"/>
    <xf numFmtId="38" fontId="3" fillId="13" borderId="22" xfId="4" applyFont="1" applyFill="1" applyBorder="1"/>
    <xf numFmtId="38" fontId="5" fillId="13" borderId="22" xfId="4" applyFont="1" applyFill="1" applyBorder="1"/>
    <xf numFmtId="38" fontId="9" fillId="9" borderId="23" xfId="4" applyFont="1" applyFill="1" applyBorder="1"/>
    <xf numFmtId="38" fontId="3" fillId="0" borderId="0" xfId="4" applyFont="1"/>
    <xf numFmtId="178" fontId="12" fillId="0" borderId="7" xfId="3" applyNumberFormat="1" applyFont="1" applyBorder="1" applyAlignment="1">
      <alignment horizontal="left"/>
    </xf>
    <xf numFmtId="38" fontId="3" fillId="0" borderId="7" xfId="3" applyNumberFormat="1" applyFont="1" applyBorder="1"/>
    <xf numFmtId="180" fontId="3" fillId="0" borderId="4" xfId="4" applyNumberFormat="1" applyFont="1" applyBorder="1"/>
    <xf numFmtId="38" fontId="3" fillId="0" borderId="22" xfId="4" applyFont="1" applyBorder="1"/>
    <xf numFmtId="180" fontId="3" fillId="0" borderId="9" xfId="4" applyNumberFormat="1" applyFont="1" applyBorder="1"/>
    <xf numFmtId="38" fontId="3" fillId="0" borderId="0" xfId="3" applyNumberFormat="1" applyFont="1"/>
    <xf numFmtId="38" fontId="6" fillId="0" borderId="7" xfId="3" applyNumberFormat="1" applyFont="1" applyBorder="1"/>
    <xf numFmtId="38" fontId="5" fillId="14" borderId="24" xfId="4" applyFont="1" applyFill="1" applyBorder="1"/>
    <xf numFmtId="179" fontId="3" fillId="4" borderId="22" xfId="3" applyNumberFormat="1" applyFont="1" applyFill="1" applyBorder="1"/>
    <xf numFmtId="180" fontId="3" fillId="10" borderId="22" xfId="4" applyNumberFormat="1" applyFont="1" applyFill="1" applyBorder="1"/>
    <xf numFmtId="38" fontId="3" fillId="8" borderId="22" xfId="4" applyFont="1" applyFill="1" applyBorder="1"/>
    <xf numFmtId="180" fontId="3" fillId="3" borderId="2" xfId="4" applyNumberFormat="1" applyFont="1" applyFill="1" applyBorder="1"/>
    <xf numFmtId="180" fontId="3" fillId="0" borderId="29" xfId="4" applyNumberFormat="1" applyFont="1" applyBorder="1"/>
    <xf numFmtId="38" fontId="3" fillId="0" borderId="2" xfId="4" applyFont="1" applyBorder="1"/>
    <xf numFmtId="38" fontId="3" fillId="9" borderId="3" xfId="4" applyFont="1" applyFill="1" applyBorder="1"/>
    <xf numFmtId="179" fontId="3" fillId="4" borderId="2" xfId="3" applyNumberFormat="1" applyFont="1" applyFill="1" applyBorder="1"/>
    <xf numFmtId="180" fontId="3" fillId="10" borderId="2" xfId="4" applyNumberFormat="1" applyFont="1" applyFill="1" applyBorder="1"/>
    <xf numFmtId="38" fontId="3" fillId="8" borderId="2" xfId="4" applyFont="1" applyFill="1" applyBorder="1"/>
    <xf numFmtId="38" fontId="5" fillId="0" borderId="30" xfId="4" applyFont="1" applyBorder="1"/>
    <xf numFmtId="38" fontId="5" fillId="0" borderId="31" xfId="4" applyFont="1" applyBorder="1"/>
    <xf numFmtId="38" fontId="3" fillId="3" borderId="2" xfId="4" applyFont="1" applyFill="1" applyBorder="1"/>
    <xf numFmtId="40" fontId="3" fillId="11" borderId="2" xfId="3" applyNumberFormat="1" applyFont="1" applyFill="1" applyBorder="1"/>
    <xf numFmtId="38" fontId="3" fillId="12" borderId="2" xfId="3" applyNumberFormat="1" applyFont="1" applyFill="1" applyBorder="1"/>
    <xf numFmtId="180" fontId="3" fillId="0" borderId="30" xfId="4" applyNumberFormat="1" applyFont="1" applyBorder="1"/>
    <xf numFmtId="38" fontId="3" fillId="13" borderId="32" xfId="4" applyFont="1" applyFill="1" applyBorder="1"/>
    <xf numFmtId="38" fontId="3" fillId="13" borderId="15" xfId="4" applyFont="1" applyFill="1" applyBorder="1"/>
    <xf numFmtId="38" fontId="5" fillId="13" borderId="15" xfId="4" applyFont="1" applyFill="1" applyBorder="1"/>
    <xf numFmtId="0" fontId="5" fillId="0" borderId="33" xfId="3" applyFont="1" applyBorder="1" applyAlignment="1">
      <alignment horizontal="left"/>
    </xf>
    <xf numFmtId="38" fontId="5" fillId="0" borderId="12" xfId="3" applyNumberFormat="1" applyFont="1" applyBorder="1"/>
    <xf numFmtId="179" fontId="5" fillId="0" borderId="34" xfId="3" applyNumberFormat="1" applyFont="1" applyBorder="1"/>
    <xf numFmtId="180" fontId="5" fillId="0" borderId="12" xfId="3" applyNumberFormat="1" applyFont="1" applyBorder="1"/>
    <xf numFmtId="38" fontId="13" fillId="0" borderId="34" xfId="3" applyNumberFormat="1" applyFont="1" applyBorder="1"/>
    <xf numFmtId="38" fontId="5" fillId="0" borderId="34" xfId="3" applyNumberFormat="1" applyFont="1" applyBorder="1"/>
    <xf numFmtId="38" fontId="5" fillId="0" borderId="33" xfId="3" applyNumberFormat="1" applyFont="1" applyBorder="1"/>
    <xf numFmtId="38" fontId="5" fillId="7" borderId="12" xfId="3" applyNumberFormat="1" applyFont="1" applyFill="1" applyBorder="1"/>
    <xf numFmtId="182" fontId="5" fillId="0" borderId="12" xfId="3" applyNumberFormat="1" applyFont="1" applyBorder="1" applyAlignment="1">
      <alignment shrinkToFit="1"/>
    </xf>
    <xf numFmtId="181" fontId="5" fillId="0" borderId="34" xfId="3" applyNumberFormat="1" applyFont="1" applyBorder="1"/>
    <xf numFmtId="38" fontId="13" fillId="0" borderId="12" xfId="3" applyNumberFormat="1" applyFont="1" applyBorder="1"/>
    <xf numFmtId="38" fontId="9" fillId="7" borderId="12" xfId="3" applyNumberFormat="1" applyFont="1" applyFill="1" applyBorder="1"/>
    <xf numFmtId="182" fontId="14" fillId="0" borderId="34" xfId="3" applyNumberFormat="1" applyFont="1" applyBorder="1" applyAlignment="1">
      <alignment shrinkToFit="1"/>
    </xf>
    <xf numFmtId="0" fontId="5" fillId="0" borderId="12" xfId="3" applyFont="1" applyBorder="1"/>
    <xf numFmtId="180" fontId="5" fillId="0" borderId="34" xfId="3" applyNumberFormat="1" applyFont="1" applyBorder="1"/>
    <xf numFmtId="182" fontId="5" fillId="0" borderId="35" xfId="3" applyNumberFormat="1" applyFont="1" applyBorder="1"/>
    <xf numFmtId="179" fontId="5" fillId="11" borderId="34" xfId="3" applyNumberFormat="1" applyFont="1" applyFill="1" applyBorder="1"/>
    <xf numFmtId="182" fontId="5" fillId="0" borderId="34" xfId="3" applyNumberFormat="1" applyFont="1" applyBorder="1"/>
    <xf numFmtId="179" fontId="15" fillId="12" borderId="34" xfId="3" applyNumberFormat="1" applyFont="1" applyFill="1" applyBorder="1"/>
    <xf numFmtId="38" fontId="5" fillId="0" borderId="12" xfId="4" applyFont="1" applyBorder="1"/>
    <xf numFmtId="38" fontId="5" fillId="7" borderId="25" xfId="4" applyFont="1" applyFill="1" applyBorder="1"/>
    <xf numFmtId="38" fontId="9" fillId="7" borderId="25" xfId="4" applyFont="1" applyFill="1" applyBorder="1"/>
    <xf numFmtId="0" fontId="5" fillId="0" borderId="0" xfId="3" applyFont="1"/>
    <xf numFmtId="38" fontId="5" fillId="14" borderId="22" xfId="4" applyFont="1" applyFill="1" applyBorder="1"/>
    <xf numFmtId="0" fontId="5" fillId="0" borderId="0" xfId="3" applyFont="1" applyAlignment="1">
      <alignment horizontal="left"/>
    </xf>
    <xf numFmtId="0" fontId="5" fillId="0" borderId="7" xfId="3" applyFont="1" applyBorder="1"/>
    <xf numFmtId="38" fontId="13" fillId="0" borderId="22" xfId="4" applyFont="1" applyBorder="1"/>
    <xf numFmtId="38" fontId="9" fillId="7" borderId="22" xfId="4" applyFont="1" applyFill="1" applyBorder="1"/>
    <xf numFmtId="38" fontId="5" fillId="0" borderId="22" xfId="4" applyFont="1" applyBorder="1"/>
    <xf numFmtId="38" fontId="5" fillId="7" borderId="22" xfId="4" applyFont="1" applyFill="1" applyBorder="1"/>
    <xf numFmtId="182" fontId="5" fillId="0" borderId="0" xfId="3" applyNumberFormat="1" applyFont="1" applyAlignment="1">
      <alignment shrinkToFit="1"/>
    </xf>
    <xf numFmtId="179" fontId="5" fillId="0" borderId="0" xfId="3" applyNumberFormat="1" applyFont="1"/>
    <xf numFmtId="182" fontId="13" fillId="0" borderId="0" xfId="3" applyNumberFormat="1" applyFont="1"/>
    <xf numFmtId="0" fontId="5" fillId="0" borderId="9" xfId="3" applyFont="1" applyBorder="1"/>
    <xf numFmtId="182" fontId="5" fillId="0" borderId="0" xfId="3" applyNumberFormat="1" applyFont="1"/>
    <xf numFmtId="182" fontId="5" fillId="0" borderId="36" xfId="3" applyNumberFormat="1" applyFont="1" applyBorder="1"/>
    <xf numFmtId="0" fontId="5" fillId="0" borderId="8" xfId="3" applyFont="1" applyBorder="1"/>
    <xf numFmtId="38" fontId="5" fillId="0" borderId="9" xfId="4" applyFont="1" applyBorder="1"/>
    <xf numFmtId="38" fontId="5" fillId="0" borderId="0" xfId="3" applyNumberFormat="1" applyFont="1"/>
    <xf numFmtId="38" fontId="5" fillId="0" borderId="0" xfId="4" applyFont="1"/>
    <xf numFmtId="0" fontId="3" fillId="0" borderId="0" xfId="3" applyFont="1" applyAlignment="1">
      <alignment horizontal="right"/>
    </xf>
    <xf numFmtId="183" fontId="5" fillId="0" borderId="0" xfId="3" applyNumberFormat="1" applyFont="1"/>
    <xf numFmtId="183" fontId="5" fillId="8" borderId="0" xfId="3" applyNumberFormat="1" applyFont="1" applyFill="1"/>
    <xf numFmtId="183" fontId="5" fillId="0" borderId="0" xfId="3" applyNumberFormat="1" applyFont="1" applyAlignment="1">
      <alignment horizontal="right"/>
    </xf>
    <xf numFmtId="184" fontId="5" fillId="0" borderId="0" xfId="5" applyFont="1"/>
    <xf numFmtId="184" fontId="5" fillId="0" borderId="0" xfId="5" applyFont="1" applyAlignment="1">
      <alignment shrinkToFit="1"/>
    </xf>
    <xf numFmtId="183" fontId="3" fillId="0" borderId="0" xfId="3" applyNumberFormat="1" applyFont="1"/>
    <xf numFmtId="183" fontId="5" fillId="4" borderId="0" xfId="3" applyNumberFormat="1" applyFont="1" applyFill="1"/>
    <xf numFmtId="180" fontId="3" fillId="0" borderId="0" xfId="3" applyNumberFormat="1" applyFont="1"/>
    <xf numFmtId="0" fontId="3" fillId="0" borderId="26" xfId="3" applyFont="1" applyBorder="1"/>
    <xf numFmtId="0" fontId="3" fillId="0" borderId="31" xfId="3" applyFont="1" applyBorder="1" applyAlignment="1">
      <alignment horizontal="right"/>
    </xf>
    <xf numFmtId="183" fontId="5" fillId="14" borderId="0" xfId="3" applyNumberFormat="1" applyFont="1" applyFill="1"/>
    <xf numFmtId="0" fontId="3" fillId="0" borderId="36" xfId="3" applyFont="1" applyBorder="1"/>
    <xf numFmtId="185" fontId="3" fillId="0" borderId="0" xfId="4" applyNumberFormat="1" applyFont="1"/>
    <xf numFmtId="0" fontId="16" fillId="0" borderId="22" xfId="3" applyFont="1" applyBorder="1" applyAlignment="1">
      <alignment horizontal="left" vertical="top" wrapText="1"/>
    </xf>
    <xf numFmtId="38" fontId="17" fillId="0" borderId="0" xfId="3" applyNumberFormat="1" applyFont="1" applyAlignment="1">
      <alignment vertical="center"/>
    </xf>
    <xf numFmtId="0" fontId="3" fillId="0" borderId="0" xfId="3" applyFont="1" applyAlignment="1">
      <alignment horizontal="center"/>
    </xf>
    <xf numFmtId="38" fontId="3" fillId="0" borderId="0" xfId="1" applyFont="1" applyAlignment="1"/>
    <xf numFmtId="10" fontId="1" fillId="0" borderId="0" xfId="2" applyNumberFormat="1" applyAlignment="1"/>
    <xf numFmtId="0" fontId="5" fillId="0" borderId="0" xfId="3" applyFont="1" applyAlignment="1">
      <alignment horizontal="center"/>
    </xf>
    <xf numFmtId="38" fontId="5" fillId="0" borderId="0" xfId="4" applyFont="1" applyAlignment="1">
      <alignment horizontal="right"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horizontal="center" vertical="center" shrinkToFit="1"/>
    </xf>
    <xf numFmtId="186" fontId="5" fillId="0" borderId="0" xfId="2" applyNumberFormat="1" applyFont="1" applyAlignment="1"/>
    <xf numFmtId="187" fontId="5" fillId="7" borderId="0" xfId="3" applyNumberFormat="1" applyFont="1" applyFill="1"/>
    <xf numFmtId="38" fontId="5" fillId="0" borderId="0" xfId="3" applyNumberFormat="1" applyFont="1" applyAlignment="1">
      <alignment horizontal="center" vertical="center"/>
    </xf>
    <xf numFmtId="0" fontId="9" fillId="0" borderId="0" xfId="3" applyFont="1" applyAlignment="1">
      <alignment vertical="center"/>
    </xf>
    <xf numFmtId="0" fontId="9" fillId="0" borderId="0" xfId="3" applyFont="1" applyAlignment="1">
      <alignment horizontal="right" vertical="center"/>
    </xf>
    <xf numFmtId="184" fontId="9" fillId="0" borderId="0" xfId="5" applyFont="1" applyAlignment="1">
      <alignment vertical="center"/>
    </xf>
    <xf numFmtId="10" fontId="9" fillId="0" borderId="0" xfId="2" applyNumberFormat="1" applyFont="1" applyAlignment="1">
      <alignment vertical="center"/>
    </xf>
    <xf numFmtId="0" fontId="18" fillId="0" borderId="0" xfId="3" applyFont="1" applyAlignment="1">
      <alignment vertical="center"/>
    </xf>
    <xf numFmtId="38" fontId="19" fillId="0" borderId="0" xfId="3" applyNumberFormat="1" applyFont="1"/>
    <xf numFmtId="38" fontId="19" fillId="0" borderId="0" xfId="1" applyFont="1" applyAlignment="1"/>
    <xf numFmtId="10" fontId="19" fillId="0" borderId="0" xfId="2" applyNumberFormat="1" applyFont="1" applyAlignment="1"/>
    <xf numFmtId="38" fontId="19" fillId="0" borderId="0" xfId="4" applyFont="1"/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horizontal="center" vertical="center"/>
    </xf>
    <xf numFmtId="184" fontId="20" fillId="0" borderId="0" xfId="5" applyFont="1" applyAlignment="1">
      <alignment vertical="center"/>
    </xf>
    <xf numFmtId="10" fontId="20" fillId="0" borderId="0" xfId="2" applyNumberFormat="1" applyFont="1" applyAlignment="1">
      <alignment vertical="center"/>
    </xf>
    <xf numFmtId="38" fontId="18" fillId="0" borderId="0" xfId="4" applyFont="1" applyAlignment="1">
      <alignment vertical="center"/>
    </xf>
    <xf numFmtId="0" fontId="3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38" fontId="3" fillId="0" borderId="0" xfId="3" applyNumberFormat="1" applyFont="1" applyAlignment="1">
      <alignment horizontal="center" vertical="center"/>
    </xf>
    <xf numFmtId="0" fontId="21" fillId="0" borderId="0" xfId="3" applyFont="1" applyAlignment="1">
      <alignment horizontal="left" vertical="center"/>
    </xf>
    <xf numFmtId="180" fontId="3" fillId="0" borderId="0" xfId="3" applyNumberFormat="1" applyFont="1" applyAlignment="1">
      <alignment horizontal="left" vertical="center"/>
    </xf>
    <xf numFmtId="38" fontId="3" fillId="0" borderId="0" xfId="3" applyNumberFormat="1" applyFont="1" applyAlignment="1">
      <alignment horizontal="left" vertical="center"/>
    </xf>
    <xf numFmtId="0" fontId="3" fillId="0" borderId="0" xfId="3" applyFont="1" applyAlignment="1">
      <alignment vertical="center"/>
    </xf>
    <xf numFmtId="38" fontId="3" fillId="0" borderId="0" xfId="4" applyFont="1" applyAlignment="1">
      <alignment horizontal="left" vertical="center"/>
    </xf>
    <xf numFmtId="0" fontId="21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188" fontId="3" fillId="0" borderId="0" xfId="3" applyNumberFormat="1" applyFont="1" applyAlignment="1">
      <alignment horizontal="center" vertical="center"/>
    </xf>
    <xf numFmtId="38" fontId="6" fillId="0" borderId="0" xfId="3" applyNumberFormat="1" applyFont="1" applyAlignment="1">
      <alignment horizontal="center" vertical="center"/>
    </xf>
    <xf numFmtId="38" fontId="3" fillId="0" borderId="0" xfId="1" applyFont="1" applyAlignment="1">
      <alignment horizontal="right" vertical="center"/>
    </xf>
    <xf numFmtId="38" fontId="0" fillId="0" borderId="0" xfId="1" applyFont="1" applyAlignment="1">
      <alignment horizontal="right" vertical="center"/>
    </xf>
    <xf numFmtId="38" fontId="3" fillId="0" borderId="0" xfId="4" applyFont="1" applyAlignment="1">
      <alignment vertical="center"/>
    </xf>
    <xf numFmtId="38" fontId="7" fillId="0" borderId="0" xfId="4" applyFont="1" applyAlignment="1">
      <alignment vertical="center"/>
    </xf>
    <xf numFmtId="38" fontId="5" fillId="0" borderId="0" xfId="4" applyFont="1" applyAlignment="1">
      <alignment vertical="center"/>
    </xf>
    <xf numFmtId="38" fontId="21" fillId="0" borderId="0" xfId="4" applyFont="1" applyAlignment="1">
      <alignment vertical="center"/>
    </xf>
    <xf numFmtId="0" fontId="21" fillId="0" borderId="0" xfId="3" applyFont="1" applyAlignment="1">
      <alignment vertical="center"/>
    </xf>
    <xf numFmtId="38" fontId="5" fillId="15" borderId="37" xfId="4" applyFont="1" applyFill="1" applyBorder="1" applyAlignment="1">
      <alignment horizontal="center" vertical="center"/>
    </xf>
    <xf numFmtId="38" fontId="5" fillId="0" borderId="37" xfId="4" applyFont="1" applyBorder="1" applyAlignment="1">
      <alignment horizontal="center" vertical="center"/>
    </xf>
    <xf numFmtId="38" fontId="21" fillId="0" borderId="37" xfId="1" applyFont="1" applyBorder="1" applyAlignment="1">
      <alignment horizontal="right" vertical="center"/>
    </xf>
    <xf numFmtId="186" fontId="1" fillId="0" borderId="37" xfId="2" applyNumberFormat="1" applyBorder="1" applyAlignment="1">
      <alignment horizontal="right" vertical="center"/>
    </xf>
    <xf numFmtId="38" fontId="7" fillId="0" borderId="37" xfId="3" applyNumberFormat="1" applyFont="1" applyBorder="1" applyAlignment="1">
      <alignment horizontal="right" vertical="center"/>
    </xf>
    <xf numFmtId="0" fontId="7" fillId="0" borderId="37" xfId="3" applyFont="1" applyBorder="1" applyAlignment="1">
      <alignment horizontal="right" vertical="center"/>
    </xf>
    <xf numFmtId="38" fontId="5" fillId="16" borderId="37" xfId="4" applyFont="1" applyFill="1" applyBorder="1" applyAlignment="1">
      <alignment horizontal="center" vertical="center"/>
    </xf>
    <xf numFmtId="38" fontId="21" fillId="0" borderId="0" xfId="3" applyNumberFormat="1" applyFont="1" applyAlignment="1">
      <alignment vertical="center"/>
    </xf>
    <xf numFmtId="38" fontId="3" fillId="0" borderId="0" xfId="1" applyFont="1" applyAlignment="1">
      <alignment horizontal="right"/>
    </xf>
    <xf numFmtId="0" fontId="5" fillId="17" borderId="37" xfId="3" applyFont="1" applyFill="1" applyBorder="1" applyAlignment="1">
      <alignment horizontal="center" vertical="center"/>
    </xf>
    <xf numFmtId="0" fontId="5" fillId="0" borderId="37" xfId="3" applyFont="1" applyBorder="1" applyAlignment="1">
      <alignment horizontal="center" vertical="center"/>
    </xf>
    <xf numFmtId="0" fontId="5" fillId="0" borderId="37" xfId="3" applyFont="1" applyBorder="1" applyAlignment="1">
      <alignment horizontal="center" vertical="center"/>
    </xf>
    <xf numFmtId="38" fontId="22" fillId="0" borderId="37" xfId="3" applyNumberFormat="1" applyFont="1" applyBorder="1" applyAlignment="1">
      <alignment horizontal="right" vertical="center"/>
    </xf>
    <xf numFmtId="0" fontId="22" fillId="0" borderId="37" xfId="3" applyFont="1" applyBorder="1" applyAlignment="1">
      <alignment horizontal="right" vertical="center"/>
    </xf>
    <xf numFmtId="38" fontId="9" fillId="0" borderId="0" xfId="3" applyNumberFormat="1" applyFont="1"/>
    <xf numFmtId="180" fontId="3" fillId="0" borderId="0" xfId="3" applyNumberFormat="1" applyFont="1" applyAlignment="1">
      <alignment horizontal="center" vertical="center"/>
    </xf>
    <xf numFmtId="38" fontId="3" fillId="13" borderId="38" xfId="4" applyFont="1" applyFill="1" applyBorder="1"/>
    <xf numFmtId="38" fontId="3" fillId="13" borderId="9" xfId="4" applyFont="1" applyFill="1" applyBorder="1"/>
  </cellXfs>
  <cellStyles count="6">
    <cellStyle name="Excel Built-in Comma [0]" xfId="4" xr:uid="{16763EBF-6B82-B74A-B44B-406D207FE96F}"/>
    <cellStyle name="Excel Built-in Currency [0]" xfId="5" xr:uid="{CDF7C23D-3DD2-4949-9303-F2C7C2CD1B5E}"/>
    <cellStyle name="Excel Built-in Normal 1" xfId="3" xr:uid="{0FC61FC9-1748-CD4A-B2A0-D0B27A81813E}"/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pporoshinkoukousha77/Downloads/GA&#22770;&#19978;&#26085;&#22577;.xlsx" TargetMode="External"/><Relationship Id="rId1" Type="http://schemas.openxmlformats.org/officeDocument/2006/relationships/externalLinkPath" Target="/Users/sapporoshinkoukousha77/Downloads/GA&#22770;&#19978;&#26085;&#22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料飲部全体進捗（月終了時点）"/>
      <sheetName val="R7GA予算"/>
      <sheetName val="2026(2)"/>
      <sheetName val="2025(2)"/>
      <sheetName val="2026(1)"/>
      <sheetName val="2025(1)"/>
      <sheetName val="2025(12)"/>
      <sheetName val="2024(12)"/>
      <sheetName val="2025(11)"/>
      <sheetName val="2024(11)"/>
      <sheetName val="2025(10)"/>
      <sheetName val="2024(10)"/>
      <sheetName val="2023(10)"/>
      <sheetName val="2025(9)"/>
      <sheetName val="2024(9)"/>
      <sheetName val="2023(9)"/>
      <sheetName val="2025(8)"/>
      <sheetName val="2024(8)"/>
      <sheetName val="2023(8)"/>
      <sheetName val="2025(7)"/>
      <sheetName val="2024(7)"/>
      <sheetName val="2023(7)"/>
      <sheetName val="2025(6)"/>
      <sheetName val="2024(6)"/>
      <sheetName val="2023(6)"/>
      <sheetName val="2025(5)"/>
      <sheetName val="2024(5)"/>
      <sheetName val="2025(4)"/>
      <sheetName val="2024(4)"/>
      <sheetName val="2025(3)"/>
      <sheetName val="2024(3)"/>
      <sheetName val="2024(2)"/>
      <sheetName val="2024(1)"/>
      <sheetName val="2023(12)"/>
      <sheetName val="2023(11)"/>
      <sheetName val="1stQuarter"/>
      <sheetName val="2023(5)"/>
      <sheetName val="料飲部全体進捗（8月終了時点） (2)"/>
      <sheetName val="2023(4)"/>
      <sheetName val="FBテイクアウト売上比率（JW）"/>
      <sheetName val="顧客リスト（リピーター）流入（JW）"/>
      <sheetName val="R4_ R3対比（客数・客単価）"/>
      <sheetName val="R4施策"/>
      <sheetName val="2022 (1)"/>
      <sheetName val="2022 (12)"/>
      <sheetName val="2021 (12)"/>
      <sheetName val="2022 (11)"/>
      <sheetName val="2021 (11)"/>
      <sheetName val="2022 (10)"/>
      <sheetName val="2021 (10)"/>
      <sheetName val="2022 (9)"/>
      <sheetName val="2021 (9)"/>
      <sheetName val="2022 (8)"/>
      <sheetName val="2021 (8)"/>
      <sheetName val="2022 (7)"/>
      <sheetName val="2021 (7)"/>
      <sheetName val="2022 (6)"/>
      <sheetName val="2021 (6)"/>
      <sheetName val="2022 (5)"/>
      <sheetName val="2021 (5)"/>
      <sheetName val="2022 (4)"/>
      <sheetName val="2021 (4)"/>
      <sheetName val="下期ー年度累計数値報告 (2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7">
          <cell r="AS37">
            <v>15843636.363636361</v>
          </cell>
        </row>
      </sheetData>
      <sheetData sheetId="22"/>
      <sheetData sheetId="23"/>
      <sheetData sheetId="24"/>
      <sheetData sheetId="25">
        <row r="34">
          <cell r="AX34">
            <v>971270</v>
          </cell>
        </row>
        <row r="35">
          <cell r="AX35">
            <v>1876020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C993-60E1-0243-93D2-76D4B1C31B2E}">
  <dimension ref="A1:BP224"/>
  <sheetViews>
    <sheetView workbookViewId="0">
      <selection sqref="A1:XFD1048576"/>
    </sheetView>
  </sheetViews>
  <sheetFormatPr baseColWidth="10" defaultColWidth="11.140625" defaultRowHeight="16"/>
  <cols>
    <col min="1" max="1" width="11.140625" style="49"/>
    <col min="2" max="2" width="10.42578125" style="131" customWidth="1"/>
    <col min="3" max="3" width="12.42578125" style="49" customWidth="1"/>
    <col min="4" max="4" width="4.140625" style="49" customWidth="1"/>
    <col min="5" max="9" width="8.42578125" style="49" customWidth="1"/>
    <col min="10" max="10" width="12" style="49" customWidth="1"/>
    <col min="11" max="11" width="8.42578125" style="49" customWidth="1"/>
    <col min="12" max="12" width="3.85546875" style="49" customWidth="1"/>
    <col min="13" max="17" width="8.42578125" style="49" customWidth="1"/>
    <col min="18" max="18" width="12.42578125" style="49" customWidth="1"/>
    <col min="19" max="19" width="8.42578125" style="49" customWidth="1"/>
    <col min="20" max="23" width="11.140625" style="49"/>
    <col min="24" max="24" width="7.5703125" style="49" customWidth="1"/>
    <col min="25" max="25" width="3" style="49" customWidth="1"/>
    <col min="26" max="26" width="7" style="49" customWidth="1"/>
    <col min="27" max="27" width="6.7109375" style="49" customWidth="1"/>
    <col min="28" max="31" width="7.5703125" style="49" customWidth="1"/>
    <col min="32" max="32" width="10" style="49" customWidth="1"/>
    <col min="33" max="33" width="7.5703125" style="49" customWidth="1"/>
    <col min="34" max="34" width="3.5703125" style="49" customWidth="1"/>
    <col min="35" max="39" width="7.5703125" style="49" customWidth="1"/>
    <col min="40" max="40" width="11.85546875" style="49" customWidth="1"/>
    <col min="41" max="41" width="10" style="49" customWidth="1"/>
    <col min="42" max="42" width="4.140625" style="49" customWidth="1"/>
    <col min="43" max="43" width="7.5703125" style="49" customWidth="1"/>
    <col min="44" max="44" width="15.85546875" style="49" customWidth="1"/>
    <col min="45" max="47" width="7.5703125" style="49" customWidth="1"/>
    <col min="48" max="49" width="9.140625" style="49" customWidth="1"/>
    <col min="50" max="50" width="11.28515625" style="49" customWidth="1"/>
    <col min="51" max="51" width="9.85546875" style="49" customWidth="1"/>
    <col min="52" max="52" width="5.7109375" style="49" customWidth="1"/>
    <col min="53" max="54" width="9.140625" style="49" customWidth="1"/>
    <col min="55" max="55" width="13.5703125" style="49" customWidth="1"/>
    <col min="56" max="56" width="11.140625" style="49"/>
    <col min="57" max="57" width="14.85546875" style="49" customWidth="1"/>
    <col min="58" max="63" width="11.140625" style="49"/>
    <col min="64" max="64" width="11.140625" style="79"/>
    <col min="65" max="65" width="11.140625" style="49"/>
    <col min="66" max="66" width="11.140625" style="79"/>
    <col min="67" max="16384" width="11.140625" style="49"/>
  </cols>
  <sheetData>
    <row r="1" spans="1:68" s="3" customFormat="1">
      <c r="A1" s="1" t="s">
        <v>0</v>
      </c>
      <c r="B1" s="2"/>
      <c r="BL1" s="4"/>
      <c r="BN1" s="4"/>
    </row>
    <row r="2" spans="1:68" s="3" customFormat="1" ht="35" thickBot="1">
      <c r="A2" s="5">
        <v>2025</v>
      </c>
      <c r="B2" s="6">
        <v>10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AE2" s="8"/>
      <c r="BD2" s="3" t="s">
        <v>1</v>
      </c>
      <c r="BL2" s="4"/>
      <c r="BN2" s="4"/>
    </row>
    <row r="3" spans="1:68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/>
      <c r="AH3" s="17" t="s">
        <v>7</v>
      </c>
      <c r="AI3" s="18"/>
      <c r="AJ3" s="18"/>
      <c r="AK3" s="18"/>
      <c r="AL3" s="18"/>
      <c r="AM3" s="18"/>
      <c r="AN3" s="18"/>
      <c r="AO3" s="19"/>
      <c r="AP3" s="20" t="s">
        <v>102</v>
      </c>
      <c r="AQ3" s="21"/>
      <c r="AR3" s="21"/>
      <c r="AS3" s="21"/>
      <c r="AT3" s="21"/>
      <c r="AU3" s="21"/>
      <c r="AV3" s="21"/>
      <c r="AW3" s="21"/>
      <c r="AX3" s="21"/>
      <c r="AY3" s="22"/>
      <c r="AZ3" s="23" t="s">
        <v>8</v>
      </c>
      <c r="BA3" s="14"/>
      <c r="BB3" s="14"/>
      <c r="BC3" s="14"/>
      <c r="BD3" s="24"/>
      <c r="BE3" s="25" t="s">
        <v>100</v>
      </c>
      <c r="BF3" s="26"/>
      <c r="BG3" s="26"/>
      <c r="BH3" s="26"/>
      <c r="BI3" s="26"/>
      <c r="BJ3" s="26"/>
      <c r="BK3" s="26"/>
      <c r="BL3" s="27"/>
      <c r="BN3" s="4"/>
    </row>
    <row r="4" spans="1:68" s="8" customFormat="1" ht="53.25" customHeight="1" thickTop="1" thickBot="1">
      <c r="A4" s="28"/>
      <c r="B4" s="10"/>
      <c r="C4" s="29" t="s">
        <v>9</v>
      </c>
      <c r="D4" s="30" t="s">
        <v>10</v>
      </c>
      <c r="E4" s="31" t="s">
        <v>11</v>
      </c>
      <c r="F4" s="30" t="s">
        <v>12</v>
      </c>
      <c r="G4" s="32" t="s">
        <v>13</v>
      </c>
      <c r="H4" s="30" t="s">
        <v>14</v>
      </c>
      <c r="I4" s="33" t="s">
        <v>15</v>
      </c>
      <c r="J4" s="31" t="s">
        <v>16</v>
      </c>
      <c r="K4" s="30" t="s">
        <v>17</v>
      </c>
      <c r="L4" s="30" t="s">
        <v>18</v>
      </c>
      <c r="M4" s="34" t="s">
        <v>11</v>
      </c>
      <c r="N4" s="30" t="s">
        <v>12</v>
      </c>
      <c r="O4" s="32" t="s">
        <v>13</v>
      </c>
      <c r="P4" s="30" t="s">
        <v>14</v>
      </c>
      <c r="Q4" s="33" t="s">
        <v>15</v>
      </c>
      <c r="R4" s="31" t="s">
        <v>16</v>
      </c>
      <c r="S4" s="35" t="s">
        <v>17</v>
      </c>
      <c r="T4" s="36" t="s">
        <v>19</v>
      </c>
      <c r="U4" s="37" t="s">
        <v>20</v>
      </c>
      <c r="V4" s="37" t="s">
        <v>21</v>
      </c>
      <c r="W4" s="38" t="s">
        <v>22</v>
      </c>
      <c r="X4" s="37"/>
      <c r="Y4" s="39" t="s">
        <v>23</v>
      </c>
      <c r="Z4" s="37" t="s">
        <v>11</v>
      </c>
      <c r="AA4" s="37" t="s">
        <v>24</v>
      </c>
      <c r="AB4" s="37" t="s">
        <v>20</v>
      </c>
      <c r="AC4" s="40" t="s">
        <v>25</v>
      </c>
      <c r="AD4" s="37" t="s">
        <v>21</v>
      </c>
      <c r="AE4" s="38" t="s">
        <v>26</v>
      </c>
      <c r="AF4" s="41" t="s">
        <v>27</v>
      </c>
      <c r="AG4" s="42" t="s">
        <v>17</v>
      </c>
      <c r="AH4" s="43" t="s">
        <v>28</v>
      </c>
      <c r="AI4" s="30" t="s">
        <v>11</v>
      </c>
      <c r="AJ4" s="30" t="s">
        <v>20</v>
      </c>
      <c r="AK4" s="32" t="s">
        <v>25</v>
      </c>
      <c r="AL4" s="30" t="s">
        <v>21</v>
      </c>
      <c r="AM4" s="33" t="s">
        <v>26</v>
      </c>
      <c r="AN4" s="34" t="s">
        <v>27</v>
      </c>
      <c r="AO4" s="40" t="s">
        <v>17</v>
      </c>
      <c r="AP4" s="44" t="s">
        <v>28</v>
      </c>
      <c r="AQ4" s="30" t="s">
        <v>11</v>
      </c>
      <c r="AR4" s="30" t="s">
        <v>20</v>
      </c>
      <c r="AS4" s="32" t="s">
        <v>25</v>
      </c>
      <c r="AT4" s="30" t="s">
        <v>21</v>
      </c>
      <c r="AU4" s="33" t="s">
        <v>26</v>
      </c>
      <c r="AV4" s="33" t="s">
        <v>29</v>
      </c>
      <c r="AW4" s="33" t="s">
        <v>30</v>
      </c>
      <c r="AX4" s="34" t="s">
        <v>27</v>
      </c>
      <c r="AY4" s="40" t="s">
        <v>17</v>
      </c>
      <c r="AZ4" s="40" t="s">
        <v>19</v>
      </c>
      <c r="BA4" s="37" t="s">
        <v>20</v>
      </c>
      <c r="BB4" s="37" t="s">
        <v>21</v>
      </c>
      <c r="BC4" s="38" t="s">
        <v>22</v>
      </c>
      <c r="BD4" s="38" t="s">
        <v>31</v>
      </c>
      <c r="BE4" s="45" t="s">
        <v>32</v>
      </c>
      <c r="BF4" s="46" t="s">
        <v>33</v>
      </c>
      <c r="BG4" s="46" t="s">
        <v>34</v>
      </c>
      <c r="BH4" s="46" t="s">
        <v>35</v>
      </c>
      <c r="BI4" s="46" t="s">
        <v>36</v>
      </c>
      <c r="BJ4" s="46" t="s">
        <v>37</v>
      </c>
      <c r="BK4" s="46" t="s">
        <v>38</v>
      </c>
      <c r="BL4" s="47" t="s">
        <v>39</v>
      </c>
      <c r="BN4" s="48"/>
    </row>
    <row r="5" spans="1:68" ht="20" customHeight="1" thickTop="1">
      <c r="B5" s="50">
        <f>DATE($A$2,$B$2,1)</f>
        <v>45931</v>
      </c>
      <c r="C5" s="51"/>
      <c r="D5" s="52"/>
      <c r="E5" s="53">
        <v>21</v>
      </c>
      <c r="F5" s="54">
        <v>73920</v>
      </c>
      <c r="G5" s="55">
        <f t="shared" ref="G5:G35" si="0">ROUNDDOWN(F5/1.1,0)/E5</f>
        <v>3200</v>
      </c>
      <c r="H5" s="54">
        <v>10560</v>
      </c>
      <c r="I5" s="56">
        <f>ROUNDDOWN(H5/1.1,0)/E5</f>
        <v>457.14285714285717</v>
      </c>
      <c r="J5" s="57">
        <f t="shared" ref="J5:J35" si="1">F5+H5</f>
        <v>84480</v>
      </c>
      <c r="K5" s="58">
        <f t="shared" ref="K5:K35" si="2">IF(E5="","",J5/E5)</f>
        <v>4022.8571428571427</v>
      </c>
      <c r="L5" s="59"/>
      <c r="M5" s="60">
        <f t="shared" ref="M5:N35" si="3">BE5-E5</f>
        <v>10</v>
      </c>
      <c r="N5" s="61">
        <f t="shared" si="3"/>
        <v>88220</v>
      </c>
      <c r="O5" s="55">
        <f t="shared" ref="O5:O35" si="4">ROUNDDOWN(N5/1.1,0)/M5</f>
        <v>8020</v>
      </c>
      <c r="P5" s="61">
        <f t="shared" ref="P5:P35" si="5">BG5-H5</f>
        <v>24980</v>
      </c>
      <c r="Q5" s="56">
        <f t="shared" ref="Q5:Q35" si="6">ROUNDDOWN(P5/1.1,0)/M5</f>
        <v>2270.9</v>
      </c>
      <c r="R5" s="62">
        <f t="shared" ref="R5:R35" si="7">N5+P5</f>
        <v>113200</v>
      </c>
      <c r="S5" s="58">
        <f t="shared" ref="S5:S35" si="8">IF(M5="","",R5/M5)</f>
        <v>11320</v>
      </c>
      <c r="T5" s="63">
        <f t="shared" ref="T5:U35" si="9">E5+M5</f>
        <v>31</v>
      </c>
      <c r="U5" s="61">
        <f t="shared" si="9"/>
        <v>162140</v>
      </c>
      <c r="V5" s="61">
        <f t="shared" ref="V5:V35" si="10">H5+P5</f>
        <v>35540</v>
      </c>
      <c r="W5" s="64">
        <f t="shared" ref="W5:W35" si="11">J5+R5</f>
        <v>197680</v>
      </c>
      <c r="X5" s="61"/>
      <c r="Y5" s="65"/>
      <c r="Z5" s="66">
        <v>0</v>
      </c>
      <c r="AA5" s="66"/>
      <c r="AB5" s="54"/>
      <c r="AC5" s="55" t="e">
        <f t="shared" ref="AC5:AC35" si="12">AB5/Z5</f>
        <v>#DIV/0!</v>
      </c>
      <c r="AD5" s="54"/>
      <c r="AE5" s="56" t="e">
        <f t="shared" ref="AE5:AE35" si="13">AD5/Z5</f>
        <v>#DIV/0!</v>
      </c>
      <c r="AF5" s="67">
        <f t="shared" ref="AF5:AF35" si="14">AB5+AD5</f>
        <v>0</v>
      </c>
      <c r="AG5" s="58" t="e">
        <f t="shared" ref="AG5:AG35" si="15">IF(Z5="","",AF5/Z5)</f>
        <v>#DIV/0!</v>
      </c>
      <c r="AH5" s="68"/>
      <c r="AI5" s="66"/>
      <c r="AJ5" s="54"/>
      <c r="AK5" s="55" t="e">
        <f t="shared" ref="AK5:AK35" si="16">AJ5/AI5</f>
        <v>#DIV/0!</v>
      </c>
      <c r="AL5" s="54"/>
      <c r="AM5" s="56" t="e">
        <f t="shared" ref="AM5:AM35" si="17">AL5/AI5</f>
        <v>#DIV/0!</v>
      </c>
      <c r="AN5" s="67">
        <f>AJ5+AL5</f>
        <v>0</v>
      </c>
      <c r="AO5" s="69" t="str">
        <f t="shared" ref="AO5:AO35" si="18">IF(AI5="","",AN5/AI5)</f>
        <v/>
      </c>
      <c r="AP5" s="70"/>
      <c r="AQ5" s="66">
        <v>35</v>
      </c>
      <c r="AR5" s="54">
        <v>25200</v>
      </c>
      <c r="AS5" s="55">
        <f t="shared" ref="AS5:AS35" si="19">AR5/AQ5</f>
        <v>720</v>
      </c>
      <c r="AT5" s="54">
        <v>14950</v>
      </c>
      <c r="AU5" s="56">
        <f t="shared" ref="AU5:AU35" si="20">AT5/AQ5</f>
        <v>427.14285714285717</v>
      </c>
      <c r="AV5" s="56"/>
      <c r="AW5" s="56"/>
      <c r="AX5" s="71">
        <f>AR5+AT5+AV5+AW5</f>
        <v>40150</v>
      </c>
      <c r="AY5" s="69">
        <f t="shared" ref="AY5:AY35" si="21">IF(AQ5="","",AX5/AQ5)</f>
        <v>1147.1428571428571</v>
      </c>
      <c r="AZ5" s="72">
        <f t="shared" ref="AZ5:AZ35" si="22">SUM(E5,M5)</f>
        <v>31</v>
      </c>
      <c r="BA5" s="61">
        <f t="shared" ref="BA5:BA35" si="23">U5+AB5+AJ5+AR5</f>
        <v>187340</v>
      </c>
      <c r="BB5" s="61">
        <f t="shared" ref="BB5:BB35" si="24">V5+AD5+AL5+AT5</f>
        <v>50490</v>
      </c>
      <c r="BC5" s="73">
        <f>W5+AF5+AN5+AX5</f>
        <v>237830</v>
      </c>
      <c r="BD5" s="74">
        <f>BH5+BI5</f>
        <v>2200</v>
      </c>
      <c r="BE5" s="75">
        <v>31</v>
      </c>
      <c r="BF5" s="76">
        <v>162140</v>
      </c>
      <c r="BG5" s="76">
        <v>35540</v>
      </c>
      <c r="BH5" s="77">
        <v>2200</v>
      </c>
      <c r="BI5" s="77"/>
      <c r="BJ5" s="77"/>
      <c r="BK5" s="77"/>
      <c r="BL5" s="78">
        <f>SUM(BF5:BI5)</f>
        <v>199880</v>
      </c>
      <c r="BM5" s="49">
        <v>1</v>
      </c>
      <c r="BN5" s="79">
        <f t="shared" ref="BN5:BN35" si="25">BK5+BL5</f>
        <v>199880</v>
      </c>
    </row>
    <row r="6" spans="1:68" ht="20" customHeight="1">
      <c r="B6" s="80">
        <f t="shared" ref="B6:B35" si="26">B5+1</f>
        <v>45932</v>
      </c>
      <c r="C6" s="81"/>
      <c r="D6" s="52"/>
      <c r="E6" s="53">
        <v>32</v>
      </c>
      <c r="F6" s="54">
        <v>129470</v>
      </c>
      <c r="G6" s="55">
        <f t="shared" si="0"/>
        <v>3678.125</v>
      </c>
      <c r="H6" s="54">
        <v>14670</v>
      </c>
      <c r="I6" s="56">
        <f t="shared" ref="I6:I35" si="27">ROUNDDOWN(H6/1.1,0)/E6</f>
        <v>416.75</v>
      </c>
      <c r="J6" s="57">
        <f t="shared" si="1"/>
        <v>144140</v>
      </c>
      <c r="K6" s="58">
        <f t="shared" si="2"/>
        <v>4504.375</v>
      </c>
      <c r="L6" s="59"/>
      <c r="M6" s="60">
        <f t="shared" si="3"/>
        <v>28</v>
      </c>
      <c r="N6" s="61">
        <f t="shared" si="3"/>
        <v>288880</v>
      </c>
      <c r="O6" s="55">
        <f t="shared" si="4"/>
        <v>9379.2142857142862</v>
      </c>
      <c r="P6" s="61">
        <f t="shared" si="5"/>
        <v>69120</v>
      </c>
      <c r="Q6" s="56">
        <f t="shared" si="6"/>
        <v>2244.1428571428573</v>
      </c>
      <c r="R6" s="62">
        <f t="shared" si="7"/>
        <v>358000</v>
      </c>
      <c r="S6" s="58">
        <f t="shared" si="8"/>
        <v>12785.714285714286</v>
      </c>
      <c r="T6" s="82">
        <f t="shared" si="9"/>
        <v>60</v>
      </c>
      <c r="U6" s="61">
        <f t="shared" si="9"/>
        <v>418350</v>
      </c>
      <c r="V6" s="61">
        <f t="shared" si="10"/>
        <v>83790</v>
      </c>
      <c r="W6" s="64">
        <f t="shared" si="11"/>
        <v>502140</v>
      </c>
      <c r="X6" s="83"/>
      <c r="Y6" s="65"/>
      <c r="Z6" s="66">
        <v>0</v>
      </c>
      <c r="AA6" s="66"/>
      <c r="AB6" s="54"/>
      <c r="AC6" s="55" t="e">
        <f t="shared" si="12"/>
        <v>#DIV/0!</v>
      </c>
      <c r="AD6" s="54"/>
      <c r="AE6" s="56" t="e">
        <f t="shared" si="13"/>
        <v>#DIV/0!</v>
      </c>
      <c r="AF6" s="67">
        <f>AB6+AD6</f>
        <v>0</v>
      </c>
      <c r="AG6" s="58" t="e">
        <f t="shared" si="15"/>
        <v>#DIV/0!</v>
      </c>
      <c r="AH6" s="68"/>
      <c r="AI6" s="66"/>
      <c r="AJ6" s="54"/>
      <c r="AK6" s="55" t="e">
        <f t="shared" si="16"/>
        <v>#DIV/0!</v>
      </c>
      <c r="AL6" s="54"/>
      <c r="AM6" s="56" t="e">
        <f t="shared" si="17"/>
        <v>#DIV/0!</v>
      </c>
      <c r="AN6" s="67">
        <f t="shared" ref="AN6:AN35" si="28">AJ6+AL6</f>
        <v>0</v>
      </c>
      <c r="AO6" s="69" t="str">
        <f t="shared" si="18"/>
        <v/>
      </c>
      <c r="AP6" s="70"/>
      <c r="AQ6" s="66">
        <v>43</v>
      </c>
      <c r="AR6" s="54">
        <v>36900</v>
      </c>
      <c r="AS6" s="55">
        <f t="shared" si="19"/>
        <v>858.1395348837209</v>
      </c>
      <c r="AT6" s="54">
        <v>26900</v>
      </c>
      <c r="AU6" s="56">
        <f t="shared" si="20"/>
        <v>625.58139534883719</v>
      </c>
      <c r="AV6" s="56"/>
      <c r="AW6" s="56"/>
      <c r="AX6" s="71">
        <f>AR6+AT6+AV6+AW6-BP6</f>
        <v>63800</v>
      </c>
      <c r="AY6" s="69">
        <f t="shared" si="21"/>
        <v>1483.7209302325582</v>
      </c>
      <c r="AZ6" s="84">
        <f t="shared" si="22"/>
        <v>60</v>
      </c>
      <c r="BA6" s="61">
        <f t="shared" si="23"/>
        <v>455250</v>
      </c>
      <c r="BB6" s="61">
        <f t="shared" si="24"/>
        <v>110690</v>
      </c>
      <c r="BC6" s="73">
        <f>W6+AF6+AN6+AX6</f>
        <v>565940</v>
      </c>
      <c r="BD6" s="74">
        <f>BH6+BI6</f>
        <v>7700</v>
      </c>
      <c r="BE6" s="75">
        <v>60</v>
      </c>
      <c r="BF6" s="76">
        <v>418350</v>
      </c>
      <c r="BG6" s="76">
        <v>83790</v>
      </c>
      <c r="BH6" s="77">
        <v>7700</v>
      </c>
      <c r="BI6" s="77"/>
      <c r="BJ6" s="77"/>
      <c r="BK6" s="77"/>
      <c r="BL6" s="78">
        <f t="shared" ref="BL6:BL35" si="29">SUM(BF6:BI6)</f>
        <v>509840</v>
      </c>
      <c r="BM6" s="49">
        <v>2</v>
      </c>
      <c r="BN6" s="79">
        <f t="shared" si="25"/>
        <v>509840</v>
      </c>
    </row>
    <row r="7" spans="1:68" ht="20" customHeight="1">
      <c r="B7" s="80">
        <f>B6+1</f>
        <v>45933</v>
      </c>
      <c r="C7" s="81"/>
      <c r="D7" s="52"/>
      <c r="E7" s="53">
        <v>28</v>
      </c>
      <c r="F7" s="54">
        <v>102630</v>
      </c>
      <c r="G7" s="55">
        <f t="shared" si="0"/>
        <v>3332.1428571428573</v>
      </c>
      <c r="H7" s="54">
        <v>4130</v>
      </c>
      <c r="I7" s="56">
        <f t="shared" si="27"/>
        <v>134.07142857142858</v>
      </c>
      <c r="J7" s="57">
        <f t="shared" si="1"/>
        <v>106760</v>
      </c>
      <c r="K7" s="58">
        <f t="shared" si="2"/>
        <v>3812.8571428571427</v>
      </c>
      <c r="L7" s="59"/>
      <c r="M7" s="60">
        <f t="shared" si="3"/>
        <v>39</v>
      </c>
      <c r="N7" s="61">
        <f t="shared" si="3"/>
        <v>402820</v>
      </c>
      <c r="O7" s="55">
        <f t="shared" si="4"/>
        <v>9389.7435897435898</v>
      </c>
      <c r="P7" s="61">
        <f t="shared" si="5"/>
        <v>133240</v>
      </c>
      <c r="Q7" s="56">
        <f t="shared" si="6"/>
        <v>3105.8205128205127</v>
      </c>
      <c r="R7" s="62">
        <f t="shared" si="7"/>
        <v>536060</v>
      </c>
      <c r="S7" s="58">
        <f t="shared" si="8"/>
        <v>13745.128205128205</v>
      </c>
      <c r="T7" s="82">
        <f t="shared" si="9"/>
        <v>67</v>
      </c>
      <c r="U7" s="61">
        <f t="shared" si="9"/>
        <v>505450</v>
      </c>
      <c r="V7" s="61">
        <f t="shared" si="10"/>
        <v>137370</v>
      </c>
      <c r="W7" s="64">
        <f t="shared" si="11"/>
        <v>642820</v>
      </c>
      <c r="X7" s="83"/>
      <c r="Y7" s="65"/>
      <c r="Z7" s="66">
        <v>0</v>
      </c>
      <c r="AA7" s="66"/>
      <c r="AB7" s="54"/>
      <c r="AC7" s="55" t="e">
        <f t="shared" si="12"/>
        <v>#DIV/0!</v>
      </c>
      <c r="AD7" s="54"/>
      <c r="AE7" s="56" t="e">
        <f t="shared" si="13"/>
        <v>#DIV/0!</v>
      </c>
      <c r="AF7" s="67">
        <f t="shared" si="14"/>
        <v>0</v>
      </c>
      <c r="AG7" s="58" t="e">
        <f t="shared" si="15"/>
        <v>#DIV/0!</v>
      </c>
      <c r="AH7" s="68"/>
      <c r="AI7" s="66">
        <v>56</v>
      </c>
      <c r="AJ7" s="54">
        <v>219240</v>
      </c>
      <c r="AK7" s="55">
        <f t="shared" si="16"/>
        <v>3915</v>
      </c>
      <c r="AL7" s="54">
        <v>73080</v>
      </c>
      <c r="AM7" s="56">
        <f t="shared" si="17"/>
        <v>1305</v>
      </c>
      <c r="AN7" s="67">
        <f t="shared" si="28"/>
        <v>292320</v>
      </c>
      <c r="AO7" s="69">
        <f t="shared" si="18"/>
        <v>5220</v>
      </c>
      <c r="AP7" s="70"/>
      <c r="AQ7" s="66">
        <v>59</v>
      </c>
      <c r="AR7" s="54">
        <v>52100</v>
      </c>
      <c r="AS7" s="55">
        <f t="shared" si="19"/>
        <v>883.05084745762713</v>
      </c>
      <c r="AT7" s="54">
        <v>36700</v>
      </c>
      <c r="AU7" s="56">
        <f t="shared" si="20"/>
        <v>622.03389830508479</v>
      </c>
      <c r="AV7" s="56"/>
      <c r="AW7" s="56"/>
      <c r="AX7" s="71">
        <f>AR7+AT7+AV7+AW7</f>
        <v>88800</v>
      </c>
      <c r="AY7" s="69">
        <f t="shared" si="21"/>
        <v>1505.0847457627119</v>
      </c>
      <c r="AZ7" s="84">
        <f t="shared" si="22"/>
        <v>67</v>
      </c>
      <c r="BA7" s="61">
        <f t="shared" si="23"/>
        <v>776790</v>
      </c>
      <c r="BB7" s="61">
        <f t="shared" si="24"/>
        <v>247150</v>
      </c>
      <c r="BC7" s="73">
        <f>W7+AF7+AN7+AX7-BO7</f>
        <v>1019980</v>
      </c>
      <c r="BD7" s="74">
        <f t="shared" ref="BD7:BD35" si="30">BH7+BI7</f>
        <v>1100</v>
      </c>
      <c r="BE7" s="75">
        <v>67</v>
      </c>
      <c r="BF7" s="76">
        <v>505450</v>
      </c>
      <c r="BG7" s="76">
        <v>137370</v>
      </c>
      <c r="BH7" s="77">
        <v>1100</v>
      </c>
      <c r="BI7" s="77"/>
      <c r="BJ7" s="77"/>
      <c r="BK7" s="77">
        <v>9900</v>
      </c>
      <c r="BL7" s="78">
        <f>SUM(BF7:BI7)</f>
        <v>643920</v>
      </c>
      <c r="BM7" s="49">
        <v>3</v>
      </c>
      <c r="BN7" s="79">
        <f t="shared" si="25"/>
        <v>653820</v>
      </c>
      <c r="BO7" s="49">
        <v>3960</v>
      </c>
    </row>
    <row r="8" spans="1:68" ht="20" customHeight="1">
      <c r="B8" s="80">
        <f t="shared" si="26"/>
        <v>45934</v>
      </c>
      <c r="C8" s="81"/>
      <c r="D8" s="52"/>
      <c r="E8" s="53">
        <v>37</v>
      </c>
      <c r="F8" s="54">
        <f>52500+67570</f>
        <v>120070</v>
      </c>
      <c r="G8" s="55">
        <f t="shared" si="0"/>
        <v>2950.1081081081079</v>
      </c>
      <c r="H8" s="54">
        <f>3300+8420</f>
        <v>11720</v>
      </c>
      <c r="I8" s="56">
        <f t="shared" si="27"/>
        <v>287.94594594594594</v>
      </c>
      <c r="J8" s="57">
        <f t="shared" si="1"/>
        <v>131790</v>
      </c>
      <c r="K8" s="58">
        <f t="shared" si="2"/>
        <v>3561.8918918918921</v>
      </c>
      <c r="L8" s="59"/>
      <c r="M8" s="60">
        <f t="shared" si="3"/>
        <v>27</v>
      </c>
      <c r="N8" s="61">
        <f t="shared" si="3"/>
        <v>253000</v>
      </c>
      <c r="O8" s="55">
        <f t="shared" si="4"/>
        <v>8518.5185185185182</v>
      </c>
      <c r="P8" s="61">
        <f t="shared" si="5"/>
        <v>63650</v>
      </c>
      <c r="Q8" s="56">
        <f t="shared" si="6"/>
        <v>2143.0740740740739</v>
      </c>
      <c r="R8" s="62">
        <f t="shared" si="7"/>
        <v>316650</v>
      </c>
      <c r="S8" s="58">
        <f t="shared" si="8"/>
        <v>11727.777777777777</v>
      </c>
      <c r="T8" s="82">
        <f t="shared" si="9"/>
        <v>64</v>
      </c>
      <c r="U8" s="61">
        <f t="shared" si="9"/>
        <v>373070</v>
      </c>
      <c r="V8" s="61">
        <f t="shared" si="10"/>
        <v>75370</v>
      </c>
      <c r="W8" s="64">
        <f t="shared" si="11"/>
        <v>448440</v>
      </c>
      <c r="X8" s="83"/>
      <c r="Y8" s="65"/>
      <c r="Z8" s="66">
        <v>0</v>
      </c>
      <c r="AA8" s="66"/>
      <c r="AB8" s="54"/>
      <c r="AC8" s="55" t="e">
        <f t="shared" si="12"/>
        <v>#DIV/0!</v>
      </c>
      <c r="AD8" s="54"/>
      <c r="AE8" s="56" t="e">
        <f t="shared" si="13"/>
        <v>#DIV/0!</v>
      </c>
      <c r="AF8" s="67">
        <f t="shared" si="14"/>
        <v>0</v>
      </c>
      <c r="AG8" s="58" t="e">
        <f t="shared" si="15"/>
        <v>#DIV/0!</v>
      </c>
      <c r="AH8" s="68"/>
      <c r="AI8" s="66">
        <v>62</v>
      </c>
      <c r="AJ8" s="54">
        <v>242730</v>
      </c>
      <c r="AK8" s="55">
        <f t="shared" si="16"/>
        <v>3915</v>
      </c>
      <c r="AL8" s="54">
        <v>80910</v>
      </c>
      <c r="AM8" s="56">
        <f t="shared" si="17"/>
        <v>1305</v>
      </c>
      <c r="AN8" s="67">
        <f t="shared" si="28"/>
        <v>323640</v>
      </c>
      <c r="AO8" s="69">
        <f t="shared" si="18"/>
        <v>5220</v>
      </c>
      <c r="AP8" s="70"/>
      <c r="AQ8" s="66">
        <v>72</v>
      </c>
      <c r="AR8" s="54">
        <v>61150</v>
      </c>
      <c r="AS8" s="55">
        <f t="shared" si="19"/>
        <v>849.30555555555554</v>
      </c>
      <c r="AT8" s="54">
        <v>50000</v>
      </c>
      <c r="AU8" s="56">
        <f t="shared" si="20"/>
        <v>694.44444444444446</v>
      </c>
      <c r="AV8" s="56"/>
      <c r="AW8" s="56"/>
      <c r="AX8" s="71">
        <f t="shared" ref="AX8:AX16" si="31">AR8+AT8+AV8+AW8</f>
        <v>111150</v>
      </c>
      <c r="AY8" s="69">
        <f t="shared" si="21"/>
        <v>1543.75</v>
      </c>
      <c r="AZ8" s="84">
        <f t="shared" si="22"/>
        <v>64</v>
      </c>
      <c r="BA8" s="61">
        <f t="shared" si="23"/>
        <v>676950</v>
      </c>
      <c r="BB8" s="61">
        <f t="shared" si="24"/>
        <v>206280</v>
      </c>
      <c r="BC8" s="73">
        <f>W8+AF8+AN8+AX8</f>
        <v>883230</v>
      </c>
      <c r="BD8" s="74">
        <f t="shared" si="30"/>
        <v>4400</v>
      </c>
      <c r="BE8" s="75">
        <v>64</v>
      </c>
      <c r="BF8" s="76">
        <v>373070</v>
      </c>
      <c r="BG8" s="76">
        <v>75370</v>
      </c>
      <c r="BH8" s="77">
        <v>4400</v>
      </c>
      <c r="BI8" s="77"/>
      <c r="BJ8" s="77"/>
      <c r="BK8" s="77"/>
      <c r="BL8" s="78">
        <f>SUM(BF8:BI8)</f>
        <v>452840</v>
      </c>
      <c r="BM8" s="49">
        <v>4</v>
      </c>
      <c r="BN8" s="79">
        <f t="shared" si="25"/>
        <v>452840</v>
      </c>
      <c r="BO8" s="85"/>
      <c r="BP8" s="85"/>
    </row>
    <row r="9" spans="1:68" ht="20" customHeight="1">
      <c r="B9" s="80">
        <f t="shared" si="26"/>
        <v>45935</v>
      </c>
      <c r="C9" s="81"/>
      <c r="D9" s="52"/>
      <c r="E9" s="53">
        <v>36</v>
      </c>
      <c r="F9" s="54">
        <v>151800</v>
      </c>
      <c r="G9" s="55">
        <f t="shared" si="0"/>
        <v>3833.3333333333335</v>
      </c>
      <c r="H9" s="54">
        <v>20940</v>
      </c>
      <c r="I9" s="56">
        <f t="shared" si="27"/>
        <v>528.77777777777783</v>
      </c>
      <c r="J9" s="57">
        <f t="shared" si="1"/>
        <v>172740</v>
      </c>
      <c r="K9" s="58">
        <f t="shared" si="2"/>
        <v>4798.333333333333</v>
      </c>
      <c r="L9" s="59"/>
      <c r="M9" s="60">
        <f t="shared" si="3"/>
        <v>43</v>
      </c>
      <c r="N9" s="61">
        <f t="shared" si="3"/>
        <v>469040</v>
      </c>
      <c r="O9" s="55">
        <f t="shared" si="4"/>
        <v>9916.2790697674427</v>
      </c>
      <c r="P9" s="61">
        <f t="shared" si="5"/>
        <v>57610</v>
      </c>
      <c r="Q9" s="56">
        <f>ROUNDDOWN(P9/1.1,0)/M9</f>
        <v>1217.953488372093</v>
      </c>
      <c r="R9" s="62">
        <f t="shared" si="7"/>
        <v>526650</v>
      </c>
      <c r="S9" s="58">
        <f t="shared" si="8"/>
        <v>12247.674418604651</v>
      </c>
      <c r="T9" s="82">
        <f t="shared" si="9"/>
        <v>79</v>
      </c>
      <c r="U9" s="61">
        <f t="shared" si="9"/>
        <v>620840</v>
      </c>
      <c r="V9" s="61">
        <f t="shared" si="10"/>
        <v>78550</v>
      </c>
      <c r="W9" s="64">
        <f t="shared" si="11"/>
        <v>699390</v>
      </c>
      <c r="X9" s="83"/>
      <c r="Y9" s="65"/>
      <c r="Z9" s="66">
        <v>2</v>
      </c>
      <c r="AA9" s="66"/>
      <c r="AB9" s="54">
        <v>5000</v>
      </c>
      <c r="AC9" s="55">
        <f t="shared" si="12"/>
        <v>2500</v>
      </c>
      <c r="AD9" s="54">
        <v>500</v>
      </c>
      <c r="AE9" s="56">
        <f t="shared" si="13"/>
        <v>250</v>
      </c>
      <c r="AF9" s="67">
        <f t="shared" si="14"/>
        <v>5500</v>
      </c>
      <c r="AG9" s="58">
        <f t="shared" si="15"/>
        <v>2750</v>
      </c>
      <c r="AH9" s="68"/>
      <c r="AI9" s="66"/>
      <c r="AJ9" s="54"/>
      <c r="AK9" s="55" t="e">
        <f t="shared" si="16"/>
        <v>#DIV/0!</v>
      </c>
      <c r="AL9" s="54"/>
      <c r="AM9" s="56" t="e">
        <f t="shared" si="17"/>
        <v>#DIV/0!</v>
      </c>
      <c r="AN9" s="67">
        <f t="shared" si="28"/>
        <v>0</v>
      </c>
      <c r="AO9" s="69" t="str">
        <f t="shared" si="18"/>
        <v/>
      </c>
      <c r="AP9" s="70"/>
      <c r="AQ9" s="66">
        <v>65</v>
      </c>
      <c r="AR9" s="54">
        <v>70550</v>
      </c>
      <c r="AS9" s="55">
        <f t="shared" si="19"/>
        <v>1085.3846153846155</v>
      </c>
      <c r="AT9" s="54">
        <v>63000</v>
      </c>
      <c r="AU9" s="56">
        <f t="shared" si="20"/>
        <v>969.23076923076928</v>
      </c>
      <c r="AV9" s="56"/>
      <c r="AW9" s="56"/>
      <c r="AX9" s="71">
        <f t="shared" si="31"/>
        <v>133550</v>
      </c>
      <c r="AY9" s="69">
        <f>IF(AQ9="","",AX9/AQ9)</f>
        <v>2054.6153846153848</v>
      </c>
      <c r="AZ9" s="84">
        <f t="shared" si="22"/>
        <v>79</v>
      </c>
      <c r="BA9" s="61">
        <f t="shared" si="23"/>
        <v>696390</v>
      </c>
      <c r="BB9" s="61">
        <f t="shared" si="24"/>
        <v>142050</v>
      </c>
      <c r="BC9" s="73">
        <f>W9+AF9+AN9+AX9-BO9</f>
        <v>838440</v>
      </c>
      <c r="BD9" s="74">
        <f>BH9+BI9</f>
        <v>11000</v>
      </c>
      <c r="BE9" s="75">
        <v>79</v>
      </c>
      <c r="BF9" s="76">
        <v>620840</v>
      </c>
      <c r="BG9" s="76">
        <v>78550</v>
      </c>
      <c r="BH9" s="77">
        <v>11000</v>
      </c>
      <c r="BI9" s="77"/>
      <c r="BJ9" s="77"/>
      <c r="BK9" s="77"/>
      <c r="BL9" s="78">
        <f t="shared" si="29"/>
        <v>710390</v>
      </c>
      <c r="BM9" s="49">
        <v>5</v>
      </c>
      <c r="BN9" s="79">
        <f t="shared" si="25"/>
        <v>710390</v>
      </c>
    </row>
    <row r="10" spans="1:68" ht="19.5" customHeight="1">
      <c r="B10" s="80">
        <f t="shared" si="26"/>
        <v>45936</v>
      </c>
      <c r="C10" s="81"/>
      <c r="D10" s="52"/>
      <c r="E10" s="53">
        <v>18</v>
      </c>
      <c r="F10" s="54">
        <v>74470</v>
      </c>
      <c r="G10" s="55">
        <f t="shared" si="0"/>
        <v>3761.1111111111113</v>
      </c>
      <c r="H10" s="54">
        <v>13880</v>
      </c>
      <c r="I10" s="56">
        <f t="shared" si="27"/>
        <v>701</v>
      </c>
      <c r="J10" s="57">
        <f t="shared" si="1"/>
        <v>88350</v>
      </c>
      <c r="K10" s="58">
        <f t="shared" si="2"/>
        <v>4908.333333333333</v>
      </c>
      <c r="L10" s="59"/>
      <c r="M10" s="60">
        <f t="shared" si="3"/>
        <v>34</v>
      </c>
      <c r="N10" s="61">
        <f t="shared" si="3"/>
        <v>370880</v>
      </c>
      <c r="O10" s="55">
        <f t="shared" si="4"/>
        <v>9916.5588235294126</v>
      </c>
      <c r="P10" s="61">
        <f t="shared" si="5"/>
        <v>46940</v>
      </c>
      <c r="Q10" s="56">
        <f t="shared" si="6"/>
        <v>1255.0588235294117</v>
      </c>
      <c r="R10" s="62">
        <f t="shared" si="7"/>
        <v>417820</v>
      </c>
      <c r="S10" s="58">
        <f t="shared" si="8"/>
        <v>12288.823529411764</v>
      </c>
      <c r="T10" s="82">
        <f t="shared" si="9"/>
        <v>52</v>
      </c>
      <c r="U10" s="61">
        <f t="shared" si="9"/>
        <v>445350</v>
      </c>
      <c r="V10" s="61">
        <f t="shared" si="10"/>
        <v>60820</v>
      </c>
      <c r="W10" s="64">
        <f t="shared" si="11"/>
        <v>506170</v>
      </c>
      <c r="X10" s="83"/>
      <c r="Y10" s="65"/>
      <c r="Z10" s="66">
        <v>1</v>
      </c>
      <c r="AA10" s="66"/>
      <c r="AB10" s="54">
        <v>2500</v>
      </c>
      <c r="AC10" s="55">
        <f t="shared" si="12"/>
        <v>2500</v>
      </c>
      <c r="AD10" s="54">
        <v>250</v>
      </c>
      <c r="AE10" s="56">
        <f t="shared" si="13"/>
        <v>250</v>
      </c>
      <c r="AF10" s="67">
        <f t="shared" si="14"/>
        <v>2750</v>
      </c>
      <c r="AG10" s="58">
        <f t="shared" si="15"/>
        <v>2750</v>
      </c>
      <c r="AH10" s="68"/>
      <c r="AI10" s="66"/>
      <c r="AJ10" s="54"/>
      <c r="AK10" s="55" t="e">
        <f t="shared" si="16"/>
        <v>#DIV/0!</v>
      </c>
      <c r="AL10" s="54"/>
      <c r="AM10" s="56" t="e">
        <f t="shared" si="17"/>
        <v>#DIV/0!</v>
      </c>
      <c r="AN10" s="67">
        <f t="shared" si="28"/>
        <v>0</v>
      </c>
      <c r="AO10" s="69" t="str">
        <f t="shared" si="18"/>
        <v/>
      </c>
      <c r="AP10" s="70"/>
      <c r="AQ10" s="66"/>
      <c r="AR10" s="54"/>
      <c r="AS10" s="55" t="e">
        <f t="shared" si="19"/>
        <v>#DIV/0!</v>
      </c>
      <c r="AT10" s="54"/>
      <c r="AU10" s="56" t="e">
        <f t="shared" si="20"/>
        <v>#DIV/0!</v>
      </c>
      <c r="AV10" s="56"/>
      <c r="AW10" s="56"/>
      <c r="AX10" s="71">
        <f t="shared" si="31"/>
        <v>0</v>
      </c>
      <c r="AY10" s="69" t="str">
        <f t="shared" si="21"/>
        <v/>
      </c>
      <c r="AZ10" s="84">
        <f t="shared" si="22"/>
        <v>52</v>
      </c>
      <c r="BA10" s="61">
        <f t="shared" si="23"/>
        <v>447850</v>
      </c>
      <c r="BB10" s="61">
        <f t="shared" si="24"/>
        <v>61070</v>
      </c>
      <c r="BC10" s="73">
        <f>W10+AF10+AN10+AX10-BO10</f>
        <v>508920</v>
      </c>
      <c r="BD10" s="74">
        <f t="shared" si="30"/>
        <v>2200</v>
      </c>
      <c r="BE10" s="75">
        <v>52</v>
      </c>
      <c r="BF10" s="76">
        <v>445350</v>
      </c>
      <c r="BG10" s="76">
        <v>60820</v>
      </c>
      <c r="BH10" s="77">
        <v>2200</v>
      </c>
      <c r="BI10" s="77"/>
      <c r="BJ10" s="77"/>
      <c r="BK10" s="77"/>
      <c r="BL10" s="78">
        <f t="shared" si="29"/>
        <v>508370</v>
      </c>
      <c r="BM10" s="49">
        <v>6</v>
      </c>
      <c r="BN10" s="79">
        <f t="shared" si="25"/>
        <v>508370</v>
      </c>
    </row>
    <row r="11" spans="1:68" ht="20" customHeight="1">
      <c r="B11" s="80">
        <f t="shared" si="26"/>
        <v>45937</v>
      </c>
      <c r="C11" s="81"/>
      <c r="D11" s="52"/>
      <c r="E11" s="53">
        <v>22</v>
      </c>
      <c r="F11" s="54">
        <v>83820</v>
      </c>
      <c r="G11" s="55">
        <f t="shared" si="0"/>
        <v>3463.6363636363635</v>
      </c>
      <c r="H11" s="54">
        <v>5790</v>
      </c>
      <c r="I11" s="56">
        <f t="shared" si="27"/>
        <v>239.22727272727272</v>
      </c>
      <c r="J11" s="57">
        <f t="shared" si="1"/>
        <v>89610</v>
      </c>
      <c r="K11" s="58">
        <f t="shared" si="2"/>
        <v>4073.181818181818</v>
      </c>
      <c r="L11" s="59"/>
      <c r="M11" s="60">
        <f t="shared" si="3"/>
        <v>29</v>
      </c>
      <c r="N11" s="61">
        <f t="shared" si="3"/>
        <v>194660</v>
      </c>
      <c r="O11" s="55">
        <f t="shared" si="4"/>
        <v>6102.1724137931033</v>
      </c>
      <c r="P11" s="61">
        <f t="shared" si="5"/>
        <v>71730</v>
      </c>
      <c r="Q11" s="56">
        <f t="shared" si="6"/>
        <v>2248.5862068965516</v>
      </c>
      <c r="R11" s="62">
        <f t="shared" si="7"/>
        <v>266390</v>
      </c>
      <c r="S11" s="58">
        <f t="shared" si="8"/>
        <v>9185.8620689655181</v>
      </c>
      <c r="T11" s="82">
        <f t="shared" si="9"/>
        <v>51</v>
      </c>
      <c r="U11" s="61">
        <f t="shared" si="9"/>
        <v>278480</v>
      </c>
      <c r="V11" s="61">
        <f t="shared" si="10"/>
        <v>77520</v>
      </c>
      <c r="W11" s="64">
        <f t="shared" si="11"/>
        <v>356000</v>
      </c>
      <c r="X11" s="83"/>
      <c r="Y11" s="65"/>
      <c r="Z11" s="66">
        <v>2</v>
      </c>
      <c r="AA11" s="66"/>
      <c r="AB11" s="54">
        <v>5000</v>
      </c>
      <c r="AC11" s="55">
        <f t="shared" si="12"/>
        <v>2500</v>
      </c>
      <c r="AD11" s="54">
        <v>500</v>
      </c>
      <c r="AE11" s="56">
        <f t="shared" si="13"/>
        <v>250</v>
      </c>
      <c r="AF11" s="67">
        <f t="shared" si="14"/>
        <v>5500</v>
      </c>
      <c r="AG11" s="58">
        <f t="shared" si="15"/>
        <v>2750</v>
      </c>
      <c r="AH11" s="68"/>
      <c r="AI11" s="66">
        <v>35</v>
      </c>
      <c r="AJ11" s="54">
        <v>137025</v>
      </c>
      <c r="AK11" s="55">
        <f t="shared" si="16"/>
        <v>3915</v>
      </c>
      <c r="AL11" s="54">
        <v>45675</v>
      </c>
      <c r="AM11" s="56">
        <f t="shared" si="17"/>
        <v>1305</v>
      </c>
      <c r="AN11" s="67">
        <f t="shared" si="28"/>
        <v>182700</v>
      </c>
      <c r="AO11" s="69">
        <f t="shared" si="18"/>
        <v>5220</v>
      </c>
      <c r="AP11" s="70"/>
      <c r="AQ11" s="66"/>
      <c r="AR11" s="54"/>
      <c r="AS11" s="55" t="e">
        <f t="shared" si="19"/>
        <v>#DIV/0!</v>
      </c>
      <c r="AT11" s="54"/>
      <c r="AU11" s="56" t="e">
        <f t="shared" si="20"/>
        <v>#DIV/0!</v>
      </c>
      <c r="AV11" s="56"/>
      <c r="AW11" s="56"/>
      <c r="AX11" s="71">
        <f>AR11+AT11+AV11+AW11-BP11</f>
        <v>0</v>
      </c>
      <c r="AY11" s="69" t="str">
        <f t="shared" si="21"/>
        <v/>
      </c>
      <c r="AZ11" s="84">
        <f t="shared" si="22"/>
        <v>51</v>
      </c>
      <c r="BA11" s="61">
        <f t="shared" si="23"/>
        <v>420505</v>
      </c>
      <c r="BB11" s="61">
        <f t="shared" si="24"/>
        <v>123695</v>
      </c>
      <c r="BC11" s="73">
        <f>W11+AF11+AN11+AX11-BO11</f>
        <v>542792</v>
      </c>
      <c r="BD11" s="74">
        <f>BH11+BI11</f>
        <v>3300</v>
      </c>
      <c r="BE11" s="75">
        <v>51</v>
      </c>
      <c r="BF11" s="76">
        <v>278480</v>
      </c>
      <c r="BG11" s="76">
        <v>77520</v>
      </c>
      <c r="BH11" s="77">
        <v>3300</v>
      </c>
      <c r="BI11" s="77"/>
      <c r="BJ11" s="77"/>
      <c r="BK11" s="77"/>
      <c r="BL11" s="78">
        <f t="shared" si="29"/>
        <v>359300</v>
      </c>
      <c r="BM11" s="49">
        <v>7</v>
      </c>
      <c r="BN11" s="79">
        <f t="shared" si="25"/>
        <v>359300</v>
      </c>
      <c r="BO11" s="49">
        <v>1408</v>
      </c>
    </row>
    <row r="12" spans="1:68" ht="20" customHeight="1">
      <c r="B12" s="80">
        <f t="shared" si="26"/>
        <v>45938</v>
      </c>
      <c r="C12" s="86"/>
      <c r="D12" s="52"/>
      <c r="E12" s="53">
        <v>29</v>
      </c>
      <c r="F12" s="54">
        <v>131560</v>
      </c>
      <c r="G12" s="55">
        <f t="shared" si="0"/>
        <v>4124.1379310344828</v>
      </c>
      <c r="H12" s="54">
        <v>41000</v>
      </c>
      <c r="I12" s="56">
        <f t="shared" si="27"/>
        <v>1285.2413793103449</v>
      </c>
      <c r="J12" s="57">
        <f t="shared" si="1"/>
        <v>172560</v>
      </c>
      <c r="K12" s="58">
        <f t="shared" si="2"/>
        <v>5950.3448275862065</v>
      </c>
      <c r="L12" s="59"/>
      <c r="M12" s="60">
        <f t="shared" si="3"/>
        <v>27</v>
      </c>
      <c r="N12" s="61">
        <f t="shared" si="3"/>
        <v>230300</v>
      </c>
      <c r="O12" s="55">
        <f t="shared" si="4"/>
        <v>7754.1851851851852</v>
      </c>
      <c r="P12" s="61">
        <f t="shared" si="5"/>
        <v>68010</v>
      </c>
      <c r="Q12" s="87">
        <f t="shared" si="6"/>
        <v>2289.8888888888887</v>
      </c>
      <c r="R12" s="62">
        <f t="shared" si="7"/>
        <v>298310</v>
      </c>
      <c r="S12" s="58">
        <f t="shared" si="8"/>
        <v>11048.518518518518</v>
      </c>
      <c r="T12" s="82">
        <f t="shared" si="9"/>
        <v>56</v>
      </c>
      <c r="U12" s="61">
        <f t="shared" si="9"/>
        <v>361860</v>
      </c>
      <c r="V12" s="61">
        <f t="shared" si="10"/>
        <v>109010</v>
      </c>
      <c r="W12" s="64">
        <f t="shared" si="11"/>
        <v>470870</v>
      </c>
      <c r="X12" s="83"/>
      <c r="Y12" s="65"/>
      <c r="Z12" s="66"/>
      <c r="AA12" s="66"/>
      <c r="AB12" s="54"/>
      <c r="AC12" s="55" t="e">
        <f t="shared" si="12"/>
        <v>#DIV/0!</v>
      </c>
      <c r="AD12" s="54"/>
      <c r="AE12" s="56" t="e">
        <f t="shared" si="13"/>
        <v>#DIV/0!</v>
      </c>
      <c r="AF12" s="67">
        <f t="shared" si="14"/>
        <v>0</v>
      </c>
      <c r="AG12" s="58" t="str">
        <f t="shared" si="15"/>
        <v/>
      </c>
      <c r="AH12" s="68"/>
      <c r="AI12" s="66"/>
      <c r="AJ12" s="54"/>
      <c r="AK12" s="55" t="e">
        <f t="shared" si="16"/>
        <v>#DIV/0!</v>
      </c>
      <c r="AL12" s="54"/>
      <c r="AM12" s="56" t="e">
        <f t="shared" si="17"/>
        <v>#DIV/0!</v>
      </c>
      <c r="AN12" s="67">
        <f t="shared" si="28"/>
        <v>0</v>
      </c>
      <c r="AO12" s="69" t="str">
        <f t="shared" si="18"/>
        <v/>
      </c>
      <c r="AP12" s="70"/>
      <c r="AQ12" s="66"/>
      <c r="AR12" s="54"/>
      <c r="AS12" s="55" t="e">
        <f t="shared" si="19"/>
        <v>#DIV/0!</v>
      </c>
      <c r="AT12" s="54"/>
      <c r="AU12" s="56" t="e">
        <f t="shared" si="20"/>
        <v>#DIV/0!</v>
      </c>
      <c r="AV12" s="56"/>
      <c r="AW12" s="56"/>
      <c r="AX12" s="71">
        <f>AR12+AT12+AV12+AW12</f>
        <v>0</v>
      </c>
      <c r="AY12" s="69" t="str">
        <f t="shared" si="21"/>
        <v/>
      </c>
      <c r="AZ12" s="84">
        <f t="shared" si="22"/>
        <v>56</v>
      </c>
      <c r="BA12" s="61">
        <f t="shared" si="23"/>
        <v>361860</v>
      </c>
      <c r="BB12" s="61">
        <f t="shared" si="24"/>
        <v>109010</v>
      </c>
      <c r="BC12" s="73">
        <f>W12+AF12+AN12+AX12-BO12</f>
        <v>470870</v>
      </c>
      <c r="BD12" s="74">
        <f t="shared" si="30"/>
        <v>4400</v>
      </c>
      <c r="BE12" s="75">
        <v>56</v>
      </c>
      <c r="BF12" s="76">
        <v>361860</v>
      </c>
      <c r="BG12" s="76">
        <v>109010</v>
      </c>
      <c r="BH12" s="77">
        <v>4400</v>
      </c>
      <c r="BI12" s="77"/>
      <c r="BJ12" s="77"/>
      <c r="BK12" s="77"/>
      <c r="BL12" s="78">
        <f t="shared" si="29"/>
        <v>475270</v>
      </c>
      <c r="BM12" s="49">
        <v>8</v>
      </c>
      <c r="BN12" s="79">
        <f t="shared" si="25"/>
        <v>475270</v>
      </c>
    </row>
    <row r="13" spans="1:68" ht="20" customHeight="1">
      <c r="B13" s="80">
        <f t="shared" si="26"/>
        <v>45939</v>
      </c>
      <c r="C13" s="81"/>
      <c r="D13" s="52"/>
      <c r="E13" s="53">
        <v>19</v>
      </c>
      <c r="F13" s="54">
        <v>79640</v>
      </c>
      <c r="G13" s="55">
        <f t="shared" si="0"/>
        <v>3810.5263157894738</v>
      </c>
      <c r="H13" s="54">
        <v>7600</v>
      </c>
      <c r="I13" s="56">
        <f t="shared" si="27"/>
        <v>363.63157894736844</v>
      </c>
      <c r="J13" s="57">
        <f t="shared" si="1"/>
        <v>87240</v>
      </c>
      <c r="K13" s="58">
        <f t="shared" si="2"/>
        <v>4591.5789473684208</v>
      </c>
      <c r="L13" s="59"/>
      <c r="M13" s="60">
        <f t="shared" si="3"/>
        <v>21</v>
      </c>
      <c r="N13" s="61">
        <f t="shared" si="3"/>
        <v>211300</v>
      </c>
      <c r="O13" s="55">
        <f t="shared" si="4"/>
        <v>9147.1428571428569</v>
      </c>
      <c r="P13" s="61">
        <f t="shared" si="5"/>
        <v>36370</v>
      </c>
      <c r="Q13" s="56">
        <f t="shared" si="6"/>
        <v>1574.4285714285713</v>
      </c>
      <c r="R13" s="62">
        <f t="shared" si="7"/>
        <v>247670</v>
      </c>
      <c r="S13" s="58">
        <f t="shared" si="8"/>
        <v>11793.809523809523</v>
      </c>
      <c r="T13" s="82">
        <f t="shared" si="9"/>
        <v>40</v>
      </c>
      <c r="U13" s="61">
        <f t="shared" si="9"/>
        <v>290940</v>
      </c>
      <c r="V13" s="61">
        <f t="shared" si="10"/>
        <v>43970</v>
      </c>
      <c r="W13" s="64">
        <f t="shared" si="11"/>
        <v>334910</v>
      </c>
      <c r="X13" s="83"/>
      <c r="Y13" s="65"/>
      <c r="Z13" s="66">
        <v>9</v>
      </c>
      <c r="AA13" s="66"/>
      <c r="AB13" s="54"/>
      <c r="AC13" s="55">
        <f t="shared" si="12"/>
        <v>0</v>
      </c>
      <c r="AD13" s="54">
        <v>4950</v>
      </c>
      <c r="AE13" s="56">
        <f t="shared" si="13"/>
        <v>550</v>
      </c>
      <c r="AF13" s="67">
        <f t="shared" si="14"/>
        <v>4950</v>
      </c>
      <c r="AG13" s="58">
        <f t="shared" si="15"/>
        <v>550</v>
      </c>
      <c r="AH13" s="68"/>
      <c r="AI13" s="66"/>
      <c r="AJ13" s="54"/>
      <c r="AK13" s="55" t="e">
        <f t="shared" si="16"/>
        <v>#DIV/0!</v>
      </c>
      <c r="AL13" s="54"/>
      <c r="AM13" s="56" t="e">
        <f t="shared" si="17"/>
        <v>#DIV/0!</v>
      </c>
      <c r="AN13" s="67">
        <f t="shared" si="28"/>
        <v>0</v>
      </c>
      <c r="AO13" s="69" t="str">
        <f t="shared" si="18"/>
        <v/>
      </c>
      <c r="AP13" s="70"/>
      <c r="AQ13" s="66"/>
      <c r="AR13" s="54"/>
      <c r="AS13" s="55" t="e">
        <f t="shared" si="19"/>
        <v>#DIV/0!</v>
      </c>
      <c r="AT13" s="54"/>
      <c r="AU13" s="56" t="e">
        <f t="shared" si="20"/>
        <v>#DIV/0!</v>
      </c>
      <c r="AV13" s="56"/>
      <c r="AW13" s="56"/>
      <c r="AX13" s="71">
        <f>AR13+AT13+AV13+AW13-BP13</f>
        <v>0</v>
      </c>
      <c r="AY13" s="69" t="str">
        <f t="shared" si="21"/>
        <v/>
      </c>
      <c r="AZ13" s="84">
        <f t="shared" si="22"/>
        <v>40</v>
      </c>
      <c r="BA13" s="61">
        <f t="shared" si="23"/>
        <v>290940</v>
      </c>
      <c r="BB13" s="61">
        <f t="shared" si="24"/>
        <v>48920</v>
      </c>
      <c r="BC13" s="73">
        <f t="shared" ref="BC13" si="32">W13+AF13+AN13+AX13</f>
        <v>339860</v>
      </c>
      <c r="BD13" s="74">
        <f t="shared" si="30"/>
        <v>2200</v>
      </c>
      <c r="BE13" s="75">
        <v>40</v>
      </c>
      <c r="BF13" s="76">
        <v>290940</v>
      </c>
      <c r="BG13" s="76">
        <v>43970</v>
      </c>
      <c r="BH13" s="77">
        <v>2200</v>
      </c>
      <c r="BI13" s="77"/>
      <c r="BJ13" s="77"/>
      <c r="BK13" s="77"/>
      <c r="BL13" s="78">
        <f t="shared" si="29"/>
        <v>337110</v>
      </c>
      <c r="BM13" s="49">
        <v>9</v>
      </c>
      <c r="BN13" s="79">
        <f t="shared" si="25"/>
        <v>337110</v>
      </c>
    </row>
    <row r="14" spans="1:68" ht="20" customHeight="1">
      <c r="B14" s="80">
        <f t="shared" si="26"/>
        <v>45940</v>
      </c>
      <c r="C14" s="81"/>
      <c r="D14" s="52"/>
      <c r="E14" s="53">
        <v>29</v>
      </c>
      <c r="F14" s="54">
        <v>135740</v>
      </c>
      <c r="G14" s="55">
        <f t="shared" si="0"/>
        <v>4255.1724137931033</v>
      </c>
      <c r="H14" s="54">
        <v>17170</v>
      </c>
      <c r="I14" s="56">
        <f>ROUNDDOWN(H14/1.1,0)/E14</f>
        <v>538.24137931034488</v>
      </c>
      <c r="J14" s="57">
        <f t="shared" si="1"/>
        <v>152910</v>
      </c>
      <c r="K14" s="58">
        <f t="shared" si="2"/>
        <v>5272.7586206896549</v>
      </c>
      <c r="L14" s="59"/>
      <c r="M14" s="60">
        <f t="shared" si="3"/>
        <v>31</v>
      </c>
      <c r="N14" s="61">
        <f t="shared" si="3"/>
        <v>251460</v>
      </c>
      <c r="O14" s="55">
        <f t="shared" si="4"/>
        <v>7374.1935483870966</v>
      </c>
      <c r="P14" s="61">
        <f t="shared" si="5"/>
        <v>48490</v>
      </c>
      <c r="Q14" s="56">
        <f t="shared" si="6"/>
        <v>1421.9677419354839</v>
      </c>
      <c r="R14" s="62">
        <f t="shared" si="7"/>
        <v>299950</v>
      </c>
      <c r="S14" s="58">
        <f t="shared" si="8"/>
        <v>9675.8064516129034</v>
      </c>
      <c r="T14" s="82">
        <f t="shared" si="9"/>
        <v>60</v>
      </c>
      <c r="U14" s="61">
        <f t="shared" si="9"/>
        <v>387200</v>
      </c>
      <c r="V14" s="61">
        <f t="shared" si="10"/>
        <v>65660</v>
      </c>
      <c r="W14" s="64">
        <f t="shared" si="11"/>
        <v>452860</v>
      </c>
      <c r="X14" s="83"/>
      <c r="Y14" s="65"/>
      <c r="Z14" s="66">
        <v>0</v>
      </c>
      <c r="AA14" s="66"/>
      <c r="AB14" s="54"/>
      <c r="AC14" s="55" t="e">
        <f t="shared" si="12"/>
        <v>#DIV/0!</v>
      </c>
      <c r="AD14" s="54"/>
      <c r="AE14" s="56" t="e">
        <f t="shared" si="13"/>
        <v>#DIV/0!</v>
      </c>
      <c r="AF14" s="67">
        <f t="shared" si="14"/>
        <v>0</v>
      </c>
      <c r="AG14" s="58" t="e">
        <f t="shared" si="15"/>
        <v>#DIV/0!</v>
      </c>
      <c r="AH14" s="68"/>
      <c r="AI14" s="66">
        <v>25</v>
      </c>
      <c r="AJ14" s="54">
        <v>97875</v>
      </c>
      <c r="AK14" s="55">
        <f t="shared" si="16"/>
        <v>3915</v>
      </c>
      <c r="AL14" s="54">
        <v>66120</v>
      </c>
      <c r="AM14" s="56">
        <f t="shared" si="17"/>
        <v>2644.8</v>
      </c>
      <c r="AN14" s="67">
        <f t="shared" si="28"/>
        <v>163995</v>
      </c>
      <c r="AO14" s="69">
        <f t="shared" si="18"/>
        <v>6559.8</v>
      </c>
      <c r="AP14" s="70"/>
      <c r="AQ14" s="66"/>
      <c r="AR14" s="54"/>
      <c r="AS14" s="55" t="e">
        <f t="shared" si="19"/>
        <v>#DIV/0!</v>
      </c>
      <c r="AT14" s="54"/>
      <c r="AU14" s="56" t="e">
        <f t="shared" si="20"/>
        <v>#DIV/0!</v>
      </c>
      <c r="AV14" s="56"/>
      <c r="AW14" s="56"/>
      <c r="AX14" s="71">
        <f t="shared" si="31"/>
        <v>0</v>
      </c>
      <c r="AY14" s="69" t="str">
        <f t="shared" si="21"/>
        <v/>
      </c>
      <c r="AZ14" s="84">
        <f t="shared" si="22"/>
        <v>60</v>
      </c>
      <c r="BA14" s="61">
        <f t="shared" si="23"/>
        <v>485075</v>
      </c>
      <c r="BB14" s="61">
        <f t="shared" si="24"/>
        <v>131780</v>
      </c>
      <c r="BC14" s="73">
        <f t="shared" ref="BC14:BC19" si="33">W14+AF14+AN14+AX14-BO14</f>
        <v>616855</v>
      </c>
      <c r="BD14" s="74">
        <f t="shared" si="30"/>
        <v>1650</v>
      </c>
      <c r="BE14" s="75">
        <v>60</v>
      </c>
      <c r="BF14" s="76">
        <v>387200</v>
      </c>
      <c r="BG14" s="76">
        <v>65660</v>
      </c>
      <c r="BH14" s="77">
        <v>1650</v>
      </c>
      <c r="BI14" s="77"/>
      <c r="BJ14" s="77">
        <v>3300</v>
      </c>
      <c r="BK14" s="77"/>
      <c r="BL14" s="78">
        <f t="shared" si="29"/>
        <v>454510</v>
      </c>
      <c r="BM14" s="49">
        <v>10</v>
      </c>
      <c r="BN14" s="79">
        <f t="shared" si="25"/>
        <v>454510</v>
      </c>
    </row>
    <row r="15" spans="1:68" ht="20" customHeight="1">
      <c r="B15" s="80">
        <f t="shared" si="26"/>
        <v>45941</v>
      </c>
      <c r="C15" s="86"/>
      <c r="D15" s="52"/>
      <c r="E15" s="53">
        <v>34</v>
      </c>
      <c r="F15" s="54">
        <v>141020</v>
      </c>
      <c r="G15" s="55">
        <f t="shared" si="0"/>
        <v>3770.5882352941176</v>
      </c>
      <c r="H15" s="54">
        <v>27900</v>
      </c>
      <c r="I15" s="56">
        <f t="shared" si="27"/>
        <v>745.97058823529414</v>
      </c>
      <c r="J15" s="57">
        <f t="shared" si="1"/>
        <v>168920</v>
      </c>
      <c r="K15" s="58">
        <f t="shared" si="2"/>
        <v>4968.2352941176468</v>
      </c>
      <c r="L15" s="59"/>
      <c r="M15" s="60">
        <f t="shared" si="3"/>
        <v>26</v>
      </c>
      <c r="N15" s="61">
        <f t="shared" si="3"/>
        <v>189520</v>
      </c>
      <c r="O15" s="55">
        <f t="shared" si="4"/>
        <v>6626.5384615384619</v>
      </c>
      <c r="P15" s="61">
        <f t="shared" si="5"/>
        <v>48580</v>
      </c>
      <c r="Q15" s="56">
        <f t="shared" si="6"/>
        <v>1698.5769230769231</v>
      </c>
      <c r="R15" s="62">
        <f t="shared" si="7"/>
        <v>238100</v>
      </c>
      <c r="S15" s="58">
        <f t="shared" si="8"/>
        <v>9157.6923076923085</v>
      </c>
      <c r="T15" s="82">
        <f t="shared" si="9"/>
        <v>60</v>
      </c>
      <c r="U15" s="61">
        <f t="shared" si="9"/>
        <v>330540</v>
      </c>
      <c r="V15" s="61">
        <f t="shared" si="10"/>
        <v>76480</v>
      </c>
      <c r="W15" s="64">
        <f t="shared" si="11"/>
        <v>407020</v>
      </c>
      <c r="X15" s="83"/>
      <c r="Y15" s="65"/>
      <c r="Z15" s="66">
        <v>2</v>
      </c>
      <c r="AA15" s="66"/>
      <c r="AB15" s="54">
        <v>5000</v>
      </c>
      <c r="AC15" s="55">
        <f t="shared" si="12"/>
        <v>2500</v>
      </c>
      <c r="AD15" s="54">
        <v>500</v>
      </c>
      <c r="AE15" s="56">
        <f t="shared" si="13"/>
        <v>250</v>
      </c>
      <c r="AF15" s="67">
        <f t="shared" si="14"/>
        <v>5500</v>
      </c>
      <c r="AG15" s="58">
        <f t="shared" si="15"/>
        <v>2750</v>
      </c>
      <c r="AH15" s="68"/>
      <c r="AI15" s="66">
        <v>80</v>
      </c>
      <c r="AJ15" s="54">
        <v>208800</v>
      </c>
      <c r="AK15" s="55">
        <f t="shared" si="16"/>
        <v>2610</v>
      </c>
      <c r="AL15" s="54">
        <v>104400</v>
      </c>
      <c r="AM15" s="56">
        <f t="shared" si="17"/>
        <v>1305</v>
      </c>
      <c r="AN15" s="67">
        <f t="shared" si="28"/>
        <v>313200</v>
      </c>
      <c r="AO15" s="69">
        <f t="shared" si="18"/>
        <v>3915</v>
      </c>
      <c r="AP15" s="70"/>
      <c r="AQ15" s="66"/>
      <c r="AR15" s="54"/>
      <c r="AS15" s="55" t="e">
        <f t="shared" si="19"/>
        <v>#DIV/0!</v>
      </c>
      <c r="AT15" s="54"/>
      <c r="AU15" s="56" t="e">
        <f t="shared" si="20"/>
        <v>#DIV/0!</v>
      </c>
      <c r="AV15" s="56"/>
      <c r="AW15" s="56"/>
      <c r="AX15" s="71">
        <f t="shared" si="31"/>
        <v>0</v>
      </c>
      <c r="AY15" s="69" t="str">
        <f t="shared" si="21"/>
        <v/>
      </c>
      <c r="AZ15" s="84">
        <f t="shared" si="22"/>
        <v>60</v>
      </c>
      <c r="BA15" s="61">
        <f t="shared" si="23"/>
        <v>544340</v>
      </c>
      <c r="BB15" s="61">
        <f t="shared" si="24"/>
        <v>181380</v>
      </c>
      <c r="BC15" s="73">
        <f t="shared" si="33"/>
        <v>725720</v>
      </c>
      <c r="BD15" s="74">
        <f t="shared" si="30"/>
        <v>0</v>
      </c>
      <c r="BE15" s="75">
        <v>60</v>
      </c>
      <c r="BF15" s="76">
        <v>330540</v>
      </c>
      <c r="BG15" s="76">
        <v>76480</v>
      </c>
      <c r="BH15" s="77"/>
      <c r="BI15" s="77"/>
      <c r="BJ15" s="77"/>
      <c r="BK15" s="77"/>
      <c r="BL15" s="78">
        <f t="shared" si="29"/>
        <v>407020</v>
      </c>
      <c r="BM15" s="49">
        <v>11</v>
      </c>
      <c r="BN15" s="79">
        <f t="shared" si="25"/>
        <v>407020</v>
      </c>
    </row>
    <row r="16" spans="1:68" ht="20" customHeight="1">
      <c r="B16" s="80">
        <f t="shared" si="26"/>
        <v>45942</v>
      </c>
      <c r="C16" s="81"/>
      <c r="D16" s="52"/>
      <c r="E16" s="53">
        <v>34</v>
      </c>
      <c r="F16" s="54">
        <v>193160</v>
      </c>
      <c r="G16" s="55">
        <f t="shared" si="0"/>
        <v>5164.7058823529414</v>
      </c>
      <c r="H16" s="54">
        <v>51890</v>
      </c>
      <c r="I16" s="56">
        <f t="shared" si="27"/>
        <v>1387.4117647058824</v>
      </c>
      <c r="J16" s="57">
        <f t="shared" si="1"/>
        <v>245050</v>
      </c>
      <c r="K16" s="58">
        <f t="shared" si="2"/>
        <v>7207.3529411764703</v>
      </c>
      <c r="L16" s="59"/>
      <c r="M16" s="60">
        <f t="shared" si="3"/>
        <v>29</v>
      </c>
      <c r="N16" s="61">
        <f t="shared" si="3"/>
        <v>282770</v>
      </c>
      <c r="O16" s="55">
        <f t="shared" si="4"/>
        <v>8864.2413793103442</v>
      </c>
      <c r="P16" s="61">
        <f t="shared" si="5"/>
        <v>72210</v>
      </c>
      <c r="Q16" s="56">
        <f t="shared" si="6"/>
        <v>2263.6206896551726</v>
      </c>
      <c r="R16" s="62">
        <f t="shared" si="7"/>
        <v>354980</v>
      </c>
      <c r="S16" s="58">
        <f t="shared" si="8"/>
        <v>12240.689655172413</v>
      </c>
      <c r="T16" s="82">
        <f t="shared" si="9"/>
        <v>63</v>
      </c>
      <c r="U16" s="61">
        <f t="shared" si="9"/>
        <v>475930</v>
      </c>
      <c r="V16" s="61">
        <f t="shared" si="10"/>
        <v>124100</v>
      </c>
      <c r="W16" s="64">
        <f t="shared" si="11"/>
        <v>600030</v>
      </c>
      <c r="X16" s="83"/>
      <c r="Y16" s="65"/>
      <c r="Z16" s="66">
        <v>0</v>
      </c>
      <c r="AA16" s="66"/>
      <c r="AB16" s="54"/>
      <c r="AC16" s="55" t="e">
        <f t="shared" si="12"/>
        <v>#DIV/0!</v>
      </c>
      <c r="AD16" s="54"/>
      <c r="AE16" s="56" t="e">
        <f t="shared" si="13"/>
        <v>#DIV/0!</v>
      </c>
      <c r="AF16" s="67">
        <f t="shared" si="14"/>
        <v>0</v>
      </c>
      <c r="AG16" s="58" t="e">
        <f t="shared" si="15"/>
        <v>#DIV/0!</v>
      </c>
      <c r="AH16" s="68"/>
      <c r="AI16" s="66"/>
      <c r="AJ16" s="54"/>
      <c r="AK16" s="55" t="e">
        <f t="shared" si="16"/>
        <v>#DIV/0!</v>
      </c>
      <c r="AL16" s="54"/>
      <c r="AM16" s="56" t="e">
        <f t="shared" si="17"/>
        <v>#DIV/0!</v>
      </c>
      <c r="AN16" s="67">
        <f t="shared" si="28"/>
        <v>0</v>
      </c>
      <c r="AO16" s="69" t="str">
        <f t="shared" si="18"/>
        <v/>
      </c>
      <c r="AP16" s="70"/>
      <c r="AQ16" s="66"/>
      <c r="AR16" s="54"/>
      <c r="AS16" s="55" t="e">
        <f t="shared" si="19"/>
        <v>#DIV/0!</v>
      </c>
      <c r="AT16" s="54"/>
      <c r="AU16" s="56" t="e">
        <f t="shared" si="20"/>
        <v>#DIV/0!</v>
      </c>
      <c r="AV16" s="56"/>
      <c r="AW16" s="56"/>
      <c r="AX16" s="71">
        <f t="shared" si="31"/>
        <v>0</v>
      </c>
      <c r="AY16" s="69" t="str">
        <f t="shared" si="21"/>
        <v/>
      </c>
      <c r="AZ16" s="84">
        <f t="shared" si="22"/>
        <v>63</v>
      </c>
      <c r="BA16" s="61">
        <f t="shared" si="23"/>
        <v>475930</v>
      </c>
      <c r="BB16" s="61">
        <f t="shared" si="24"/>
        <v>124100</v>
      </c>
      <c r="BC16" s="73">
        <f t="shared" si="33"/>
        <v>600030</v>
      </c>
      <c r="BD16" s="74">
        <f t="shared" si="30"/>
        <v>8800</v>
      </c>
      <c r="BE16" s="75">
        <v>63</v>
      </c>
      <c r="BF16" s="76">
        <v>475930</v>
      </c>
      <c r="BG16" s="76">
        <v>124100</v>
      </c>
      <c r="BH16" s="77">
        <v>8800</v>
      </c>
      <c r="BI16" s="77"/>
      <c r="BJ16" s="77"/>
      <c r="BK16" s="77"/>
      <c r="BL16" s="78">
        <f t="shared" si="29"/>
        <v>608830</v>
      </c>
      <c r="BM16" s="49">
        <v>12</v>
      </c>
      <c r="BN16" s="79">
        <f t="shared" si="25"/>
        <v>608830</v>
      </c>
    </row>
    <row r="17" spans="2:68" ht="20" customHeight="1">
      <c r="B17" s="80">
        <f t="shared" si="26"/>
        <v>45943</v>
      </c>
      <c r="C17" s="86"/>
      <c r="D17" s="52"/>
      <c r="E17" s="53">
        <v>34</v>
      </c>
      <c r="F17" s="54">
        <v>163350</v>
      </c>
      <c r="G17" s="55">
        <f t="shared" si="0"/>
        <v>4367.6470588235297</v>
      </c>
      <c r="H17" s="54">
        <v>26930</v>
      </c>
      <c r="I17" s="56">
        <f t="shared" si="27"/>
        <v>720.02941176470586</v>
      </c>
      <c r="J17" s="57">
        <f t="shared" si="1"/>
        <v>190280</v>
      </c>
      <c r="K17" s="58">
        <f t="shared" si="2"/>
        <v>5596.4705882352937</v>
      </c>
      <c r="L17" s="59"/>
      <c r="M17" s="60">
        <f t="shared" si="3"/>
        <v>21</v>
      </c>
      <c r="N17" s="61">
        <f t="shared" si="3"/>
        <v>234400</v>
      </c>
      <c r="O17" s="55">
        <f t="shared" si="4"/>
        <v>10147.142857142857</v>
      </c>
      <c r="P17" s="61">
        <f t="shared" si="5"/>
        <v>37700</v>
      </c>
      <c r="Q17" s="56">
        <f t="shared" si="6"/>
        <v>1632</v>
      </c>
      <c r="R17" s="62">
        <f t="shared" si="7"/>
        <v>272100</v>
      </c>
      <c r="S17" s="58">
        <f t="shared" si="8"/>
        <v>12957.142857142857</v>
      </c>
      <c r="T17" s="82">
        <f>E17+M17</f>
        <v>55</v>
      </c>
      <c r="U17" s="61">
        <f t="shared" si="9"/>
        <v>397750</v>
      </c>
      <c r="V17" s="61">
        <f t="shared" si="10"/>
        <v>64630</v>
      </c>
      <c r="W17" s="64">
        <f t="shared" si="11"/>
        <v>462380</v>
      </c>
      <c r="X17" s="83"/>
      <c r="Y17" s="65"/>
      <c r="Z17" s="66">
        <v>0</v>
      </c>
      <c r="AA17" s="66"/>
      <c r="AB17" s="54"/>
      <c r="AC17" s="55" t="e">
        <f t="shared" si="12"/>
        <v>#DIV/0!</v>
      </c>
      <c r="AD17" s="54"/>
      <c r="AE17" s="56" t="e">
        <f t="shared" si="13"/>
        <v>#DIV/0!</v>
      </c>
      <c r="AF17" s="67">
        <f t="shared" si="14"/>
        <v>0</v>
      </c>
      <c r="AG17" s="58" t="e">
        <f t="shared" si="15"/>
        <v>#DIV/0!</v>
      </c>
      <c r="AH17" s="68"/>
      <c r="AI17" s="66"/>
      <c r="AJ17" s="54"/>
      <c r="AK17" s="55" t="e">
        <f>AJ17/AI17</f>
        <v>#DIV/0!</v>
      </c>
      <c r="AL17" s="54"/>
      <c r="AM17" s="56" t="e">
        <f>AL17/AI17</f>
        <v>#DIV/0!</v>
      </c>
      <c r="AN17" s="67">
        <f>AJ17+AL17</f>
        <v>0</v>
      </c>
      <c r="AO17" s="69" t="str">
        <f>IF(AI17="","",AN17/AI17)</f>
        <v/>
      </c>
      <c r="AP17" s="70"/>
      <c r="AQ17" s="66"/>
      <c r="AR17" s="54"/>
      <c r="AS17" s="55" t="e">
        <f t="shared" si="19"/>
        <v>#DIV/0!</v>
      </c>
      <c r="AT17" s="54"/>
      <c r="AU17" s="56" t="e">
        <f t="shared" si="20"/>
        <v>#DIV/0!</v>
      </c>
      <c r="AV17" s="56"/>
      <c r="AW17" s="56"/>
      <c r="AX17" s="71">
        <f>AR17+AT17+AV17+AW17-BP17</f>
        <v>0</v>
      </c>
      <c r="AY17" s="69" t="str">
        <f t="shared" si="21"/>
        <v/>
      </c>
      <c r="AZ17" s="84">
        <f t="shared" si="22"/>
        <v>55</v>
      </c>
      <c r="BA17" s="61">
        <f>U17+AB17+AJ17+AR17</f>
        <v>397750</v>
      </c>
      <c r="BB17" s="61">
        <f t="shared" si="24"/>
        <v>64630</v>
      </c>
      <c r="BC17" s="73">
        <f t="shared" si="33"/>
        <v>462380</v>
      </c>
      <c r="BD17" s="74">
        <f t="shared" si="30"/>
        <v>9900</v>
      </c>
      <c r="BE17" s="75">
        <v>55</v>
      </c>
      <c r="BF17" s="76">
        <v>397750</v>
      </c>
      <c r="BG17" s="76">
        <v>64630</v>
      </c>
      <c r="BH17" s="77">
        <v>9900</v>
      </c>
      <c r="BI17" s="77"/>
      <c r="BJ17" s="77">
        <v>3300</v>
      </c>
      <c r="BK17" s="77"/>
      <c r="BL17" s="78">
        <f t="shared" si="29"/>
        <v>472280</v>
      </c>
      <c r="BM17" s="49">
        <v>13</v>
      </c>
      <c r="BN17" s="79">
        <f t="shared" si="25"/>
        <v>472280</v>
      </c>
    </row>
    <row r="18" spans="2:68" ht="20" customHeight="1">
      <c r="B18" s="80">
        <f t="shared" si="26"/>
        <v>45944</v>
      </c>
      <c r="C18" s="81"/>
      <c r="D18" s="52"/>
      <c r="E18" s="53">
        <v>25</v>
      </c>
      <c r="F18" s="54">
        <v>80300</v>
      </c>
      <c r="G18" s="55">
        <f t="shared" si="0"/>
        <v>2920</v>
      </c>
      <c r="H18" s="54">
        <v>12180</v>
      </c>
      <c r="I18" s="56">
        <f t="shared" si="27"/>
        <v>442.88</v>
      </c>
      <c r="J18" s="57">
        <f t="shared" si="1"/>
        <v>92480</v>
      </c>
      <c r="K18" s="58">
        <f t="shared" si="2"/>
        <v>3699.2</v>
      </c>
      <c r="L18" s="59"/>
      <c r="M18" s="60">
        <f t="shared" si="3"/>
        <v>16</v>
      </c>
      <c r="N18" s="61">
        <f t="shared" si="3"/>
        <v>178970</v>
      </c>
      <c r="O18" s="55">
        <f t="shared" si="4"/>
        <v>10168.75</v>
      </c>
      <c r="P18" s="61">
        <f t="shared" si="5"/>
        <v>63380</v>
      </c>
      <c r="Q18" s="56">
        <f t="shared" si="6"/>
        <v>3601.125</v>
      </c>
      <c r="R18" s="62">
        <f t="shared" si="7"/>
        <v>242350</v>
      </c>
      <c r="S18" s="58">
        <f t="shared" si="8"/>
        <v>15146.875</v>
      </c>
      <c r="T18" s="82">
        <f t="shared" si="9"/>
        <v>41</v>
      </c>
      <c r="U18" s="61">
        <f t="shared" si="9"/>
        <v>259270</v>
      </c>
      <c r="V18" s="61">
        <f t="shared" si="10"/>
        <v>75560</v>
      </c>
      <c r="W18" s="64">
        <f t="shared" si="11"/>
        <v>334830</v>
      </c>
      <c r="X18" s="83"/>
      <c r="Y18" s="65"/>
      <c r="Z18" s="66">
        <v>0</v>
      </c>
      <c r="AA18" s="66"/>
      <c r="AB18" s="54"/>
      <c r="AC18" s="55" t="e">
        <f t="shared" si="12"/>
        <v>#DIV/0!</v>
      </c>
      <c r="AD18" s="54"/>
      <c r="AE18" s="56" t="e">
        <f t="shared" si="13"/>
        <v>#DIV/0!</v>
      </c>
      <c r="AF18" s="67">
        <f t="shared" si="14"/>
        <v>0</v>
      </c>
      <c r="AG18" s="58" t="e">
        <f t="shared" si="15"/>
        <v>#DIV/0!</v>
      </c>
      <c r="AH18" s="68"/>
      <c r="AI18" s="66"/>
      <c r="AJ18" s="54"/>
      <c r="AK18" s="55" t="e">
        <f t="shared" si="16"/>
        <v>#DIV/0!</v>
      </c>
      <c r="AL18" s="54"/>
      <c r="AM18" s="56" t="e">
        <f t="shared" si="17"/>
        <v>#DIV/0!</v>
      </c>
      <c r="AN18" s="67">
        <f t="shared" si="28"/>
        <v>0</v>
      </c>
      <c r="AO18" s="69" t="str">
        <f t="shared" si="18"/>
        <v/>
      </c>
      <c r="AP18" s="70"/>
      <c r="AQ18" s="66"/>
      <c r="AR18" s="54"/>
      <c r="AS18" s="55" t="e">
        <f t="shared" si="19"/>
        <v>#DIV/0!</v>
      </c>
      <c r="AT18" s="54"/>
      <c r="AU18" s="56" t="e">
        <f t="shared" si="20"/>
        <v>#DIV/0!</v>
      </c>
      <c r="AV18" s="56"/>
      <c r="AW18" s="56"/>
      <c r="AX18" s="71">
        <f t="shared" ref="AX18:AX35" si="34">AR18+AT18+AV18+AW18</f>
        <v>0</v>
      </c>
      <c r="AY18" s="69" t="str">
        <f t="shared" si="21"/>
        <v/>
      </c>
      <c r="AZ18" s="84">
        <f t="shared" si="22"/>
        <v>41</v>
      </c>
      <c r="BA18" s="61">
        <f t="shared" si="23"/>
        <v>259270</v>
      </c>
      <c r="BB18" s="61">
        <f t="shared" si="24"/>
        <v>75560</v>
      </c>
      <c r="BC18" s="73">
        <f t="shared" si="33"/>
        <v>334830</v>
      </c>
      <c r="BD18" s="74">
        <f t="shared" si="30"/>
        <v>2200</v>
      </c>
      <c r="BE18" s="75">
        <v>41</v>
      </c>
      <c r="BF18" s="76">
        <v>259270</v>
      </c>
      <c r="BG18" s="76">
        <v>75560</v>
      </c>
      <c r="BH18" s="77">
        <v>2200</v>
      </c>
      <c r="BI18" s="77"/>
      <c r="BJ18" s="77">
        <v>3300</v>
      </c>
      <c r="BK18" s="77"/>
      <c r="BL18" s="78">
        <f t="shared" si="29"/>
        <v>337030</v>
      </c>
      <c r="BM18" s="49">
        <v>14</v>
      </c>
      <c r="BN18" s="79">
        <f t="shared" si="25"/>
        <v>337030</v>
      </c>
    </row>
    <row r="19" spans="2:68" ht="20" customHeight="1">
      <c r="B19" s="80">
        <f t="shared" si="26"/>
        <v>45945</v>
      </c>
      <c r="C19" s="81"/>
      <c r="D19" s="52"/>
      <c r="E19" s="53">
        <v>25</v>
      </c>
      <c r="F19" s="54">
        <v>93280</v>
      </c>
      <c r="G19" s="55">
        <f t="shared" si="0"/>
        <v>3392</v>
      </c>
      <c r="H19" s="54">
        <v>10350</v>
      </c>
      <c r="I19" s="56">
        <f t="shared" si="27"/>
        <v>376.36</v>
      </c>
      <c r="J19" s="57">
        <f t="shared" si="1"/>
        <v>103630</v>
      </c>
      <c r="K19" s="58">
        <f t="shared" si="2"/>
        <v>4145.2</v>
      </c>
      <c r="L19" s="59"/>
      <c r="M19" s="60">
        <f t="shared" si="3"/>
        <v>13</v>
      </c>
      <c r="N19" s="61">
        <f t="shared" si="3"/>
        <v>194420</v>
      </c>
      <c r="O19" s="55">
        <f t="shared" si="4"/>
        <v>13595.76923076923</v>
      </c>
      <c r="P19" s="61">
        <f t="shared" si="5"/>
        <v>41190</v>
      </c>
      <c r="Q19" s="87">
        <f t="shared" si="6"/>
        <v>2880.3846153846152</v>
      </c>
      <c r="R19" s="62">
        <f t="shared" si="7"/>
        <v>235610</v>
      </c>
      <c r="S19" s="58">
        <f t="shared" si="8"/>
        <v>18123.846153846152</v>
      </c>
      <c r="T19" s="82">
        <f t="shared" si="9"/>
        <v>38</v>
      </c>
      <c r="U19" s="61">
        <f t="shared" si="9"/>
        <v>287700</v>
      </c>
      <c r="V19" s="61">
        <f t="shared" si="10"/>
        <v>51540</v>
      </c>
      <c r="W19" s="64">
        <f t="shared" si="11"/>
        <v>339240</v>
      </c>
      <c r="X19" s="83"/>
      <c r="Y19" s="65"/>
      <c r="Z19" s="66">
        <v>2</v>
      </c>
      <c r="AA19" s="66"/>
      <c r="AB19" s="54">
        <v>5000</v>
      </c>
      <c r="AC19" s="55">
        <f t="shared" si="12"/>
        <v>2500</v>
      </c>
      <c r="AD19" s="54">
        <v>500</v>
      </c>
      <c r="AE19" s="56">
        <f t="shared" si="13"/>
        <v>250</v>
      </c>
      <c r="AF19" s="67">
        <f t="shared" si="14"/>
        <v>5500</v>
      </c>
      <c r="AG19" s="58">
        <f t="shared" si="15"/>
        <v>2750</v>
      </c>
      <c r="AH19" s="68"/>
      <c r="AI19" s="66"/>
      <c r="AJ19" s="54"/>
      <c r="AK19" s="55" t="e">
        <f t="shared" si="16"/>
        <v>#DIV/0!</v>
      </c>
      <c r="AL19" s="54"/>
      <c r="AM19" s="56" t="e">
        <f t="shared" si="17"/>
        <v>#DIV/0!</v>
      </c>
      <c r="AN19" s="67">
        <f t="shared" si="28"/>
        <v>0</v>
      </c>
      <c r="AO19" s="69" t="str">
        <f t="shared" si="18"/>
        <v/>
      </c>
      <c r="AP19" s="70"/>
      <c r="AQ19" s="66"/>
      <c r="AR19" s="54"/>
      <c r="AS19" s="55" t="e">
        <f t="shared" si="19"/>
        <v>#DIV/0!</v>
      </c>
      <c r="AT19" s="54"/>
      <c r="AU19" s="56" t="e">
        <f t="shared" si="20"/>
        <v>#DIV/0!</v>
      </c>
      <c r="AV19" s="56"/>
      <c r="AW19" s="56"/>
      <c r="AX19" s="71">
        <f>AR19+AT19+AV19+AW19</f>
        <v>0</v>
      </c>
      <c r="AY19" s="69" t="str">
        <f t="shared" si="21"/>
        <v/>
      </c>
      <c r="AZ19" s="84">
        <f t="shared" si="22"/>
        <v>38</v>
      </c>
      <c r="BA19" s="61">
        <f t="shared" si="23"/>
        <v>292700</v>
      </c>
      <c r="BB19" s="61">
        <f t="shared" si="24"/>
        <v>52040</v>
      </c>
      <c r="BC19" s="73">
        <f t="shared" si="33"/>
        <v>344740</v>
      </c>
      <c r="BD19" s="74">
        <f t="shared" si="30"/>
        <v>0</v>
      </c>
      <c r="BE19" s="75">
        <v>38</v>
      </c>
      <c r="BF19" s="76">
        <v>287700</v>
      </c>
      <c r="BG19" s="76">
        <v>51540</v>
      </c>
      <c r="BH19" s="77"/>
      <c r="BI19" s="77"/>
      <c r="BJ19" s="77"/>
      <c r="BK19" s="77"/>
      <c r="BL19" s="78">
        <f t="shared" si="29"/>
        <v>339240</v>
      </c>
      <c r="BM19" s="49">
        <v>15</v>
      </c>
      <c r="BN19" s="79">
        <f t="shared" si="25"/>
        <v>339240</v>
      </c>
    </row>
    <row r="20" spans="2:68" ht="20" customHeight="1">
      <c r="B20" s="80">
        <f t="shared" si="26"/>
        <v>45946</v>
      </c>
      <c r="C20" s="81"/>
      <c r="D20" s="52"/>
      <c r="E20" s="53">
        <v>32</v>
      </c>
      <c r="F20" s="54">
        <v>126500</v>
      </c>
      <c r="G20" s="55">
        <f t="shared" si="0"/>
        <v>3593.75</v>
      </c>
      <c r="H20" s="54">
        <v>16360</v>
      </c>
      <c r="I20" s="56">
        <f t="shared" si="27"/>
        <v>464.75</v>
      </c>
      <c r="J20" s="57">
        <f t="shared" si="1"/>
        <v>142860</v>
      </c>
      <c r="K20" s="58">
        <f t="shared" si="2"/>
        <v>4464.375</v>
      </c>
      <c r="L20" s="59"/>
      <c r="M20" s="60">
        <f t="shared" si="3"/>
        <v>14</v>
      </c>
      <c r="N20" s="61">
        <f t="shared" si="3"/>
        <v>108420</v>
      </c>
      <c r="O20" s="55">
        <f t="shared" si="4"/>
        <v>7040.2142857142853</v>
      </c>
      <c r="P20" s="61">
        <f t="shared" si="5"/>
        <v>41240</v>
      </c>
      <c r="Q20" s="87">
        <f t="shared" si="6"/>
        <v>2677.8571428571427</v>
      </c>
      <c r="R20" s="62">
        <f t="shared" si="7"/>
        <v>149660</v>
      </c>
      <c r="S20" s="58">
        <f t="shared" si="8"/>
        <v>10690</v>
      </c>
      <c r="T20" s="82">
        <f t="shared" si="9"/>
        <v>46</v>
      </c>
      <c r="U20" s="61">
        <f t="shared" si="9"/>
        <v>234920</v>
      </c>
      <c r="V20" s="61">
        <f t="shared" si="10"/>
        <v>57600</v>
      </c>
      <c r="W20" s="64">
        <f t="shared" si="11"/>
        <v>292520</v>
      </c>
      <c r="X20" s="83"/>
      <c r="Y20" s="65"/>
      <c r="Z20" s="66">
        <v>0</v>
      </c>
      <c r="AA20" s="66"/>
      <c r="AB20" s="54"/>
      <c r="AC20" s="55" t="e">
        <f t="shared" si="12"/>
        <v>#DIV/0!</v>
      </c>
      <c r="AD20" s="54"/>
      <c r="AE20" s="56" t="e">
        <f t="shared" si="13"/>
        <v>#DIV/0!</v>
      </c>
      <c r="AF20" s="67">
        <f t="shared" si="14"/>
        <v>0</v>
      </c>
      <c r="AG20" s="58" t="e">
        <f t="shared" si="15"/>
        <v>#DIV/0!</v>
      </c>
      <c r="AH20" s="68"/>
      <c r="AI20" s="66"/>
      <c r="AJ20" s="54"/>
      <c r="AK20" s="55" t="e">
        <f t="shared" si="16"/>
        <v>#DIV/0!</v>
      </c>
      <c r="AL20" s="54"/>
      <c r="AM20" s="56" t="e">
        <f t="shared" si="17"/>
        <v>#DIV/0!</v>
      </c>
      <c r="AN20" s="67">
        <f t="shared" si="28"/>
        <v>0</v>
      </c>
      <c r="AO20" s="69" t="str">
        <f t="shared" si="18"/>
        <v/>
      </c>
      <c r="AP20" s="70"/>
      <c r="AQ20" s="66"/>
      <c r="AR20" s="54"/>
      <c r="AS20" s="55" t="e">
        <f t="shared" si="19"/>
        <v>#DIV/0!</v>
      </c>
      <c r="AT20" s="54"/>
      <c r="AU20" s="56" t="e">
        <f t="shared" si="20"/>
        <v>#DIV/0!</v>
      </c>
      <c r="AV20" s="56"/>
      <c r="AW20" s="56"/>
      <c r="AX20" s="71">
        <f t="shared" si="34"/>
        <v>0</v>
      </c>
      <c r="AY20" s="69" t="str">
        <f t="shared" si="21"/>
        <v/>
      </c>
      <c r="AZ20" s="84">
        <f t="shared" si="22"/>
        <v>46</v>
      </c>
      <c r="BA20" s="61">
        <f t="shared" si="23"/>
        <v>234920</v>
      </c>
      <c r="BB20" s="61">
        <f t="shared" si="24"/>
        <v>57600</v>
      </c>
      <c r="BC20" s="73">
        <f>W20+AF20+AN20+AX20</f>
        <v>292520</v>
      </c>
      <c r="BD20" s="74">
        <f t="shared" si="30"/>
        <v>2200</v>
      </c>
      <c r="BE20" s="75">
        <v>46</v>
      </c>
      <c r="BF20" s="76">
        <v>234920</v>
      </c>
      <c r="BG20" s="76">
        <v>57600</v>
      </c>
      <c r="BH20" s="77">
        <v>2200</v>
      </c>
      <c r="BI20" s="77"/>
      <c r="BJ20" s="77"/>
      <c r="BK20" s="77"/>
      <c r="BL20" s="78">
        <f t="shared" si="29"/>
        <v>294720</v>
      </c>
      <c r="BM20" s="49">
        <v>16</v>
      </c>
      <c r="BN20" s="79">
        <f t="shared" si="25"/>
        <v>294720</v>
      </c>
    </row>
    <row r="21" spans="2:68" ht="20" customHeight="1">
      <c r="B21" s="80">
        <f t="shared" si="26"/>
        <v>45947</v>
      </c>
      <c r="C21" s="81"/>
      <c r="D21" s="52"/>
      <c r="E21" s="53">
        <v>36</v>
      </c>
      <c r="F21" s="54">
        <v>144760</v>
      </c>
      <c r="G21" s="55">
        <f>ROUNDDOWN(F21/1.1,0)/E21</f>
        <v>3655.5555555555557</v>
      </c>
      <c r="H21" s="54">
        <v>14710</v>
      </c>
      <c r="I21" s="56">
        <f t="shared" si="27"/>
        <v>371.44444444444446</v>
      </c>
      <c r="J21" s="57">
        <f t="shared" si="1"/>
        <v>159470</v>
      </c>
      <c r="K21" s="58">
        <f t="shared" si="2"/>
        <v>4429.7222222222226</v>
      </c>
      <c r="L21" s="59"/>
      <c r="M21" s="60">
        <f t="shared" si="3"/>
        <v>9</v>
      </c>
      <c r="N21" s="61">
        <f t="shared" si="3"/>
        <v>84920</v>
      </c>
      <c r="O21" s="55">
        <f t="shared" si="4"/>
        <v>8577.7777777777774</v>
      </c>
      <c r="P21" s="61">
        <f t="shared" si="5"/>
        <v>27730</v>
      </c>
      <c r="Q21" s="87">
        <f t="shared" si="6"/>
        <v>2801</v>
      </c>
      <c r="R21" s="62">
        <f>N21+P21</f>
        <v>112650</v>
      </c>
      <c r="S21" s="58">
        <f t="shared" si="8"/>
        <v>12516.666666666666</v>
      </c>
      <c r="T21" s="82">
        <f t="shared" si="9"/>
        <v>45</v>
      </c>
      <c r="U21" s="61">
        <f t="shared" si="9"/>
        <v>229680</v>
      </c>
      <c r="V21" s="61">
        <f t="shared" si="10"/>
        <v>42440</v>
      </c>
      <c r="W21" s="64">
        <f t="shared" si="11"/>
        <v>272120</v>
      </c>
      <c r="X21" s="83"/>
      <c r="Y21" s="65"/>
      <c r="Z21" s="66">
        <v>0</v>
      </c>
      <c r="AA21" s="66"/>
      <c r="AB21" s="54"/>
      <c r="AC21" s="55" t="e">
        <f t="shared" si="12"/>
        <v>#DIV/0!</v>
      </c>
      <c r="AD21" s="54"/>
      <c r="AE21" s="56" t="e">
        <f t="shared" si="13"/>
        <v>#DIV/0!</v>
      </c>
      <c r="AF21" s="67">
        <f t="shared" si="14"/>
        <v>0</v>
      </c>
      <c r="AG21" s="58" t="e">
        <f t="shared" si="15"/>
        <v>#DIV/0!</v>
      </c>
      <c r="AH21" s="68"/>
      <c r="AI21" s="66"/>
      <c r="AJ21" s="54"/>
      <c r="AK21" s="55" t="e">
        <f t="shared" si="16"/>
        <v>#DIV/0!</v>
      </c>
      <c r="AL21" s="54"/>
      <c r="AM21" s="56" t="e">
        <f t="shared" si="17"/>
        <v>#DIV/0!</v>
      </c>
      <c r="AN21" s="67">
        <f t="shared" si="28"/>
        <v>0</v>
      </c>
      <c r="AO21" s="69" t="str">
        <f t="shared" si="18"/>
        <v/>
      </c>
      <c r="AP21" s="70"/>
      <c r="AQ21" s="66"/>
      <c r="AR21" s="54"/>
      <c r="AS21" s="55" t="e">
        <f t="shared" si="19"/>
        <v>#DIV/0!</v>
      </c>
      <c r="AT21" s="54"/>
      <c r="AU21" s="56" t="e">
        <f t="shared" si="20"/>
        <v>#DIV/0!</v>
      </c>
      <c r="AV21" s="56"/>
      <c r="AW21" s="56"/>
      <c r="AX21" s="71">
        <f t="shared" si="34"/>
        <v>0</v>
      </c>
      <c r="AY21" s="69" t="str">
        <f t="shared" si="21"/>
        <v/>
      </c>
      <c r="AZ21" s="84">
        <f t="shared" si="22"/>
        <v>45</v>
      </c>
      <c r="BA21" s="61">
        <f t="shared" si="23"/>
        <v>229680</v>
      </c>
      <c r="BB21" s="61">
        <f t="shared" si="24"/>
        <v>42440</v>
      </c>
      <c r="BC21" s="73">
        <f>W21+AF21+AN21+AX21-BO21</f>
        <v>272120</v>
      </c>
      <c r="BD21" s="74">
        <f t="shared" si="30"/>
        <v>3300</v>
      </c>
      <c r="BE21" s="75">
        <v>45</v>
      </c>
      <c r="BF21" s="76">
        <v>229680</v>
      </c>
      <c r="BG21" s="76">
        <v>42440</v>
      </c>
      <c r="BH21" s="77">
        <v>3300</v>
      </c>
      <c r="BI21" s="77"/>
      <c r="BJ21" s="77"/>
      <c r="BK21" s="77"/>
      <c r="BL21" s="78">
        <f t="shared" si="29"/>
        <v>275420</v>
      </c>
      <c r="BM21" s="49">
        <v>17</v>
      </c>
      <c r="BN21" s="79">
        <f t="shared" si="25"/>
        <v>275420</v>
      </c>
    </row>
    <row r="22" spans="2:68" ht="20" customHeight="1">
      <c r="B22" s="80">
        <f t="shared" si="26"/>
        <v>45948</v>
      </c>
      <c r="C22" s="81"/>
      <c r="D22" s="52"/>
      <c r="E22" s="53">
        <v>38</v>
      </c>
      <c r="F22" s="54">
        <v>164340</v>
      </c>
      <c r="G22" s="55">
        <f t="shared" si="0"/>
        <v>3931.5789473684213</v>
      </c>
      <c r="H22" s="54">
        <v>32260</v>
      </c>
      <c r="I22" s="56">
        <f t="shared" si="27"/>
        <v>771.76315789473688</v>
      </c>
      <c r="J22" s="57">
        <f t="shared" si="1"/>
        <v>196600</v>
      </c>
      <c r="K22" s="58">
        <f t="shared" si="2"/>
        <v>5173.6842105263158</v>
      </c>
      <c r="L22" s="59"/>
      <c r="M22" s="60">
        <f>BE22-E22</f>
        <v>29</v>
      </c>
      <c r="N22" s="61">
        <f t="shared" si="3"/>
        <v>294120</v>
      </c>
      <c r="O22" s="55">
        <f t="shared" si="4"/>
        <v>9220.0344827586214</v>
      </c>
      <c r="P22" s="61">
        <f t="shared" si="5"/>
        <v>63810</v>
      </c>
      <c r="Q22" s="87">
        <f t="shared" si="6"/>
        <v>2000.3103448275863</v>
      </c>
      <c r="R22" s="62">
        <f t="shared" si="7"/>
        <v>357930</v>
      </c>
      <c r="S22" s="58">
        <f t="shared" si="8"/>
        <v>12342.413793103447</v>
      </c>
      <c r="T22" s="82">
        <f t="shared" si="9"/>
        <v>67</v>
      </c>
      <c r="U22" s="61">
        <f t="shared" si="9"/>
        <v>458460</v>
      </c>
      <c r="V22" s="61">
        <f t="shared" si="10"/>
        <v>96070</v>
      </c>
      <c r="W22" s="64">
        <f t="shared" si="11"/>
        <v>554530</v>
      </c>
      <c r="X22" s="83"/>
      <c r="Y22" s="65"/>
      <c r="Z22" s="66">
        <v>2</v>
      </c>
      <c r="AA22" s="66"/>
      <c r="AB22" s="54">
        <v>5000</v>
      </c>
      <c r="AC22" s="55">
        <f t="shared" si="12"/>
        <v>2500</v>
      </c>
      <c r="AD22" s="54">
        <v>500</v>
      </c>
      <c r="AE22" s="56">
        <f t="shared" si="13"/>
        <v>250</v>
      </c>
      <c r="AF22" s="67">
        <f t="shared" si="14"/>
        <v>5500</v>
      </c>
      <c r="AG22" s="58">
        <f t="shared" si="15"/>
        <v>2750</v>
      </c>
      <c r="AH22" s="68"/>
      <c r="AI22" s="66"/>
      <c r="AJ22" s="54"/>
      <c r="AK22" s="55" t="e">
        <f t="shared" si="16"/>
        <v>#DIV/0!</v>
      </c>
      <c r="AL22" s="54"/>
      <c r="AM22" s="56" t="e">
        <f t="shared" si="17"/>
        <v>#DIV/0!</v>
      </c>
      <c r="AN22" s="67">
        <f t="shared" si="28"/>
        <v>0</v>
      </c>
      <c r="AO22" s="69" t="str">
        <f t="shared" si="18"/>
        <v/>
      </c>
      <c r="AP22" s="70"/>
      <c r="AQ22" s="66"/>
      <c r="AR22" s="54"/>
      <c r="AS22" s="55" t="e">
        <f t="shared" si="19"/>
        <v>#DIV/0!</v>
      </c>
      <c r="AT22" s="54"/>
      <c r="AU22" s="56" t="e">
        <f t="shared" si="20"/>
        <v>#DIV/0!</v>
      </c>
      <c r="AV22" s="56"/>
      <c r="AW22" s="56"/>
      <c r="AX22" s="71">
        <f t="shared" si="34"/>
        <v>0</v>
      </c>
      <c r="AY22" s="69" t="str">
        <f t="shared" si="21"/>
        <v/>
      </c>
      <c r="AZ22" s="84">
        <f t="shared" si="22"/>
        <v>67</v>
      </c>
      <c r="BA22" s="61">
        <f>U22+AB22+AJ22+AR22</f>
        <v>463460</v>
      </c>
      <c r="BB22" s="61">
        <f t="shared" si="24"/>
        <v>96570</v>
      </c>
      <c r="BC22" s="73">
        <f>W22+AF22+AN22+AX22-BO22</f>
        <v>560030</v>
      </c>
      <c r="BD22" s="74">
        <f t="shared" si="30"/>
        <v>4400</v>
      </c>
      <c r="BE22" s="75">
        <v>67</v>
      </c>
      <c r="BF22" s="76">
        <v>458460</v>
      </c>
      <c r="BG22" s="76">
        <v>96070</v>
      </c>
      <c r="BH22" s="77">
        <v>4400</v>
      </c>
      <c r="BI22" s="77"/>
      <c r="BJ22" s="77"/>
      <c r="BK22" s="77"/>
      <c r="BL22" s="78">
        <f t="shared" si="29"/>
        <v>558930</v>
      </c>
      <c r="BM22" s="49">
        <v>18</v>
      </c>
      <c r="BN22" s="79">
        <f t="shared" si="25"/>
        <v>558930</v>
      </c>
      <c r="BP22" s="85"/>
    </row>
    <row r="23" spans="2:68" ht="20" customHeight="1">
      <c r="B23" s="80">
        <f t="shared" si="26"/>
        <v>45949</v>
      </c>
      <c r="C23" s="81"/>
      <c r="D23" s="52"/>
      <c r="E23" s="53">
        <v>39</v>
      </c>
      <c r="F23" s="54">
        <v>177430</v>
      </c>
      <c r="G23" s="55">
        <f t="shared" si="0"/>
        <v>4135.8974358974356</v>
      </c>
      <c r="H23" s="54">
        <v>34290</v>
      </c>
      <c r="I23" s="56">
        <f t="shared" si="27"/>
        <v>799.28205128205127</v>
      </c>
      <c r="J23" s="57">
        <f t="shared" si="1"/>
        <v>211720</v>
      </c>
      <c r="K23" s="58">
        <f t="shared" si="2"/>
        <v>5428.7179487179483</v>
      </c>
      <c r="L23" s="59"/>
      <c r="M23" s="60">
        <f t="shared" si="3"/>
        <v>36</v>
      </c>
      <c r="N23" s="61">
        <f t="shared" si="3"/>
        <v>312580</v>
      </c>
      <c r="O23" s="55">
        <f t="shared" si="4"/>
        <v>7893.416666666667</v>
      </c>
      <c r="P23" s="61">
        <f t="shared" si="5"/>
        <v>69850</v>
      </c>
      <c r="Q23" s="87">
        <f t="shared" si="6"/>
        <v>1763.8888888888889</v>
      </c>
      <c r="R23" s="62">
        <f t="shared" si="7"/>
        <v>382430</v>
      </c>
      <c r="S23" s="58">
        <f t="shared" si="8"/>
        <v>10623.055555555555</v>
      </c>
      <c r="T23" s="82">
        <f t="shared" si="9"/>
        <v>75</v>
      </c>
      <c r="U23" s="61">
        <f t="shared" si="9"/>
        <v>490010</v>
      </c>
      <c r="V23" s="61">
        <f t="shared" si="10"/>
        <v>104140</v>
      </c>
      <c r="W23" s="64">
        <f t="shared" si="11"/>
        <v>594150</v>
      </c>
      <c r="X23" s="83"/>
      <c r="Y23" s="65"/>
      <c r="Z23" s="66">
        <v>0</v>
      </c>
      <c r="AA23" s="66"/>
      <c r="AB23" s="54"/>
      <c r="AC23" s="55" t="e">
        <f t="shared" si="12"/>
        <v>#DIV/0!</v>
      </c>
      <c r="AD23" s="54"/>
      <c r="AE23" s="56" t="e">
        <f t="shared" si="13"/>
        <v>#DIV/0!</v>
      </c>
      <c r="AF23" s="67">
        <f t="shared" si="14"/>
        <v>0</v>
      </c>
      <c r="AG23" s="58" t="e">
        <f t="shared" si="15"/>
        <v>#DIV/0!</v>
      </c>
      <c r="AH23" s="68"/>
      <c r="AI23" s="66"/>
      <c r="AJ23" s="54"/>
      <c r="AK23" s="55" t="e">
        <f t="shared" si="16"/>
        <v>#DIV/0!</v>
      </c>
      <c r="AL23" s="54"/>
      <c r="AM23" s="56" t="e">
        <f t="shared" si="17"/>
        <v>#DIV/0!</v>
      </c>
      <c r="AN23" s="67">
        <f t="shared" si="28"/>
        <v>0</v>
      </c>
      <c r="AO23" s="69" t="str">
        <f t="shared" si="18"/>
        <v/>
      </c>
      <c r="AP23" s="70"/>
      <c r="AQ23" s="66"/>
      <c r="AR23" s="54"/>
      <c r="AS23" s="55" t="e">
        <f t="shared" si="19"/>
        <v>#DIV/0!</v>
      </c>
      <c r="AT23" s="54"/>
      <c r="AU23" s="56" t="e">
        <f t="shared" si="20"/>
        <v>#DIV/0!</v>
      </c>
      <c r="AV23" s="56"/>
      <c r="AW23" s="56"/>
      <c r="AX23" s="71">
        <f t="shared" si="34"/>
        <v>0</v>
      </c>
      <c r="AY23" s="69" t="str">
        <f>IF(AQ23="","",AX23/AQ23)</f>
        <v/>
      </c>
      <c r="AZ23" s="84">
        <f t="shared" si="22"/>
        <v>75</v>
      </c>
      <c r="BA23" s="61">
        <f t="shared" si="23"/>
        <v>490010</v>
      </c>
      <c r="BB23" s="61">
        <f t="shared" si="24"/>
        <v>104140</v>
      </c>
      <c r="BC23" s="73">
        <f>W23+AF23+AN23+AX23</f>
        <v>594150</v>
      </c>
      <c r="BD23" s="74">
        <f t="shared" si="30"/>
        <v>3850</v>
      </c>
      <c r="BE23" s="75">
        <v>75</v>
      </c>
      <c r="BF23" s="76">
        <v>490010</v>
      </c>
      <c r="BG23" s="76">
        <v>104140</v>
      </c>
      <c r="BH23" s="77">
        <v>3850</v>
      </c>
      <c r="BI23" s="77"/>
      <c r="BJ23" s="77"/>
      <c r="BK23" s="77"/>
      <c r="BL23" s="78">
        <f>SUM(BF23:BI23)</f>
        <v>598000</v>
      </c>
      <c r="BM23" s="49">
        <v>19</v>
      </c>
      <c r="BN23" s="79">
        <f t="shared" si="25"/>
        <v>598000</v>
      </c>
    </row>
    <row r="24" spans="2:68" ht="20" customHeight="1">
      <c r="B24" s="80">
        <f t="shared" si="26"/>
        <v>45950</v>
      </c>
      <c r="C24" s="81"/>
      <c r="D24" s="52"/>
      <c r="E24" s="53">
        <v>21</v>
      </c>
      <c r="F24" s="54">
        <v>90640</v>
      </c>
      <c r="G24" s="55">
        <f t="shared" si="0"/>
        <v>3923.8095238095239</v>
      </c>
      <c r="H24" s="54">
        <v>12490</v>
      </c>
      <c r="I24" s="56">
        <f t="shared" si="27"/>
        <v>540.66666666666663</v>
      </c>
      <c r="J24" s="57">
        <f t="shared" si="1"/>
        <v>103130</v>
      </c>
      <c r="K24" s="58">
        <f t="shared" si="2"/>
        <v>4910.9523809523807</v>
      </c>
      <c r="L24" s="59"/>
      <c r="M24" s="60">
        <v>16</v>
      </c>
      <c r="N24" s="61">
        <f t="shared" si="3"/>
        <v>160780</v>
      </c>
      <c r="O24" s="55">
        <f t="shared" si="4"/>
        <v>9135.1875</v>
      </c>
      <c r="P24" s="61">
        <f t="shared" si="5"/>
        <v>45100</v>
      </c>
      <c r="Q24" s="87">
        <f t="shared" si="6"/>
        <v>2562.5</v>
      </c>
      <c r="R24" s="62">
        <f t="shared" si="7"/>
        <v>205880</v>
      </c>
      <c r="S24" s="58">
        <f t="shared" si="8"/>
        <v>12867.5</v>
      </c>
      <c r="T24" s="82">
        <f t="shared" si="9"/>
        <v>37</v>
      </c>
      <c r="U24" s="61">
        <f t="shared" si="9"/>
        <v>251420</v>
      </c>
      <c r="V24" s="61">
        <f t="shared" si="10"/>
        <v>57590</v>
      </c>
      <c r="W24" s="64">
        <f t="shared" si="11"/>
        <v>309010</v>
      </c>
      <c r="X24" s="83"/>
      <c r="Y24" s="65"/>
      <c r="Z24" s="66">
        <v>0</v>
      </c>
      <c r="AA24" s="66"/>
      <c r="AB24" s="54"/>
      <c r="AC24" s="55" t="e">
        <f t="shared" si="12"/>
        <v>#DIV/0!</v>
      </c>
      <c r="AD24" s="54"/>
      <c r="AE24" s="56" t="e">
        <f t="shared" si="13"/>
        <v>#DIV/0!</v>
      </c>
      <c r="AF24" s="67">
        <f t="shared" si="14"/>
        <v>0</v>
      </c>
      <c r="AG24" s="58" t="e">
        <f t="shared" si="15"/>
        <v>#DIV/0!</v>
      </c>
      <c r="AH24" s="68"/>
      <c r="AI24" s="66"/>
      <c r="AJ24" s="54"/>
      <c r="AK24" s="55" t="e">
        <f t="shared" si="16"/>
        <v>#DIV/0!</v>
      </c>
      <c r="AL24" s="54"/>
      <c r="AM24" s="56" t="e">
        <f t="shared" si="17"/>
        <v>#DIV/0!</v>
      </c>
      <c r="AN24" s="67">
        <f t="shared" si="28"/>
        <v>0</v>
      </c>
      <c r="AO24" s="69" t="str">
        <f t="shared" si="18"/>
        <v/>
      </c>
      <c r="AP24" s="70"/>
      <c r="AQ24" s="66"/>
      <c r="AR24" s="54"/>
      <c r="AS24" s="55" t="e">
        <f t="shared" si="19"/>
        <v>#DIV/0!</v>
      </c>
      <c r="AT24" s="54"/>
      <c r="AU24" s="56" t="e">
        <f t="shared" si="20"/>
        <v>#DIV/0!</v>
      </c>
      <c r="AV24" s="56"/>
      <c r="AW24" s="56"/>
      <c r="AX24" s="71">
        <f t="shared" si="34"/>
        <v>0</v>
      </c>
      <c r="AY24" s="69" t="str">
        <f t="shared" si="21"/>
        <v/>
      </c>
      <c r="AZ24" s="84">
        <f t="shared" si="22"/>
        <v>37</v>
      </c>
      <c r="BA24" s="61">
        <f t="shared" si="23"/>
        <v>251420</v>
      </c>
      <c r="BB24" s="61">
        <f t="shared" si="24"/>
        <v>57590</v>
      </c>
      <c r="BC24" s="73">
        <f>W24+AF24+AN24+AX24-BO24</f>
        <v>309010</v>
      </c>
      <c r="BD24" s="74">
        <f t="shared" si="30"/>
        <v>2200</v>
      </c>
      <c r="BE24" s="75">
        <v>35</v>
      </c>
      <c r="BF24" s="76">
        <v>251420</v>
      </c>
      <c r="BG24" s="76">
        <v>57590</v>
      </c>
      <c r="BH24" s="77">
        <v>2200</v>
      </c>
      <c r="BI24" s="77"/>
      <c r="BJ24" s="77"/>
      <c r="BK24" s="77"/>
      <c r="BL24" s="78">
        <f t="shared" si="29"/>
        <v>311210</v>
      </c>
      <c r="BM24" s="49">
        <v>20</v>
      </c>
      <c r="BN24" s="79">
        <f t="shared" si="25"/>
        <v>311210</v>
      </c>
    </row>
    <row r="25" spans="2:68" ht="20" customHeight="1">
      <c r="B25" s="80">
        <f t="shared" si="26"/>
        <v>45951</v>
      </c>
      <c r="C25" s="81"/>
      <c r="D25" s="52"/>
      <c r="E25" s="53">
        <v>25</v>
      </c>
      <c r="F25" s="54">
        <v>115280</v>
      </c>
      <c r="G25" s="55">
        <f t="shared" si="0"/>
        <v>4192</v>
      </c>
      <c r="H25" s="54">
        <v>25390</v>
      </c>
      <c r="I25" s="56">
        <f t="shared" si="27"/>
        <v>923.24</v>
      </c>
      <c r="J25" s="57">
        <f t="shared" si="1"/>
        <v>140670</v>
      </c>
      <c r="K25" s="58">
        <f t="shared" si="2"/>
        <v>5626.8</v>
      </c>
      <c r="L25" s="59"/>
      <c r="M25" s="60">
        <f t="shared" si="3"/>
        <v>22</v>
      </c>
      <c r="N25" s="61">
        <f t="shared" si="3"/>
        <v>170720</v>
      </c>
      <c r="O25" s="55">
        <f t="shared" si="4"/>
        <v>7054.545454545455</v>
      </c>
      <c r="P25" s="61">
        <f t="shared" si="5"/>
        <v>75420</v>
      </c>
      <c r="Q25" s="87">
        <f t="shared" si="6"/>
        <v>3116.5</v>
      </c>
      <c r="R25" s="62">
        <f t="shared" si="7"/>
        <v>246140</v>
      </c>
      <c r="S25" s="58">
        <f t="shared" si="8"/>
        <v>11188.181818181818</v>
      </c>
      <c r="T25" s="82">
        <f t="shared" si="9"/>
        <v>47</v>
      </c>
      <c r="U25" s="61">
        <f t="shared" si="9"/>
        <v>286000</v>
      </c>
      <c r="V25" s="61">
        <f t="shared" si="10"/>
        <v>100810</v>
      </c>
      <c r="W25" s="64">
        <f t="shared" si="11"/>
        <v>386810</v>
      </c>
      <c r="X25" s="83"/>
      <c r="Y25" s="65"/>
      <c r="Z25" s="66">
        <v>2</v>
      </c>
      <c r="AA25" s="66"/>
      <c r="AB25" s="54">
        <v>5000</v>
      </c>
      <c r="AC25" s="55">
        <f t="shared" si="12"/>
        <v>2500</v>
      </c>
      <c r="AD25" s="54">
        <v>500</v>
      </c>
      <c r="AE25" s="56">
        <f t="shared" si="13"/>
        <v>250</v>
      </c>
      <c r="AF25" s="67">
        <f t="shared" si="14"/>
        <v>5500</v>
      </c>
      <c r="AG25" s="58">
        <f t="shared" si="15"/>
        <v>2750</v>
      </c>
      <c r="AH25" s="68"/>
      <c r="AI25" s="66">
        <v>33</v>
      </c>
      <c r="AJ25" s="54">
        <v>86130</v>
      </c>
      <c r="AK25" s="55">
        <f t="shared" si="16"/>
        <v>2610</v>
      </c>
      <c r="AL25" s="54">
        <v>43065</v>
      </c>
      <c r="AM25" s="56">
        <f t="shared" si="17"/>
        <v>1305</v>
      </c>
      <c r="AN25" s="67">
        <f t="shared" si="28"/>
        <v>129195</v>
      </c>
      <c r="AO25" s="69">
        <f t="shared" si="18"/>
        <v>3915</v>
      </c>
      <c r="AP25" s="70"/>
      <c r="AQ25" s="66"/>
      <c r="AR25" s="54"/>
      <c r="AS25" s="55" t="e">
        <f t="shared" si="19"/>
        <v>#DIV/0!</v>
      </c>
      <c r="AT25" s="54"/>
      <c r="AU25" s="56" t="e">
        <f t="shared" si="20"/>
        <v>#DIV/0!</v>
      </c>
      <c r="AV25" s="56"/>
      <c r="AW25" s="56"/>
      <c r="AX25" s="71">
        <f t="shared" si="34"/>
        <v>0</v>
      </c>
      <c r="AY25" s="69" t="str">
        <f t="shared" si="21"/>
        <v/>
      </c>
      <c r="AZ25" s="84">
        <f t="shared" si="22"/>
        <v>47</v>
      </c>
      <c r="BA25" s="61">
        <f t="shared" si="23"/>
        <v>377130</v>
      </c>
      <c r="BB25" s="61">
        <f t="shared" si="24"/>
        <v>144375</v>
      </c>
      <c r="BC25" s="73">
        <f>W25+AF25+AN25+AX25-BO25</f>
        <v>521505</v>
      </c>
      <c r="BD25" s="74">
        <f t="shared" si="30"/>
        <v>0</v>
      </c>
      <c r="BE25" s="75">
        <v>47</v>
      </c>
      <c r="BF25" s="76">
        <v>286000</v>
      </c>
      <c r="BG25" s="76">
        <v>100810</v>
      </c>
      <c r="BH25" s="77"/>
      <c r="BI25" s="77"/>
      <c r="BJ25" s="77"/>
      <c r="BK25" s="77">
        <v>12760</v>
      </c>
      <c r="BL25" s="78">
        <f t="shared" si="29"/>
        <v>386810</v>
      </c>
      <c r="BM25" s="49">
        <v>21</v>
      </c>
      <c r="BN25" s="79">
        <f t="shared" si="25"/>
        <v>399570</v>
      </c>
    </row>
    <row r="26" spans="2:68" ht="20" customHeight="1">
      <c r="B26" s="80">
        <f t="shared" si="26"/>
        <v>45952</v>
      </c>
      <c r="C26" s="81"/>
      <c r="D26" s="52"/>
      <c r="E26" s="53">
        <v>24</v>
      </c>
      <c r="F26" s="54">
        <v>107570</v>
      </c>
      <c r="G26" s="55">
        <f t="shared" si="0"/>
        <v>4074.5833333333335</v>
      </c>
      <c r="H26" s="54">
        <v>14980</v>
      </c>
      <c r="I26" s="56">
        <f t="shared" si="27"/>
        <v>567.41666666666663</v>
      </c>
      <c r="J26" s="57">
        <f t="shared" si="1"/>
        <v>122550</v>
      </c>
      <c r="K26" s="58">
        <f t="shared" si="2"/>
        <v>5106.25</v>
      </c>
      <c r="L26" s="59"/>
      <c r="M26" s="60">
        <f t="shared" si="3"/>
        <v>29</v>
      </c>
      <c r="N26" s="61">
        <f t="shared" si="3"/>
        <v>285300</v>
      </c>
      <c r="O26" s="55">
        <f t="shared" si="4"/>
        <v>8943.5517241379312</v>
      </c>
      <c r="P26" s="61">
        <f t="shared" si="5"/>
        <v>223520</v>
      </c>
      <c r="Q26" s="87">
        <f t="shared" si="6"/>
        <v>7006.8965517241377</v>
      </c>
      <c r="R26" s="62">
        <f t="shared" si="7"/>
        <v>508820</v>
      </c>
      <c r="S26" s="58">
        <f t="shared" si="8"/>
        <v>17545.517241379312</v>
      </c>
      <c r="T26" s="82">
        <f t="shared" si="9"/>
        <v>53</v>
      </c>
      <c r="U26" s="61">
        <f t="shared" si="9"/>
        <v>392870</v>
      </c>
      <c r="V26" s="61">
        <f t="shared" si="10"/>
        <v>238500</v>
      </c>
      <c r="W26" s="64">
        <f t="shared" si="11"/>
        <v>631370</v>
      </c>
      <c r="X26" s="83"/>
      <c r="Y26" s="65"/>
      <c r="Z26" s="66">
        <v>0</v>
      </c>
      <c r="AA26" s="66"/>
      <c r="AB26" s="54"/>
      <c r="AC26" s="55" t="e">
        <f t="shared" si="12"/>
        <v>#DIV/0!</v>
      </c>
      <c r="AD26" s="54"/>
      <c r="AE26" s="56" t="e">
        <f t="shared" si="13"/>
        <v>#DIV/0!</v>
      </c>
      <c r="AF26" s="67">
        <f t="shared" si="14"/>
        <v>0</v>
      </c>
      <c r="AG26" s="58" t="e">
        <f t="shared" si="15"/>
        <v>#DIV/0!</v>
      </c>
      <c r="AH26" s="68"/>
      <c r="AI26" s="66"/>
      <c r="AJ26" s="54"/>
      <c r="AK26" s="55" t="e">
        <f t="shared" si="16"/>
        <v>#DIV/0!</v>
      </c>
      <c r="AL26" s="54"/>
      <c r="AM26" s="56" t="e">
        <f t="shared" si="17"/>
        <v>#DIV/0!</v>
      </c>
      <c r="AN26" s="67">
        <f t="shared" si="28"/>
        <v>0</v>
      </c>
      <c r="AO26" s="69" t="str">
        <f t="shared" si="18"/>
        <v/>
      </c>
      <c r="AP26" s="70"/>
      <c r="AQ26" s="66"/>
      <c r="AR26" s="54"/>
      <c r="AS26" s="55" t="e">
        <f t="shared" si="19"/>
        <v>#DIV/0!</v>
      </c>
      <c r="AT26" s="54"/>
      <c r="AU26" s="56" t="e">
        <f t="shared" si="20"/>
        <v>#DIV/0!</v>
      </c>
      <c r="AV26" s="56"/>
      <c r="AW26" s="56"/>
      <c r="AX26" s="71">
        <f t="shared" si="34"/>
        <v>0</v>
      </c>
      <c r="AY26" s="69" t="str">
        <f>IF(AQ26="","",AX26/AQ26)</f>
        <v/>
      </c>
      <c r="AZ26" s="84">
        <f t="shared" si="22"/>
        <v>53</v>
      </c>
      <c r="BA26" s="61">
        <f t="shared" si="23"/>
        <v>392870</v>
      </c>
      <c r="BB26" s="61">
        <f t="shared" si="24"/>
        <v>238500</v>
      </c>
      <c r="BC26" s="73">
        <f>W26+AF26+AN26+AX26</f>
        <v>631370</v>
      </c>
      <c r="BD26" s="74">
        <f>BH26+BI26</f>
        <v>45650</v>
      </c>
      <c r="BE26" s="75">
        <v>53</v>
      </c>
      <c r="BF26" s="76">
        <v>392870</v>
      </c>
      <c r="BG26" s="76">
        <v>238500</v>
      </c>
      <c r="BH26" s="77">
        <v>45650</v>
      </c>
      <c r="BI26" s="77"/>
      <c r="BJ26" s="77"/>
      <c r="BK26" s="77"/>
      <c r="BL26" s="78">
        <f t="shared" si="29"/>
        <v>677020</v>
      </c>
      <c r="BM26" s="49">
        <v>22</v>
      </c>
      <c r="BN26" s="79">
        <f t="shared" si="25"/>
        <v>677020</v>
      </c>
      <c r="BO26" s="49" t="s">
        <v>103</v>
      </c>
    </row>
    <row r="27" spans="2:68" ht="20" customHeight="1">
      <c r="B27" s="80">
        <f t="shared" si="26"/>
        <v>45953</v>
      </c>
      <c r="C27" s="81"/>
      <c r="D27" s="52"/>
      <c r="E27" s="53">
        <v>22</v>
      </c>
      <c r="F27" s="54">
        <v>85690</v>
      </c>
      <c r="G27" s="55">
        <f t="shared" si="0"/>
        <v>3540.909090909091</v>
      </c>
      <c r="H27" s="54">
        <v>6720</v>
      </c>
      <c r="I27" s="56">
        <f t="shared" si="27"/>
        <v>277.68181818181819</v>
      </c>
      <c r="J27" s="57">
        <f t="shared" si="1"/>
        <v>92410</v>
      </c>
      <c r="K27" s="58">
        <f t="shared" si="2"/>
        <v>4200.454545454545</v>
      </c>
      <c r="L27" s="59"/>
      <c r="M27" s="60">
        <f t="shared" si="3"/>
        <v>28</v>
      </c>
      <c r="N27" s="61">
        <f t="shared" si="3"/>
        <v>244600</v>
      </c>
      <c r="O27" s="55">
        <f t="shared" si="4"/>
        <v>7941.5357142857147</v>
      </c>
      <c r="P27" s="61">
        <f t="shared" si="5"/>
        <v>49710</v>
      </c>
      <c r="Q27" s="56">
        <f t="shared" si="6"/>
        <v>1613.9285714285713</v>
      </c>
      <c r="R27" s="62">
        <f t="shared" si="7"/>
        <v>294310</v>
      </c>
      <c r="S27" s="58">
        <f t="shared" si="8"/>
        <v>10511.071428571429</v>
      </c>
      <c r="T27" s="82">
        <f t="shared" si="9"/>
        <v>50</v>
      </c>
      <c r="U27" s="61">
        <f t="shared" si="9"/>
        <v>330290</v>
      </c>
      <c r="V27" s="61">
        <f t="shared" si="10"/>
        <v>56430</v>
      </c>
      <c r="W27" s="64">
        <f t="shared" si="11"/>
        <v>386720</v>
      </c>
      <c r="X27" s="83"/>
      <c r="Y27" s="65"/>
      <c r="Z27" s="66">
        <v>0</v>
      </c>
      <c r="AA27" s="66"/>
      <c r="AB27" s="54"/>
      <c r="AC27" s="55" t="e">
        <f t="shared" si="12"/>
        <v>#DIV/0!</v>
      </c>
      <c r="AD27" s="54"/>
      <c r="AE27" s="56" t="e">
        <f t="shared" si="13"/>
        <v>#DIV/0!</v>
      </c>
      <c r="AF27" s="67">
        <f t="shared" si="14"/>
        <v>0</v>
      </c>
      <c r="AG27" s="58" t="e">
        <f t="shared" si="15"/>
        <v>#DIV/0!</v>
      </c>
      <c r="AH27" s="68"/>
      <c r="AI27" s="66"/>
      <c r="AJ27" s="54"/>
      <c r="AK27" s="55" t="e">
        <f t="shared" si="16"/>
        <v>#DIV/0!</v>
      </c>
      <c r="AL27" s="54"/>
      <c r="AM27" s="56" t="e">
        <f t="shared" si="17"/>
        <v>#DIV/0!</v>
      </c>
      <c r="AN27" s="67">
        <f t="shared" si="28"/>
        <v>0</v>
      </c>
      <c r="AO27" s="69" t="str">
        <f t="shared" si="18"/>
        <v/>
      </c>
      <c r="AP27" s="70"/>
      <c r="AQ27" s="66"/>
      <c r="AR27" s="54"/>
      <c r="AS27" s="55" t="e">
        <f t="shared" si="19"/>
        <v>#DIV/0!</v>
      </c>
      <c r="AT27" s="54"/>
      <c r="AU27" s="56" t="e">
        <f t="shared" si="20"/>
        <v>#DIV/0!</v>
      </c>
      <c r="AV27" s="56"/>
      <c r="AW27" s="56"/>
      <c r="AX27" s="71">
        <f>AR27+AT27+AV27+AW27-BP26</f>
        <v>0</v>
      </c>
      <c r="AY27" s="69" t="str">
        <f t="shared" si="21"/>
        <v/>
      </c>
      <c r="AZ27" s="84">
        <f t="shared" si="22"/>
        <v>50</v>
      </c>
      <c r="BA27" s="61">
        <f t="shared" si="23"/>
        <v>330290</v>
      </c>
      <c r="BB27" s="61">
        <f t="shared" si="24"/>
        <v>56430</v>
      </c>
      <c r="BC27" s="73">
        <f>W27+AF27+AN27+AX27</f>
        <v>386720</v>
      </c>
      <c r="BD27" s="74">
        <f t="shared" si="30"/>
        <v>1100</v>
      </c>
      <c r="BE27" s="75">
        <v>50</v>
      </c>
      <c r="BF27" s="76">
        <v>330290</v>
      </c>
      <c r="BG27" s="76">
        <v>56430</v>
      </c>
      <c r="BH27" s="77">
        <v>1100</v>
      </c>
      <c r="BI27" s="77"/>
      <c r="BJ27" s="77"/>
      <c r="BK27" s="77"/>
      <c r="BL27" s="78">
        <f t="shared" si="29"/>
        <v>387820</v>
      </c>
      <c r="BM27" s="49">
        <v>23</v>
      </c>
      <c r="BN27" s="79">
        <f t="shared" si="25"/>
        <v>387820</v>
      </c>
    </row>
    <row r="28" spans="2:68" ht="20" customHeight="1">
      <c r="B28" s="80">
        <f>B27+1</f>
        <v>45954</v>
      </c>
      <c r="C28" s="81"/>
      <c r="D28" s="52"/>
      <c r="E28" s="53">
        <v>6</v>
      </c>
      <c r="F28" s="54">
        <v>22000</v>
      </c>
      <c r="G28" s="55">
        <f t="shared" si="0"/>
        <v>3333.3333333333335</v>
      </c>
      <c r="H28" s="54">
        <v>2870</v>
      </c>
      <c r="I28" s="56">
        <f t="shared" si="27"/>
        <v>434.83333333333331</v>
      </c>
      <c r="J28" s="57">
        <f t="shared" si="1"/>
        <v>24870</v>
      </c>
      <c r="K28" s="58">
        <f t="shared" si="2"/>
        <v>4145</v>
      </c>
      <c r="L28" s="59"/>
      <c r="M28" s="60">
        <f t="shared" si="3"/>
        <v>50</v>
      </c>
      <c r="N28" s="61">
        <f t="shared" si="3"/>
        <v>400000</v>
      </c>
      <c r="O28" s="55">
        <f t="shared" si="4"/>
        <v>7272.72</v>
      </c>
      <c r="P28" s="61">
        <f t="shared" si="5"/>
        <v>100000</v>
      </c>
      <c r="Q28" s="56">
        <f>ROUNDDOWN(P28/1.1,0)/M28</f>
        <v>1818.18</v>
      </c>
      <c r="R28" s="62">
        <f t="shared" si="7"/>
        <v>500000</v>
      </c>
      <c r="S28" s="58">
        <f t="shared" si="8"/>
        <v>10000</v>
      </c>
      <c r="T28" s="82">
        <f t="shared" si="9"/>
        <v>56</v>
      </c>
      <c r="U28" s="61">
        <f t="shared" si="9"/>
        <v>422000</v>
      </c>
      <c r="V28" s="61">
        <f t="shared" si="10"/>
        <v>102870</v>
      </c>
      <c r="W28" s="64">
        <f t="shared" si="11"/>
        <v>524870</v>
      </c>
      <c r="X28" s="83"/>
      <c r="Y28" s="65"/>
      <c r="Z28" s="66">
        <v>0</v>
      </c>
      <c r="AA28" s="66"/>
      <c r="AB28" s="54"/>
      <c r="AC28" s="55" t="e">
        <f t="shared" si="12"/>
        <v>#DIV/0!</v>
      </c>
      <c r="AD28" s="54"/>
      <c r="AE28" s="56" t="e">
        <f t="shared" si="13"/>
        <v>#DIV/0!</v>
      </c>
      <c r="AF28" s="67">
        <f t="shared" si="14"/>
        <v>0</v>
      </c>
      <c r="AG28" s="58" t="e">
        <f t="shared" si="15"/>
        <v>#DIV/0!</v>
      </c>
      <c r="AH28" s="68"/>
      <c r="AI28" s="66">
        <v>89</v>
      </c>
      <c r="AJ28" s="54">
        <v>433695</v>
      </c>
      <c r="AK28" s="55">
        <f t="shared" si="16"/>
        <v>4872.9775280898875</v>
      </c>
      <c r="AL28" s="54">
        <v>116145</v>
      </c>
      <c r="AM28" s="56">
        <f t="shared" si="17"/>
        <v>1305</v>
      </c>
      <c r="AN28" s="67">
        <f t="shared" si="28"/>
        <v>549840</v>
      </c>
      <c r="AO28" s="69">
        <f t="shared" si="18"/>
        <v>6177.9775280898875</v>
      </c>
      <c r="AP28" s="70"/>
      <c r="AQ28" s="66"/>
      <c r="AR28" s="54"/>
      <c r="AS28" s="55" t="e">
        <f t="shared" si="19"/>
        <v>#DIV/0!</v>
      </c>
      <c r="AT28" s="54"/>
      <c r="AU28" s="56" t="e">
        <f t="shared" si="20"/>
        <v>#DIV/0!</v>
      </c>
      <c r="AV28" s="56"/>
      <c r="AW28" s="56"/>
      <c r="AX28" s="71">
        <f>AR28+AT28+AV28+AW28</f>
        <v>0</v>
      </c>
      <c r="AY28" s="69" t="str">
        <f t="shared" si="21"/>
        <v/>
      </c>
      <c r="AZ28" s="84">
        <f t="shared" si="22"/>
        <v>56</v>
      </c>
      <c r="BA28" s="61">
        <f t="shared" si="23"/>
        <v>855695</v>
      </c>
      <c r="BB28" s="61">
        <f t="shared" si="24"/>
        <v>219015</v>
      </c>
      <c r="BC28" s="73">
        <f>W28+AF28+AN28+AX28-BO28</f>
        <v>1073610</v>
      </c>
      <c r="BD28" s="74">
        <f t="shared" si="30"/>
        <v>0</v>
      </c>
      <c r="BE28" s="75">
        <v>56</v>
      </c>
      <c r="BF28" s="76">
        <v>422000</v>
      </c>
      <c r="BG28" s="76">
        <v>102870</v>
      </c>
      <c r="BH28" s="77"/>
      <c r="BI28" s="77"/>
      <c r="BJ28" s="77"/>
      <c r="BK28" s="77"/>
      <c r="BL28" s="78">
        <f t="shared" si="29"/>
        <v>524870</v>
      </c>
      <c r="BM28" s="49">
        <v>24</v>
      </c>
      <c r="BN28" s="79">
        <f t="shared" si="25"/>
        <v>524870</v>
      </c>
      <c r="BO28" s="49">
        <v>1100</v>
      </c>
    </row>
    <row r="29" spans="2:68" ht="20" customHeight="1">
      <c r="B29" s="80">
        <f t="shared" si="26"/>
        <v>45955</v>
      </c>
      <c r="C29" s="81"/>
      <c r="D29" s="52"/>
      <c r="E29" s="53">
        <v>27</v>
      </c>
      <c r="F29" s="54">
        <v>128920</v>
      </c>
      <c r="G29" s="55">
        <f t="shared" si="0"/>
        <v>4340.7407407407409</v>
      </c>
      <c r="H29" s="54">
        <v>28860</v>
      </c>
      <c r="I29" s="55">
        <f t="shared" si="27"/>
        <v>971.7037037037037</v>
      </c>
      <c r="J29" s="57">
        <f t="shared" si="1"/>
        <v>157780</v>
      </c>
      <c r="K29" s="58">
        <f t="shared" si="2"/>
        <v>5843.7037037037035</v>
      </c>
      <c r="L29" s="59"/>
      <c r="M29" s="60">
        <f t="shared" si="3"/>
        <v>38</v>
      </c>
      <c r="N29" s="61">
        <f t="shared" si="3"/>
        <v>289700</v>
      </c>
      <c r="O29" s="55">
        <f t="shared" si="4"/>
        <v>6930.605263157895</v>
      </c>
      <c r="P29" s="61">
        <f t="shared" si="5"/>
        <v>96870</v>
      </c>
      <c r="Q29" s="56">
        <f t="shared" si="6"/>
        <v>2317.4473684210525</v>
      </c>
      <c r="R29" s="62">
        <f t="shared" si="7"/>
        <v>386570</v>
      </c>
      <c r="S29" s="58">
        <f t="shared" si="8"/>
        <v>10172.894736842105</v>
      </c>
      <c r="T29" s="82">
        <f t="shared" si="9"/>
        <v>65</v>
      </c>
      <c r="U29" s="61">
        <f t="shared" si="9"/>
        <v>418620</v>
      </c>
      <c r="V29" s="61">
        <f t="shared" si="10"/>
        <v>125730</v>
      </c>
      <c r="W29" s="64">
        <f t="shared" si="11"/>
        <v>544350</v>
      </c>
      <c r="X29" s="83"/>
      <c r="Y29" s="65"/>
      <c r="Z29" s="66">
        <v>6</v>
      </c>
      <c r="AA29" s="66"/>
      <c r="AB29" s="54">
        <v>15000</v>
      </c>
      <c r="AC29" s="55">
        <f t="shared" si="12"/>
        <v>2500</v>
      </c>
      <c r="AD29" s="54">
        <v>1500</v>
      </c>
      <c r="AE29" s="56">
        <f t="shared" si="13"/>
        <v>250</v>
      </c>
      <c r="AF29" s="67">
        <f t="shared" si="14"/>
        <v>16500</v>
      </c>
      <c r="AG29" s="58">
        <f t="shared" si="15"/>
        <v>2750</v>
      </c>
      <c r="AH29" s="68"/>
      <c r="AI29" s="66"/>
      <c r="AJ29" s="54"/>
      <c r="AK29" s="55" t="e">
        <f t="shared" si="16"/>
        <v>#DIV/0!</v>
      </c>
      <c r="AL29" s="54"/>
      <c r="AM29" s="56" t="e">
        <f t="shared" si="17"/>
        <v>#DIV/0!</v>
      </c>
      <c r="AN29" s="67">
        <f t="shared" si="28"/>
        <v>0</v>
      </c>
      <c r="AO29" s="69" t="str">
        <f t="shared" si="18"/>
        <v/>
      </c>
      <c r="AP29" s="70"/>
      <c r="AQ29" s="66"/>
      <c r="AR29" s="54"/>
      <c r="AS29" s="55" t="e">
        <f t="shared" si="19"/>
        <v>#DIV/0!</v>
      </c>
      <c r="AT29" s="54"/>
      <c r="AU29" s="56" t="e">
        <f t="shared" si="20"/>
        <v>#DIV/0!</v>
      </c>
      <c r="AV29" s="56"/>
      <c r="AW29" s="56"/>
      <c r="AX29" s="71">
        <f>AR29+AT29+AV29+AW29-BP29</f>
        <v>0</v>
      </c>
      <c r="AY29" s="69" t="str">
        <f t="shared" si="21"/>
        <v/>
      </c>
      <c r="AZ29" s="84">
        <f t="shared" si="22"/>
        <v>65</v>
      </c>
      <c r="BA29" s="61">
        <f t="shared" si="23"/>
        <v>433620</v>
      </c>
      <c r="BB29" s="61">
        <f t="shared" si="24"/>
        <v>127230</v>
      </c>
      <c r="BC29" s="73">
        <f>W29+AF29+AN29+AX29</f>
        <v>560850</v>
      </c>
      <c r="BD29" s="74">
        <f t="shared" si="30"/>
        <v>2200</v>
      </c>
      <c r="BE29" s="75">
        <v>65</v>
      </c>
      <c r="BF29" s="76">
        <v>418620</v>
      </c>
      <c r="BG29" s="76">
        <v>125730</v>
      </c>
      <c r="BH29" s="77">
        <v>2200</v>
      </c>
      <c r="BI29" s="77"/>
      <c r="BJ29" s="77"/>
      <c r="BK29" s="77">
        <v>17600</v>
      </c>
      <c r="BL29" s="78">
        <f t="shared" si="29"/>
        <v>546550</v>
      </c>
      <c r="BM29" s="49">
        <v>25</v>
      </c>
      <c r="BN29" s="79">
        <f t="shared" si="25"/>
        <v>564150</v>
      </c>
    </row>
    <row r="30" spans="2:68" ht="20" customHeight="1">
      <c r="B30" s="80">
        <f t="shared" si="26"/>
        <v>45956</v>
      </c>
      <c r="C30" s="81"/>
      <c r="D30" s="52"/>
      <c r="E30" s="53">
        <v>33</v>
      </c>
      <c r="F30" s="54">
        <v>161480</v>
      </c>
      <c r="G30" s="55">
        <f t="shared" si="0"/>
        <v>4448.484848484848</v>
      </c>
      <c r="H30" s="54">
        <v>35400</v>
      </c>
      <c r="I30" s="55">
        <f t="shared" si="27"/>
        <v>975.18181818181813</v>
      </c>
      <c r="J30" s="57">
        <f t="shared" si="1"/>
        <v>196880</v>
      </c>
      <c r="K30" s="58">
        <f t="shared" si="2"/>
        <v>5966.060606060606</v>
      </c>
      <c r="L30" s="59"/>
      <c r="M30" s="60">
        <f t="shared" si="3"/>
        <v>27</v>
      </c>
      <c r="N30" s="61">
        <f t="shared" si="3"/>
        <v>254280</v>
      </c>
      <c r="O30" s="55">
        <f t="shared" si="4"/>
        <v>8561.5925925925931</v>
      </c>
      <c r="P30" s="61">
        <f t="shared" si="5"/>
        <v>65160</v>
      </c>
      <c r="Q30" s="55">
        <f t="shared" si="6"/>
        <v>2193.9259259259261</v>
      </c>
      <c r="R30" s="62">
        <f t="shared" si="7"/>
        <v>319440</v>
      </c>
      <c r="S30" s="58">
        <f t="shared" si="8"/>
        <v>11831.111111111111</v>
      </c>
      <c r="T30" s="82">
        <f t="shared" si="9"/>
        <v>60</v>
      </c>
      <c r="U30" s="61">
        <f t="shared" si="9"/>
        <v>415760</v>
      </c>
      <c r="V30" s="61">
        <f t="shared" si="10"/>
        <v>100560</v>
      </c>
      <c r="W30" s="64">
        <f t="shared" si="11"/>
        <v>516320</v>
      </c>
      <c r="X30" s="83"/>
      <c r="Y30" s="65"/>
      <c r="Z30" s="66">
        <v>4</v>
      </c>
      <c r="AA30" s="66"/>
      <c r="AB30" s="54">
        <v>10000</v>
      </c>
      <c r="AC30" s="55">
        <f t="shared" si="12"/>
        <v>2500</v>
      </c>
      <c r="AD30" s="54">
        <v>4300</v>
      </c>
      <c r="AE30" s="56">
        <f t="shared" si="13"/>
        <v>1075</v>
      </c>
      <c r="AF30" s="67">
        <f t="shared" si="14"/>
        <v>14300</v>
      </c>
      <c r="AG30" s="58">
        <f t="shared" si="15"/>
        <v>3575</v>
      </c>
      <c r="AH30" s="68"/>
      <c r="AI30" s="66"/>
      <c r="AJ30" s="54"/>
      <c r="AK30" s="55" t="e">
        <f t="shared" si="16"/>
        <v>#DIV/0!</v>
      </c>
      <c r="AL30" s="54"/>
      <c r="AM30" s="56" t="e">
        <f t="shared" si="17"/>
        <v>#DIV/0!</v>
      </c>
      <c r="AN30" s="67">
        <f t="shared" si="28"/>
        <v>0</v>
      </c>
      <c r="AO30" s="69" t="str">
        <f t="shared" si="18"/>
        <v/>
      </c>
      <c r="AP30" s="70"/>
      <c r="AQ30" s="66"/>
      <c r="AR30" s="54"/>
      <c r="AS30" s="55" t="e">
        <f t="shared" si="19"/>
        <v>#DIV/0!</v>
      </c>
      <c r="AT30" s="54"/>
      <c r="AU30" s="56" t="e">
        <f t="shared" si="20"/>
        <v>#DIV/0!</v>
      </c>
      <c r="AV30" s="56"/>
      <c r="AW30" s="56"/>
      <c r="AX30" s="71">
        <f>AR30+AT30+AV30+AW30-BP30</f>
        <v>0</v>
      </c>
      <c r="AY30" s="69" t="str">
        <f t="shared" si="21"/>
        <v/>
      </c>
      <c r="AZ30" s="84">
        <f t="shared" si="22"/>
        <v>60</v>
      </c>
      <c r="BA30" s="61">
        <f t="shared" si="23"/>
        <v>425760</v>
      </c>
      <c r="BB30" s="61">
        <f t="shared" si="24"/>
        <v>104860</v>
      </c>
      <c r="BC30" s="73">
        <f>W30+AF30+AN30+AX30</f>
        <v>530620</v>
      </c>
      <c r="BD30" s="74">
        <f>BH30+BI30</f>
        <v>7150</v>
      </c>
      <c r="BE30" s="75">
        <v>60</v>
      </c>
      <c r="BF30" s="76">
        <v>415760</v>
      </c>
      <c r="BG30" s="76">
        <v>100560</v>
      </c>
      <c r="BH30" s="77">
        <v>7150</v>
      </c>
      <c r="BI30" s="77"/>
      <c r="BJ30" s="77"/>
      <c r="BK30" s="77"/>
      <c r="BL30" s="78">
        <f t="shared" si="29"/>
        <v>523470</v>
      </c>
      <c r="BM30" s="49">
        <v>26</v>
      </c>
      <c r="BN30" s="79">
        <f t="shared" si="25"/>
        <v>523470</v>
      </c>
    </row>
    <row r="31" spans="2:68" ht="20" customHeight="1">
      <c r="B31" s="80">
        <f t="shared" si="26"/>
        <v>45957</v>
      </c>
      <c r="C31" s="81"/>
      <c r="D31" s="52"/>
      <c r="E31" s="53">
        <v>27</v>
      </c>
      <c r="F31" s="54">
        <v>126390</v>
      </c>
      <c r="G31" s="55">
        <f t="shared" si="0"/>
        <v>4255.5555555555557</v>
      </c>
      <c r="H31" s="54">
        <v>22650</v>
      </c>
      <c r="I31" s="55">
        <f t="shared" si="27"/>
        <v>762.59259259259261</v>
      </c>
      <c r="J31" s="57">
        <f t="shared" si="1"/>
        <v>149040</v>
      </c>
      <c r="K31" s="58">
        <f t="shared" si="2"/>
        <v>5520</v>
      </c>
      <c r="L31" s="59"/>
      <c r="M31" s="60">
        <f t="shared" si="3"/>
        <v>28</v>
      </c>
      <c r="N31" s="61">
        <f t="shared" si="3"/>
        <v>274740</v>
      </c>
      <c r="O31" s="55">
        <f t="shared" si="4"/>
        <v>8920.1071428571431</v>
      </c>
      <c r="P31" s="61">
        <f t="shared" si="5"/>
        <v>77100</v>
      </c>
      <c r="Q31" s="55">
        <f t="shared" si="6"/>
        <v>2503.2142857142858</v>
      </c>
      <c r="R31" s="62">
        <f t="shared" si="7"/>
        <v>351840</v>
      </c>
      <c r="S31" s="58">
        <f t="shared" si="8"/>
        <v>12565.714285714286</v>
      </c>
      <c r="T31" s="82">
        <f t="shared" si="9"/>
        <v>55</v>
      </c>
      <c r="U31" s="61">
        <f t="shared" si="9"/>
        <v>401130</v>
      </c>
      <c r="V31" s="61">
        <f t="shared" si="10"/>
        <v>99750</v>
      </c>
      <c r="W31" s="64">
        <f t="shared" si="11"/>
        <v>500880</v>
      </c>
      <c r="X31" s="83"/>
      <c r="Y31" s="65"/>
      <c r="Z31" s="66">
        <v>0</v>
      </c>
      <c r="AA31" s="66"/>
      <c r="AB31" s="54"/>
      <c r="AC31" s="55" t="e">
        <f t="shared" si="12"/>
        <v>#DIV/0!</v>
      </c>
      <c r="AD31" s="54"/>
      <c r="AE31" s="56" t="e">
        <f t="shared" si="13"/>
        <v>#DIV/0!</v>
      </c>
      <c r="AF31" s="67">
        <f t="shared" si="14"/>
        <v>0</v>
      </c>
      <c r="AG31" s="58" t="e">
        <f t="shared" si="15"/>
        <v>#DIV/0!</v>
      </c>
      <c r="AH31" s="68"/>
      <c r="AI31" s="66"/>
      <c r="AJ31" s="54"/>
      <c r="AK31" s="55" t="e">
        <f t="shared" si="16"/>
        <v>#DIV/0!</v>
      </c>
      <c r="AL31" s="54"/>
      <c r="AM31" s="56" t="e">
        <f t="shared" si="17"/>
        <v>#DIV/0!</v>
      </c>
      <c r="AN31" s="67">
        <f t="shared" si="28"/>
        <v>0</v>
      </c>
      <c r="AO31" s="69" t="str">
        <f t="shared" si="18"/>
        <v/>
      </c>
      <c r="AP31" s="70"/>
      <c r="AQ31" s="66"/>
      <c r="AR31" s="54"/>
      <c r="AS31" s="55" t="e">
        <f t="shared" si="19"/>
        <v>#DIV/0!</v>
      </c>
      <c r="AT31" s="54"/>
      <c r="AU31" s="56" t="e">
        <f t="shared" si="20"/>
        <v>#DIV/0!</v>
      </c>
      <c r="AV31" s="56"/>
      <c r="AW31" s="56"/>
      <c r="AX31" s="71">
        <f>AR31+AT31+AV31+AW31-BP31</f>
        <v>0</v>
      </c>
      <c r="AY31" s="69" t="str">
        <f t="shared" si="21"/>
        <v/>
      </c>
      <c r="AZ31" s="84">
        <f t="shared" si="22"/>
        <v>55</v>
      </c>
      <c r="BA31" s="61">
        <f t="shared" si="23"/>
        <v>401130</v>
      </c>
      <c r="BB31" s="61">
        <f t="shared" si="24"/>
        <v>99750</v>
      </c>
      <c r="BC31" s="73">
        <f>W31+AF31+AN31+AX31-BO31</f>
        <v>500880</v>
      </c>
      <c r="BD31" s="74">
        <f t="shared" ref="BD31:BD34" si="35">BH31+BI31</f>
        <v>6050</v>
      </c>
      <c r="BE31" s="75">
        <v>55</v>
      </c>
      <c r="BF31" s="76">
        <v>401130</v>
      </c>
      <c r="BG31" s="76">
        <v>99750</v>
      </c>
      <c r="BH31" s="77">
        <v>4950</v>
      </c>
      <c r="BI31" s="77">
        <v>1100</v>
      </c>
      <c r="BJ31" s="77"/>
      <c r="BK31" s="77">
        <v>19800</v>
      </c>
      <c r="BL31" s="78">
        <f t="shared" si="29"/>
        <v>506930</v>
      </c>
      <c r="BM31" s="49">
        <v>27</v>
      </c>
      <c r="BN31" s="79">
        <f t="shared" si="25"/>
        <v>526730</v>
      </c>
    </row>
    <row r="32" spans="2:68" ht="20" customHeight="1">
      <c r="B32" s="80">
        <f t="shared" si="26"/>
        <v>45958</v>
      </c>
      <c r="C32" s="81"/>
      <c r="D32" s="52"/>
      <c r="E32" s="53">
        <v>23</v>
      </c>
      <c r="F32" s="54">
        <v>83600</v>
      </c>
      <c r="G32" s="55">
        <f t="shared" si="0"/>
        <v>3304.3478260869565</v>
      </c>
      <c r="H32" s="54">
        <v>15750</v>
      </c>
      <c r="I32" s="55">
        <f t="shared" si="27"/>
        <v>622.52173913043475</v>
      </c>
      <c r="J32" s="57">
        <f t="shared" si="1"/>
        <v>99350</v>
      </c>
      <c r="K32" s="58">
        <f t="shared" si="2"/>
        <v>4319.565217391304</v>
      </c>
      <c r="L32" s="59"/>
      <c r="M32" s="60">
        <f t="shared" si="3"/>
        <v>33</v>
      </c>
      <c r="N32" s="61">
        <f t="shared" si="3"/>
        <v>220220</v>
      </c>
      <c r="O32" s="55">
        <f t="shared" si="4"/>
        <v>6066.666666666667</v>
      </c>
      <c r="P32" s="61">
        <f t="shared" si="5"/>
        <v>83390</v>
      </c>
      <c r="Q32" s="55">
        <f t="shared" si="6"/>
        <v>2297.242424242424</v>
      </c>
      <c r="R32" s="62">
        <f t="shared" si="7"/>
        <v>303610</v>
      </c>
      <c r="S32" s="58">
        <f t="shared" si="8"/>
        <v>9200.30303030303</v>
      </c>
      <c r="T32" s="82">
        <f t="shared" si="9"/>
        <v>56</v>
      </c>
      <c r="U32" s="61">
        <f t="shared" si="9"/>
        <v>303820</v>
      </c>
      <c r="V32" s="61">
        <f t="shared" si="10"/>
        <v>99140</v>
      </c>
      <c r="W32" s="64">
        <f t="shared" si="11"/>
        <v>402960</v>
      </c>
      <c r="X32" s="83"/>
      <c r="Y32" s="65"/>
      <c r="Z32" s="66">
        <v>0</v>
      </c>
      <c r="AA32" s="66"/>
      <c r="AB32" s="54"/>
      <c r="AC32" s="55" t="e">
        <f t="shared" si="12"/>
        <v>#DIV/0!</v>
      </c>
      <c r="AD32" s="54"/>
      <c r="AE32" s="56" t="e">
        <f t="shared" si="13"/>
        <v>#DIV/0!</v>
      </c>
      <c r="AF32" s="67">
        <f t="shared" si="14"/>
        <v>0</v>
      </c>
      <c r="AG32" s="58" t="e">
        <f t="shared" si="15"/>
        <v>#DIV/0!</v>
      </c>
      <c r="AH32" s="68"/>
      <c r="AI32" s="66">
        <v>18</v>
      </c>
      <c r="AJ32" s="54">
        <v>70470</v>
      </c>
      <c r="AK32" s="55">
        <f t="shared" si="16"/>
        <v>3915</v>
      </c>
      <c r="AL32" s="54">
        <v>23490</v>
      </c>
      <c r="AM32" s="56">
        <f t="shared" si="17"/>
        <v>1305</v>
      </c>
      <c r="AN32" s="67">
        <f t="shared" si="28"/>
        <v>93960</v>
      </c>
      <c r="AO32" s="69">
        <f t="shared" si="18"/>
        <v>5220</v>
      </c>
      <c r="AP32" s="70"/>
      <c r="AQ32" s="66"/>
      <c r="AR32" s="54"/>
      <c r="AS32" s="55" t="e">
        <f t="shared" si="19"/>
        <v>#DIV/0!</v>
      </c>
      <c r="AT32" s="54"/>
      <c r="AU32" s="56" t="e">
        <f t="shared" si="20"/>
        <v>#DIV/0!</v>
      </c>
      <c r="AV32" s="56"/>
      <c r="AW32" s="56"/>
      <c r="AX32" s="71">
        <f t="shared" ref="AX32" si="36">AR32+AT32+AV32+AW32</f>
        <v>0</v>
      </c>
      <c r="AY32" s="69" t="str">
        <f t="shared" si="21"/>
        <v/>
      </c>
      <c r="AZ32" s="84">
        <f t="shared" si="22"/>
        <v>56</v>
      </c>
      <c r="BA32" s="61">
        <f>U32+AB32+AJ32+AR32</f>
        <v>374290</v>
      </c>
      <c r="BB32" s="61">
        <f t="shared" si="24"/>
        <v>122630</v>
      </c>
      <c r="BC32" s="73">
        <f>W32+AF32+AN32+AX32-BO32</f>
        <v>496920</v>
      </c>
      <c r="BD32" s="74">
        <f>BH32+BI32</f>
        <v>2200</v>
      </c>
      <c r="BE32" s="75">
        <v>56</v>
      </c>
      <c r="BF32" s="76">
        <v>303820</v>
      </c>
      <c r="BG32" s="76">
        <v>99140</v>
      </c>
      <c r="BH32" s="77">
        <v>2200</v>
      </c>
      <c r="BI32" s="77"/>
      <c r="BJ32" s="77"/>
      <c r="BK32" s="77"/>
      <c r="BL32" s="78">
        <f>SUM(BF32:BI32)</f>
        <v>405160</v>
      </c>
      <c r="BM32" s="49">
        <v>28</v>
      </c>
    </row>
    <row r="33" spans="2:66" ht="20" customHeight="1">
      <c r="B33" s="80">
        <f t="shared" si="26"/>
        <v>45959</v>
      </c>
      <c r="C33" s="81"/>
      <c r="D33" s="52"/>
      <c r="E33" s="53">
        <v>31</v>
      </c>
      <c r="F33" s="54">
        <v>123970</v>
      </c>
      <c r="G33" s="55">
        <f t="shared" si="0"/>
        <v>3635.483870967742</v>
      </c>
      <c r="H33" s="54">
        <v>20590</v>
      </c>
      <c r="I33" s="55">
        <f t="shared" si="27"/>
        <v>603.80645161290317</v>
      </c>
      <c r="J33" s="57">
        <f t="shared" si="1"/>
        <v>144560</v>
      </c>
      <c r="K33" s="58">
        <f t="shared" si="2"/>
        <v>4663.2258064516127</v>
      </c>
      <c r="L33" s="59"/>
      <c r="M33" s="60">
        <f t="shared" si="3"/>
        <v>24</v>
      </c>
      <c r="N33" s="61">
        <f t="shared" si="3"/>
        <v>198440</v>
      </c>
      <c r="O33" s="55">
        <f t="shared" si="4"/>
        <v>7516.666666666667</v>
      </c>
      <c r="P33" s="61">
        <f t="shared" si="5"/>
        <v>72860</v>
      </c>
      <c r="Q33" s="55">
        <f t="shared" si="6"/>
        <v>2759.8333333333335</v>
      </c>
      <c r="R33" s="62">
        <f t="shared" si="7"/>
        <v>271300</v>
      </c>
      <c r="S33" s="58">
        <f t="shared" si="8"/>
        <v>11304.166666666666</v>
      </c>
      <c r="T33" s="82">
        <f t="shared" si="9"/>
        <v>55</v>
      </c>
      <c r="U33" s="61">
        <f t="shared" si="9"/>
        <v>322410</v>
      </c>
      <c r="V33" s="61">
        <f t="shared" si="10"/>
        <v>93450</v>
      </c>
      <c r="W33" s="64">
        <f>J33+R33</f>
        <v>415860</v>
      </c>
      <c r="X33" s="83"/>
      <c r="Y33" s="65"/>
      <c r="Z33" s="66">
        <v>0</v>
      </c>
      <c r="AA33" s="66"/>
      <c r="AB33" s="54"/>
      <c r="AC33" s="55" t="e">
        <f t="shared" si="12"/>
        <v>#DIV/0!</v>
      </c>
      <c r="AD33" s="54"/>
      <c r="AE33" s="56" t="e">
        <f t="shared" si="13"/>
        <v>#DIV/0!</v>
      </c>
      <c r="AF33" s="67">
        <f t="shared" si="14"/>
        <v>0</v>
      </c>
      <c r="AG33" s="58" t="e">
        <f t="shared" si="15"/>
        <v>#DIV/0!</v>
      </c>
      <c r="AH33" s="68"/>
      <c r="AI33" s="66"/>
      <c r="AJ33" s="54"/>
      <c r="AK33" s="55" t="e">
        <f t="shared" si="16"/>
        <v>#DIV/0!</v>
      </c>
      <c r="AL33" s="54"/>
      <c r="AM33" s="56" t="e">
        <f t="shared" si="17"/>
        <v>#DIV/0!</v>
      </c>
      <c r="AN33" s="67">
        <f t="shared" si="28"/>
        <v>0</v>
      </c>
      <c r="AO33" s="69" t="str">
        <f t="shared" si="18"/>
        <v/>
      </c>
      <c r="AP33" s="70"/>
      <c r="AQ33" s="66"/>
      <c r="AR33" s="54"/>
      <c r="AS33" s="55" t="e">
        <f t="shared" si="19"/>
        <v>#DIV/0!</v>
      </c>
      <c r="AT33" s="54"/>
      <c r="AU33" s="56" t="e">
        <f t="shared" si="20"/>
        <v>#DIV/0!</v>
      </c>
      <c r="AV33" s="56"/>
      <c r="AW33" s="56"/>
      <c r="AX33" s="71">
        <f>AR33+AT33+AV33+AW33-BP33</f>
        <v>0</v>
      </c>
      <c r="AY33" s="69" t="str">
        <f t="shared" si="21"/>
        <v/>
      </c>
      <c r="AZ33" s="84">
        <f t="shared" si="22"/>
        <v>55</v>
      </c>
      <c r="BA33" s="61">
        <f t="shared" si="23"/>
        <v>322410</v>
      </c>
      <c r="BB33" s="61">
        <f t="shared" si="24"/>
        <v>93450</v>
      </c>
      <c r="BC33" s="73">
        <f>W33+AF33+AN33+AX33-BO33</f>
        <v>415860</v>
      </c>
      <c r="BD33" s="74">
        <f t="shared" si="35"/>
        <v>3300</v>
      </c>
      <c r="BE33" s="75">
        <v>55</v>
      </c>
      <c r="BF33" s="76">
        <v>322410</v>
      </c>
      <c r="BG33" s="76">
        <v>93450</v>
      </c>
      <c r="BH33" s="77">
        <v>3300</v>
      </c>
      <c r="BI33" s="77"/>
      <c r="BJ33" s="77"/>
      <c r="BK33" s="77"/>
      <c r="BL33" s="78">
        <f t="shared" si="29"/>
        <v>419160</v>
      </c>
      <c r="BM33" s="49">
        <v>29</v>
      </c>
      <c r="BN33" s="79">
        <f t="shared" si="25"/>
        <v>419160</v>
      </c>
    </row>
    <row r="34" spans="2:66" ht="20" customHeight="1">
      <c r="B34" s="80">
        <f t="shared" si="26"/>
        <v>45960</v>
      </c>
      <c r="C34" s="81"/>
      <c r="D34" s="52"/>
      <c r="E34" s="53">
        <v>20</v>
      </c>
      <c r="F34" s="54">
        <v>89870</v>
      </c>
      <c r="G34" s="55">
        <f t="shared" si="0"/>
        <v>4085</v>
      </c>
      <c r="H34" s="54">
        <v>10590</v>
      </c>
      <c r="I34" s="55">
        <f t="shared" si="27"/>
        <v>481.35</v>
      </c>
      <c r="J34" s="57">
        <f t="shared" si="1"/>
        <v>100460</v>
      </c>
      <c r="K34" s="58">
        <f t="shared" si="2"/>
        <v>5023</v>
      </c>
      <c r="L34" s="59"/>
      <c r="M34" s="60">
        <f t="shared" si="3"/>
        <v>8</v>
      </c>
      <c r="N34" s="61">
        <f t="shared" si="3"/>
        <v>67760</v>
      </c>
      <c r="O34" s="55">
        <f t="shared" si="4"/>
        <v>7700</v>
      </c>
      <c r="P34" s="61">
        <f t="shared" si="5"/>
        <v>16300</v>
      </c>
      <c r="Q34" s="55">
        <f t="shared" si="6"/>
        <v>1852.25</v>
      </c>
      <c r="R34" s="62">
        <f t="shared" si="7"/>
        <v>84060</v>
      </c>
      <c r="S34" s="58">
        <f t="shared" si="8"/>
        <v>10507.5</v>
      </c>
      <c r="T34" s="82">
        <f t="shared" si="9"/>
        <v>28</v>
      </c>
      <c r="U34" s="61">
        <f t="shared" si="9"/>
        <v>157630</v>
      </c>
      <c r="V34" s="61">
        <f t="shared" si="10"/>
        <v>26890</v>
      </c>
      <c r="W34" s="64">
        <f t="shared" si="11"/>
        <v>184520</v>
      </c>
      <c r="X34" s="83"/>
      <c r="Y34" s="88"/>
      <c r="Z34" s="89">
        <v>1</v>
      </c>
      <c r="AA34" s="89"/>
      <c r="AB34" s="90">
        <v>2500</v>
      </c>
      <c r="AC34" s="55">
        <f t="shared" si="12"/>
        <v>2500</v>
      </c>
      <c r="AD34" s="90">
        <v>250</v>
      </c>
      <c r="AE34" s="56">
        <f t="shared" si="13"/>
        <v>250</v>
      </c>
      <c r="AF34" s="67">
        <f t="shared" si="14"/>
        <v>2750</v>
      </c>
      <c r="AG34" s="58">
        <f t="shared" si="15"/>
        <v>2750</v>
      </c>
      <c r="AH34" s="68"/>
      <c r="AI34" s="66">
        <v>15</v>
      </c>
      <c r="AJ34" s="54">
        <v>58725</v>
      </c>
      <c r="AK34" s="55">
        <f t="shared" si="16"/>
        <v>3915</v>
      </c>
      <c r="AL34" s="54">
        <v>19575</v>
      </c>
      <c r="AM34" s="56">
        <f t="shared" si="17"/>
        <v>1305</v>
      </c>
      <c r="AN34" s="67">
        <f t="shared" si="28"/>
        <v>78300</v>
      </c>
      <c r="AO34" s="69">
        <f t="shared" si="18"/>
        <v>5220</v>
      </c>
      <c r="AP34" s="70"/>
      <c r="AQ34" s="89"/>
      <c r="AR34" s="90"/>
      <c r="AS34" s="55" t="e">
        <f t="shared" si="19"/>
        <v>#DIV/0!</v>
      </c>
      <c r="AT34" s="90"/>
      <c r="AU34" s="56" t="e">
        <f t="shared" si="20"/>
        <v>#DIV/0!</v>
      </c>
      <c r="AV34" s="56"/>
      <c r="AW34" s="56"/>
      <c r="AX34" s="71">
        <f>AR34+AT34+AV34+AW34</f>
        <v>0</v>
      </c>
      <c r="AY34" s="69" t="str">
        <f t="shared" si="21"/>
        <v/>
      </c>
      <c r="AZ34" s="84">
        <f t="shared" si="22"/>
        <v>28</v>
      </c>
      <c r="BA34" s="61">
        <f t="shared" si="23"/>
        <v>218855</v>
      </c>
      <c r="BB34" s="61">
        <f t="shared" si="24"/>
        <v>46715</v>
      </c>
      <c r="BC34" s="73">
        <f>W34+AF34+AN34+AX34</f>
        <v>265570</v>
      </c>
      <c r="BD34" s="74">
        <f t="shared" si="35"/>
        <v>0</v>
      </c>
      <c r="BE34" s="75">
        <v>28</v>
      </c>
      <c r="BF34" s="76">
        <v>157630</v>
      </c>
      <c r="BG34" s="76">
        <v>26890</v>
      </c>
      <c r="BH34" s="77"/>
      <c r="BI34" s="77"/>
      <c r="BJ34" s="77"/>
      <c r="BK34" s="77"/>
      <c r="BL34" s="78">
        <f t="shared" si="29"/>
        <v>184520</v>
      </c>
      <c r="BM34" s="49">
        <v>30</v>
      </c>
      <c r="BN34" s="79">
        <f t="shared" si="25"/>
        <v>184520</v>
      </c>
    </row>
    <row r="35" spans="2:66" ht="20" customHeight="1" thickBot="1">
      <c r="B35" s="80">
        <f t="shared" si="26"/>
        <v>45961</v>
      </c>
      <c r="C35" s="81"/>
      <c r="D35" s="52"/>
      <c r="E35" s="53">
        <v>31</v>
      </c>
      <c r="F35" s="54">
        <v>124850</v>
      </c>
      <c r="G35" s="55">
        <f t="shared" si="0"/>
        <v>3661.2903225806454</v>
      </c>
      <c r="H35" s="54">
        <v>36540</v>
      </c>
      <c r="I35" s="55">
        <f t="shared" si="27"/>
        <v>1071.5483870967741</v>
      </c>
      <c r="J35" s="57">
        <f t="shared" si="1"/>
        <v>161390</v>
      </c>
      <c r="K35" s="58">
        <f t="shared" si="2"/>
        <v>5206.1290322580644</v>
      </c>
      <c r="L35" s="59"/>
      <c r="M35" s="91">
        <f t="shared" si="3"/>
        <v>31</v>
      </c>
      <c r="N35" s="61">
        <f t="shared" si="3"/>
        <v>299470</v>
      </c>
      <c r="O35" s="55">
        <f t="shared" si="4"/>
        <v>8782.0967741935492</v>
      </c>
      <c r="P35" s="61">
        <f t="shared" si="5"/>
        <v>61400</v>
      </c>
      <c r="Q35" s="55">
        <f t="shared" si="6"/>
        <v>1800.5806451612902</v>
      </c>
      <c r="R35" s="62">
        <f t="shared" si="7"/>
        <v>360870</v>
      </c>
      <c r="S35" s="58">
        <f t="shared" si="8"/>
        <v>11640.967741935483</v>
      </c>
      <c r="T35" s="92">
        <f t="shared" si="9"/>
        <v>62</v>
      </c>
      <c r="U35" s="93">
        <f t="shared" si="9"/>
        <v>424320</v>
      </c>
      <c r="V35" s="93">
        <f t="shared" si="10"/>
        <v>97940</v>
      </c>
      <c r="W35" s="94">
        <f t="shared" si="11"/>
        <v>522260</v>
      </c>
      <c r="X35" s="93"/>
      <c r="Y35" s="95"/>
      <c r="Z35" s="96">
        <v>2</v>
      </c>
      <c r="AA35" s="96"/>
      <c r="AB35" s="97">
        <v>5000</v>
      </c>
      <c r="AC35" s="98">
        <f t="shared" si="12"/>
        <v>2500</v>
      </c>
      <c r="AD35" s="97">
        <v>500</v>
      </c>
      <c r="AE35" s="99">
        <f t="shared" si="13"/>
        <v>250</v>
      </c>
      <c r="AF35" s="100">
        <f t="shared" si="14"/>
        <v>5500</v>
      </c>
      <c r="AG35" s="58">
        <f t="shared" si="15"/>
        <v>2750</v>
      </c>
      <c r="AH35" s="101"/>
      <c r="AI35" s="96">
        <v>25</v>
      </c>
      <c r="AJ35" s="97">
        <v>141375</v>
      </c>
      <c r="AK35" s="98">
        <f t="shared" si="16"/>
        <v>5655</v>
      </c>
      <c r="AL35" s="97">
        <v>32625</v>
      </c>
      <c r="AM35" s="99">
        <f t="shared" si="17"/>
        <v>1305</v>
      </c>
      <c r="AN35" s="67">
        <f t="shared" si="28"/>
        <v>174000</v>
      </c>
      <c r="AO35" s="69">
        <f t="shared" si="18"/>
        <v>6960</v>
      </c>
      <c r="AP35" s="102"/>
      <c r="AQ35" s="96"/>
      <c r="AR35" s="97"/>
      <c r="AS35" s="98" t="e">
        <f t="shared" si="19"/>
        <v>#DIV/0!</v>
      </c>
      <c r="AT35" s="97"/>
      <c r="AU35" s="99" t="e">
        <f t="shared" si="20"/>
        <v>#DIV/0!</v>
      </c>
      <c r="AV35" s="99"/>
      <c r="AW35" s="56"/>
      <c r="AX35" s="71">
        <f t="shared" si="34"/>
        <v>0</v>
      </c>
      <c r="AY35" s="69" t="str">
        <f t="shared" si="21"/>
        <v/>
      </c>
      <c r="AZ35" s="103">
        <f t="shared" si="22"/>
        <v>62</v>
      </c>
      <c r="BA35" s="61">
        <f t="shared" si="23"/>
        <v>570695</v>
      </c>
      <c r="BB35" s="61">
        <f t="shared" si="24"/>
        <v>131065</v>
      </c>
      <c r="BC35" s="73">
        <f>W35+AF35+AN35+AX35</f>
        <v>701760</v>
      </c>
      <c r="BD35" s="74">
        <f t="shared" si="30"/>
        <v>2200</v>
      </c>
      <c r="BE35" s="104">
        <v>62</v>
      </c>
      <c r="BF35" s="105">
        <v>424320</v>
      </c>
      <c r="BG35" s="105">
        <v>97940</v>
      </c>
      <c r="BH35" s="106">
        <v>2200</v>
      </c>
      <c r="BI35" s="106"/>
      <c r="BJ35" s="106"/>
      <c r="BK35" s="106"/>
      <c r="BL35" s="78">
        <f t="shared" si="29"/>
        <v>524460</v>
      </c>
      <c r="BM35" s="49">
        <v>31</v>
      </c>
      <c r="BN35" s="79">
        <f t="shared" si="25"/>
        <v>524460</v>
      </c>
    </row>
    <row r="36" spans="2:66" s="129" customFormat="1" ht="20" customHeight="1" thickTop="1">
      <c r="B36" s="107" t="s">
        <v>27</v>
      </c>
      <c r="C36" s="108">
        <f>SUM(C5:C35)</f>
        <v>0</v>
      </c>
      <c r="D36" s="109">
        <f>SUM(D5:D35)</f>
        <v>0</v>
      </c>
      <c r="E36" s="110">
        <f>SUM(E5:E35)</f>
        <v>858</v>
      </c>
      <c r="F36" s="111">
        <f>SUM(F5:F35)</f>
        <v>3627520</v>
      </c>
      <c r="G36" s="112">
        <f>F36/E36</f>
        <v>4227.878787878788</v>
      </c>
      <c r="H36" s="108">
        <f>SUM(H5:H35)</f>
        <v>607160</v>
      </c>
      <c r="I36" s="113">
        <f>H36/E36</f>
        <v>707.64568764568764</v>
      </c>
      <c r="J36" s="114">
        <f>SUM(J5:J35)</f>
        <v>4234680</v>
      </c>
      <c r="K36" s="115">
        <f>J36/E36</f>
        <v>4935.5244755244757</v>
      </c>
      <c r="L36" s="116">
        <f>SUM(L5:L35)</f>
        <v>0</v>
      </c>
      <c r="M36" s="110">
        <f>SUM(M5:M35)</f>
        <v>816</v>
      </c>
      <c r="N36" s="111">
        <f>SUM(N5:N35)</f>
        <v>7506690</v>
      </c>
      <c r="O36" s="112">
        <f>N36/M36</f>
        <v>9199.375</v>
      </c>
      <c r="P36" s="117">
        <f>SUM(P5:P35)</f>
        <v>2052660</v>
      </c>
      <c r="Q36" s="113">
        <f>P36/M36</f>
        <v>2515.5147058823532</v>
      </c>
      <c r="R36" s="118">
        <f>SUM(R5:R35)</f>
        <v>9559350</v>
      </c>
      <c r="S36" s="119">
        <f>R36/M36</f>
        <v>11714.889705882353</v>
      </c>
      <c r="T36" s="110">
        <f t="shared" ref="T36:AB36" si="37">SUM(T5:T35)</f>
        <v>1674</v>
      </c>
      <c r="U36" s="117">
        <f t="shared" si="37"/>
        <v>11134210</v>
      </c>
      <c r="V36" s="117">
        <f t="shared" si="37"/>
        <v>2659820</v>
      </c>
      <c r="W36" s="114">
        <f>SUM(W5:W35)</f>
        <v>13794030</v>
      </c>
      <c r="X36" s="120">
        <f t="shared" si="37"/>
        <v>0</v>
      </c>
      <c r="Y36" s="109">
        <f t="shared" si="37"/>
        <v>0</v>
      </c>
      <c r="Z36" s="110">
        <f t="shared" si="37"/>
        <v>35</v>
      </c>
      <c r="AA36" s="121"/>
      <c r="AB36" s="112">
        <f t="shared" si="37"/>
        <v>65000</v>
      </c>
      <c r="AC36" s="112">
        <f>AB36/Z36</f>
        <v>1857.1428571428571</v>
      </c>
      <c r="AD36" s="108">
        <f>SUM(AD5:AD35)</f>
        <v>14750</v>
      </c>
      <c r="AE36" s="113">
        <f>AD36/Z36</f>
        <v>421.42857142857144</v>
      </c>
      <c r="AF36" s="118">
        <f>SUM(AF5:AF35)</f>
        <v>79750</v>
      </c>
      <c r="AG36" s="122">
        <f>AF36/Z36</f>
        <v>2278.5714285714284</v>
      </c>
      <c r="AH36" s="123">
        <f t="shared" ref="AH36:AJ36" si="38">SUM(AH5:AH35)</f>
        <v>0</v>
      </c>
      <c r="AI36" s="110">
        <f t="shared" si="38"/>
        <v>438</v>
      </c>
      <c r="AJ36" s="112">
        <f t="shared" si="38"/>
        <v>1696065</v>
      </c>
      <c r="AK36" s="112"/>
      <c r="AL36" s="108">
        <f>SUM(AL5:AL35)</f>
        <v>605085</v>
      </c>
      <c r="AM36" s="113"/>
      <c r="AN36" s="118">
        <f>SUM(AN5:AN35)</f>
        <v>2301150</v>
      </c>
      <c r="AO36" s="124">
        <f>AN36/AI36</f>
        <v>5253.767123287671</v>
      </c>
      <c r="AP36" s="125">
        <f t="shared" ref="AP36:AR36" si="39">SUM(AP5:AP35)</f>
        <v>0</v>
      </c>
      <c r="AQ36" s="110">
        <f t="shared" si="39"/>
        <v>274</v>
      </c>
      <c r="AR36" s="112">
        <f t="shared" si="39"/>
        <v>245900</v>
      </c>
      <c r="AS36" s="112"/>
      <c r="AT36" s="108">
        <f>SUM(AT5:AT35)</f>
        <v>191550</v>
      </c>
      <c r="AU36" s="113"/>
      <c r="AV36" s="108">
        <f>SUM(AV5:AV35)</f>
        <v>0</v>
      </c>
      <c r="AW36" s="108">
        <f>SUM(AW5:AW35)</f>
        <v>0</v>
      </c>
      <c r="AX36" s="118">
        <f>SUM(AX5:AX35)</f>
        <v>437450</v>
      </c>
      <c r="AY36" s="124">
        <f>AX36/AQ36</f>
        <v>1596.5328467153286</v>
      </c>
      <c r="AZ36" s="121">
        <f t="shared" ref="AZ36:BL36" si="40">SUM(AZ5:AZ35)</f>
        <v>1674</v>
      </c>
      <c r="BA36" s="117">
        <f t="shared" si="40"/>
        <v>13141175</v>
      </c>
      <c r="BB36" s="117">
        <f t="shared" si="40"/>
        <v>3471205</v>
      </c>
      <c r="BC36" s="118">
        <f>SUM(BC5:BC35)</f>
        <v>16605912</v>
      </c>
      <c r="BD36" s="126">
        <f>SUM(BD5:BD35)</f>
        <v>146850</v>
      </c>
      <c r="BE36" s="127">
        <f t="shared" si="40"/>
        <v>1672</v>
      </c>
      <c r="BF36" s="127">
        <f t="shared" si="40"/>
        <v>11134210</v>
      </c>
      <c r="BG36" s="127">
        <f t="shared" si="40"/>
        <v>2659820</v>
      </c>
      <c r="BH36" s="127">
        <f t="shared" si="40"/>
        <v>145750</v>
      </c>
      <c r="BI36" s="127">
        <f t="shared" si="40"/>
        <v>1100</v>
      </c>
      <c r="BJ36" s="127">
        <f t="shared" si="40"/>
        <v>9900</v>
      </c>
      <c r="BK36" s="127">
        <f t="shared" si="40"/>
        <v>60060</v>
      </c>
      <c r="BL36" s="128">
        <f t="shared" si="40"/>
        <v>13940880</v>
      </c>
      <c r="BN36" s="130">
        <f>SUM(BN5:BN35)</f>
        <v>13595780</v>
      </c>
    </row>
    <row r="37" spans="2:66" s="129" customFormat="1" ht="18">
      <c r="B37" s="131"/>
      <c r="E37" s="132" t="s">
        <v>40</v>
      </c>
      <c r="F37" s="133">
        <f>F36/1.1</f>
        <v>3297745.4545454541</v>
      </c>
      <c r="G37" s="134">
        <f>F37/E36</f>
        <v>3843.5261707988975</v>
      </c>
      <c r="H37" s="135">
        <f>H36/1.1</f>
        <v>551963.63636363635</v>
      </c>
      <c r="I37" s="134">
        <f>H37/E36</f>
        <v>643.31426149607967</v>
      </c>
      <c r="J37" s="136">
        <f>J36/1.1</f>
        <v>3849709.0909090908</v>
      </c>
      <c r="K37" s="137">
        <f>G37+I37</f>
        <v>4486.8404322949773</v>
      </c>
      <c r="L37" s="138"/>
      <c r="M37" s="132" t="s">
        <v>40</v>
      </c>
      <c r="N37" s="133">
        <f>N36/1.1</f>
        <v>6824263.6363636358</v>
      </c>
      <c r="O37" s="134">
        <f>N37/M36</f>
        <v>8363.068181818182</v>
      </c>
      <c r="P37" s="135">
        <f>P36/1.1</f>
        <v>1866054.5454545454</v>
      </c>
      <c r="Q37" s="134">
        <f>P37/M36</f>
        <v>2286.8315508021392</v>
      </c>
      <c r="R37" s="134">
        <f>R36/1.1</f>
        <v>8690318.1818181816</v>
      </c>
      <c r="S37" s="139">
        <f>R37/M36</f>
        <v>10649.899732620321</v>
      </c>
      <c r="T37" s="132" t="s">
        <v>40</v>
      </c>
      <c r="U37" s="133">
        <f>U36/1.1</f>
        <v>10122009.09090909</v>
      </c>
      <c r="V37" s="133">
        <f>V36/1.1</f>
        <v>2418018.1818181816</v>
      </c>
      <c r="W37" s="136">
        <f>W36/1.1</f>
        <v>12540027.272727272</v>
      </c>
      <c r="X37" s="140"/>
      <c r="Y37" s="138"/>
      <c r="Z37" s="132" t="s">
        <v>40</v>
      </c>
      <c r="AA37" s="132"/>
      <c r="AB37" s="133">
        <f>AB36/1.1</f>
        <v>59090.909090909088</v>
      </c>
      <c r="AC37" s="135">
        <f>AB37/Z36</f>
        <v>1688.3116883116882</v>
      </c>
      <c r="AD37" s="135">
        <f>AD36/1.1</f>
        <v>13409.090909090908</v>
      </c>
      <c r="AE37" s="135">
        <f>AD37/Z36</f>
        <v>383.11688311688312</v>
      </c>
      <c r="AF37" s="134">
        <f>AF36/1.1</f>
        <v>72500</v>
      </c>
      <c r="AG37" s="141">
        <f>AF37/Z36</f>
        <v>2071.4285714285716</v>
      </c>
      <c r="AH37" s="138"/>
      <c r="AI37" s="132" t="s">
        <v>40</v>
      </c>
      <c r="AJ37" s="133">
        <f>AJ36/1.1</f>
        <v>1541877.2727272727</v>
      </c>
      <c r="AK37" s="135">
        <f>AJ37/AI36</f>
        <v>3520.2677459526776</v>
      </c>
      <c r="AL37" s="135">
        <f>AL36/1.1</f>
        <v>550077.27272727271</v>
      </c>
      <c r="AM37" s="135">
        <f>AL37/AI36</f>
        <v>1255.8841843088419</v>
      </c>
      <c r="AN37" s="134">
        <f>AN36/1.1</f>
        <v>2091954.5454545452</v>
      </c>
      <c r="AO37" s="142" t="e">
        <f>AN37/AH36</f>
        <v>#DIV/0!</v>
      </c>
      <c r="AP37" s="138"/>
      <c r="AQ37" s="132" t="s">
        <v>40</v>
      </c>
      <c r="AR37" s="133">
        <f>AR36/1.1</f>
        <v>223545.45454545453</v>
      </c>
      <c r="AS37" s="135">
        <f>AR37/AQ36</f>
        <v>815.85932315859316</v>
      </c>
      <c r="AT37" s="135">
        <f>AT36/1.1</f>
        <v>174136.36363636362</v>
      </c>
      <c r="AU37" s="135">
        <f>AT37/AQ36</f>
        <v>635.53417385534169</v>
      </c>
      <c r="AV37" s="135">
        <f>AV36/1.1</f>
        <v>0</v>
      </c>
      <c r="AW37" s="135">
        <f>AW36/1.1</f>
        <v>0</v>
      </c>
      <c r="AX37" s="134">
        <f>AX36/1.1</f>
        <v>397681.81818181818</v>
      </c>
      <c r="AY37" s="142">
        <f>AX37/AQ36</f>
        <v>1451.3934970139348</v>
      </c>
      <c r="AZ37" s="143" t="s">
        <v>40</v>
      </c>
      <c r="BA37" s="133">
        <f>BA36/1.1</f>
        <v>11946522.727272727</v>
      </c>
      <c r="BB37" s="133">
        <f>BB36/1.1</f>
        <v>3155640.9090909087</v>
      </c>
      <c r="BC37" s="134">
        <f>BC36/1.1</f>
        <v>15096283.636363635</v>
      </c>
      <c r="BD37" s="144">
        <f>BD36/1.1</f>
        <v>133500</v>
      </c>
      <c r="BI37" s="145"/>
      <c r="BL37" s="146">
        <f>BL36/1.1</f>
        <v>12673527.272727272</v>
      </c>
      <c r="BN37" s="146"/>
    </row>
    <row r="38" spans="2:66">
      <c r="C38" s="49">
        <v>31</v>
      </c>
      <c r="E38" s="147" t="s">
        <v>41</v>
      </c>
      <c r="F38" s="148">
        <f>E36/G38</f>
        <v>27.677419354838708</v>
      </c>
      <c r="G38" s="149">
        <v>31</v>
      </c>
      <c r="H38" s="148"/>
      <c r="I38" s="148"/>
      <c r="J38" s="150" t="s">
        <v>42</v>
      </c>
      <c r="K38" s="151">
        <f>J37/G38</f>
        <v>124184.16422287389</v>
      </c>
      <c r="M38" s="147" t="s">
        <v>41</v>
      </c>
      <c r="N38" s="148">
        <f>M36/O38</f>
        <v>26.322580645161292</v>
      </c>
      <c r="O38" s="149">
        <f>G38</f>
        <v>31</v>
      </c>
      <c r="P38" s="148"/>
      <c r="Q38" s="148"/>
      <c r="R38" s="150" t="s">
        <v>42</v>
      </c>
      <c r="S38" s="152">
        <f>R37/O38</f>
        <v>280332.84457478003</v>
      </c>
      <c r="U38" s="153">
        <f>O38</f>
        <v>31</v>
      </c>
      <c r="W38" s="85">
        <f>W37/U38</f>
        <v>404517.00879765389</v>
      </c>
      <c r="X38" s="79"/>
      <c r="AB38" s="154">
        <f>G38</f>
        <v>31</v>
      </c>
      <c r="AC38" s="148"/>
      <c r="AD38" s="148"/>
      <c r="AE38" s="148"/>
      <c r="AF38" s="148"/>
      <c r="AG38" s="151">
        <f>AF37/AB38</f>
        <v>2338.7096774193546</v>
      </c>
      <c r="AJ38" s="154">
        <f>AB38</f>
        <v>31</v>
      </c>
      <c r="AK38" s="148"/>
      <c r="AL38" s="148"/>
      <c r="AM38" s="148"/>
      <c r="AN38" s="148"/>
      <c r="AO38" s="151">
        <f>AN37/AJ38</f>
        <v>67482.404692082098</v>
      </c>
      <c r="AR38" s="154">
        <f>G38</f>
        <v>31</v>
      </c>
      <c r="AS38" s="148"/>
      <c r="AT38" s="148"/>
      <c r="AU38" s="148"/>
      <c r="AV38" s="148"/>
      <c r="AW38" s="148"/>
      <c r="AX38" s="148"/>
      <c r="AY38" s="151">
        <f>AX37/AR38</f>
        <v>12828.445747800586</v>
      </c>
      <c r="BC38" s="85"/>
      <c r="BD38" s="79" t="e">
        <f>BC37/BE37</f>
        <v>#DIV/0!</v>
      </c>
      <c r="BE38" s="155">
        <f>AZ36+T36</f>
        <v>3348</v>
      </c>
      <c r="BI38" s="85"/>
    </row>
    <row r="39" spans="2:66">
      <c r="D39" s="156" t="s">
        <v>43</v>
      </c>
      <c r="E39" s="157"/>
      <c r="F39" s="148"/>
      <c r="G39" s="158"/>
      <c r="H39" s="148"/>
      <c r="I39" s="148"/>
      <c r="J39" s="150"/>
      <c r="K39" s="151"/>
      <c r="L39" s="159" t="s">
        <v>44</v>
      </c>
      <c r="M39" s="147"/>
      <c r="N39" s="148"/>
      <c r="O39" s="148"/>
      <c r="P39" s="148"/>
      <c r="Q39" s="148"/>
      <c r="R39" s="150"/>
      <c r="S39" s="151"/>
      <c r="V39" s="85">
        <f>V37/T36</f>
        <v>1444.4553057456283</v>
      </c>
      <c r="W39" s="85"/>
      <c r="X39" s="79"/>
      <c r="Y39" s="159" t="s">
        <v>45</v>
      </c>
      <c r="AB39" s="148"/>
      <c r="AC39" s="148"/>
      <c r="AD39" s="148"/>
      <c r="AE39" s="148"/>
      <c r="AF39" s="148"/>
      <c r="AG39" s="151"/>
      <c r="AH39" s="159" t="s">
        <v>46</v>
      </c>
      <c r="AJ39" s="148"/>
      <c r="AK39" s="148"/>
      <c r="AL39" s="148"/>
      <c r="AM39" s="148"/>
      <c r="AN39" s="148"/>
      <c r="AO39" s="151"/>
      <c r="AP39" s="159" t="s">
        <v>47</v>
      </c>
      <c r="AR39" s="148"/>
      <c r="AS39" s="148"/>
      <c r="AT39" s="148"/>
      <c r="AU39" s="148"/>
      <c r="AV39" s="148"/>
      <c r="AW39" s="148"/>
      <c r="AX39" s="148"/>
      <c r="AY39" s="151"/>
      <c r="BC39" s="79">
        <f>BC36+BD36</f>
        <v>16752762</v>
      </c>
      <c r="BD39" s="160">
        <f>BC39/G38</f>
        <v>540411.67741935479</v>
      </c>
      <c r="BE39" s="49" t="s">
        <v>48</v>
      </c>
      <c r="BI39" s="85"/>
    </row>
    <row r="40" spans="2:66" ht="21.5" customHeight="1">
      <c r="C40" s="159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49">
        <v>25</v>
      </c>
      <c r="W40" s="79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BC40" s="162">
        <f>BC37+BD37</f>
        <v>15229783.636363635</v>
      </c>
    </row>
    <row r="41" spans="2:66" ht="21.5" customHeight="1">
      <c r="C41" s="159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49">
        <v>15</v>
      </c>
      <c r="V41" s="49">
        <f>17+10+14+5+7+8+9+6</f>
        <v>76</v>
      </c>
      <c r="W41" s="85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BC41" s="79"/>
      <c r="BD41" s="160">
        <f>BC40/G38</f>
        <v>491283.34310850437</v>
      </c>
      <c r="BE41" s="49" t="s">
        <v>49</v>
      </c>
      <c r="BF41" s="49">
        <v>9</v>
      </c>
    </row>
    <row r="42" spans="2:66" ht="21.5" customHeight="1">
      <c r="C42" s="159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49">
        <v>13</v>
      </c>
      <c r="W42" s="79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BF42" s="49">
        <v>8</v>
      </c>
      <c r="BG42" s="85">
        <f>AT37</f>
        <v>174136.36363636362</v>
      </c>
    </row>
    <row r="43" spans="2:66" ht="21.5" customHeight="1">
      <c r="C43" s="159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49">
        <v>10</v>
      </c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BC43" s="85">
        <f>BC37+BD37</f>
        <v>15229783.636363635</v>
      </c>
      <c r="BD43" s="163" t="s">
        <v>50</v>
      </c>
      <c r="BF43" s="49">
        <v>7</v>
      </c>
      <c r="BG43" s="164">
        <f>'[1]2023(7)'!AS37</f>
        <v>15843636.363636361</v>
      </c>
      <c r="BH43" s="164">
        <v>6266320</v>
      </c>
      <c r="BI43" s="165">
        <f>BH43/BG43</f>
        <v>0.39551021344962134</v>
      </c>
    </row>
    <row r="44" spans="2:66" ht="21.5" customHeight="1">
      <c r="C44" s="159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49">
        <v>40</v>
      </c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BA44" s="129"/>
      <c r="BB44" s="166" t="s">
        <v>51</v>
      </c>
      <c r="BC44" s="146">
        <f>J45+R45+AF45+BD44+AN45+AX45</f>
        <v>11955374</v>
      </c>
      <c r="BD44" s="167">
        <v>90000</v>
      </c>
      <c r="BE44" s="129"/>
      <c r="BF44" s="49">
        <v>6</v>
      </c>
      <c r="BG44" s="164">
        <v>7119727</v>
      </c>
      <c r="BH44" s="164">
        <v>2680643</v>
      </c>
      <c r="BI44" s="165">
        <f t="shared" ref="BI44:BI45" si="41">BH44/BG44</f>
        <v>0.37650923975034434</v>
      </c>
      <c r="BJ44" s="49" t="s">
        <v>52</v>
      </c>
    </row>
    <row r="45" spans="2:66" ht="21" customHeight="1">
      <c r="H45" s="168"/>
      <c r="I45" s="169" t="s">
        <v>53</v>
      </c>
      <c r="J45" s="146">
        <v>4050000</v>
      </c>
      <c r="K45" s="170" t="s">
        <v>54</v>
      </c>
      <c r="L45" s="129"/>
      <c r="M45" s="129"/>
      <c r="N45" s="129"/>
      <c r="O45" s="129"/>
      <c r="P45" s="129"/>
      <c r="Q45" s="169" t="s">
        <v>55</v>
      </c>
      <c r="R45" s="146">
        <v>5916000</v>
      </c>
      <c r="S45" s="170" t="s">
        <v>54</v>
      </c>
      <c r="T45" s="129">
        <v>10</v>
      </c>
      <c r="U45" s="129"/>
      <c r="V45" s="169" t="s">
        <v>56</v>
      </c>
      <c r="W45" s="146">
        <f>J45+R45</f>
        <v>9966000</v>
      </c>
      <c r="X45" s="170" t="s">
        <v>54</v>
      </c>
      <c r="Y45" s="129"/>
      <c r="Z45" s="129"/>
      <c r="AA45" s="129"/>
      <c r="AB45" s="129"/>
      <c r="AC45" s="129"/>
      <c r="AD45" s="129"/>
      <c r="AE45" s="168" t="s">
        <v>101</v>
      </c>
      <c r="AF45" s="146">
        <v>345400</v>
      </c>
      <c r="AG45" s="170" t="s">
        <v>54</v>
      </c>
      <c r="AH45" s="170"/>
      <c r="AI45" s="170"/>
      <c r="AJ45" s="170"/>
      <c r="AK45" s="170"/>
      <c r="AL45" s="129"/>
      <c r="AM45" s="169" t="s">
        <v>57</v>
      </c>
      <c r="AN45" s="146">
        <v>713974</v>
      </c>
      <c r="AO45" s="170" t="s">
        <v>54</v>
      </c>
      <c r="AP45" s="170"/>
      <c r="AQ45" s="170"/>
      <c r="AR45" s="170"/>
      <c r="AS45" s="170"/>
      <c r="AT45" s="129"/>
      <c r="AU45" s="169" t="s">
        <v>58</v>
      </c>
      <c r="AV45" s="169"/>
      <c r="AW45" s="169"/>
      <c r="AX45" s="146">
        <v>840000</v>
      </c>
      <c r="AY45" s="170" t="s">
        <v>54</v>
      </c>
      <c r="AZ45" s="129"/>
      <c r="BA45" s="129"/>
      <c r="BB45" s="166" t="s">
        <v>59</v>
      </c>
      <c r="BC45" s="145">
        <f>BC44-BC37-BD37</f>
        <v>-3274409.6363636348</v>
      </c>
      <c r="BD45" s="145">
        <v>90000</v>
      </c>
      <c r="BE45" s="171">
        <f>BD37/BD44</f>
        <v>1.4833333333333334</v>
      </c>
      <c r="BF45" s="49">
        <v>5</v>
      </c>
      <c r="BG45" s="164">
        <v>637682</v>
      </c>
      <c r="BH45" s="164"/>
      <c r="BI45" s="165">
        <f t="shared" si="41"/>
        <v>0</v>
      </c>
      <c r="BJ45" s="79" t="s">
        <v>60</v>
      </c>
      <c r="BN45" s="49"/>
    </row>
    <row r="46" spans="2:66" ht="21" customHeight="1">
      <c r="H46" s="168"/>
      <c r="I46" s="168" t="s">
        <v>59</v>
      </c>
      <c r="J46" s="145">
        <f>J45-J37</f>
        <v>200290.90909090918</v>
      </c>
      <c r="K46" s="172">
        <f>C38-G38</f>
        <v>0</v>
      </c>
      <c r="L46" s="129"/>
      <c r="M46" s="129"/>
      <c r="N46" s="129"/>
      <c r="O46" s="129"/>
      <c r="P46" s="129"/>
      <c r="Q46" s="168" t="s">
        <v>59</v>
      </c>
      <c r="R46" s="145">
        <f>R45-R37</f>
        <v>-2774318.1818181816</v>
      </c>
      <c r="S46" s="129">
        <f>K46</f>
        <v>0</v>
      </c>
      <c r="T46" s="129"/>
      <c r="U46" s="129"/>
      <c r="V46" s="168" t="s">
        <v>59</v>
      </c>
      <c r="W46" s="145">
        <f>W45-W37</f>
        <v>-2574027.2727272715</v>
      </c>
      <c r="X46" s="129">
        <f>S46</f>
        <v>0</v>
      </c>
      <c r="Y46" s="129"/>
      <c r="Z46" s="129"/>
      <c r="AA46" s="129"/>
      <c r="AB46" s="129"/>
      <c r="AC46" s="129"/>
      <c r="AD46" s="129"/>
      <c r="AE46" s="168" t="s">
        <v>59</v>
      </c>
      <c r="AF46" s="145">
        <f>AF45-AF37</f>
        <v>272900</v>
      </c>
      <c r="AG46" s="129">
        <f>K46</f>
        <v>0</v>
      </c>
      <c r="AH46" s="129"/>
      <c r="AI46" s="129"/>
      <c r="AJ46" s="129"/>
      <c r="AK46" s="129"/>
      <c r="AL46" s="129"/>
      <c r="AM46" s="168" t="s">
        <v>59</v>
      </c>
      <c r="AN46" s="145">
        <f>AN45-AN37</f>
        <v>-1377980.5454545452</v>
      </c>
      <c r="AO46" s="129">
        <f>AG46</f>
        <v>0</v>
      </c>
      <c r="AP46" s="129"/>
      <c r="AQ46" s="129"/>
      <c r="AR46" s="129"/>
      <c r="AS46" s="129"/>
      <c r="AT46" s="129"/>
      <c r="AU46" s="168" t="s">
        <v>59</v>
      </c>
      <c r="AV46" s="168"/>
      <c r="AW46" s="173"/>
      <c r="AX46" s="145">
        <f>AX45-AX37</f>
        <v>442318.18181818182</v>
      </c>
      <c r="AY46" s="129">
        <f>AO46</f>
        <v>0</v>
      </c>
      <c r="AZ46" s="129"/>
      <c r="BA46" s="174"/>
      <c r="BB46" s="175" t="s">
        <v>61</v>
      </c>
      <c r="BC46" s="176" t="e">
        <f>BC45/K46</f>
        <v>#DIV/0!</v>
      </c>
      <c r="BD46" s="177">
        <f>(BC37+BD37)/BC44</f>
        <v>1.2738860061060102</v>
      </c>
      <c r="BE46" s="174"/>
      <c r="BF46" s="178"/>
      <c r="BG46" s="179">
        <f>SUM(BG41:BG45)</f>
        <v>23775181.727272727</v>
      </c>
      <c r="BH46" s="180">
        <f>BL71</f>
        <v>9138052</v>
      </c>
      <c r="BI46" s="181">
        <f>BH46/BG46</f>
        <v>0.38435256162596049</v>
      </c>
      <c r="BJ46" s="182">
        <f>BG46-BH46</f>
        <v>14637129.727272727</v>
      </c>
      <c r="BN46" s="49"/>
    </row>
    <row r="47" spans="2:66" s="178" customFormat="1" ht="26" customHeight="1">
      <c r="B47" s="183"/>
      <c r="H47" s="184"/>
      <c r="I47" s="175" t="s">
        <v>61</v>
      </c>
      <c r="J47" s="185" t="e">
        <f>J46/K46</f>
        <v>#DIV/0!</v>
      </c>
      <c r="K47" s="186">
        <f>J37/J45</f>
        <v>0.95054545454545447</v>
      </c>
      <c r="L47" s="174"/>
      <c r="M47" s="174"/>
      <c r="N47" s="174"/>
      <c r="O47" s="174"/>
      <c r="P47" s="174"/>
      <c r="Q47" s="175" t="s">
        <v>61</v>
      </c>
      <c r="R47" s="176" t="e">
        <f>R46/S46</f>
        <v>#DIV/0!</v>
      </c>
      <c r="S47" s="186">
        <f>R37/R45</f>
        <v>1.4689516872579753</v>
      </c>
      <c r="T47" s="174"/>
      <c r="U47" s="174"/>
      <c r="V47" s="175" t="s">
        <v>61</v>
      </c>
      <c r="W47" s="176" t="e">
        <f>W46/X46</f>
        <v>#DIV/0!</v>
      </c>
      <c r="X47" s="186">
        <f>W37/W45</f>
        <v>1.2582808822724536</v>
      </c>
      <c r="Y47" s="174"/>
      <c r="Z47" s="174"/>
      <c r="AA47" s="174"/>
      <c r="AB47" s="174"/>
      <c r="AC47" s="174"/>
      <c r="AD47" s="174"/>
      <c r="AE47" s="175" t="s">
        <v>61</v>
      </c>
      <c r="AF47" s="185" t="e">
        <f>AF46/AG46</f>
        <v>#DIV/0!</v>
      </c>
      <c r="AG47" s="186">
        <f>AF37/AF45</f>
        <v>0.20990156340474811</v>
      </c>
      <c r="AH47" s="186"/>
      <c r="AI47" s="186"/>
      <c r="AJ47" s="186"/>
      <c r="AK47" s="186"/>
      <c r="AL47" s="174"/>
      <c r="AM47" s="175" t="s">
        <v>61</v>
      </c>
      <c r="AN47" s="176" t="e">
        <f>AN46/AO46</f>
        <v>#DIV/0!</v>
      </c>
      <c r="AO47" s="186">
        <f>AN37/AN45</f>
        <v>2.9300150221920478</v>
      </c>
      <c r="AP47" s="186"/>
      <c r="AQ47" s="186"/>
      <c r="AR47" s="186"/>
      <c r="AS47" s="186"/>
      <c r="AT47" s="174"/>
      <c r="AU47" s="175" t="s">
        <v>61</v>
      </c>
      <c r="AV47" s="175"/>
      <c r="AW47" s="175" t="e">
        <f>AW46/AY46</f>
        <v>#DIV/0!</v>
      </c>
      <c r="AX47" s="176" t="e">
        <f>AX46/AY46</f>
        <v>#DIV/0!</v>
      </c>
      <c r="AY47" s="186">
        <f>AX37/AX45</f>
        <v>0.47343073593073592</v>
      </c>
      <c r="AZ47" s="174"/>
      <c r="BA47" s="49"/>
      <c r="BB47" s="49"/>
      <c r="BC47" s="85"/>
      <c r="BD47" s="49"/>
      <c r="BE47" s="49"/>
      <c r="BF47" s="49"/>
      <c r="BJ47" s="187"/>
      <c r="BL47" s="187"/>
    </row>
    <row r="48" spans="2:66">
      <c r="H48" s="49">
        <v>931</v>
      </c>
      <c r="I48" s="49">
        <f>H48/31</f>
        <v>30.032258064516128</v>
      </c>
      <c r="K48" s="49">
        <f>J45/31</f>
        <v>130645.16129032258</v>
      </c>
      <c r="P48" s="49">
        <v>557</v>
      </c>
      <c r="Q48" s="49">
        <f>P48/31</f>
        <v>17.967741935483872</v>
      </c>
      <c r="S48" s="49">
        <f>R45/31</f>
        <v>190838.70967741936</v>
      </c>
      <c r="AY48" s="49" t="e">
        <f>AX37/AW45</f>
        <v>#DIV/0!</v>
      </c>
      <c r="BA48" s="188"/>
      <c r="BB48" s="188"/>
      <c r="BC48" s="188"/>
      <c r="BD48" s="188"/>
      <c r="BE48" s="188"/>
      <c r="BF48" s="188"/>
      <c r="BJ48" s="79"/>
      <c r="BN48" s="49"/>
    </row>
    <row r="49" spans="2:64" s="188" customFormat="1" ht="24" customHeight="1">
      <c r="B49" s="189"/>
      <c r="I49" s="188" t="s">
        <v>62</v>
      </c>
      <c r="J49" s="190">
        <f>(I5+I8+I9+I10+I11+I12+I15+I16+I17+I18+I19+I22+I23+I24+I25+I26)/16</f>
        <v>673.39722125751257</v>
      </c>
      <c r="K49" s="188">
        <v>800000</v>
      </c>
      <c r="L49" s="191"/>
      <c r="M49" s="49"/>
      <c r="N49" s="49"/>
      <c r="O49" s="49"/>
      <c r="P49" s="49"/>
      <c r="Q49" s="49"/>
      <c r="R49" s="191">
        <v>400000</v>
      </c>
      <c r="AF49" s="188">
        <f>AF45/30</f>
        <v>11513.333333333334</v>
      </c>
      <c r="AR49" s="192">
        <f>AQ14+AQ21</f>
        <v>0</v>
      </c>
      <c r="AS49" s="193" t="e">
        <f>AS14+AS21</f>
        <v>#DIV/0!</v>
      </c>
      <c r="AT49" s="193" t="e">
        <f>AU14+AU21</f>
        <v>#DIV/0!</v>
      </c>
      <c r="AX49" s="188">
        <f>AX45/30</f>
        <v>28000</v>
      </c>
      <c r="BA49" s="1"/>
      <c r="BB49" s="1"/>
      <c r="BC49" s="1"/>
      <c r="BD49" s="1"/>
      <c r="BE49" s="194" t="s">
        <v>63</v>
      </c>
      <c r="BF49" s="1" t="s">
        <v>64</v>
      </c>
      <c r="BG49" s="1" t="s">
        <v>65</v>
      </c>
      <c r="BH49" s="1" t="s">
        <v>66</v>
      </c>
      <c r="BI49" s="1" t="s">
        <v>67</v>
      </c>
      <c r="BJ49" s="195" t="s">
        <v>68</v>
      </c>
      <c r="BK49" s="195" t="s">
        <v>69</v>
      </c>
      <c r="BL49" s="195" t="s">
        <v>70</v>
      </c>
    </row>
    <row r="50" spans="2:64" s="1" customFormat="1" ht="24" customHeight="1">
      <c r="B50" s="189"/>
      <c r="I50" s="1" t="s">
        <v>71</v>
      </c>
      <c r="J50" s="190">
        <f>(I6+I7+I13+I14+I20+I21+I27)/7</f>
        <v>366.65294992220061</v>
      </c>
      <c r="L50" s="196"/>
      <c r="M50" s="49"/>
      <c r="N50" s="49"/>
      <c r="O50" s="49"/>
      <c r="P50" s="49"/>
      <c r="Q50" s="49"/>
      <c r="R50" s="196"/>
      <c r="S50" s="196"/>
      <c r="Z50" s="197"/>
      <c r="AA50" s="197"/>
      <c r="AR50" s="1">
        <f>AR49/2</f>
        <v>0</v>
      </c>
      <c r="AS50" s="198" t="e">
        <f t="shared" ref="AS50:AT50" si="42">AS49/2</f>
        <v>#DIV/0!</v>
      </c>
      <c r="AT50" s="198" t="e">
        <f t="shared" si="42"/>
        <v>#DIV/0!</v>
      </c>
      <c r="AX50" s="1">
        <v>54000000</v>
      </c>
      <c r="AY50" s="199">
        <f>AX50-AX37</f>
        <v>53602318.18181818</v>
      </c>
      <c r="BA50" s="188"/>
      <c r="BB50" s="188"/>
      <c r="BC50" s="188"/>
      <c r="BD50" s="188"/>
      <c r="BE50" s="194" t="s">
        <v>72</v>
      </c>
      <c r="BF50" s="200">
        <v>1800</v>
      </c>
      <c r="BG50" s="200">
        <v>21</v>
      </c>
      <c r="BH50" s="201">
        <v>0</v>
      </c>
      <c r="BI50" s="200"/>
      <c r="BJ50" s="202">
        <f>BG50*BF50</f>
        <v>37800</v>
      </c>
      <c r="BK50" s="202">
        <f>BF50*BH50</f>
        <v>0</v>
      </c>
      <c r="BL50" s="202">
        <f>BJ50-BK50</f>
        <v>37800</v>
      </c>
    </row>
    <row r="51" spans="2:64" s="188" customFormat="1" ht="24" customHeight="1">
      <c r="B51" s="189"/>
      <c r="D51" s="188" t="s">
        <v>104</v>
      </c>
      <c r="E51" s="222">
        <f>E8+E15+E29+E22</f>
        <v>136</v>
      </c>
      <c r="F51" s="1">
        <f>F8+F15+F29+F22</f>
        <v>554350</v>
      </c>
      <c r="G51" s="190">
        <f>H8+H15+H22+H29</f>
        <v>100740</v>
      </c>
      <c r="K51" s="1"/>
      <c r="L51" s="188" t="s">
        <v>104</v>
      </c>
      <c r="M51" s="222">
        <f>M8+M15+M29+M22</f>
        <v>120</v>
      </c>
      <c r="N51" s="1">
        <f>N8+N15+N29+N22</f>
        <v>1026340</v>
      </c>
      <c r="O51" s="190">
        <f>P8+P15+P22+P29</f>
        <v>272910</v>
      </c>
      <c r="P51" s="49"/>
      <c r="Q51" s="49"/>
      <c r="R51" s="203"/>
      <c r="S51" s="204"/>
      <c r="T51" s="204"/>
      <c r="U51" s="204" t="s">
        <v>73</v>
      </c>
      <c r="V51" s="204"/>
      <c r="W51" s="205"/>
      <c r="X51" s="206"/>
      <c r="Y51" s="194"/>
      <c r="Z51" s="202"/>
      <c r="AA51" s="202"/>
      <c r="AY51" s="188" t="e">
        <f>AY50/AY46</f>
        <v>#DIV/0!</v>
      </c>
      <c r="BE51" s="194" t="s">
        <v>74</v>
      </c>
      <c r="BF51" s="200">
        <v>10800</v>
      </c>
      <c r="BG51" s="200">
        <v>640</v>
      </c>
      <c r="BH51" s="200">
        <v>20</v>
      </c>
      <c r="BI51" s="200"/>
      <c r="BJ51" s="202">
        <f t="shared" ref="BJ51:BJ70" si="43">BF51*BG51</f>
        <v>6912000</v>
      </c>
      <c r="BK51" s="202">
        <f t="shared" ref="BK51:BK70" si="44">BF51*BH51</f>
        <v>216000</v>
      </c>
      <c r="BL51" s="202">
        <f t="shared" ref="BL51:BL70" si="45">BJ51-BK51</f>
        <v>6696000</v>
      </c>
    </row>
    <row r="52" spans="2:64" s="188" customFormat="1" ht="24" customHeight="1">
      <c r="B52" s="189"/>
      <c r="D52" s="188" t="s">
        <v>105</v>
      </c>
      <c r="E52" s="222">
        <f>E9+E16+E30+E23</f>
        <v>142</v>
      </c>
      <c r="F52" s="1">
        <f t="shared" ref="F52:F54" si="46">F9+F16+F30+F23</f>
        <v>683870</v>
      </c>
      <c r="G52" s="190">
        <f t="shared" ref="G52:G55" si="47">H9+H16+H23+H30</f>
        <v>142520</v>
      </c>
      <c r="K52" s="1"/>
      <c r="L52" s="188" t="s">
        <v>105</v>
      </c>
      <c r="M52" s="222">
        <f>M9+M16+M30+M23</f>
        <v>135</v>
      </c>
      <c r="N52" s="1">
        <f t="shared" ref="N52:N54" si="48">N9+N16+N30+N23</f>
        <v>1318670</v>
      </c>
      <c r="O52" s="190">
        <f t="shared" ref="O52:O55" si="49">P9+P16+P23+P30</f>
        <v>264830</v>
      </c>
      <c r="P52" s="49"/>
      <c r="Q52" s="49"/>
      <c r="R52" s="205"/>
      <c r="S52" s="204"/>
      <c r="T52" s="204"/>
      <c r="U52" s="207" t="s">
        <v>75</v>
      </c>
      <c r="V52" s="208" t="s">
        <v>76</v>
      </c>
      <c r="W52" s="209"/>
      <c r="X52" s="210" t="e">
        <f>W52/Y52</f>
        <v>#DIV/0!</v>
      </c>
      <c r="Y52" s="211">
        <f>W52+W53</f>
        <v>0</v>
      </c>
      <c r="Z52" s="212"/>
      <c r="AA52" s="212"/>
      <c r="AB52" s="212"/>
      <c r="BE52" s="194" t="s">
        <v>77</v>
      </c>
      <c r="BF52" s="200">
        <v>6120</v>
      </c>
      <c r="BG52" s="200">
        <v>40</v>
      </c>
      <c r="BH52" s="200">
        <v>4</v>
      </c>
      <c r="BI52" s="200"/>
      <c r="BJ52" s="202">
        <f t="shared" si="43"/>
        <v>244800</v>
      </c>
      <c r="BK52" s="202">
        <f t="shared" si="44"/>
        <v>24480</v>
      </c>
      <c r="BL52" s="202">
        <f t="shared" si="45"/>
        <v>220320</v>
      </c>
    </row>
    <row r="53" spans="2:64" s="188" customFormat="1" ht="24" customHeight="1">
      <c r="B53" s="189"/>
      <c r="D53" s="188" t="s">
        <v>106</v>
      </c>
      <c r="E53" s="222">
        <f>E10+E17+E31+E24</f>
        <v>100</v>
      </c>
      <c r="F53" s="1">
        <f t="shared" si="46"/>
        <v>454850</v>
      </c>
      <c r="G53" s="190">
        <f t="shared" si="47"/>
        <v>75950</v>
      </c>
      <c r="K53" s="1"/>
      <c r="L53" s="188" t="s">
        <v>106</v>
      </c>
      <c r="M53" s="222">
        <f>M10+M17+M31+M24</f>
        <v>99</v>
      </c>
      <c r="N53" s="1">
        <f t="shared" si="48"/>
        <v>1040800</v>
      </c>
      <c r="O53" s="190">
        <f t="shared" si="49"/>
        <v>206840</v>
      </c>
      <c r="P53" s="49"/>
      <c r="Q53" s="49"/>
      <c r="R53" s="205"/>
      <c r="S53" s="204"/>
      <c r="T53" s="204"/>
      <c r="U53" s="207"/>
      <c r="V53" s="208" t="s">
        <v>78</v>
      </c>
      <c r="W53" s="209"/>
      <c r="X53" s="210" t="e">
        <f>W53/Y52</f>
        <v>#DIV/0!</v>
      </c>
      <c r="Y53" s="212"/>
      <c r="Z53" s="212"/>
      <c r="AA53" s="212"/>
      <c r="AB53" s="212"/>
      <c r="AV53" s="188">
        <v>4670600</v>
      </c>
      <c r="AW53" s="188">
        <v>19016645.454545453</v>
      </c>
      <c r="AX53" s="188">
        <v>16482254.545454545</v>
      </c>
      <c r="AY53" s="188">
        <v>6958118.1818181816</v>
      </c>
      <c r="BC53" s="188" t="s">
        <v>79</v>
      </c>
      <c r="BE53" s="194" t="s">
        <v>80</v>
      </c>
      <c r="BF53" s="200">
        <v>1780</v>
      </c>
      <c r="BG53" s="200">
        <v>24</v>
      </c>
      <c r="BH53" s="200">
        <v>4</v>
      </c>
      <c r="BI53" s="200"/>
      <c r="BJ53" s="202">
        <f t="shared" si="43"/>
        <v>42720</v>
      </c>
      <c r="BK53" s="202">
        <f t="shared" si="44"/>
        <v>7120</v>
      </c>
      <c r="BL53" s="202">
        <f t="shared" si="45"/>
        <v>35600</v>
      </c>
    </row>
    <row r="54" spans="2:64" s="188" customFormat="1" ht="24" customHeight="1">
      <c r="B54" s="189"/>
      <c r="D54" s="188" t="s">
        <v>107</v>
      </c>
      <c r="E54" s="222">
        <f>E11+E18+E32+E25</f>
        <v>95</v>
      </c>
      <c r="F54" s="1">
        <f t="shared" si="46"/>
        <v>363000</v>
      </c>
      <c r="G54" s="190">
        <f t="shared" si="47"/>
        <v>59110</v>
      </c>
      <c r="K54" s="1"/>
      <c r="L54" s="188" t="s">
        <v>107</v>
      </c>
      <c r="M54" s="222">
        <f>M11+M18+M32+M25</f>
        <v>100</v>
      </c>
      <c r="N54" s="1">
        <f t="shared" si="48"/>
        <v>764570</v>
      </c>
      <c r="O54" s="190">
        <f t="shared" si="49"/>
        <v>293920</v>
      </c>
      <c r="P54" s="49"/>
      <c r="Q54" s="49"/>
      <c r="R54" s="205"/>
      <c r="S54" s="204"/>
      <c r="T54" s="204"/>
      <c r="U54" s="213" t="s">
        <v>81</v>
      </c>
      <c r="V54" s="208" t="s">
        <v>76</v>
      </c>
      <c r="W54" s="209"/>
      <c r="X54" s="210" t="e">
        <f t="shared" ref="X54" si="50">W54/Y54</f>
        <v>#DIV/0!</v>
      </c>
      <c r="Y54" s="211">
        <f t="shared" ref="Y54" si="51">W54+W55</f>
        <v>0</v>
      </c>
      <c r="Z54" s="212"/>
      <c r="AA54" s="212"/>
      <c r="AB54" s="212"/>
      <c r="BE54" s="194" t="s">
        <v>82</v>
      </c>
      <c r="BF54" s="200">
        <v>1780</v>
      </c>
      <c r="BG54" s="200">
        <v>24</v>
      </c>
      <c r="BH54" s="200">
        <v>20</v>
      </c>
      <c r="BI54" s="200"/>
      <c r="BJ54" s="202">
        <f t="shared" si="43"/>
        <v>42720</v>
      </c>
      <c r="BK54" s="202">
        <f t="shared" si="44"/>
        <v>35600</v>
      </c>
      <c r="BL54" s="202">
        <f t="shared" si="45"/>
        <v>7120</v>
      </c>
    </row>
    <row r="55" spans="2:64" s="188" customFormat="1" ht="24" customHeight="1">
      <c r="B55" s="189"/>
      <c r="D55" s="188" t="s">
        <v>108</v>
      </c>
      <c r="E55" s="222">
        <f t="shared" ref="E55:F57" si="52">E12+E19+E33+E26+E5</f>
        <v>130</v>
      </c>
      <c r="F55" s="222">
        <f t="shared" si="52"/>
        <v>530300</v>
      </c>
      <c r="G55" s="190">
        <f t="shared" si="47"/>
        <v>86920</v>
      </c>
      <c r="L55" s="188" t="s">
        <v>108</v>
      </c>
      <c r="M55" s="222">
        <f t="shared" ref="M55:N57" si="53">M12+M19+M33+M26+M5</f>
        <v>103</v>
      </c>
      <c r="N55" s="1">
        <f>N12+N19+N33+N26+N5</f>
        <v>996680</v>
      </c>
      <c r="O55" s="190">
        <f t="shared" si="49"/>
        <v>405580</v>
      </c>
      <c r="P55" s="49"/>
      <c r="Q55" s="49"/>
      <c r="R55" s="214"/>
      <c r="S55" s="204"/>
      <c r="T55" s="204"/>
      <c r="U55" s="213"/>
      <c r="V55" s="208" t="s">
        <v>78</v>
      </c>
      <c r="W55" s="209"/>
      <c r="X55" s="210" t="e">
        <f t="shared" ref="X55" si="54">W55/Y54</f>
        <v>#DIV/0!</v>
      </c>
      <c r="Y55" s="212"/>
      <c r="Z55" s="212"/>
      <c r="AA55" s="212"/>
      <c r="AB55" s="212"/>
      <c r="AX55" s="200">
        <f>AX36 +1000</f>
        <v>438450</v>
      </c>
      <c r="AY55" s="190">
        <f>'[1]2025(5)'!AX34+'[1]2025(5)'!AX35</f>
        <v>2847290</v>
      </c>
      <c r="BA55" s="85">
        <f>AX55+AY55</f>
        <v>3285740</v>
      </c>
      <c r="BB55" s="49"/>
      <c r="BC55" s="49"/>
      <c r="BD55" s="49"/>
      <c r="BE55" s="194" t="s">
        <v>83</v>
      </c>
      <c r="BF55" s="215">
        <v>8190</v>
      </c>
      <c r="BG55" s="200">
        <v>13</v>
      </c>
      <c r="BH55" s="200">
        <v>4</v>
      </c>
      <c r="BI55" s="200"/>
      <c r="BJ55" s="202">
        <f t="shared" si="43"/>
        <v>106470</v>
      </c>
      <c r="BK55" s="202">
        <f t="shared" si="44"/>
        <v>32760</v>
      </c>
      <c r="BL55" s="202">
        <f t="shared" si="45"/>
        <v>73710</v>
      </c>
    </row>
    <row r="56" spans="2:64" ht="24" customHeight="1">
      <c r="D56" s="188" t="s">
        <v>109</v>
      </c>
      <c r="E56" s="222">
        <f t="shared" si="52"/>
        <v>125</v>
      </c>
      <c r="F56" s="222">
        <f t="shared" si="52"/>
        <v>511170</v>
      </c>
      <c r="G56" s="190">
        <f>H13+H20+H27+H34+H6</f>
        <v>55940</v>
      </c>
      <c r="L56" s="188" t="s">
        <v>109</v>
      </c>
      <c r="M56" s="222">
        <f t="shared" si="53"/>
        <v>99</v>
      </c>
      <c r="N56" s="1">
        <f t="shared" si="53"/>
        <v>920960</v>
      </c>
      <c r="O56" s="190">
        <f>P13+P20+P27+P34+P6</f>
        <v>212740</v>
      </c>
      <c r="U56" s="216" t="s">
        <v>2</v>
      </c>
      <c r="V56" s="217" t="s">
        <v>76</v>
      </c>
      <c r="W56" s="209"/>
      <c r="X56" s="210" t="e">
        <f t="shared" ref="X56:X58" si="55">W56/Y56</f>
        <v>#DIV/0!</v>
      </c>
      <c r="Y56" s="211">
        <f t="shared" ref="Y56" si="56">W56+W57</f>
        <v>0</v>
      </c>
      <c r="Z56" s="212"/>
      <c r="AA56" s="212"/>
      <c r="AB56" s="212"/>
      <c r="AX56" s="215"/>
      <c r="AY56" s="163"/>
      <c r="BA56" s="85">
        <f>BA55-BA57</f>
        <v>-7755900</v>
      </c>
      <c r="BE56" s="194" t="s">
        <v>84</v>
      </c>
      <c r="BF56" s="215">
        <v>5784</v>
      </c>
      <c r="BG56" s="215">
        <v>36</v>
      </c>
      <c r="BH56" s="215">
        <v>28</v>
      </c>
      <c r="BI56" s="215"/>
      <c r="BJ56" s="202">
        <f t="shared" si="43"/>
        <v>208224</v>
      </c>
      <c r="BK56" s="202">
        <f t="shared" si="44"/>
        <v>161952</v>
      </c>
      <c r="BL56" s="202">
        <f t="shared" si="45"/>
        <v>46272</v>
      </c>
    </row>
    <row r="57" spans="2:64" ht="24" customHeight="1">
      <c r="D57" s="188" t="s">
        <v>110</v>
      </c>
      <c r="E57" s="222">
        <f t="shared" si="52"/>
        <v>130</v>
      </c>
      <c r="F57" s="222">
        <f t="shared" si="52"/>
        <v>529980</v>
      </c>
      <c r="G57" s="190">
        <f>H14+H21+H28+H35+H7</f>
        <v>75420</v>
      </c>
      <c r="L57" s="188" t="s">
        <v>110</v>
      </c>
      <c r="M57" s="222">
        <f>M14+M21+M35+M28+M7</f>
        <v>160</v>
      </c>
      <c r="N57" s="1">
        <f t="shared" si="53"/>
        <v>1438670</v>
      </c>
      <c r="O57" s="190">
        <f>P14+P21+P28+P35+P7</f>
        <v>370860</v>
      </c>
      <c r="U57" s="216"/>
      <c r="V57" s="217" t="s">
        <v>78</v>
      </c>
      <c r="W57" s="209"/>
      <c r="X57" s="210" t="e">
        <f t="shared" ref="X57:X59" si="57">W57/Y56</f>
        <v>#DIV/0!</v>
      </c>
      <c r="Y57" s="212"/>
      <c r="Z57" s="212"/>
      <c r="AA57" s="212"/>
      <c r="AB57" s="212"/>
      <c r="AX57" s="215">
        <v>10513690</v>
      </c>
      <c r="AY57" s="163">
        <v>527950</v>
      </c>
      <c r="BA57" s="85">
        <f t="shared" ref="BA57" si="58">AX57+AY57</f>
        <v>11041640</v>
      </c>
      <c r="BE57" s="194" t="s">
        <v>85</v>
      </c>
      <c r="BF57" s="215">
        <v>6775</v>
      </c>
      <c r="BG57" s="215">
        <v>12</v>
      </c>
      <c r="BH57" s="215">
        <v>11</v>
      </c>
      <c r="BI57" s="215"/>
      <c r="BJ57" s="202">
        <f t="shared" si="43"/>
        <v>81300</v>
      </c>
      <c r="BK57" s="202">
        <f t="shared" si="44"/>
        <v>74525</v>
      </c>
      <c r="BL57" s="202">
        <f t="shared" si="45"/>
        <v>6775</v>
      </c>
    </row>
    <row r="58" spans="2:64" ht="24" customHeight="1">
      <c r="U58" s="218" t="s">
        <v>86</v>
      </c>
      <c r="V58" s="217" t="s">
        <v>76</v>
      </c>
      <c r="W58" s="209"/>
      <c r="X58" s="210" t="e">
        <f t="shared" si="55"/>
        <v>#DIV/0!</v>
      </c>
      <c r="Y58" s="219">
        <f>SUM(Y52:AB56)</f>
        <v>0</v>
      </c>
      <c r="Z58" s="220"/>
      <c r="AA58" s="220"/>
      <c r="AB58" s="220"/>
      <c r="AX58" s="215"/>
      <c r="BA58" s="49">
        <f>BA55/BA57</f>
        <v>0.2975771715071312</v>
      </c>
      <c r="BE58" s="194" t="s">
        <v>87</v>
      </c>
      <c r="BF58" s="215">
        <v>1755</v>
      </c>
      <c r="BG58" s="215">
        <v>14</v>
      </c>
      <c r="BH58" s="215">
        <v>2</v>
      </c>
      <c r="BI58" s="215"/>
      <c r="BJ58" s="202">
        <f t="shared" si="43"/>
        <v>24570</v>
      </c>
      <c r="BK58" s="202">
        <f t="shared" si="44"/>
        <v>3510</v>
      </c>
      <c r="BL58" s="202">
        <f t="shared" si="45"/>
        <v>21060</v>
      </c>
    </row>
    <row r="59" spans="2:64" ht="24" customHeight="1">
      <c r="F59" s="49">
        <v>346.60869565217394</v>
      </c>
      <c r="G59" s="49">
        <v>301.36363636363637</v>
      </c>
      <c r="H59" s="49">
        <v>801.17391304347825</v>
      </c>
      <c r="I59" s="49">
        <v>591.75</v>
      </c>
      <c r="N59" s="49">
        <v>2473.9333333333334</v>
      </c>
      <c r="O59" s="49">
        <v>6122.2222222222226</v>
      </c>
      <c r="P59" s="49">
        <v>3277</v>
      </c>
      <c r="Q59" s="49">
        <v>507.14285714285717</v>
      </c>
      <c r="U59" s="218"/>
      <c r="V59" s="217" t="s">
        <v>78</v>
      </c>
      <c r="W59" s="209"/>
      <c r="X59" s="210" t="e">
        <f t="shared" si="57"/>
        <v>#DIV/0!</v>
      </c>
      <c r="Y59" s="220"/>
      <c r="Z59" s="220"/>
      <c r="AA59" s="220"/>
      <c r="AB59" s="220"/>
      <c r="AX59" s="215"/>
      <c r="BE59" s="194" t="s">
        <v>88</v>
      </c>
      <c r="BF59" s="215">
        <v>1755</v>
      </c>
      <c r="BG59" s="215">
        <v>10</v>
      </c>
      <c r="BH59" s="215">
        <v>0</v>
      </c>
      <c r="BI59" s="215"/>
      <c r="BJ59" s="202">
        <f t="shared" si="43"/>
        <v>17550</v>
      </c>
      <c r="BK59" s="202">
        <f t="shared" si="44"/>
        <v>0</v>
      </c>
      <c r="BL59" s="202">
        <f t="shared" si="45"/>
        <v>17550</v>
      </c>
    </row>
    <row r="60" spans="2:64" ht="24" customHeight="1">
      <c r="F60" s="49">
        <v>313.11111111111109</v>
      </c>
      <c r="G60" s="49">
        <v>301.125</v>
      </c>
      <c r="H60" s="49">
        <v>991.89189189189187</v>
      </c>
      <c r="I60" s="49">
        <v>595.73333333333335</v>
      </c>
      <c r="N60" s="49">
        <v>1887.1176470588234</v>
      </c>
      <c r="O60" s="49">
        <v>2474.4615384615386</v>
      </c>
      <c r="P60" s="49">
        <v>1210.7142857142858</v>
      </c>
      <c r="Q60" s="49">
        <v>1056.9666666666667</v>
      </c>
      <c r="BE60" s="194" t="s">
        <v>89</v>
      </c>
      <c r="BF60" s="215">
        <v>1075</v>
      </c>
      <c r="BG60" s="215">
        <v>96</v>
      </c>
      <c r="BH60" s="215">
        <v>38</v>
      </c>
      <c r="BI60" s="215"/>
      <c r="BJ60" s="202">
        <f t="shared" si="43"/>
        <v>103200</v>
      </c>
      <c r="BK60" s="202">
        <f t="shared" si="44"/>
        <v>40850</v>
      </c>
      <c r="BL60" s="202">
        <f t="shared" si="45"/>
        <v>62350</v>
      </c>
    </row>
    <row r="61" spans="2:64" ht="24" customHeight="1">
      <c r="F61" s="49">
        <v>603.85</v>
      </c>
      <c r="G61" s="49">
        <v>457.44</v>
      </c>
      <c r="H61" s="49">
        <v>1139.4827586206898</v>
      </c>
      <c r="I61" s="49">
        <v>847.56666666666672</v>
      </c>
      <c r="N61" s="49">
        <v>1504.7619047619048</v>
      </c>
      <c r="O61" s="49">
        <v>1838.3333333333333</v>
      </c>
      <c r="P61" s="49">
        <v>1940.7241379310344</v>
      </c>
      <c r="Q61" s="49">
        <v>1493</v>
      </c>
      <c r="BE61" s="194" t="s">
        <v>90</v>
      </c>
      <c r="BF61" s="215">
        <v>3860</v>
      </c>
      <c r="BG61" s="215">
        <v>166</v>
      </c>
      <c r="BH61" s="215">
        <v>13</v>
      </c>
      <c r="BI61" s="215"/>
      <c r="BJ61" s="202">
        <f t="shared" si="43"/>
        <v>640760</v>
      </c>
      <c r="BK61" s="202">
        <f t="shared" si="44"/>
        <v>50180</v>
      </c>
      <c r="BL61" s="202">
        <f t="shared" si="45"/>
        <v>590580</v>
      </c>
    </row>
    <row r="62" spans="2:64" ht="24" customHeight="1">
      <c r="F62" s="49">
        <v>343.40740740740739</v>
      </c>
      <c r="G62" s="49">
        <v>387.26666666666665</v>
      </c>
      <c r="H62" s="49">
        <v>2381.804347826087</v>
      </c>
      <c r="I62" s="49">
        <v>694.28571428571433</v>
      </c>
      <c r="N62" s="49">
        <v>1742.5625</v>
      </c>
      <c r="O62" s="49">
        <v>1967.25</v>
      </c>
      <c r="P62" s="49">
        <v>1330.2962962962963</v>
      </c>
      <c r="Q62" s="49">
        <v>1470.4166666666667</v>
      </c>
      <c r="BE62" s="194" t="s">
        <v>91</v>
      </c>
      <c r="BF62" s="215">
        <v>6450</v>
      </c>
      <c r="BG62" s="215">
        <v>137</v>
      </c>
      <c r="BH62" s="215">
        <v>12</v>
      </c>
      <c r="BI62" s="215"/>
      <c r="BJ62" s="202">
        <f t="shared" si="43"/>
        <v>883650</v>
      </c>
      <c r="BK62" s="202">
        <f t="shared" si="44"/>
        <v>77400</v>
      </c>
      <c r="BL62" s="202">
        <f t="shared" si="45"/>
        <v>806250</v>
      </c>
    </row>
    <row r="63" spans="2:64" ht="24" customHeight="1">
      <c r="F63" s="49">
        <v>208.22727272727272</v>
      </c>
      <c r="G63" s="49">
        <v>257.91666666666669</v>
      </c>
      <c r="H63" s="49">
        <v>560.46153846153845</v>
      </c>
      <c r="I63" s="49">
        <v>858.42857142857144</v>
      </c>
      <c r="N63" s="49">
        <v>2161.5555555555557</v>
      </c>
      <c r="O63" s="49">
        <v>2455.9230769230771</v>
      </c>
      <c r="P63" s="49">
        <v>2270</v>
      </c>
      <c r="Q63" s="49">
        <v>1696.9666666666667</v>
      </c>
      <c r="BE63" s="194" t="s">
        <v>92</v>
      </c>
      <c r="BF63" s="215">
        <v>1380</v>
      </c>
      <c r="BG63" s="215">
        <v>35</v>
      </c>
      <c r="BH63" s="215">
        <v>5</v>
      </c>
      <c r="BI63" s="215"/>
      <c r="BJ63" s="202">
        <f t="shared" si="43"/>
        <v>48300</v>
      </c>
      <c r="BK63" s="202">
        <f t="shared" si="44"/>
        <v>6900</v>
      </c>
      <c r="BL63" s="202">
        <f t="shared" si="45"/>
        <v>41400</v>
      </c>
    </row>
    <row r="64" spans="2:64" ht="24" customHeight="1">
      <c r="F64" s="49">
        <v>1347.6206896551723</v>
      </c>
      <c r="G64" s="49">
        <v>382.63636363636363</v>
      </c>
      <c r="H64" s="49">
        <v>791.6</v>
      </c>
      <c r="I64" s="49">
        <v>821.5</v>
      </c>
      <c r="N64" s="49">
        <v>3109.0731707317073</v>
      </c>
      <c r="O64" s="49">
        <v>2867.5</v>
      </c>
      <c r="P64" s="49">
        <v>1673.8333333333333</v>
      </c>
      <c r="Q64" s="49">
        <v>1269</v>
      </c>
      <c r="BE64" s="194" t="s">
        <v>93</v>
      </c>
      <c r="BF64" s="215">
        <v>1380</v>
      </c>
      <c r="BG64" s="215">
        <v>39</v>
      </c>
      <c r="BH64" s="215">
        <v>6</v>
      </c>
      <c r="BI64" s="215"/>
      <c r="BJ64" s="202">
        <f t="shared" si="43"/>
        <v>53820</v>
      </c>
      <c r="BK64" s="202">
        <f t="shared" si="44"/>
        <v>8280</v>
      </c>
      <c r="BL64" s="202">
        <f t="shared" si="45"/>
        <v>45540</v>
      </c>
    </row>
    <row r="65" spans="6:64" ht="24" customHeight="1">
      <c r="F65" s="49">
        <v>547.19354838709683</v>
      </c>
      <c r="G65" s="49">
        <v>174.07407407407408</v>
      </c>
      <c r="H65" s="49">
        <v>791.66666666666663</v>
      </c>
      <c r="I65" s="49">
        <v>1078.7878787878788</v>
      </c>
      <c r="N65" s="49">
        <v>2510.9</v>
      </c>
      <c r="O65" s="49">
        <v>4228.2222222222226</v>
      </c>
      <c r="P65" s="49">
        <v>2237.6999999999998</v>
      </c>
      <c r="Q65" s="49">
        <v>1475</v>
      </c>
      <c r="BE65" s="194" t="s">
        <v>94</v>
      </c>
      <c r="BF65" s="215">
        <v>160</v>
      </c>
      <c r="BG65" s="215">
        <v>594</v>
      </c>
      <c r="BH65" s="215">
        <v>53</v>
      </c>
      <c r="BI65" s="215"/>
      <c r="BJ65" s="202">
        <f t="shared" si="43"/>
        <v>95040</v>
      </c>
      <c r="BK65" s="202">
        <f t="shared" si="44"/>
        <v>8480</v>
      </c>
      <c r="BL65" s="202">
        <f t="shared" si="45"/>
        <v>86560</v>
      </c>
    </row>
    <row r="66" spans="6:64" ht="24" customHeight="1">
      <c r="F66" s="49">
        <v>517.64705882352939</v>
      </c>
      <c r="G66" s="49">
        <v>457.8</v>
      </c>
      <c r="I66" s="49">
        <v>796.08571428571429</v>
      </c>
      <c r="N66" s="49">
        <v>2083.0952380952381</v>
      </c>
      <c r="O66" s="49">
        <v>596.20000000000005</v>
      </c>
      <c r="Q66" s="49">
        <v>1050.8148148148148</v>
      </c>
      <c r="BE66" s="194" t="s">
        <v>95</v>
      </c>
      <c r="BF66" s="215">
        <v>160</v>
      </c>
      <c r="BG66" s="215">
        <v>300</v>
      </c>
      <c r="BH66" s="215">
        <v>47</v>
      </c>
      <c r="BI66" s="215"/>
      <c r="BJ66" s="202">
        <f t="shared" si="43"/>
        <v>48000</v>
      </c>
      <c r="BK66" s="202">
        <f t="shared" si="44"/>
        <v>7520</v>
      </c>
      <c r="BL66" s="202">
        <f t="shared" si="45"/>
        <v>40480</v>
      </c>
    </row>
    <row r="67" spans="6:64" ht="24" customHeight="1">
      <c r="F67" s="49">
        <v>558.35483870967744</v>
      </c>
      <c r="G67" s="49">
        <v>370</v>
      </c>
      <c r="N67" s="49">
        <v>1328.1290322580646</v>
      </c>
      <c r="O67" s="49">
        <v>1228.2142857142858</v>
      </c>
      <c r="BE67" s="194" t="s">
        <v>96</v>
      </c>
      <c r="BF67" s="215">
        <v>205</v>
      </c>
      <c r="BG67" s="215">
        <v>366</v>
      </c>
      <c r="BH67" s="215">
        <v>49</v>
      </c>
      <c r="BI67" s="215"/>
      <c r="BJ67" s="202">
        <f t="shared" si="43"/>
        <v>75030</v>
      </c>
      <c r="BK67" s="202">
        <f t="shared" si="44"/>
        <v>10045</v>
      </c>
      <c r="BL67" s="202">
        <f t="shared" si="45"/>
        <v>64985</v>
      </c>
    </row>
    <row r="68" spans="6:64" ht="24" customHeight="1">
      <c r="F68" s="49">
        <v>522.70000000000005</v>
      </c>
      <c r="G68" s="49">
        <v>100</v>
      </c>
      <c r="N68" s="49">
        <v>2040.8333333333333</v>
      </c>
      <c r="O68" s="49">
        <v>3688.1</v>
      </c>
      <c r="BE68" s="194" t="s">
        <v>97</v>
      </c>
      <c r="BF68" s="215">
        <v>295</v>
      </c>
      <c r="BG68" s="215">
        <v>612</v>
      </c>
      <c r="BH68" s="215">
        <v>86</v>
      </c>
      <c r="BI68" s="215"/>
      <c r="BJ68" s="202">
        <f t="shared" si="43"/>
        <v>180540</v>
      </c>
      <c r="BK68" s="202">
        <f t="shared" si="44"/>
        <v>25370</v>
      </c>
      <c r="BL68" s="202">
        <f t="shared" si="45"/>
        <v>155170</v>
      </c>
    </row>
    <row r="69" spans="6:64" ht="24" customHeight="1">
      <c r="F69" s="49">
        <v>406</v>
      </c>
      <c r="G69" s="49">
        <v>201.25</v>
      </c>
      <c r="N69" s="49">
        <v>4227.2222222222226</v>
      </c>
      <c r="O69" s="49">
        <v>1802.7</v>
      </c>
      <c r="BE69" s="194" t="s">
        <v>98</v>
      </c>
      <c r="BF69" s="215">
        <v>70</v>
      </c>
      <c r="BG69" s="215">
        <v>480</v>
      </c>
      <c r="BH69" s="215">
        <v>71</v>
      </c>
      <c r="BI69" s="215"/>
      <c r="BJ69" s="202">
        <f t="shared" si="43"/>
        <v>33600</v>
      </c>
      <c r="BK69" s="202">
        <f t="shared" si="44"/>
        <v>4970</v>
      </c>
      <c r="BL69" s="202">
        <f t="shared" si="45"/>
        <v>28630</v>
      </c>
    </row>
    <row r="70" spans="6:64" ht="24" customHeight="1">
      <c r="F70" s="49">
        <v>500</v>
      </c>
      <c r="G70" s="49">
        <v>572.21621621621625</v>
      </c>
      <c r="N70" s="49">
        <v>2111.25</v>
      </c>
      <c r="O70" s="49">
        <v>1473.1578947368421</v>
      </c>
      <c r="BE70" s="194" t="s">
        <v>99</v>
      </c>
      <c r="BF70" s="215">
        <v>2450</v>
      </c>
      <c r="BG70" s="215">
        <v>31</v>
      </c>
      <c r="BH70" s="215">
        <v>9</v>
      </c>
      <c r="BI70" s="215"/>
      <c r="BJ70" s="202">
        <f t="shared" si="43"/>
        <v>75950</v>
      </c>
      <c r="BK70" s="202">
        <f t="shared" si="44"/>
        <v>22050</v>
      </c>
      <c r="BL70" s="202">
        <f t="shared" si="45"/>
        <v>53900</v>
      </c>
    </row>
    <row r="71" spans="6:64" ht="24" customHeight="1">
      <c r="F71" s="49">
        <v>671.68571428571431</v>
      </c>
      <c r="G71" s="49">
        <v>475.84615384615387</v>
      </c>
      <c r="N71" s="49">
        <v>1641.0322580645161</v>
      </c>
      <c r="O71" s="49">
        <v>2539.5294117647059</v>
      </c>
      <c r="BE71" s="194"/>
      <c r="BJ71" s="221">
        <f>SUM(BJ50:BJ70)</f>
        <v>9956044</v>
      </c>
      <c r="BK71" s="221">
        <f t="shared" ref="BK71:BL71" si="59">SUM(BK50:BK70)</f>
        <v>817992</v>
      </c>
      <c r="BL71" s="221">
        <f t="shared" si="59"/>
        <v>9138052</v>
      </c>
    </row>
    <row r="72" spans="6:64" ht="24" customHeight="1">
      <c r="F72" s="49">
        <v>333.33333333333331</v>
      </c>
      <c r="G72" s="49">
        <v>439.60714285714283</v>
      </c>
      <c r="N72" s="49">
        <v>5737.5714285714284</v>
      </c>
      <c r="O72" s="49">
        <v>1814.2333333333333</v>
      </c>
      <c r="BE72" s="194"/>
    </row>
    <row r="73" spans="6:64" ht="24" customHeight="1">
      <c r="F73" s="49">
        <v>424.20833333333331</v>
      </c>
      <c r="G73" s="49">
        <v>253.18518518518519</v>
      </c>
      <c r="N73" s="49">
        <v>2000</v>
      </c>
      <c r="O73" s="49">
        <v>920</v>
      </c>
      <c r="BE73" s="194"/>
    </row>
    <row r="74" spans="6:64" ht="24" customHeight="1">
      <c r="F74" s="49">
        <v>316.66666666666669</v>
      </c>
      <c r="G74" s="49">
        <v>497.22222222222223</v>
      </c>
      <c r="N74" s="49">
        <v>1563.1111111111111</v>
      </c>
      <c r="O74" s="49">
        <v>1221.4545454545455</v>
      </c>
      <c r="BE74" s="194"/>
    </row>
    <row r="75" spans="6:64" ht="24" customHeight="1">
      <c r="F75" s="49">
        <v>625.79999999999995</v>
      </c>
      <c r="N75" s="49">
        <v>1707.5</v>
      </c>
      <c r="BE75" s="194"/>
    </row>
    <row r="76" spans="6:64" ht="24" customHeight="1">
      <c r="F76" s="49">
        <f>SUM(F59:F75)</f>
        <v>8586.4146700924884</v>
      </c>
      <c r="G76" s="49">
        <f>SUM(G59:G75)</f>
        <v>5628.949327734329</v>
      </c>
      <c r="H76" s="49">
        <f>SUM(H59:H66)</f>
        <v>7458.0811165103523</v>
      </c>
      <c r="I76" s="49">
        <f>SUM(I59:I68)</f>
        <v>6284.1378787878784</v>
      </c>
      <c r="N76" s="49">
        <f>SUM(N59:N75)</f>
        <v>39829.648735097238</v>
      </c>
      <c r="O76" s="49">
        <f>SUM(O59:O75)</f>
        <v>37237.501864166101</v>
      </c>
      <c r="P76" s="49">
        <f>SUM(P59:P68)</f>
        <v>13940.268053274951</v>
      </c>
      <c r="Q76" s="49">
        <f>SUM(Q59:Q66)</f>
        <v>10019.307671957671</v>
      </c>
      <c r="BE76" s="194"/>
    </row>
    <row r="77" spans="6:64" ht="24" customHeight="1">
      <c r="F77" s="49">
        <f>F76/17</f>
        <v>505.08321588779341</v>
      </c>
      <c r="G77" s="49">
        <f>G76/16</f>
        <v>351.80933298339556</v>
      </c>
      <c r="H77" s="49">
        <f>H76/7</f>
        <v>1065.440159501479</v>
      </c>
      <c r="I77" s="49">
        <f>I76/8</f>
        <v>785.5172348484848</v>
      </c>
      <c r="N77" s="49">
        <f>N76/17</f>
        <v>2342.9205138292491</v>
      </c>
      <c r="O77" s="49">
        <f>O76/16</f>
        <v>2327.3438665103813</v>
      </c>
      <c r="P77" s="49">
        <f>P76/7</f>
        <v>1991.4668647535643</v>
      </c>
      <c r="Q77" s="49">
        <f>Q76/8</f>
        <v>1252.4134589947089</v>
      </c>
      <c r="BE77" s="194"/>
    </row>
    <row r="78" spans="6:64" ht="24" customHeight="1">
      <c r="BE78" s="194"/>
    </row>
    <row r="79" spans="6:64" ht="24" customHeight="1">
      <c r="BE79" s="194"/>
    </row>
    <row r="80" spans="6:64" ht="24" customHeight="1">
      <c r="BE80" s="194"/>
    </row>
    <row r="81" spans="57:57" ht="24" customHeight="1">
      <c r="BE81" s="194"/>
    </row>
    <row r="82" spans="57:57" ht="24" customHeight="1">
      <c r="BE82" s="194"/>
    </row>
    <row r="83" spans="57:57" ht="24" customHeight="1">
      <c r="BE83" s="194"/>
    </row>
    <row r="84" spans="57:57" ht="24" customHeight="1">
      <c r="BE84" s="194"/>
    </row>
    <row r="85" spans="57:57" ht="24" customHeight="1">
      <c r="BE85" s="194"/>
    </row>
    <row r="86" spans="57:57" ht="24" customHeight="1">
      <c r="BE86" s="194"/>
    </row>
    <row r="87" spans="57:57" ht="24" customHeight="1">
      <c r="BE87" s="194"/>
    </row>
    <row r="88" spans="57:57" ht="24" customHeight="1">
      <c r="BE88" s="194"/>
    </row>
    <row r="89" spans="57:57" ht="24" customHeight="1">
      <c r="BE89" s="194"/>
    </row>
    <row r="90" spans="57:57" ht="24" customHeight="1">
      <c r="BE90" s="194"/>
    </row>
    <row r="91" spans="57:57" ht="24" customHeight="1">
      <c r="BE91" s="194"/>
    </row>
    <row r="92" spans="57:57" ht="24" customHeight="1">
      <c r="BE92" s="194"/>
    </row>
    <row r="93" spans="57:57" ht="24" customHeight="1">
      <c r="BE93" s="194"/>
    </row>
    <row r="94" spans="57:57" ht="24" customHeight="1">
      <c r="BE94" s="194"/>
    </row>
    <row r="95" spans="57:57" ht="24" customHeight="1">
      <c r="BE95" s="194"/>
    </row>
    <row r="96" spans="57:57" ht="24" customHeight="1">
      <c r="BE96" s="194"/>
    </row>
    <row r="97" spans="57:57" ht="24" customHeight="1">
      <c r="BE97" s="194"/>
    </row>
    <row r="98" spans="57:57" ht="24" customHeight="1">
      <c r="BE98" s="194"/>
    </row>
    <row r="99" spans="57:57" ht="24" customHeight="1">
      <c r="BE99" s="194"/>
    </row>
    <row r="100" spans="57:57" ht="24" customHeight="1">
      <c r="BE100" s="194"/>
    </row>
    <row r="101" spans="57:57" ht="24" customHeight="1">
      <c r="BE101" s="194"/>
    </row>
    <row r="102" spans="57:57" ht="24" customHeight="1">
      <c r="BE102" s="194"/>
    </row>
    <row r="103" spans="57:57" ht="24" customHeight="1">
      <c r="BE103" s="194"/>
    </row>
    <row r="104" spans="57:57" ht="24" customHeight="1">
      <c r="BE104" s="194"/>
    </row>
    <row r="105" spans="57:57" ht="24" customHeight="1">
      <c r="BE105" s="194"/>
    </row>
    <row r="106" spans="57:57" ht="24" customHeight="1">
      <c r="BE106" s="194"/>
    </row>
    <row r="107" spans="57:57" ht="24" customHeight="1">
      <c r="BE107" s="194"/>
    </row>
    <row r="108" spans="57:57" ht="24" customHeight="1">
      <c r="BE108" s="194"/>
    </row>
    <row r="109" spans="57:57" ht="24" customHeight="1">
      <c r="BE109" s="194"/>
    </row>
    <row r="110" spans="57:57" ht="24" customHeight="1">
      <c r="BE110" s="194"/>
    </row>
    <row r="111" spans="57:57" ht="24" customHeight="1">
      <c r="BE111" s="194"/>
    </row>
    <row r="112" spans="57:57" ht="24" customHeight="1">
      <c r="BE112" s="194"/>
    </row>
    <row r="113" spans="57:57" ht="24" customHeight="1">
      <c r="BE113" s="194"/>
    </row>
    <row r="114" spans="57:57" ht="24" customHeight="1">
      <c r="BE114" s="194"/>
    </row>
    <row r="115" spans="57:57" ht="24" customHeight="1">
      <c r="BE115" s="194"/>
    </row>
    <row r="116" spans="57:57" ht="24" customHeight="1">
      <c r="BE116" s="194"/>
    </row>
    <row r="117" spans="57:57" ht="24" customHeight="1">
      <c r="BE117" s="194"/>
    </row>
    <row r="118" spans="57:57" ht="24" customHeight="1">
      <c r="BE118" s="194"/>
    </row>
    <row r="119" spans="57:57" ht="24" customHeight="1">
      <c r="BE119" s="194"/>
    </row>
    <row r="120" spans="57:57" ht="24" customHeight="1">
      <c r="BE120" s="194"/>
    </row>
    <row r="121" spans="57:57" ht="24" customHeight="1">
      <c r="BE121" s="194"/>
    </row>
    <row r="122" spans="57:57" ht="24" customHeight="1">
      <c r="BE122" s="194"/>
    </row>
    <row r="123" spans="57:57" ht="24" customHeight="1">
      <c r="BE123" s="194"/>
    </row>
    <row r="124" spans="57:57" ht="24" customHeight="1">
      <c r="BE124" s="194"/>
    </row>
    <row r="125" spans="57:57" ht="24" customHeight="1">
      <c r="BE125" s="194"/>
    </row>
    <row r="126" spans="57:57" ht="24" customHeight="1">
      <c r="BE126" s="194"/>
    </row>
    <row r="127" spans="57:57" ht="24" customHeight="1">
      <c r="BE127" s="194"/>
    </row>
    <row r="128" spans="57:57" ht="24" customHeight="1">
      <c r="BE128" s="194"/>
    </row>
    <row r="129" spans="57:57" ht="24" customHeight="1">
      <c r="BE129" s="194"/>
    </row>
    <row r="130" spans="57:57" ht="24" customHeight="1">
      <c r="BE130" s="194"/>
    </row>
    <row r="131" spans="57:57" ht="24" customHeight="1">
      <c r="BE131" s="194"/>
    </row>
    <row r="132" spans="57:57" ht="24" customHeight="1">
      <c r="BE132" s="194"/>
    </row>
    <row r="133" spans="57:57" ht="24" customHeight="1">
      <c r="BE133" s="194"/>
    </row>
    <row r="134" spans="57:57" ht="24" customHeight="1">
      <c r="BE134" s="194"/>
    </row>
    <row r="135" spans="57:57" ht="24" customHeight="1">
      <c r="BE135" s="194"/>
    </row>
    <row r="136" spans="57:57" ht="24" customHeight="1">
      <c r="BE136" s="194"/>
    </row>
    <row r="137" spans="57:57" ht="24" customHeight="1">
      <c r="BE137" s="194"/>
    </row>
    <row r="138" spans="57:57" ht="24" customHeight="1">
      <c r="BE138" s="194"/>
    </row>
    <row r="139" spans="57:57" ht="24" customHeight="1">
      <c r="BE139" s="194"/>
    </row>
    <row r="140" spans="57:57" ht="24" customHeight="1">
      <c r="BE140" s="194"/>
    </row>
    <row r="141" spans="57:57" ht="24" customHeight="1">
      <c r="BE141" s="194"/>
    </row>
    <row r="142" spans="57:57" ht="24" customHeight="1">
      <c r="BE142" s="194"/>
    </row>
    <row r="143" spans="57:57" ht="24" customHeight="1">
      <c r="BE143" s="194"/>
    </row>
    <row r="144" spans="57:57" ht="24" customHeight="1">
      <c r="BE144" s="194"/>
    </row>
    <row r="145" spans="57:57" ht="24" customHeight="1">
      <c r="BE145" s="194"/>
    </row>
    <row r="146" spans="57:57" ht="24" customHeight="1">
      <c r="BE146" s="194"/>
    </row>
    <row r="147" spans="57:57" ht="24" customHeight="1">
      <c r="BE147" s="194"/>
    </row>
    <row r="148" spans="57:57" ht="24" customHeight="1">
      <c r="BE148" s="194"/>
    </row>
    <row r="149" spans="57:57" ht="24" customHeight="1">
      <c r="BE149" s="194"/>
    </row>
    <row r="150" spans="57:57" ht="24" customHeight="1">
      <c r="BE150" s="194"/>
    </row>
    <row r="151" spans="57:57" ht="24" customHeight="1">
      <c r="BE151" s="194"/>
    </row>
    <row r="152" spans="57:57" ht="24" customHeight="1">
      <c r="BE152" s="194"/>
    </row>
    <row r="153" spans="57:57" ht="24" customHeight="1">
      <c r="BE153" s="194"/>
    </row>
    <row r="154" spans="57:57" ht="24" customHeight="1">
      <c r="BE154" s="194"/>
    </row>
    <row r="155" spans="57:57" ht="24" customHeight="1">
      <c r="BE155" s="194"/>
    </row>
    <row r="156" spans="57:57" ht="24" customHeight="1">
      <c r="BE156" s="194"/>
    </row>
    <row r="157" spans="57:57" ht="24" customHeight="1">
      <c r="BE157" s="194"/>
    </row>
    <row r="158" spans="57:57" ht="24" customHeight="1">
      <c r="BE158" s="194"/>
    </row>
    <row r="159" spans="57:57" ht="24" customHeight="1">
      <c r="BE159" s="194"/>
    </row>
    <row r="160" spans="57:57" ht="24" customHeight="1">
      <c r="BE160" s="194"/>
    </row>
    <row r="161" spans="57:57" ht="24" customHeight="1">
      <c r="BE161" s="194"/>
    </row>
    <row r="162" spans="57:57" ht="24" customHeight="1">
      <c r="BE162" s="194"/>
    </row>
    <row r="163" spans="57:57" ht="24" customHeight="1">
      <c r="BE163" s="194"/>
    </row>
    <row r="164" spans="57:57" ht="24" customHeight="1">
      <c r="BE164" s="194"/>
    </row>
    <row r="165" spans="57:57" ht="24" customHeight="1">
      <c r="BE165" s="194"/>
    </row>
    <row r="166" spans="57:57" ht="24" customHeight="1">
      <c r="BE166" s="194"/>
    </row>
    <row r="167" spans="57:57" ht="24" customHeight="1">
      <c r="BE167" s="194"/>
    </row>
    <row r="168" spans="57:57" ht="24" customHeight="1">
      <c r="BE168" s="194"/>
    </row>
    <row r="169" spans="57:57" ht="24" customHeight="1">
      <c r="BE169" s="194"/>
    </row>
    <row r="170" spans="57:57" ht="24" customHeight="1">
      <c r="BE170" s="194"/>
    </row>
    <row r="171" spans="57:57" ht="24" customHeight="1">
      <c r="BE171" s="194"/>
    </row>
    <row r="172" spans="57:57" ht="24" customHeight="1">
      <c r="BE172" s="194"/>
    </row>
    <row r="173" spans="57:57" ht="24" customHeight="1">
      <c r="BE173" s="194"/>
    </row>
    <row r="174" spans="57:57" ht="24" customHeight="1">
      <c r="BE174" s="194"/>
    </row>
    <row r="175" spans="57:57" ht="24" customHeight="1">
      <c r="BE175" s="194"/>
    </row>
    <row r="176" spans="57:57" ht="24" customHeight="1">
      <c r="BE176" s="194"/>
    </row>
    <row r="177" spans="57:57" ht="24" customHeight="1">
      <c r="BE177" s="194"/>
    </row>
    <row r="178" spans="57:57" ht="24" customHeight="1">
      <c r="BE178" s="194"/>
    </row>
    <row r="179" spans="57:57" ht="24" customHeight="1">
      <c r="BE179" s="194"/>
    </row>
    <row r="180" spans="57:57" ht="24" customHeight="1">
      <c r="BE180" s="194"/>
    </row>
    <row r="181" spans="57:57" ht="24" customHeight="1">
      <c r="BE181" s="194"/>
    </row>
    <row r="182" spans="57:57" ht="24" customHeight="1">
      <c r="BE182" s="194"/>
    </row>
    <row r="183" spans="57:57" ht="24" customHeight="1">
      <c r="BE183" s="194"/>
    </row>
    <row r="184" spans="57:57">
      <c r="BE184" s="194"/>
    </row>
    <row r="185" spans="57:57">
      <c r="BE185" s="194"/>
    </row>
    <row r="186" spans="57:57">
      <c r="BE186" s="194"/>
    </row>
    <row r="187" spans="57:57">
      <c r="BE187" s="194"/>
    </row>
    <row r="188" spans="57:57">
      <c r="BE188" s="194"/>
    </row>
    <row r="189" spans="57:57">
      <c r="BE189" s="194"/>
    </row>
    <row r="190" spans="57:57">
      <c r="BE190" s="194"/>
    </row>
    <row r="191" spans="57:57">
      <c r="BE191" s="194"/>
    </row>
    <row r="192" spans="57:57">
      <c r="BE192" s="194"/>
    </row>
    <row r="193" spans="57:57">
      <c r="BE193" s="194"/>
    </row>
    <row r="194" spans="57:57">
      <c r="BE194" s="194"/>
    </row>
    <row r="195" spans="57:57">
      <c r="BE195" s="194"/>
    </row>
    <row r="196" spans="57:57">
      <c r="BE196" s="194"/>
    </row>
    <row r="197" spans="57:57">
      <c r="BE197" s="194"/>
    </row>
    <row r="198" spans="57:57">
      <c r="BE198" s="194"/>
    </row>
    <row r="199" spans="57:57">
      <c r="BE199" s="194"/>
    </row>
    <row r="200" spans="57:57">
      <c r="BE200" s="194"/>
    </row>
    <row r="201" spans="57:57">
      <c r="BE201" s="194"/>
    </row>
    <row r="202" spans="57:57">
      <c r="BE202" s="194"/>
    </row>
    <row r="203" spans="57:57">
      <c r="BE203" s="194"/>
    </row>
    <row r="204" spans="57:57">
      <c r="BE204" s="194"/>
    </row>
    <row r="205" spans="57:57">
      <c r="BE205" s="194"/>
    </row>
    <row r="206" spans="57:57">
      <c r="BE206" s="194"/>
    </row>
    <row r="207" spans="57:57">
      <c r="BE207" s="194"/>
    </row>
    <row r="208" spans="57:57">
      <c r="BE208" s="194"/>
    </row>
    <row r="209" spans="57:57">
      <c r="BE209" s="194"/>
    </row>
    <row r="210" spans="57:57">
      <c r="BE210" s="194"/>
    </row>
    <row r="211" spans="57:57">
      <c r="BE211" s="194"/>
    </row>
    <row r="212" spans="57:57">
      <c r="BE212" s="194"/>
    </row>
    <row r="213" spans="57:57">
      <c r="BE213" s="194"/>
    </row>
    <row r="214" spans="57:57">
      <c r="BE214" s="194"/>
    </row>
    <row r="215" spans="57:57">
      <c r="BE215" s="194"/>
    </row>
    <row r="216" spans="57:57">
      <c r="BE216" s="194"/>
    </row>
    <row r="217" spans="57:57">
      <c r="BE217" s="194"/>
    </row>
    <row r="218" spans="57:57">
      <c r="BE218" s="194"/>
    </row>
    <row r="219" spans="57:57">
      <c r="BE219" s="194"/>
    </row>
    <row r="220" spans="57:57">
      <c r="BE220" s="194"/>
    </row>
    <row r="221" spans="57:57">
      <c r="BE221" s="194"/>
    </row>
    <row r="222" spans="57:57">
      <c r="BE222" s="194"/>
    </row>
    <row r="223" spans="57:57">
      <c r="BE223" s="194"/>
    </row>
    <row r="224" spans="57:57">
      <c r="BE224" s="194"/>
    </row>
  </sheetData>
  <mergeCells count="22">
    <mergeCell ref="U58:U59"/>
    <mergeCell ref="Y58:AB59"/>
    <mergeCell ref="U52:U53"/>
    <mergeCell ref="Y52:AB53"/>
    <mergeCell ref="U54:U55"/>
    <mergeCell ref="Y54:AB55"/>
    <mergeCell ref="U56:U57"/>
    <mergeCell ref="Y56:AB57"/>
    <mergeCell ref="AP3:AY3"/>
    <mergeCell ref="AZ3:BD3"/>
    <mergeCell ref="BE3:BL3"/>
    <mergeCell ref="D40:K44"/>
    <mergeCell ref="L40:S44"/>
    <mergeCell ref="Y40:AG44"/>
    <mergeCell ref="AH40:AO44"/>
    <mergeCell ref="AP40:AY44"/>
    <mergeCell ref="B3:B4"/>
    <mergeCell ref="D3:K3"/>
    <mergeCell ref="L3:S3"/>
    <mergeCell ref="T3:X3"/>
    <mergeCell ref="Y3:AG3"/>
    <mergeCell ref="AH3:AO3"/>
  </mergeCells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919D-CDAF-0C4B-92A6-8F82029F6B7F}">
  <dimension ref="A1:BP224"/>
  <sheetViews>
    <sheetView workbookViewId="0">
      <selection sqref="A1:XFD1048576"/>
    </sheetView>
  </sheetViews>
  <sheetFormatPr baseColWidth="10" defaultColWidth="11.140625" defaultRowHeight="16"/>
  <cols>
    <col min="1" max="1" width="11.140625" style="49"/>
    <col min="2" max="2" width="10.42578125" style="131" customWidth="1"/>
    <col min="3" max="3" width="12.42578125" style="49" customWidth="1"/>
    <col min="4" max="4" width="4.140625" style="49" customWidth="1"/>
    <col min="5" max="9" width="8.42578125" style="49" customWidth="1"/>
    <col min="10" max="10" width="12" style="49" customWidth="1"/>
    <col min="11" max="11" width="8.42578125" style="49" customWidth="1"/>
    <col min="12" max="12" width="3.85546875" style="49" customWidth="1"/>
    <col min="13" max="17" width="8.42578125" style="49" customWidth="1"/>
    <col min="18" max="18" width="12.42578125" style="49" customWidth="1"/>
    <col min="19" max="19" width="8.42578125" style="49" customWidth="1"/>
    <col min="20" max="23" width="11.140625" style="49"/>
    <col min="24" max="24" width="7.5703125" style="49" customWidth="1"/>
    <col min="25" max="25" width="3" style="49" customWidth="1"/>
    <col min="26" max="26" width="7" style="49" customWidth="1"/>
    <col min="27" max="27" width="6.7109375" style="49" customWidth="1"/>
    <col min="28" max="31" width="7.5703125" style="49" customWidth="1"/>
    <col min="32" max="32" width="10" style="49" customWidth="1"/>
    <col min="33" max="33" width="7.5703125" style="49" customWidth="1"/>
    <col min="34" max="34" width="3.5703125" style="49" customWidth="1"/>
    <col min="35" max="39" width="7.5703125" style="49" customWidth="1"/>
    <col min="40" max="40" width="11.85546875" style="49" customWidth="1"/>
    <col min="41" max="41" width="10" style="49" customWidth="1"/>
    <col min="42" max="42" width="4.140625" style="49" customWidth="1"/>
    <col min="43" max="43" width="7.5703125" style="49" customWidth="1"/>
    <col min="44" max="44" width="15.85546875" style="49" customWidth="1"/>
    <col min="45" max="47" width="7.5703125" style="49" customWidth="1"/>
    <col min="48" max="49" width="9.140625" style="49" customWidth="1"/>
    <col min="50" max="50" width="11.28515625" style="49" customWidth="1"/>
    <col min="51" max="51" width="9.85546875" style="49" customWidth="1"/>
    <col min="52" max="52" width="5.7109375" style="49" customWidth="1"/>
    <col min="53" max="54" width="9.140625" style="49" customWidth="1"/>
    <col min="55" max="55" width="13.5703125" style="49" customWidth="1"/>
    <col min="56" max="56" width="11.140625" style="49"/>
    <col min="57" max="57" width="14.85546875" style="49" customWidth="1"/>
    <col min="58" max="63" width="11.140625" style="49"/>
    <col min="64" max="64" width="11.140625" style="79"/>
    <col min="65" max="65" width="11.140625" style="49"/>
    <col min="66" max="66" width="11.140625" style="79"/>
    <col min="67" max="16384" width="11.140625" style="49"/>
  </cols>
  <sheetData>
    <row r="1" spans="1:68" s="3" customFormat="1">
      <c r="A1" s="1" t="s">
        <v>0</v>
      </c>
      <c r="B1" s="2"/>
      <c r="BL1" s="4"/>
      <c r="BN1" s="4"/>
    </row>
    <row r="2" spans="1:68" s="3" customFormat="1" ht="35" thickBot="1">
      <c r="A2" s="5">
        <v>2025</v>
      </c>
      <c r="B2" s="6">
        <v>11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AE2" s="8"/>
      <c r="BD2" s="3" t="s">
        <v>1</v>
      </c>
      <c r="BL2" s="4"/>
      <c r="BN2" s="4"/>
    </row>
    <row r="3" spans="1:68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/>
      <c r="AH3" s="17" t="s">
        <v>7</v>
      </c>
      <c r="AI3" s="18"/>
      <c r="AJ3" s="18"/>
      <c r="AK3" s="18"/>
      <c r="AL3" s="18"/>
      <c r="AM3" s="18"/>
      <c r="AN3" s="18"/>
      <c r="AO3" s="19"/>
      <c r="AP3" s="20" t="s">
        <v>102</v>
      </c>
      <c r="AQ3" s="21"/>
      <c r="AR3" s="21"/>
      <c r="AS3" s="21"/>
      <c r="AT3" s="21"/>
      <c r="AU3" s="21"/>
      <c r="AV3" s="21"/>
      <c r="AW3" s="21"/>
      <c r="AX3" s="21"/>
      <c r="AY3" s="22"/>
      <c r="AZ3" s="23" t="s">
        <v>8</v>
      </c>
      <c r="BA3" s="14"/>
      <c r="BB3" s="14"/>
      <c r="BC3" s="14"/>
      <c r="BD3" s="24"/>
      <c r="BE3" s="25" t="s">
        <v>100</v>
      </c>
      <c r="BF3" s="26"/>
      <c r="BG3" s="26"/>
      <c r="BH3" s="26"/>
      <c r="BI3" s="26"/>
      <c r="BJ3" s="26"/>
      <c r="BK3" s="26"/>
      <c r="BL3" s="27"/>
      <c r="BN3" s="4"/>
    </row>
    <row r="4" spans="1:68" s="8" customFormat="1" ht="53.25" customHeight="1" thickTop="1" thickBot="1">
      <c r="A4" s="28"/>
      <c r="B4" s="10"/>
      <c r="C4" s="29" t="s">
        <v>9</v>
      </c>
      <c r="D4" s="30" t="s">
        <v>10</v>
      </c>
      <c r="E4" s="31" t="s">
        <v>11</v>
      </c>
      <c r="F4" s="30" t="s">
        <v>12</v>
      </c>
      <c r="G4" s="32" t="s">
        <v>13</v>
      </c>
      <c r="H4" s="30" t="s">
        <v>14</v>
      </c>
      <c r="I4" s="33" t="s">
        <v>15</v>
      </c>
      <c r="J4" s="31" t="s">
        <v>16</v>
      </c>
      <c r="K4" s="30" t="s">
        <v>17</v>
      </c>
      <c r="L4" s="30" t="s">
        <v>18</v>
      </c>
      <c r="M4" s="34" t="s">
        <v>11</v>
      </c>
      <c r="N4" s="30" t="s">
        <v>12</v>
      </c>
      <c r="O4" s="32" t="s">
        <v>13</v>
      </c>
      <c r="P4" s="30" t="s">
        <v>14</v>
      </c>
      <c r="Q4" s="33" t="s">
        <v>15</v>
      </c>
      <c r="R4" s="31" t="s">
        <v>16</v>
      </c>
      <c r="S4" s="35" t="s">
        <v>17</v>
      </c>
      <c r="T4" s="36" t="s">
        <v>19</v>
      </c>
      <c r="U4" s="37" t="s">
        <v>20</v>
      </c>
      <c r="V4" s="37" t="s">
        <v>21</v>
      </c>
      <c r="W4" s="38" t="s">
        <v>22</v>
      </c>
      <c r="X4" s="37"/>
      <c r="Y4" s="39" t="s">
        <v>23</v>
      </c>
      <c r="Z4" s="37" t="s">
        <v>11</v>
      </c>
      <c r="AA4" s="37" t="s">
        <v>24</v>
      </c>
      <c r="AB4" s="37" t="s">
        <v>20</v>
      </c>
      <c r="AC4" s="40" t="s">
        <v>25</v>
      </c>
      <c r="AD4" s="37" t="s">
        <v>21</v>
      </c>
      <c r="AE4" s="38" t="s">
        <v>26</v>
      </c>
      <c r="AF4" s="41" t="s">
        <v>27</v>
      </c>
      <c r="AG4" s="42" t="s">
        <v>17</v>
      </c>
      <c r="AH4" s="43" t="s">
        <v>28</v>
      </c>
      <c r="AI4" s="30" t="s">
        <v>11</v>
      </c>
      <c r="AJ4" s="30" t="s">
        <v>20</v>
      </c>
      <c r="AK4" s="32" t="s">
        <v>25</v>
      </c>
      <c r="AL4" s="30" t="s">
        <v>21</v>
      </c>
      <c r="AM4" s="33" t="s">
        <v>26</v>
      </c>
      <c r="AN4" s="34" t="s">
        <v>27</v>
      </c>
      <c r="AO4" s="40" t="s">
        <v>17</v>
      </c>
      <c r="AP4" s="44" t="s">
        <v>28</v>
      </c>
      <c r="AQ4" s="30" t="s">
        <v>11</v>
      </c>
      <c r="AR4" s="30" t="s">
        <v>20</v>
      </c>
      <c r="AS4" s="32" t="s">
        <v>25</v>
      </c>
      <c r="AT4" s="30" t="s">
        <v>21</v>
      </c>
      <c r="AU4" s="33" t="s">
        <v>26</v>
      </c>
      <c r="AV4" s="33" t="s">
        <v>29</v>
      </c>
      <c r="AW4" s="33" t="s">
        <v>30</v>
      </c>
      <c r="AX4" s="34" t="s">
        <v>27</v>
      </c>
      <c r="AY4" s="40" t="s">
        <v>17</v>
      </c>
      <c r="AZ4" s="40" t="s">
        <v>19</v>
      </c>
      <c r="BA4" s="37" t="s">
        <v>20</v>
      </c>
      <c r="BB4" s="37" t="s">
        <v>21</v>
      </c>
      <c r="BC4" s="38" t="s">
        <v>22</v>
      </c>
      <c r="BD4" s="38" t="s">
        <v>31</v>
      </c>
      <c r="BE4" s="45" t="s">
        <v>32</v>
      </c>
      <c r="BF4" s="46" t="s">
        <v>33</v>
      </c>
      <c r="BG4" s="46" t="s">
        <v>34</v>
      </c>
      <c r="BH4" s="46" t="s">
        <v>35</v>
      </c>
      <c r="BI4" s="46" t="s">
        <v>36</v>
      </c>
      <c r="BJ4" s="46" t="s">
        <v>37</v>
      </c>
      <c r="BK4" s="46" t="s">
        <v>38</v>
      </c>
      <c r="BL4" s="47" t="s">
        <v>39</v>
      </c>
      <c r="BN4" s="48"/>
    </row>
    <row r="5" spans="1:68" ht="20" customHeight="1" thickTop="1">
      <c r="B5" s="50">
        <f>DATE($A$2,$B$2,1)</f>
        <v>45962</v>
      </c>
      <c r="C5" s="51"/>
      <c r="D5" s="52"/>
      <c r="E5" s="53">
        <v>26</v>
      </c>
      <c r="F5" s="54">
        <f>93500+51700</f>
        <v>145200</v>
      </c>
      <c r="G5" s="55">
        <f t="shared" ref="G5:G35" si="0">ROUNDDOWN(F5/1.1,0)/E5</f>
        <v>5076.9230769230771</v>
      </c>
      <c r="H5" s="54">
        <v>19020</v>
      </c>
      <c r="I5" s="56">
        <f>ROUNDDOWN(H5/1.1,0)/E5</f>
        <v>665</v>
      </c>
      <c r="J5" s="57">
        <f t="shared" ref="J5:J35" si="1">F5+H5</f>
        <v>164220</v>
      </c>
      <c r="K5" s="58">
        <f t="shared" ref="K5:K35" si="2">IF(E5="","",J5/E5)</f>
        <v>6316.1538461538457</v>
      </c>
      <c r="L5" s="59"/>
      <c r="M5" s="60">
        <f t="shared" ref="M5:N35" si="3">BE5-E5</f>
        <v>37</v>
      </c>
      <c r="N5" s="61">
        <f t="shared" si="3"/>
        <v>285150</v>
      </c>
      <c r="O5" s="55">
        <f t="shared" ref="O5:O35" si="4">ROUNDDOWN(N5/1.1,0)/M5</f>
        <v>7006.135135135135</v>
      </c>
      <c r="P5" s="61">
        <f t="shared" ref="P5:P35" si="5">BG5-H5</f>
        <v>97910</v>
      </c>
      <c r="Q5" s="56">
        <f t="shared" ref="Q5:Q35" si="6">ROUNDDOWN(P5/1.1,0)/M5</f>
        <v>2405.6486486486488</v>
      </c>
      <c r="R5" s="62">
        <f t="shared" ref="R5:R35" si="7">N5+P5</f>
        <v>383060</v>
      </c>
      <c r="S5" s="58">
        <f t="shared" ref="S5:S35" si="8">IF(M5="","",R5/M5)</f>
        <v>10352.972972972973</v>
      </c>
      <c r="T5" s="63">
        <f t="shared" ref="T5:U35" si="9">E5+M5</f>
        <v>63</v>
      </c>
      <c r="U5" s="61">
        <f t="shared" si="9"/>
        <v>430350</v>
      </c>
      <c r="V5" s="61">
        <f t="shared" ref="V5:V35" si="10">H5+P5</f>
        <v>116930</v>
      </c>
      <c r="W5" s="64">
        <f t="shared" ref="W5:W35" si="11">J5+R5</f>
        <v>547280</v>
      </c>
      <c r="X5" s="61"/>
      <c r="Y5" s="65"/>
      <c r="Z5" s="66">
        <v>3</v>
      </c>
      <c r="AA5" s="66"/>
      <c r="AB5" s="54">
        <v>7500</v>
      </c>
      <c r="AC5" s="55">
        <f t="shared" ref="AC5:AC35" si="12">AB5/Z5</f>
        <v>2500</v>
      </c>
      <c r="AD5" s="54">
        <v>750</v>
      </c>
      <c r="AE5" s="56">
        <f t="shared" ref="AE5:AE35" si="13">AD5/Z5</f>
        <v>250</v>
      </c>
      <c r="AF5" s="67">
        <f t="shared" ref="AF5:AF35" si="14">AB5+AD5</f>
        <v>8250</v>
      </c>
      <c r="AG5" s="58">
        <f t="shared" ref="AG5:AG35" si="15">IF(Z5="","",AF5/Z5)</f>
        <v>2750</v>
      </c>
      <c r="AH5" s="68"/>
      <c r="AI5" s="66"/>
      <c r="AJ5" s="54"/>
      <c r="AK5" s="55" t="e">
        <f t="shared" ref="AK5:AK35" si="16">AJ5/AI5</f>
        <v>#DIV/0!</v>
      </c>
      <c r="AL5" s="54"/>
      <c r="AM5" s="56" t="e">
        <f t="shared" ref="AM5:AM35" si="17">AL5/AI5</f>
        <v>#DIV/0!</v>
      </c>
      <c r="AN5" s="67">
        <f>AJ5+AL5</f>
        <v>0</v>
      </c>
      <c r="AO5" s="69" t="str">
        <f t="shared" ref="AO5:AO35" si="18">IF(AI5="","",AN5/AI5)</f>
        <v/>
      </c>
      <c r="AP5" s="70"/>
      <c r="AQ5" s="66"/>
      <c r="AR5" s="54"/>
      <c r="AS5" s="55" t="e">
        <f t="shared" ref="AS5:AS35" si="19">AR5/AQ5</f>
        <v>#DIV/0!</v>
      </c>
      <c r="AT5" s="54"/>
      <c r="AU5" s="56" t="e">
        <f t="shared" ref="AU5:AU35" si="20">AT5/AQ5</f>
        <v>#DIV/0!</v>
      </c>
      <c r="AV5" s="56"/>
      <c r="AW5" s="56"/>
      <c r="AX5" s="71">
        <f>AR5+AT5+AV5+AW5</f>
        <v>0</v>
      </c>
      <c r="AY5" s="69" t="str">
        <f t="shared" ref="AY5:AY35" si="21">IF(AQ5="","",AX5/AQ5)</f>
        <v/>
      </c>
      <c r="AZ5" s="72">
        <f t="shared" ref="AZ5:AZ35" si="22">SUM(E5,M5)</f>
        <v>63</v>
      </c>
      <c r="BA5" s="61">
        <f t="shared" ref="BA5:BA35" si="23">U5+AB5+AJ5+AR5</f>
        <v>437850</v>
      </c>
      <c r="BB5" s="61">
        <f t="shared" ref="BB5:BB35" si="24">V5+AD5+AL5+AT5</f>
        <v>117680</v>
      </c>
      <c r="BC5" s="73">
        <f>W5+AF5+AN5+AX5</f>
        <v>555530</v>
      </c>
      <c r="BD5" s="74">
        <f>BH5+BI5</f>
        <v>4950</v>
      </c>
      <c r="BE5" s="75">
        <v>63</v>
      </c>
      <c r="BF5" s="76">
        <v>430350</v>
      </c>
      <c r="BG5" s="76">
        <v>116930</v>
      </c>
      <c r="BH5" s="77">
        <v>4950</v>
      </c>
      <c r="BI5" s="77"/>
      <c r="BJ5" s="77"/>
      <c r="BK5" s="77"/>
      <c r="BL5" s="78">
        <f>SUM(BF5:BI5)</f>
        <v>552230</v>
      </c>
      <c r="BM5" s="49">
        <v>1</v>
      </c>
      <c r="BN5" s="79">
        <f t="shared" ref="BN5:BN35" si="25">BK5+BL5</f>
        <v>552230</v>
      </c>
    </row>
    <row r="6" spans="1:68" ht="20" customHeight="1">
      <c r="B6" s="80">
        <f t="shared" ref="B6:B35" si="26">B5+1</f>
        <v>45963</v>
      </c>
      <c r="C6" s="81"/>
      <c r="D6" s="52"/>
      <c r="E6" s="53">
        <v>36</v>
      </c>
      <c r="F6" s="54">
        <v>162800</v>
      </c>
      <c r="G6" s="55">
        <f t="shared" si="0"/>
        <v>4111.1111111111113</v>
      </c>
      <c r="H6" s="54">
        <v>19570</v>
      </c>
      <c r="I6" s="56">
        <f t="shared" ref="I6:I35" si="27">ROUNDDOWN(H6/1.1,0)/E6</f>
        <v>494.16666666666669</v>
      </c>
      <c r="J6" s="57">
        <f t="shared" si="1"/>
        <v>182370</v>
      </c>
      <c r="K6" s="58">
        <f t="shared" si="2"/>
        <v>5065.833333333333</v>
      </c>
      <c r="L6" s="59"/>
      <c r="M6" s="60">
        <f t="shared" si="3"/>
        <v>33</v>
      </c>
      <c r="N6" s="61">
        <f t="shared" si="3"/>
        <v>278400</v>
      </c>
      <c r="O6" s="55">
        <f t="shared" si="4"/>
        <v>7669.393939393939</v>
      </c>
      <c r="P6" s="61">
        <f t="shared" si="5"/>
        <v>72280</v>
      </c>
      <c r="Q6" s="56">
        <f t="shared" si="6"/>
        <v>1991.1818181818182</v>
      </c>
      <c r="R6" s="62">
        <f t="shared" si="7"/>
        <v>350680</v>
      </c>
      <c r="S6" s="58">
        <f t="shared" si="8"/>
        <v>10626.666666666666</v>
      </c>
      <c r="T6" s="82">
        <f t="shared" si="9"/>
        <v>69</v>
      </c>
      <c r="U6" s="61">
        <f t="shared" si="9"/>
        <v>441200</v>
      </c>
      <c r="V6" s="61">
        <f t="shared" si="10"/>
        <v>91850</v>
      </c>
      <c r="W6" s="64">
        <f t="shared" si="11"/>
        <v>533050</v>
      </c>
      <c r="X6" s="83"/>
      <c r="Y6" s="65"/>
      <c r="Z6" s="66">
        <v>3</v>
      </c>
      <c r="AA6" s="66"/>
      <c r="AB6" s="54">
        <v>7500</v>
      </c>
      <c r="AC6" s="55">
        <f t="shared" si="12"/>
        <v>2500</v>
      </c>
      <c r="AD6" s="54">
        <v>750</v>
      </c>
      <c r="AE6" s="56">
        <f t="shared" si="13"/>
        <v>250</v>
      </c>
      <c r="AF6" s="67">
        <f>AB6+AD6</f>
        <v>8250</v>
      </c>
      <c r="AG6" s="58">
        <f t="shared" si="15"/>
        <v>2750</v>
      </c>
      <c r="AH6" s="68"/>
      <c r="AI6" s="66"/>
      <c r="AJ6" s="54"/>
      <c r="AK6" s="55" t="e">
        <f t="shared" si="16"/>
        <v>#DIV/0!</v>
      </c>
      <c r="AL6" s="54"/>
      <c r="AM6" s="56" t="e">
        <f t="shared" si="17"/>
        <v>#DIV/0!</v>
      </c>
      <c r="AN6" s="67">
        <f t="shared" ref="AN6:AN35" si="28">AJ6+AL6</f>
        <v>0</v>
      </c>
      <c r="AO6" s="69" t="str">
        <f t="shared" si="18"/>
        <v/>
      </c>
      <c r="AP6" s="70"/>
      <c r="AQ6" s="66"/>
      <c r="AR6" s="54"/>
      <c r="AS6" s="55" t="e">
        <f t="shared" si="19"/>
        <v>#DIV/0!</v>
      </c>
      <c r="AT6" s="54"/>
      <c r="AU6" s="56" t="e">
        <f t="shared" si="20"/>
        <v>#DIV/0!</v>
      </c>
      <c r="AV6" s="56"/>
      <c r="AW6" s="56"/>
      <c r="AX6" s="71">
        <f>AR6+AT6+AV6+AW6-BP6</f>
        <v>0</v>
      </c>
      <c r="AY6" s="69" t="str">
        <f t="shared" si="21"/>
        <v/>
      </c>
      <c r="AZ6" s="84">
        <f t="shared" si="22"/>
        <v>69</v>
      </c>
      <c r="BA6" s="61">
        <f t="shared" si="23"/>
        <v>448700</v>
      </c>
      <c r="BB6" s="61">
        <f t="shared" si="24"/>
        <v>92600</v>
      </c>
      <c r="BC6" s="73">
        <f>W6+AF6+AN6+AX6</f>
        <v>541300</v>
      </c>
      <c r="BD6" s="74">
        <f>BH6+BI6</f>
        <v>2200</v>
      </c>
      <c r="BE6" s="75">
        <v>69</v>
      </c>
      <c r="BF6" s="76">
        <v>441200</v>
      </c>
      <c r="BG6" s="76">
        <v>91850</v>
      </c>
      <c r="BH6" s="77">
        <v>2200</v>
      </c>
      <c r="BI6" s="77"/>
      <c r="BJ6" s="77">
        <v>3300</v>
      </c>
      <c r="BK6" s="77"/>
      <c r="BL6" s="78">
        <f t="shared" ref="BL6:BL35" si="29">SUM(BF6:BI6)</f>
        <v>535250</v>
      </c>
      <c r="BM6" s="49">
        <v>2</v>
      </c>
      <c r="BN6" s="79">
        <f t="shared" si="25"/>
        <v>535250</v>
      </c>
    </row>
    <row r="7" spans="1:68" ht="20" customHeight="1">
      <c r="B7" s="80">
        <f>B6+1</f>
        <v>45964</v>
      </c>
      <c r="C7" s="81"/>
      <c r="D7" s="52"/>
      <c r="E7" s="53">
        <v>35</v>
      </c>
      <c r="F7" s="54">
        <v>159280</v>
      </c>
      <c r="G7" s="55">
        <f t="shared" si="0"/>
        <v>4137.1428571428569</v>
      </c>
      <c r="H7" s="54">
        <v>30720</v>
      </c>
      <c r="I7" s="56">
        <f t="shared" si="27"/>
        <v>797.91428571428571</v>
      </c>
      <c r="J7" s="57">
        <f t="shared" si="1"/>
        <v>190000</v>
      </c>
      <c r="K7" s="58">
        <f t="shared" si="2"/>
        <v>5428.5714285714284</v>
      </c>
      <c r="L7" s="59"/>
      <c r="M7" s="60">
        <f t="shared" si="3"/>
        <v>30</v>
      </c>
      <c r="N7" s="61">
        <f t="shared" si="3"/>
        <v>257870</v>
      </c>
      <c r="O7" s="55">
        <f t="shared" si="4"/>
        <v>7814.2333333333336</v>
      </c>
      <c r="P7" s="61">
        <f t="shared" si="5"/>
        <v>41120</v>
      </c>
      <c r="Q7" s="56">
        <f t="shared" si="6"/>
        <v>1246.0333333333333</v>
      </c>
      <c r="R7" s="62">
        <f t="shared" si="7"/>
        <v>298990</v>
      </c>
      <c r="S7" s="58">
        <f t="shared" si="8"/>
        <v>9966.3333333333339</v>
      </c>
      <c r="T7" s="82">
        <f t="shared" si="9"/>
        <v>65</v>
      </c>
      <c r="U7" s="61">
        <f t="shared" si="9"/>
        <v>417150</v>
      </c>
      <c r="V7" s="61">
        <f t="shared" si="10"/>
        <v>71840</v>
      </c>
      <c r="W7" s="64">
        <f t="shared" si="11"/>
        <v>488990</v>
      </c>
      <c r="X7" s="83"/>
      <c r="Y7" s="65"/>
      <c r="Z7" s="66">
        <v>1</v>
      </c>
      <c r="AA7" s="66"/>
      <c r="AB7" s="54">
        <v>2500</v>
      </c>
      <c r="AC7" s="55">
        <f t="shared" si="12"/>
        <v>2500</v>
      </c>
      <c r="AD7" s="54">
        <v>250</v>
      </c>
      <c r="AE7" s="56">
        <f t="shared" si="13"/>
        <v>250</v>
      </c>
      <c r="AF7" s="67">
        <f t="shared" si="14"/>
        <v>2750</v>
      </c>
      <c r="AG7" s="58">
        <f t="shared" si="15"/>
        <v>2750</v>
      </c>
      <c r="AH7" s="68"/>
      <c r="AI7" s="66"/>
      <c r="AJ7" s="54"/>
      <c r="AK7" s="55" t="e">
        <f t="shared" si="16"/>
        <v>#DIV/0!</v>
      </c>
      <c r="AL7" s="54"/>
      <c r="AM7" s="56" t="e">
        <f t="shared" si="17"/>
        <v>#DIV/0!</v>
      </c>
      <c r="AN7" s="67">
        <f t="shared" si="28"/>
        <v>0</v>
      </c>
      <c r="AO7" s="69" t="str">
        <f t="shared" si="18"/>
        <v/>
      </c>
      <c r="AP7" s="70"/>
      <c r="AQ7" s="66"/>
      <c r="AR7" s="54"/>
      <c r="AS7" s="55" t="e">
        <f t="shared" si="19"/>
        <v>#DIV/0!</v>
      </c>
      <c r="AT7" s="54"/>
      <c r="AU7" s="56" t="e">
        <f t="shared" si="20"/>
        <v>#DIV/0!</v>
      </c>
      <c r="AV7" s="56"/>
      <c r="AW7" s="56"/>
      <c r="AX7" s="71">
        <f>AR7+AT7+AV7+AW7</f>
        <v>0</v>
      </c>
      <c r="AY7" s="69" t="str">
        <f t="shared" si="21"/>
        <v/>
      </c>
      <c r="AZ7" s="84">
        <f t="shared" si="22"/>
        <v>65</v>
      </c>
      <c r="BA7" s="61">
        <f t="shared" si="23"/>
        <v>419650</v>
      </c>
      <c r="BB7" s="61">
        <f t="shared" si="24"/>
        <v>72090</v>
      </c>
      <c r="BC7" s="73">
        <f>W7+AF7+AN7+AX7-BO7</f>
        <v>491740</v>
      </c>
      <c r="BD7" s="74">
        <f t="shared" ref="BD7:BD35" si="30">BH7+BI7</f>
        <v>8800</v>
      </c>
      <c r="BE7" s="75">
        <v>65</v>
      </c>
      <c r="BF7" s="76">
        <v>417150</v>
      </c>
      <c r="BG7" s="76">
        <v>71840</v>
      </c>
      <c r="BH7" s="77">
        <v>8800</v>
      </c>
      <c r="BI7" s="77"/>
      <c r="BJ7" s="77"/>
      <c r="BK7" s="77"/>
      <c r="BL7" s="78">
        <f>SUM(BF7:BI7)</f>
        <v>497790</v>
      </c>
      <c r="BM7" s="49">
        <v>3</v>
      </c>
      <c r="BN7" s="79">
        <f t="shared" si="25"/>
        <v>497790</v>
      </c>
    </row>
    <row r="8" spans="1:68" ht="20" customHeight="1">
      <c r="B8" s="80">
        <f t="shared" si="26"/>
        <v>45965</v>
      </c>
      <c r="C8" s="81"/>
      <c r="D8" s="52"/>
      <c r="E8" s="53">
        <v>30</v>
      </c>
      <c r="F8" s="54">
        <v>120670</v>
      </c>
      <c r="G8" s="55">
        <f t="shared" si="0"/>
        <v>3656.6666666666665</v>
      </c>
      <c r="H8" s="54">
        <v>28140</v>
      </c>
      <c r="I8" s="56">
        <f t="shared" si="27"/>
        <v>852.7</v>
      </c>
      <c r="J8" s="57">
        <f t="shared" si="1"/>
        <v>148810</v>
      </c>
      <c r="K8" s="58">
        <f t="shared" si="2"/>
        <v>4960.333333333333</v>
      </c>
      <c r="L8" s="59"/>
      <c r="M8" s="60">
        <f t="shared" si="3"/>
        <v>31</v>
      </c>
      <c r="N8" s="61">
        <f t="shared" si="3"/>
        <v>223960</v>
      </c>
      <c r="O8" s="55">
        <f t="shared" si="4"/>
        <v>6567.7419354838712</v>
      </c>
      <c r="P8" s="61">
        <f t="shared" si="5"/>
        <v>74900</v>
      </c>
      <c r="Q8" s="56">
        <f t="shared" si="6"/>
        <v>2196.4516129032259</v>
      </c>
      <c r="R8" s="62">
        <f t="shared" si="7"/>
        <v>298860</v>
      </c>
      <c r="S8" s="58">
        <f t="shared" si="8"/>
        <v>9640.645161290322</v>
      </c>
      <c r="T8" s="82">
        <f t="shared" si="9"/>
        <v>61</v>
      </c>
      <c r="U8" s="61">
        <f t="shared" si="9"/>
        <v>344630</v>
      </c>
      <c r="V8" s="61">
        <f t="shared" si="10"/>
        <v>103040</v>
      </c>
      <c r="W8" s="64">
        <f t="shared" si="11"/>
        <v>447670</v>
      </c>
      <c r="X8" s="83"/>
      <c r="Y8" s="65"/>
      <c r="Z8" s="66">
        <v>0</v>
      </c>
      <c r="AA8" s="66"/>
      <c r="AB8" s="54"/>
      <c r="AC8" s="55" t="e">
        <f t="shared" si="12"/>
        <v>#DIV/0!</v>
      </c>
      <c r="AD8" s="54"/>
      <c r="AE8" s="56" t="e">
        <f t="shared" si="13"/>
        <v>#DIV/0!</v>
      </c>
      <c r="AF8" s="67">
        <f t="shared" si="14"/>
        <v>0</v>
      </c>
      <c r="AG8" s="58" t="e">
        <f t="shared" si="15"/>
        <v>#DIV/0!</v>
      </c>
      <c r="AH8" s="68"/>
      <c r="AI8" s="66"/>
      <c r="AJ8" s="54"/>
      <c r="AK8" s="55" t="e">
        <f t="shared" si="16"/>
        <v>#DIV/0!</v>
      </c>
      <c r="AL8" s="54"/>
      <c r="AM8" s="56" t="e">
        <f t="shared" si="17"/>
        <v>#DIV/0!</v>
      </c>
      <c r="AN8" s="67">
        <f t="shared" si="28"/>
        <v>0</v>
      </c>
      <c r="AO8" s="69" t="str">
        <f t="shared" si="18"/>
        <v/>
      </c>
      <c r="AP8" s="70"/>
      <c r="AQ8" s="66"/>
      <c r="AR8" s="54"/>
      <c r="AS8" s="55" t="e">
        <f t="shared" si="19"/>
        <v>#DIV/0!</v>
      </c>
      <c r="AT8" s="54"/>
      <c r="AU8" s="56" t="e">
        <f t="shared" si="20"/>
        <v>#DIV/0!</v>
      </c>
      <c r="AV8" s="56"/>
      <c r="AW8" s="56"/>
      <c r="AX8" s="71">
        <f t="shared" ref="AX8:AX16" si="31">AR8+AT8+AV8+AW8</f>
        <v>0</v>
      </c>
      <c r="AY8" s="69" t="str">
        <f t="shared" si="21"/>
        <v/>
      </c>
      <c r="AZ8" s="84">
        <f t="shared" si="22"/>
        <v>61</v>
      </c>
      <c r="BA8" s="61">
        <f t="shared" si="23"/>
        <v>344630</v>
      </c>
      <c r="BB8" s="61">
        <f t="shared" si="24"/>
        <v>103040</v>
      </c>
      <c r="BC8" s="73">
        <f>W8+AF8+AN8+AX8</f>
        <v>447670</v>
      </c>
      <c r="BD8" s="74">
        <f t="shared" si="30"/>
        <v>9900</v>
      </c>
      <c r="BE8" s="75">
        <v>61</v>
      </c>
      <c r="BF8" s="76">
        <v>344630</v>
      </c>
      <c r="BG8" s="76">
        <v>103040</v>
      </c>
      <c r="BH8" s="77">
        <v>9900</v>
      </c>
      <c r="BI8" s="77"/>
      <c r="BJ8" s="77"/>
      <c r="BK8" s="77"/>
      <c r="BL8" s="78">
        <f>SUM(BF8:BI8)</f>
        <v>457570</v>
      </c>
      <c r="BM8" s="49">
        <v>4</v>
      </c>
      <c r="BN8" s="79">
        <f t="shared" si="25"/>
        <v>457570</v>
      </c>
      <c r="BO8" s="85"/>
      <c r="BP8" s="85"/>
    </row>
    <row r="9" spans="1:68" ht="20" customHeight="1">
      <c r="B9" s="80">
        <f t="shared" si="26"/>
        <v>45966</v>
      </c>
      <c r="C9" s="81"/>
      <c r="D9" s="52"/>
      <c r="E9" s="53">
        <v>25</v>
      </c>
      <c r="F9" s="54">
        <v>110660</v>
      </c>
      <c r="G9" s="55">
        <f t="shared" si="0"/>
        <v>4024</v>
      </c>
      <c r="H9" s="54">
        <v>17570</v>
      </c>
      <c r="I9" s="56">
        <f t="shared" si="27"/>
        <v>638.88</v>
      </c>
      <c r="J9" s="57">
        <f t="shared" si="1"/>
        <v>128230</v>
      </c>
      <c r="K9" s="58">
        <f t="shared" si="2"/>
        <v>5129.2</v>
      </c>
      <c r="L9" s="59"/>
      <c r="M9" s="60">
        <f t="shared" si="3"/>
        <v>27</v>
      </c>
      <c r="N9" s="61">
        <f t="shared" si="3"/>
        <v>214800</v>
      </c>
      <c r="O9" s="55">
        <f t="shared" si="4"/>
        <v>7232.2962962962965</v>
      </c>
      <c r="P9" s="61">
        <f t="shared" si="5"/>
        <v>57440</v>
      </c>
      <c r="Q9" s="56">
        <f>ROUNDDOWN(P9/1.1,0)/M9</f>
        <v>1934</v>
      </c>
      <c r="R9" s="62">
        <f t="shared" si="7"/>
        <v>272240</v>
      </c>
      <c r="S9" s="58">
        <f t="shared" si="8"/>
        <v>10082.962962962964</v>
      </c>
      <c r="T9" s="82">
        <f t="shared" si="9"/>
        <v>52</v>
      </c>
      <c r="U9" s="61">
        <f t="shared" si="9"/>
        <v>325460</v>
      </c>
      <c r="V9" s="61">
        <f t="shared" si="10"/>
        <v>75010</v>
      </c>
      <c r="W9" s="64">
        <f t="shared" si="11"/>
        <v>400470</v>
      </c>
      <c r="X9" s="83"/>
      <c r="Y9" s="65"/>
      <c r="Z9" s="66">
        <v>2</v>
      </c>
      <c r="AA9" s="66"/>
      <c r="AB9" s="54">
        <v>5000</v>
      </c>
      <c r="AC9" s="55">
        <f t="shared" si="12"/>
        <v>2500</v>
      </c>
      <c r="AD9" s="54">
        <v>500</v>
      </c>
      <c r="AE9" s="56">
        <f t="shared" si="13"/>
        <v>250</v>
      </c>
      <c r="AF9" s="67">
        <f t="shared" si="14"/>
        <v>5500</v>
      </c>
      <c r="AG9" s="58">
        <f t="shared" si="15"/>
        <v>2750</v>
      </c>
      <c r="AH9" s="68"/>
      <c r="AI9" s="66">
        <v>26</v>
      </c>
      <c r="AJ9" s="54">
        <v>66555</v>
      </c>
      <c r="AK9" s="55">
        <f t="shared" si="16"/>
        <v>2559.8076923076924</v>
      </c>
      <c r="AL9" s="54">
        <v>46301</v>
      </c>
      <c r="AM9" s="56">
        <f t="shared" si="17"/>
        <v>1780.8076923076924</v>
      </c>
      <c r="AN9" s="67">
        <f t="shared" si="28"/>
        <v>112856</v>
      </c>
      <c r="AO9" s="69">
        <f t="shared" si="18"/>
        <v>4340.6153846153848</v>
      </c>
      <c r="AP9" s="70"/>
      <c r="AQ9" s="66"/>
      <c r="AR9" s="54"/>
      <c r="AS9" s="55" t="e">
        <f t="shared" si="19"/>
        <v>#DIV/0!</v>
      </c>
      <c r="AT9" s="54"/>
      <c r="AU9" s="56" t="e">
        <f t="shared" si="20"/>
        <v>#DIV/0!</v>
      </c>
      <c r="AV9" s="56"/>
      <c r="AW9" s="56"/>
      <c r="AX9" s="71">
        <f t="shared" si="31"/>
        <v>0</v>
      </c>
      <c r="AY9" s="69" t="str">
        <f>IF(AQ9="","",AX9/AQ9)</f>
        <v/>
      </c>
      <c r="AZ9" s="84">
        <f t="shared" si="22"/>
        <v>52</v>
      </c>
      <c r="BA9" s="61">
        <f t="shared" si="23"/>
        <v>397015</v>
      </c>
      <c r="BB9" s="61">
        <f t="shared" si="24"/>
        <v>121811</v>
      </c>
      <c r="BC9" s="73">
        <f>W9+AF9+AN9+AX9-BO9</f>
        <v>513986</v>
      </c>
      <c r="BD9" s="74">
        <f>BH9+BI9</f>
        <v>0</v>
      </c>
      <c r="BE9" s="75">
        <v>52</v>
      </c>
      <c r="BF9" s="76">
        <v>325460</v>
      </c>
      <c r="BG9" s="76">
        <v>75010</v>
      </c>
      <c r="BH9" s="77"/>
      <c r="BI9" s="77"/>
      <c r="BJ9" s="77"/>
      <c r="BK9" s="77">
        <v>24200</v>
      </c>
      <c r="BL9" s="78">
        <f t="shared" si="29"/>
        <v>400470</v>
      </c>
      <c r="BM9" s="49">
        <v>5</v>
      </c>
      <c r="BN9" s="79">
        <f t="shared" si="25"/>
        <v>424670</v>
      </c>
      <c r="BO9" s="49">
        <v>4840</v>
      </c>
    </row>
    <row r="10" spans="1:68" ht="19.5" customHeight="1">
      <c r="B10" s="80">
        <f t="shared" si="26"/>
        <v>45967</v>
      </c>
      <c r="C10" s="81"/>
      <c r="D10" s="52"/>
      <c r="E10" s="53">
        <v>25</v>
      </c>
      <c r="F10" s="54">
        <v>107910</v>
      </c>
      <c r="G10" s="55">
        <f t="shared" si="0"/>
        <v>3924</v>
      </c>
      <c r="H10" s="54">
        <v>16610</v>
      </c>
      <c r="I10" s="56">
        <f t="shared" si="27"/>
        <v>604</v>
      </c>
      <c r="J10" s="57">
        <f t="shared" si="1"/>
        <v>124520</v>
      </c>
      <c r="K10" s="58">
        <f t="shared" si="2"/>
        <v>4980.8</v>
      </c>
      <c r="L10" s="59"/>
      <c r="M10" s="60">
        <f t="shared" si="3"/>
        <v>13</v>
      </c>
      <c r="N10" s="61">
        <f t="shared" si="3"/>
        <v>136100</v>
      </c>
      <c r="O10" s="55">
        <f t="shared" si="4"/>
        <v>9517.461538461539</v>
      </c>
      <c r="P10" s="61">
        <f t="shared" si="5"/>
        <v>33290</v>
      </c>
      <c r="Q10" s="56">
        <f t="shared" si="6"/>
        <v>2327.9230769230771</v>
      </c>
      <c r="R10" s="62">
        <f t="shared" si="7"/>
        <v>169390</v>
      </c>
      <c r="S10" s="58">
        <f t="shared" si="8"/>
        <v>13030</v>
      </c>
      <c r="T10" s="82">
        <f t="shared" si="9"/>
        <v>38</v>
      </c>
      <c r="U10" s="61">
        <f t="shared" si="9"/>
        <v>244010</v>
      </c>
      <c r="V10" s="61">
        <f t="shared" si="10"/>
        <v>49900</v>
      </c>
      <c r="W10" s="64">
        <f t="shared" si="11"/>
        <v>293910</v>
      </c>
      <c r="X10" s="83"/>
      <c r="Y10" s="65"/>
      <c r="Z10" s="66">
        <v>4</v>
      </c>
      <c r="AA10" s="66"/>
      <c r="AB10" s="54">
        <v>10000</v>
      </c>
      <c r="AC10" s="55">
        <f t="shared" si="12"/>
        <v>2500</v>
      </c>
      <c r="AD10" s="54">
        <v>4300</v>
      </c>
      <c r="AE10" s="56">
        <f t="shared" si="13"/>
        <v>1075</v>
      </c>
      <c r="AF10" s="67">
        <f t="shared" si="14"/>
        <v>14300</v>
      </c>
      <c r="AG10" s="58">
        <f t="shared" si="15"/>
        <v>3575</v>
      </c>
      <c r="AH10" s="68"/>
      <c r="AI10" s="66"/>
      <c r="AJ10" s="54"/>
      <c r="AK10" s="55" t="e">
        <f t="shared" si="16"/>
        <v>#DIV/0!</v>
      </c>
      <c r="AL10" s="54"/>
      <c r="AM10" s="56" t="e">
        <f t="shared" si="17"/>
        <v>#DIV/0!</v>
      </c>
      <c r="AN10" s="67">
        <f t="shared" si="28"/>
        <v>0</v>
      </c>
      <c r="AO10" s="69" t="str">
        <f t="shared" si="18"/>
        <v/>
      </c>
      <c r="AP10" s="70"/>
      <c r="AQ10" s="66"/>
      <c r="AR10" s="54"/>
      <c r="AS10" s="55" t="e">
        <f t="shared" si="19"/>
        <v>#DIV/0!</v>
      </c>
      <c r="AT10" s="54"/>
      <c r="AU10" s="56" t="e">
        <f t="shared" si="20"/>
        <v>#DIV/0!</v>
      </c>
      <c r="AV10" s="56"/>
      <c r="AW10" s="56"/>
      <c r="AX10" s="71">
        <f t="shared" si="31"/>
        <v>0</v>
      </c>
      <c r="AY10" s="69" t="str">
        <f t="shared" si="21"/>
        <v/>
      </c>
      <c r="AZ10" s="84">
        <f t="shared" si="22"/>
        <v>38</v>
      </c>
      <c r="BA10" s="61">
        <f t="shared" si="23"/>
        <v>254010</v>
      </c>
      <c r="BB10" s="61">
        <f t="shared" si="24"/>
        <v>54200</v>
      </c>
      <c r="BC10" s="73">
        <f>W10+AF10+AN10+AX10-BO10</f>
        <v>308210</v>
      </c>
      <c r="BD10" s="74">
        <f t="shared" si="30"/>
        <v>0</v>
      </c>
      <c r="BE10" s="75">
        <v>38</v>
      </c>
      <c r="BF10" s="76">
        <v>244010</v>
      </c>
      <c r="BG10" s="76">
        <v>49900</v>
      </c>
      <c r="BH10" s="77"/>
      <c r="BI10" s="77"/>
      <c r="BJ10" s="77"/>
      <c r="BK10" s="77"/>
      <c r="BL10" s="78">
        <f t="shared" si="29"/>
        <v>293910</v>
      </c>
      <c r="BM10" s="49">
        <v>6</v>
      </c>
      <c r="BN10" s="79">
        <f t="shared" si="25"/>
        <v>293910</v>
      </c>
    </row>
    <row r="11" spans="1:68" ht="20" customHeight="1">
      <c r="B11" s="80">
        <f t="shared" si="26"/>
        <v>45968</v>
      </c>
      <c r="C11" s="81"/>
      <c r="D11" s="52"/>
      <c r="E11" s="53">
        <v>29</v>
      </c>
      <c r="F11" s="54">
        <v>117370</v>
      </c>
      <c r="G11" s="55">
        <f t="shared" si="0"/>
        <v>3679.3103448275861</v>
      </c>
      <c r="H11" s="54">
        <v>14650</v>
      </c>
      <c r="I11" s="56">
        <f t="shared" si="27"/>
        <v>459.24137931034483</v>
      </c>
      <c r="J11" s="57">
        <f t="shared" si="1"/>
        <v>132020</v>
      </c>
      <c r="K11" s="58">
        <f t="shared" si="2"/>
        <v>4552.4137931034484</v>
      </c>
      <c r="L11" s="59"/>
      <c r="M11" s="60">
        <f t="shared" si="3"/>
        <v>30</v>
      </c>
      <c r="N11" s="61">
        <f t="shared" si="3"/>
        <v>249920</v>
      </c>
      <c r="O11" s="55">
        <f t="shared" si="4"/>
        <v>7573.333333333333</v>
      </c>
      <c r="P11" s="61">
        <f t="shared" si="5"/>
        <v>74690</v>
      </c>
      <c r="Q11" s="56">
        <f t="shared" si="6"/>
        <v>2263.3333333333335</v>
      </c>
      <c r="R11" s="62">
        <f t="shared" si="7"/>
        <v>324610</v>
      </c>
      <c r="S11" s="58">
        <f t="shared" si="8"/>
        <v>10820.333333333334</v>
      </c>
      <c r="T11" s="82">
        <f t="shared" si="9"/>
        <v>59</v>
      </c>
      <c r="U11" s="61">
        <f t="shared" si="9"/>
        <v>367290</v>
      </c>
      <c r="V11" s="61">
        <f t="shared" si="10"/>
        <v>89340</v>
      </c>
      <c r="W11" s="64">
        <f t="shared" si="11"/>
        <v>456630</v>
      </c>
      <c r="X11" s="83"/>
      <c r="Y11" s="65"/>
      <c r="Z11" s="66">
        <v>0</v>
      </c>
      <c r="AA11" s="66"/>
      <c r="AB11" s="54"/>
      <c r="AC11" s="55" t="e">
        <f t="shared" si="12"/>
        <v>#DIV/0!</v>
      </c>
      <c r="AD11" s="54"/>
      <c r="AE11" s="56" t="e">
        <f t="shared" si="13"/>
        <v>#DIV/0!</v>
      </c>
      <c r="AF11" s="67">
        <f t="shared" si="14"/>
        <v>0</v>
      </c>
      <c r="AG11" s="58" t="e">
        <f t="shared" si="15"/>
        <v>#DIV/0!</v>
      </c>
      <c r="AH11" s="68"/>
      <c r="AI11" s="66">
        <v>18</v>
      </c>
      <c r="AJ11" s="54">
        <v>70470</v>
      </c>
      <c r="AK11" s="55">
        <f t="shared" si="16"/>
        <v>3915</v>
      </c>
      <c r="AL11" s="54">
        <v>23490</v>
      </c>
      <c r="AM11" s="56">
        <f t="shared" si="17"/>
        <v>1305</v>
      </c>
      <c r="AN11" s="67">
        <f t="shared" si="28"/>
        <v>93960</v>
      </c>
      <c r="AO11" s="69">
        <f t="shared" si="18"/>
        <v>5220</v>
      </c>
      <c r="AP11" s="70"/>
      <c r="AQ11" s="66"/>
      <c r="AR11" s="54"/>
      <c r="AS11" s="55" t="e">
        <f t="shared" si="19"/>
        <v>#DIV/0!</v>
      </c>
      <c r="AT11" s="54"/>
      <c r="AU11" s="56" t="e">
        <f t="shared" si="20"/>
        <v>#DIV/0!</v>
      </c>
      <c r="AV11" s="56"/>
      <c r="AW11" s="56"/>
      <c r="AX11" s="71">
        <f>AR11+AT11+AV11+AW11-BP11</f>
        <v>0</v>
      </c>
      <c r="AY11" s="69" t="str">
        <f t="shared" si="21"/>
        <v/>
      </c>
      <c r="AZ11" s="84">
        <f t="shared" si="22"/>
        <v>59</v>
      </c>
      <c r="BA11" s="61">
        <f t="shared" si="23"/>
        <v>437760</v>
      </c>
      <c r="BB11" s="61">
        <f>V11+AD11+AL11+AT11</f>
        <v>112830</v>
      </c>
      <c r="BC11" s="73">
        <f>W11+AF11+AN11+AX11-BO11</f>
        <v>542952</v>
      </c>
      <c r="BD11" s="74">
        <f>BH11+BI11</f>
        <v>10450</v>
      </c>
      <c r="BE11" s="75">
        <v>59</v>
      </c>
      <c r="BF11" s="76">
        <v>367290</v>
      </c>
      <c r="BG11" s="76">
        <v>89340</v>
      </c>
      <c r="BH11" s="77">
        <v>10450</v>
      </c>
      <c r="BI11" s="77"/>
      <c r="BJ11" s="77"/>
      <c r="BK11" s="77"/>
      <c r="BL11" s="78">
        <f t="shared" si="29"/>
        <v>467080</v>
      </c>
      <c r="BM11" s="49">
        <v>7</v>
      </c>
      <c r="BN11" s="79">
        <f t="shared" si="25"/>
        <v>467080</v>
      </c>
      <c r="BO11" s="49">
        <v>7638</v>
      </c>
    </row>
    <row r="12" spans="1:68" ht="20" customHeight="1">
      <c r="B12" s="80">
        <f t="shared" si="26"/>
        <v>45969</v>
      </c>
      <c r="C12" s="86"/>
      <c r="D12" s="52"/>
      <c r="E12" s="53">
        <v>34</v>
      </c>
      <c r="F12" s="54">
        <v>168630</v>
      </c>
      <c r="G12" s="55">
        <f t="shared" si="0"/>
        <v>4508.8235294117649</v>
      </c>
      <c r="H12" s="54">
        <v>34360</v>
      </c>
      <c r="I12" s="56">
        <f t="shared" si="27"/>
        <v>918.70588235294122</v>
      </c>
      <c r="J12" s="57">
        <f t="shared" si="1"/>
        <v>202990</v>
      </c>
      <c r="K12" s="58">
        <f t="shared" si="2"/>
        <v>5970.2941176470586</v>
      </c>
      <c r="L12" s="59"/>
      <c r="M12" s="60">
        <f t="shared" si="3"/>
        <v>38</v>
      </c>
      <c r="N12" s="61">
        <f t="shared" si="3"/>
        <v>254980</v>
      </c>
      <c r="O12" s="55">
        <f t="shared" si="4"/>
        <v>6100</v>
      </c>
      <c r="P12" s="61">
        <f t="shared" si="5"/>
        <v>91990</v>
      </c>
      <c r="Q12" s="87">
        <f t="shared" si="6"/>
        <v>2200.7105263157896</v>
      </c>
      <c r="R12" s="62">
        <f t="shared" si="7"/>
        <v>346970</v>
      </c>
      <c r="S12" s="58">
        <f t="shared" si="8"/>
        <v>9130.78947368421</v>
      </c>
      <c r="T12" s="82">
        <f t="shared" si="9"/>
        <v>72</v>
      </c>
      <c r="U12" s="61">
        <f t="shared" si="9"/>
        <v>423610</v>
      </c>
      <c r="V12" s="61">
        <f t="shared" si="10"/>
        <v>126350</v>
      </c>
      <c r="W12" s="64">
        <f t="shared" si="11"/>
        <v>549960</v>
      </c>
      <c r="X12" s="83"/>
      <c r="Y12" s="65"/>
      <c r="Z12" s="66">
        <v>4</v>
      </c>
      <c r="AA12" s="66"/>
      <c r="AB12" s="54">
        <v>10000</v>
      </c>
      <c r="AC12" s="55">
        <f t="shared" si="12"/>
        <v>2500</v>
      </c>
      <c r="AD12" s="54">
        <v>1000</v>
      </c>
      <c r="AE12" s="56">
        <f t="shared" si="13"/>
        <v>250</v>
      </c>
      <c r="AF12" s="67">
        <f t="shared" si="14"/>
        <v>11000</v>
      </c>
      <c r="AG12" s="58">
        <f t="shared" si="15"/>
        <v>2750</v>
      </c>
      <c r="AH12" s="68"/>
      <c r="AI12" s="66">
        <v>18</v>
      </c>
      <c r="AJ12" s="54">
        <v>70470</v>
      </c>
      <c r="AK12" s="55">
        <f t="shared" si="16"/>
        <v>3915</v>
      </c>
      <c r="AL12" s="54">
        <v>23490</v>
      </c>
      <c r="AM12" s="56">
        <f t="shared" si="17"/>
        <v>1305</v>
      </c>
      <c r="AN12" s="67">
        <f t="shared" si="28"/>
        <v>93960</v>
      </c>
      <c r="AO12" s="69">
        <f t="shared" si="18"/>
        <v>5220</v>
      </c>
      <c r="AP12" s="70"/>
      <c r="AQ12" s="66"/>
      <c r="AR12" s="54"/>
      <c r="AS12" s="55" t="e">
        <f t="shared" si="19"/>
        <v>#DIV/0!</v>
      </c>
      <c r="AT12" s="54"/>
      <c r="AU12" s="56" t="e">
        <f t="shared" si="20"/>
        <v>#DIV/0!</v>
      </c>
      <c r="AV12" s="56"/>
      <c r="AW12" s="56"/>
      <c r="AX12" s="71">
        <f>AR12+AT12+AV12+AW12</f>
        <v>0</v>
      </c>
      <c r="AY12" s="69" t="str">
        <f t="shared" si="21"/>
        <v/>
      </c>
      <c r="AZ12" s="84">
        <f t="shared" si="22"/>
        <v>72</v>
      </c>
      <c r="BA12" s="61">
        <f t="shared" si="23"/>
        <v>504080</v>
      </c>
      <c r="BB12" s="61">
        <f t="shared" si="24"/>
        <v>150840</v>
      </c>
      <c r="BC12" s="73">
        <f>W12+AF12+AN12+AX12-BO12</f>
        <v>654920</v>
      </c>
      <c r="BD12" s="74">
        <f t="shared" si="30"/>
        <v>0</v>
      </c>
      <c r="BE12" s="75">
        <v>72</v>
      </c>
      <c r="BF12" s="76">
        <v>423610</v>
      </c>
      <c r="BG12" s="76">
        <v>126350</v>
      </c>
      <c r="BH12" s="77"/>
      <c r="BI12" s="77"/>
      <c r="BJ12" s="77"/>
      <c r="BK12" s="77"/>
      <c r="BL12" s="78">
        <f t="shared" si="29"/>
        <v>549960</v>
      </c>
      <c r="BM12" s="49">
        <v>8</v>
      </c>
      <c r="BN12" s="79">
        <f t="shared" si="25"/>
        <v>549960</v>
      </c>
    </row>
    <row r="13" spans="1:68" ht="20" customHeight="1">
      <c r="B13" s="80">
        <f t="shared" si="26"/>
        <v>45970</v>
      </c>
      <c r="C13" s="81"/>
      <c r="D13" s="52"/>
      <c r="E13" s="53">
        <v>36</v>
      </c>
      <c r="F13" s="54">
        <v>195690</v>
      </c>
      <c r="G13" s="55">
        <f t="shared" si="0"/>
        <v>4941.666666666667</v>
      </c>
      <c r="H13" s="54">
        <v>36850</v>
      </c>
      <c r="I13" s="56">
        <f t="shared" si="27"/>
        <v>930.55555555555554</v>
      </c>
      <c r="J13" s="57">
        <f t="shared" si="1"/>
        <v>232540</v>
      </c>
      <c r="K13" s="58">
        <f t="shared" si="2"/>
        <v>6459.4444444444443</v>
      </c>
      <c r="L13" s="59"/>
      <c r="M13" s="60">
        <f t="shared" si="3"/>
        <v>31</v>
      </c>
      <c r="N13" s="61">
        <f t="shared" si="3"/>
        <v>257430</v>
      </c>
      <c r="O13" s="55">
        <f t="shared" si="4"/>
        <v>7549.2580645161288</v>
      </c>
      <c r="P13" s="61">
        <f t="shared" si="5"/>
        <v>62510</v>
      </c>
      <c r="Q13" s="56">
        <f t="shared" si="6"/>
        <v>1833.1290322580646</v>
      </c>
      <c r="R13" s="62">
        <f t="shared" si="7"/>
        <v>319940</v>
      </c>
      <c r="S13" s="58">
        <f t="shared" si="8"/>
        <v>10320.645161290322</v>
      </c>
      <c r="T13" s="82">
        <f t="shared" si="9"/>
        <v>67</v>
      </c>
      <c r="U13" s="61">
        <f t="shared" si="9"/>
        <v>453120</v>
      </c>
      <c r="V13" s="61">
        <f t="shared" si="10"/>
        <v>99360</v>
      </c>
      <c r="W13" s="64">
        <f t="shared" si="11"/>
        <v>552480</v>
      </c>
      <c r="X13" s="83"/>
      <c r="Y13" s="65"/>
      <c r="Z13" s="66"/>
      <c r="AA13" s="66"/>
      <c r="AB13" s="54"/>
      <c r="AC13" s="55" t="e">
        <f t="shared" si="12"/>
        <v>#DIV/0!</v>
      </c>
      <c r="AD13" s="54"/>
      <c r="AE13" s="56" t="e">
        <f t="shared" si="13"/>
        <v>#DIV/0!</v>
      </c>
      <c r="AF13" s="67">
        <f t="shared" si="14"/>
        <v>0</v>
      </c>
      <c r="AG13" s="58" t="str">
        <f t="shared" si="15"/>
        <v/>
      </c>
      <c r="AH13" s="68"/>
      <c r="AI13" s="66"/>
      <c r="AJ13" s="54"/>
      <c r="AK13" s="55" t="e">
        <f t="shared" si="16"/>
        <v>#DIV/0!</v>
      </c>
      <c r="AL13" s="54"/>
      <c r="AM13" s="56" t="e">
        <f t="shared" si="17"/>
        <v>#DIV/0!</v>
      </c>
      <c r="AN13" s="67">
        <f t="shared" si="28"/>
        <v>0</v>
      </c>
      <c r="AO13" s="69" t="str">
        <f t="shared" si="18"/>
        <v/>
      </c>
      <c r="AP13" s="70"/>
      <c r="AQ13" s="66"/>
      <c r="AR13" s="54"/>
      <c r="AS13" s="55" t="e">
        <f t="shared" si="19"/>
        <v>#DIV/0!</v>
      </c>
      <c r="AT13" s="54"/>
      <c r="AU13" s="56" t="e">
        <f t="shared" si="20"/>
        <v>#DIV/0!</v>
      </c>
      <c r="AV13" s="56"/>
      <c r="AW13" s="56"/>
      <c r="AX13" s="71">
        <f>AR13+AT13+AV13+AW13-BP13</f>
        <v>0</v>
      </c>
      <c r="AY13" s="69" t="str">
        <f t="shared" si="21"/>
        <v/>
      </c>
      <c r="AZ13" s="84">
        <f t="shared" si="22"/>
        <v>67</v>
      </c>
      <c r="BA13" s="61">
        <f t="shared" si="23"/>
        <v>453120</v>
      </c>
      <c r="BB13" s="61">
        <f t="shared" si="24"/>
        <v>99360</v>
      </c>
      <c r="BC13" s="73">
        <f t="shared" ref="BC13" si="32">W13+AF13+AN13+AX13</f>
        <v>552480</v>
      </c>
      <c r="BD13" s="74">
        <f t="shared" si="30"/>
        <v>2200</v>
      </c>
      <c r="BE13" s="75">
        <v>67</v>
      </c>
      <c r="BF13" s="76">
        <v>453120</v>
      </c>
      <c r="BG13" s="76">
        <v>99360</v>
      </c>
      <c r="BH13" s="77">
        <v>2200</v>
      </c>
      <c r="BI13" s="77"/>
      <c r="BJ13" s="77"/>
      <c r="BK13" s="77"/>
      <c r="BL13" s="78">
        <f t="shared" si="29"/>
        <v>554680</v>
      </c>
      <c r="BM13" s="49">
        <v>9</v>
      </c>
      <c r="BN13" s="79">
        <f t="shared" si="25"/>
        <v>554680</v>
      </c>
    </row>
    <row r="14" spans="1:68" ht="20" customHeight="1">
      <c r="B14" s="80">
        <f t="shared" si="26"/>
        <v>45971</v>
      </c>
      <c r="C14" s="81"/>
      <c r="D14" s="52"/>
      <c r="E14" s="53">
        <v>31</v>
      </c>
      <c r="F14" s="54">
        <v>132990</v>
      </c>
      <c r="G14" s="55">
        <f t="shared" si="0"/>
        <v>3900</v>
      </c>
      <c r="H14" s="54">
        <v>16050</v>
      </c>
      <c r="I14" s="56">
        <f>ROUNDDOWN(H14/1.1,0)/E14</f>
        <v>470.64516129032256</v>
      </c>
      <c r="J14" s="57">
        <f t="shared" si="1"/>
        <v>149040</v>
      </c>
      <c r="K14" s="58">
        <f t="shared" si="2"/>
        <v>4807.7419354838712</v>
      </c>
      <c r="L14" s="59"/>
      <c r="M14" s="60">
        <f t="shared" si="3"/>
        <v>23</v>
      </c>
      <c r="N14" s="61">
        <f t="shared" si="3"/>
        <v>179990</v>
      </c>
      <c r="O14" s="55">
        <f t="shared" si="4"/>
        <v>7114.217391304348</v>
      </c>
      <c r="P14" s="61">
        <f t="shared" si="5"/>
        <v>32300</v>
      </c>
      <c r="Q14" s="56">
        <f t="shared" si="6"/>
        <v>1276.6521739130435</v>
      </c>
      <c r="R14" s="62">
        <f t="shared" si="7"/>
        <v>212290</v>
      </c>
      <c r="S14" s="58">
        <f t="shared" si="8"/>
        <v>9230</v>
      </c>
      <c r="T14" s="82">
        <f t="shared" si="9"/>
        <v>54</v>
      </c>
      <c r="U14" s="61">
        <f t="shared" si="9"/>
        <v>312980</v>
      </c>
      <c r="V14" s="61">
        <f t="shared" si="10"/>
        <v>48350</v>
      </c>
      <c r="W14" s="64">
        <f t="shared" si="11"/>
        <v>361330</v>
      </c>
      <c r="X14" s="83"/>
      <c r="Y14" s="65"/>
      <c r="Z14" s="66">
        <v>4</v>
      </c>
      <c r="AA14" s="66"/>
      <c r="AB14" s="54">
        <v>10000</v>
      </c>
      <c r="AC14" s="55">
        <f t="shared" si="12"/>
        <v>2500</v>
      </c>
      <c r="AD14" s="54">
        <v>1000</v>
      </c>
      <c r="AE14" s="56">
        <f t="shared" si="13"/>
        <v>250</v>
      </c>
      <c r="AF14" s="67">
        <f t="shared" si="14"/>
        <v>11000</v>
      </c>
      <c r="AG14" s="58">
        <f t="shared" si="15"/>
        <v>2750</v>
      </c>
      <c r="AH14" s="68"/>
      <c r="AI14" s="66"/>
      <c r="AJ14" s="54"/>
      <c r="AK14" s="55" t="e">
        <f t="shared" si="16"/>
        <v>#DIV/0!</v>
      </c>
      <c r="AL14" s="54"/>
      <c r="AM14" s="56" t="e">
        <f t="shared" si="17"/>
        <v>#DIV/0!</v>
      </c>
      <c r="AN14" s="67">
        <f t="shared" si="28"/>
        <v>0</v>
      </c>
      <c r="AO14" s="69" t="str">
        <f t="shared" si="18"/>
        <v/>
      </c>
      <c r="AP14" s="70"/>
      <c r="AQ14" s="66"/>
      <c r="AR14" s="54"/>
      <c r="AS14" s="55" t="e">
        <f t="shared" si="19"/>
        <v>#DIV/0!</v>
      </c>
      <c r="AT14" s="54"/>
      <c r="AU14" s="56" t="e">
        <f t="shared" si="20"/>
        <v>#DIV/0!</v>
      </c>
      <c r="AV14" s="56"/>
      <c r="AW14" s="56"/>
      <c r="AX14" s="71">
        <f t="shared" si="31"/>
        <v>0</v>
      </c>
      <c r="AY14" s="69" t="str">
        <f t="shared" si="21"/>
        <v/>
      </c>
      <c r="AZ14" s="84">
        <f t="shared" si="22"/>
        <v>54</v>
      </c>
      <c r="BA14" s="61">
        <f t="shared" si="23"/>
        <v>322980</v>
      </c>
      <c r="BB14" s="61">
        <f t="shared" si="24"/>
        <v>49350</v>
      </c>
      <c r="BC14" s="73">
        <f t="shared" ref="BC14:BC19" si="33">W14+AF14+AN14+AX14-BO14</f>
        <v>372330</v>
      </c>
      <c r="BD14" s="74">
        <f t="shared" si="30"/>
        <v>2750</v>
      </c>
      <c r="BE14" s="75">
        <v>54</v>
      </c>
      <c r="BF14" s="76">
        <v>312980</v>
      </c>
      <c r="BG14" s="76">
        <v>48350</v>
      </c>
      <c r="BH14" s="77">
        <v>2750</v>
      </c>
      <c r="BI14" s="77"/>
      <c r="BJ14" s="77"/>
      <c r="BK14" s="77"/>
      <c r="BL14" s="78">
        <f t="shared" si="29"/>
        <v>364080</v>
      </c>
      <c r="BM14" s="49">
        <v>10</v>
      </c>
      <c r="BN14" s="79">
        <f t="shared" si="25"/>
        <v>364080</v>
      </c>
    </row>
    <row r="15" spans="1:68" ht="20" customHeight="1">
      <c r="B15" s="80">
        <f t="shared" si="26"/>
        <v>45972</v>
      </c>
      <c r="C15" s="86"/>
      <c r="D15" s="52"/>
      <c r="E15" s="53">
        <v>25</v>
      </c>
      <c r="F15" s="54">
        <v>112090</v>
      </c>
      <c r="G15" s="55">
        <f t="shared" si="0"/>
        <v>4076</v>
      </c>
      <c r="H15" s="54">
        <v>20820</v>
      </c>
      <c r="I15" s="56">
        <f t="shared" si="27"/>
        <v>757.08</v>
      </c>
      <c r="J15" s="57">
        <f t="shared" si="1"/>
        <v>132910</v>
      </c>
      <c r="K15" s="58">
        <f t="shared" si="2"/>
        <v>5316.4</v>
      </c>
      <c r="L15" s="59"/>
      <c r="M15" s="60">
        <f t="shared" si="3"/>
        <v>32</v>
      </c>
      <c r="N15" s="61">
        <f t="shared" si="3"/>
        <v>253180</v>
      </c>
      <c r="O15" s="55">
        <f t="shared" si="4"/>
        <v>7192.59375</v>
      </c>
      <c r="P15" s="61">
        <f t="shared" si="5"/>
        <v>91230</v>
      </c>
      <c r="Q15" s="56">
        <f t="shared" si="6"/>
        <v>2591.75</v>
      </c>
      <c r="R15" s="62">
        <f t="shared" si="7"/>
        <v>344410</v>
      </c>
      <c r="S15" s="58">
        <f t="shared" si="8"/>
        <v>10762.8125</v>
      </c>
      <c r="T15" s="82">
        <f t="shared" si="9"/>
        <v>57</v>
      </c>
      <c r="U15" s="61">
        <f t="shared" si="9"/>
        <v>365270</v>
      </c>
      <c r="V15" s="61">
        <f t="shared" si="10"/>
        <v>112050</v>
      </c>
      <c r="W15" s="64">
        <f t="shared" si="11"/>
        <v>477320</v>
      </c>
      <c r="X15" s="83"/>
      <c r="Y15" s="65"/>
      <c r="Z15" s="66">
        <v>0</v>
      </c>
      <c r="AA15" s="66"/>
      <c r="AB15" s="54"/>
      <c r="AC15" s="55" t="e">
        <f t="shared" si="12"/>
        <v>#DIV/0!</v>
      </c>
      <c r="AD15" s="54"/>
      <c r="AE15" s="56" t="e">
        <f t="shared" si="13"/>
        <v>#DIV/0!</v>
      </c>
      <c r="AF15" s="67">
        <f t="shared" si="14"/>
        <v>0</v>
      </c>
      <c r="AG15" s="58" t="e">
        <f t="shared" si="15"/>
        <v>#DIV/0!</v>
      </c>
      <c r="AH15" s="68"/>
      <c r="AI15" s="66">
        <v>21</v>
      </c>
      <c r="AJ15" s="54">
        <v>34800</v>
      </c>
      <c r="AK15" s="55">
        <f t="shared" si="16"/>
        <v>1657.1428571428571</v>
      </c>
      <c r="AL15" s="54">
        <v>20010</v>
      </c>
      <c r="AM15" s="56">
        <f t="shared" si="17"/>
        <v>952.85714285714289</v>
      </c>
      <c r="AN15" s="67">
        <f t="shared" si="28"/>
        <v>54810</v>
      </c>
      <c r="AO15" s="69">
        <f t="shared" si="18"/>
        <v>2610</v>
      </c>
      <c r="AP15" s="70"/>
      <c r="AQ15" s="66"/>
      <c r="AR15" s="54"/>
      <c r="AS15" s="55" t="e">
        <f t="shared" si="19"/>
        <v>#DIV/0!</v>
      </c>
      <c r="AT15" s="54"/>
      <c r="AU15" s="56" t="e">
        <f t="shared" si="20"/>
        <v>#DIV/0!</v>
      </c>
      <c r="AV15" s="56"/>
      <c r="AW15" s="56"/>
      <c r="AX15" s="71">
        <f t="shared" si="31"/>
        <v>0</v>
      </c>
      <c r="AY15" s="69" t="str">
        <f t="shared" si="21"/>
        <v/>
      </c>
      <c r="AZ15" s="84">
        <f t="shared" si="22"/>
        <v>57</v>
      </c>
      <c r="BA15" s="61">
        <f t="shared" si="23"/>
        <v>400070</v>
      </c>
      <c r="BB15" s="61">
        <f t="shared" si="24"/>
        <v>132060</v>
      </c>
      <c r="BC15" s="73">
        <f t="shared" si="33"/>
        <v>532130</v>
      </c>
      <c r="BD15" s="74">
        <f t="shared" si="30"/>
        <v>0</v>
      </c>
      <c r="BE15" s="75">
        <v>57</v>
      </c>
      <c r="BF15" s="76">
        <v>365270</v>
      </c>
      <c r="BG15" s="76">
        <v>112050</v>
      </c>
      <c r="BH15" s="77"/>
      <c r="BI15" s="77"/>
      <c r="BJ15" s="77"/>
      <c r="BK15" s="77"/>
      <c r="BL15" s="78">
        <f t="shared" si="29"/>
        <v>477320</v>
      </c>
      <c r="BM15" s="49">
        <v>11</v>
      </c>
      <c r="BN15" s="79">
        <f t="shared" si="25"/>
        <v>477320</v>
      </c>
    </row>
    <row r="16" spans="1:68" ht="20" customHeight="1">
      <c r="B16" s="80">
        <f t="shared" si="26"/>
        <v>45973</v>
      </c>
      <c r="C16" s="81"/>
      <c r="D16" s="52"/>
      <c r="E16" s="53"/>
      <c r="F16" s="54"/>
      <c r="G16" s="55" t="e">
        <f t="shared" si="0"/>
        <v>#DIV/0!</v>
      </c>
      <c r="H16" s="54"/>
      <c r="I16" s="56" t="e">
        <f t="shared" si="27"/>
        <v>#DIV/0!</v>
      </c>
      <c r="J16" s="57">
        <f t="shared" si="1"/>
        <v>0</v>
      </c>
      <c r="K16" s="58" t="str">
        <f t="shared" si="2"/>
        <v/>
      </c>
      <c r="L16" s="59"/>
      <c r="M16" s="60">
        <f t="shared" si="3"/>
        <v>0</v>
      </c>
      <c r="N16" s="61">
        <f t="shared" si="3"/>
        <v>0</v>
      </c>
      <c r="O16" s="55" t="e">
        <f t="shared" si="4"/>
        <v>#DIV/0!</v>
      </c>
      <c r="P16" s="61">
        <f t="shared" si="5"/>
        <v>0</v>
      </c>
      <c r="Q16" s="56" t="e">
        <f t="shared" si="6"/>
        <v>#DIV/0!</v>
      </c>
      <c r="R16" s="62">
        <f t="shared" si="7"/>
        <v>0</v>
      </c>
      <c r="S16" s="58" t="e">
        <f t="shared" si="8"/>
        <v>#DIV/0!</v>
      </c>
      <c r="T16" s="82">
        <f t="shared" si="9"/>
        <v>0</v>
      </c>
      <c r="U16" s="61">
        <f t="shared" si="9"/>
        <v>0</v>
      </c>
      <c r="V16" s="61">
        <f t="shared" si="10"/>
        <v>0</v>
      </c>
      <c r="W16" s="64">
        <f t="shared" si="11"/>
        <v>0</v>
      </c>
      <c r="X16" s="83"/>
      <c r="Y16" s="65"/>
      <c r="Z16" s="66"/>
      <c r="AA16" s="66"/>
      <c r="AB16" s="54"/>
      <c r="AC16" s="55" t="e">
        <f t="shared" si="12"/>
        <v>#DIV/0!</v>
      </c>
      <c r="AD16" s="54"/>
      <c r="AE16" s="56" t="e">
        <f t="shared" si="13"/>
        <v>#DIV/0!</v>
      </c>
      <c r="AF16" s="67">
        <f t="shared" si="14"/>
        <v>0</v>
      </c>
      <c r="AG16" s="58" t="str">
        <f t="shared" si="15"/>
        <v/>
      </c>
      <c r="AH16" s="68"/>
      <c r="AI16" s="66"/>
      <c r="AJ16" s="54"/>
      <c r="AK16" s="55" t="e">
        <f t="shared" si="16"/>
        <v>#DIV/0!</v>
      </c>
      <c r="AL16" s="54"/>
      <c r="AM16" s="56" t="e">
        <f t="shared" si="17"/>
        <v>#DIV/0!</v>
      </c>
      <c r="AN16" s="67">
        <f t="shared" si="28"/>
        <v>0</v>
      </c>
      <c r="AO16" s="69" t="str">
        <f t="shared" si="18"/>
        <v/>
      </c>
      <c r="AP16" s="70"/>
      <c r="AQ16" s="66"/>
      <c r="AR16" s="54"/>
      <c r="AS16" s="55" t="e">
        <f t="shared" si="19"/>
        <v>#DIV/0!</v>
      </c>
      <c r="AT16" s="54"/>
      <c r="AU16" s="56" t="e">
        <f t="shared" si="20"/>
        <v>#DIV/0!</v>
      </c>
      <c r="AV16" s="56"/>
      <c r="AW16" s="56"/>
      <c r="AX16" s="71">
        <f t="shared" si="31"/>
        <v>0</v>
      </c>
      <c r="AY16" s="69" t="str">
        <f t="shared" si="21"/>
        <v/>
      </c>
      <c r="AZ16" s="84">
        <f t="shared" si="22"/>
        <v>0</v>
      </c>
      <c r="BA16" s="61">
        <f t="shared" si="23"/>
        <v>0</v>
      </c>
      <c r="BB16" s="61">
        <f t="shared" si="24"/>
        <v>0</v>
      </c>
      <c r="BC16" s="73">
        <f t="shared" si="33"/>
        <v>0</v>
      </c>
      <c r="BD16" s="74">
        <f t="shared" si="30"/>
        <v>0</v>
      </c>
      <c r="BE16" s="75"/>
      <c r="BF16" s="76"/>
      <c r="BG16" s="76"/>
      <c r="BH16" s="77"/>
      <c r="BI16" s="77"/>
      <c r="BJ16" s="77"/>
      <c r="BK16" s="77"/>
      <c r="BL16" s="78">
        <f t="shared" si="29"/>
        <v>0</v>
      </c>
      <c r="BM16" s="49">
        <v>12</v>
      </c>
      <c r="BN16" s="79">
        <f t="shared" si="25"/>
        <v>0</v>
      </c>
    </row>
    <row r="17" spans="2:68" ht="20" customHeight="1">
      <c r="B17" s="80">
        <f t="shared" si="26"/>
        <v>45974</v>
      </c>
      <c r="C17" s="86"/>
      <c r="D17" s="52"/>
      <c r="E17" s="53">
        <v>28</v>
      </c>
      <c r="F17" s="54">
        <v>134530</v>
      </c>
      <c r="G17" s="55">
        <f t="shared" si="0"/>
        <v>4367.8571428571431</v>
      </c>
      <c r="H17" s="54">
        <v>23120</v>
      </c>
      <c r="I17" s="56">
        <f t="shared" si="27"/>
        <v>750.64285714285711</v>
      </c>
      <c r="J17" s="57">
        <f t="shared" si="1"/>
        <v>157650</v>
      </c>
      <c r="K17" s="58">
        <f t="shared" si="2"/>
        <v>5630.3571428571431</v>
      </c>
      <c r="L17" s="59"/>
      <c r="M17" s="60">
        <f t="shared" si="3"/>
        <v>30</v>
      </c>
      <c r="N17" s="61">
        <f t="shared" si="3"/>
        <v>279470</v>
      </c>
      <c r="O17" s="55">
        <f t="shared" si="4"/>
        <v>8468.7666666666664</v>
      </c>
      <c r="P17" s="61">
        <f t="shared" si="5"/>
        <v>71390</v>
      </c>
      <c r="Q17" s="56">
        <f t="shared" si="6"/>
        <v>2163.3333333333335</v>
      </c>
      <c r="R17" s="62">
        <f t="shared" si="7"/>
        <v>350860</v>
      </c>
      <c r="S17" s="58">
        <f t="shared" si="8"/>
        <v>11695.333333333334</v>
      </c>
      <c r="T17" s="82">
        <f>E17+M17</f>
        <v>58</v>
      </c>
      <c r="U17" s="61">
        <f t="shared" si="9"/>
        <v>414000</v>
      </c>
      <c r="V17" s="61">
        <f t="shared" si="10"/>
        <v>94510</v>
      </c>
      <c r="W17" s="64">
        <f t="shared" si="11"/>
        <v>508510</v>
      </c>
      <c r="X17" s="83"/>
      <c r="Y17" s="65"/>
      <c r="Z17" s="66">
        <v>4</v>
      </c>
      <c r="AA17" s="66"/>
      <c r="AB17" s="54">
        <v>10000</v>
      </c>
      <c r="AC17" s="55">
        <f t="shared" si="12"/>
        <v>2500</v>
      </c>
      <c r="AD17" s="54">
        <v>1000</v>
      </c>
      <c r="AE17" s="56">
        <f t="shared" si="13"/>
        <v>250</v>
      </c>
      <c r="AF17" s="67">
        <f t="shared" si="14"/>
        <v>11000</v>
      </c>
      <c r="AG17" s="58">
        <f t="shared" si="15"/>
        <v>2750</v>
      </c>
      <c r="AH17" s="68"/>
      <c r="AI17" s="66"/>
      <c r="AJ17" s="54"/>
      <c r="AK17" s="55" t="e">
        <f>AJ17/AI17</f>
        <v>#DIV/0!</v>
      </c>
      <c r="AL17" s="54"/>
      <c r="AM17" s="56" t="e">
        <f>AL17/AI17</f>
        <v>#DIV/0!</v>
      </c>
      <c r="AN17" s="67">
        <f>AJ17+AL17</f>
        <v>0</v>
      </c>
      <c r="AO17" s="69" t="str">
        <f>IF(AI17="","",AN17/AI17)</f>
        <v/>
      </c>
      <c r="AP17" s="70"/>
      <c r="AQ17" s="66"/>
      <c r="AR17" s="54"/>
      <c r="AS17" s="55" t="e">
        <f t="shared" si="19"/>
        <v>#DIV/0!</v>
      </c>
      <c r="AT17" s="54"/>
      <c r="AU17" s="56" t="e">
        <f t="shared" si="20"/>
        <v>#DIV/0!</v>
      </c>
      <c r="AV17" s="56"/>
      <c r="AW17" s="56"/>
      <c r="AX17" s="71">
        <f>AR17+AT17+AV17+AW17-BP17</f>
        <v>0</v>
      </c>
      <c r="AY17" s="69" t="str">
        <f t="shared" si="21"/>
        <v/>
      </c>
      <c r="AZ17" s="84">
        <f t="shared" si="22"/>
        <v>58</v>
      </c>
      <c r="BA17" s="61">
        <f>U17+AB17+AJ17+AR17</f>
        <v>424000</v>
      </c>
      <c r="BB17" s="61">
        <f t="shared" si="24"/>
        <v>95510</v>
      </c>
      <c r="BC17" s="73">
        <f t="shared" si="33"/>
        <v>519510</v>
      </c>
      <c r="BD17" s="74">
        <f t="shared" si="30"/>
        <v>1650</v>
      </c>
      <c r="BE17" s="75">
        <v>58</v>
      </c>
      <c r="BF17" s="76">
        <v>414000</v>
      </c>
      <c r="BG17" s="76">
        <v>94510</v>
      </c>
      <c r="BH17" s="77">
        <v>1650</v>
      </c>
      <c r="BI17" s="77"/>
      <c r="BJ17" s="77"/>
      <c r="BK17" s="77"/>
      <c r="BL17" s="78">
        <f t="shared" si="29"/>
        <v>510160</v>
      </c>
      <c r="BM17" s="49">
        <v>13</v>
      </c>
      <c r="BN17" s="79">
        <f t="shared" si="25"/>
        <v>510160</v>
      </c>
    </row>
    <row r="18" spans="2:68" ht="20" customHeight="1">
      <c r="B18" s="80">
        <f t="shared" si="26"/>
        <v>45975</v>
      </c>
      <c r="C18" s="81"/>
      <c r="D18" s="52"/>
      <c r="E18" s="53">
        <v>31</v>
      </c>
      <c r="F18" s="54">
        <v>129460</v>
      </c>
      <c r="G18" s="55">
        <f t="shared" si="0"/>
        <v>3796.4516129032259</v>
      </c>
      <c r="H18" s="54">
        <v>15720</v>
      </c>
      <c r="I18" s="56">
        <f t="shared" si="27"/>
        <v>460.96774193548384</v>
      </c>
      <c r="J18" s="57">
        <f t="shared" si="1"/>
        <v>145180</v>
      </c>
      <c r="K18" s="58">
        <f t="shared" si="2"/>
        <v>4683.2258064516127</v>
      </c>
      <c r="L18" s="59"/>
      <c r="M18" s="60">
        <f t="shared" si="3"/>
        <v>36</v>
      </c>
      <c r="N18" s="61">
        <f t="shared" si="3"/>
        <v>226160</v>
      </c>
      <c r="O18" s="55">
        <f t="shared" si="4"/>
        <v>5711.1111111111113</v>
      </c>
      <c r="P18" s="61">
        <f t="shared" si="5"/>
        <v>91650</v>
      </c>
      <c r="Q18" s="56">
        <f t="shared" si="6"/>
        <v>2314.3888888888887</v>
      </c>
      <c r="R18" s="62">
        <f t="shared" si="7"/>
        <v>317810</v>
      </c>
      <c r="S18" s="58">
        <f t="shared" si="8"/>
        <v>8828.0555555555547</v>
      </c>
      <c r="T18" s="82">
        <f t="shared" si="9"/>
        <v>67</v>
      </c>
      <c r="U18" s="61">
        <f t="shared" si="9"/>
        <v>355620</v>
      </c>
      <c r="V18" s="61">
        <f t="shared" si="10"/>
        <v>107370</v>
      </c>
      <c r="W18" s="64">
        <f t="shared" si="11"/>
        <v>462990</v>
      </c>
      <c r="X18" s="83"/>
      <c r="Y18" s="65"/>
      <c r="Z18" s="66">
        <v>4</v>
      </c>
      <c r="AA18" s="66"/>
      <c r="AB18" s="54">
        <v>10000</v>
      </c>
      <c r="AC18" s="55">
        <f t="shared" si="12"/>
        <v>2500</v>
      </c>
      <c r="AD18" s="54">
        <v>1000</v>
      </c>
      <c r="AE18" s="56">
        <f t="shared" si="13"/>
        <v>250</v>
      </c>
      <c r="AF18" s="67">
        <f t="shared" si="14"/>
        <v>11000</v>
      </c>
      <c r="AG18" s="58">
        <f t="shared" si="15"/>
        <v>2750</v>
      </c>
      <c r="AH18" s="68"/>
      <c r="AI18" s="66"/>
      <c r="AJ18" s="54"/>
      <c r="AK18" s="55" t="e">
        <f t="shared" si="16"/>
        <v>#DIV/0!</v>
      </c>
      <c r="AL18" s="54"/>
      <c r="AM18" s="56" t="e">
        <f t="shared" si="17"/>
        <v>#DIV/0!</v>
      </c>
      <c r="AN18" s="67">
        <f t="shared" si="28"/>
        <v>0</v>
      </c>
      <c r="AO18" s="69" t="str">
        <f t="shared" si="18"/>
        <v/>
      </c>
      <c r="AP18" s="70"/>
      <c r="AQ18" s="66"/>
      <c r="AR18" s="54"/>
      <c r="AS18" s="55" t="e">
        <f t="shared" si="19"/>
        <v>#DIV/0!</v>
      </c>
      <c r="AT18" s="54"/>
      <c r="AU18" s="56" t="e">
        <f t="shared" si="20"/>
        <v>#DIV/0!</v>
      </c>
      <c r="AV18" s="56"/>
      <c r="AW18" s="56"/>
      <c r="AX18" s="71">
        <f t="shared" ref="AX18:AX35" si="34">AR18+AT18+AV18+AW18</f>
        <v>0</v>
      </c>
      <c r="AY18" s="69" t="str">
        <f t="shared" si="21"/>
        <v/>
      </c>
      <c r="AZ18" s="84">
        <f t="shared" si="22"/>
        <v>67</v>
      </c>
      <c r="BA18" s="61">
        <f t="shared" si="23"/>
        <v>365620</v>
      </c>
      <c r="BB18" s="61">
        <f t="shared" si="24"/>
        <v>108370</v>
      </c>
      <c r="BC18" s="73">
        <f t="shared" si="33"/>
        <v>473990</v>
      </c>
      <c r="BD18" s="74">
        <f t="shared" si="30"/>
        <v>0</v>
      </c>
      <c r="BE18" s="75">
        <v>67</v>
      </c>
      <c r="BF18" s="76">
        <v>355620</v>
      </c>
      <c r="BG18" s="76">
        <v>107370</v>
      </c>
      <c r="BH18" s="77"/>
      <c r="BI18" s="77"/>
      <c r="BJ18" s="77"/>
      <c r="BK18" s="77"/>
      <c r="BL18" s="78">
        <f t="shared" si="29"/>
        <v>462990</v>
      </c>
      <c r="BM18" s="49">
        <v>14</v>
      </c>
      <c r="BN18" s="79">
        <f t="shared" si="25"/>
        <v>462990</v>
      </c>
    </row>
    <row r="19" spans="2:68" ht="20" customHeight="1">
      <c r="B19" s="80">
        <f t="shared" si="26"/>
        <v>45976</v>
      </c>
      <c r="C19" s="81"/>
      <c r="D19" s="52"/>
      <c r="E19" s="53">
        <v>41</v>
      </c>
      <c r="F19" s="54">
        <v>172370</v>
      </c>
      <c r="G19" s="55">
        <f t="shared" si="0"/>
        <v>3821.9512195121952</v>
      </c>
      <c r="H19" s="54">
        <v>36260</v>
      </c>
      <c r="I19" s="56">
        <f t="shared" si="27"/>
        <v>803.97560975609758</v>
      </c>
      <c r="J19" s="57">
        <f t="shared" si="1"/>
        <v>208630</v>
      </c>
      <c r="K19" s="58">
        <f t="shared" si="2"/>
        <v>5088.5365853658541</v>
      </c>
      <c r="L19" s="59"/>
      <c r="M19" s="60">
        <f t="shared" si="3"/>
        <v>27</v>
      </c>
      <c r="N19" s="61">
        <f t="shared" si="3"/>
        <v>310200</v>
      </c>
      <c r="O19" s="55">
        <f t="shared" si="4"/>
        <v>10444.444444444445</v>
      </c>
      <c r="P19" s="61">
        <f t="shared" si="5"/>
        <v>79800</v>
      </c>
      <c r="Q19" s="87">
        <f t="shared" si="6"/>
        <v>2686.8518518518517</v>
      </c>
      <c r="R19" s="62">
        <f t="shared" si="7"/>
        <v>390000</v>
      </c>
      <c r="S19" s="58">
        <f t="shared" si="8"/>
        <v>14444.444444444445</v>
      </c>
      <c r="T19" s="82">
        <f t="shared" si="9"/>
        <v>68</v>
      </c>
      <c r="U19" s="61">
        <f t="shared" si="9"/>
        <v>482570</v>
      </c>
      <c r="V19" s="61">
        <f t="shared" si="10"/>
        <v>116060</v>
      </c>
      <c r="W19" s="64">
        <f t="shared" si="11"/>
        <v>598630</v>
      </c>
      <c r="X19" s="83"/>
      <c r="Y19" s="65"/>
      <c r="Z19" s="66">
        <v>2</v>
      </c>
      <c r="AA19" s="66"/>
      <c r="AB19" s="54">
        <v>5000</v>
      </c>
      <c r="AC19" s="55">
        <f t="shared" si="12"/>
        <v>2500</v>
      </c>
      <c r="AD19" s="54">
        <v>500</v>
      </c>
      <c r="AE19" s="56">
        <f t="shared" si="13"/>
        <v>250</v>
      </c>
      <c r="AF19" s="67">
        <f t="shared" si="14"/>
        <v>5500</v>
      </c>
      <c r="AG19" s="58">
        <f t="shared" si="15"/>
        <v>2750</v>
      </c>
      <c r="AH19" s="68"/>
      <c r="AI19" s="66"/>
      <c r="AJ19" s="54"/>
      <c r="AK19" s="55" t="e">
        <f t="shared" si="16"/>
        <v>#DIV/0!</v>
      </c>
      <c r="AL19" s="54"/>
      <c r="AM19" s="56" t="e">
        <f t="shared" si="17"/>
        <v>#DIV/0!</v>
      </c>
      <c r="AN19" s="67">
        <f t="shared" si="28"/>
        <v>0</v>
      </c>
      <c r="AO19" s="69" t="str">
        <f t="shared" si="18"/>
        <v/>
      </c>
      <c r="AP19" s="70"/>
      <c r="AQ19" s="66"/>
      <c r="AR19" s="54"/>
      <c r="AS19" s="55" t="e">
        <f t="shared" si="19"/>
        <v>#DIV/0!</v>
      </c>
      <c r="AT19" s="54"/>
      <c r="AU19" s="56" t="e">
        <f t="shared" si="20"/>
        <v>#DIV/0!</v>
      </c>
      <c r="AV19" s="56"/>
      <c r="AW19" s="56"/>
      <c r="AX19" s="71">
        <f>AR19+AT19+AV19+AW19</f>
        <v>0</v>
      </c>
      <c r="AY19" s="69" t="str">
        <f t="shared" si="21"/>
        <v/>
      </c>
      <c r="AZ19" s="84">
        <f t="shared" si="22"/>
        <v>68</v>
      </c>
      <c r="BA19" s="61">
        <f t="shared" si="23"/>
        <v>487570</v>
      </c>
      <c r="BB19" s="61">
        <f t="shared" si="24"/>
        <v>116560</v>
      </c>
      <c r="BC19" s="73">
        <f t="shared" si="33"/>
        <v>604130</v>
      </c>
      <c r="BD19" s="74">
        <f t="shared" si="30"/>
        <v>0</v>
      </c>
      <c r="BE19" s="75">
        <v>68</v>
      </c>
      <c r="BF19" s="76">
        <v>482570</v>
      </c>
      <c r="BG19" s="76">
        <v>116060</v>
      </c>
      <c r="BH19" s="77"/>
      <c r="BI19" s="77"/>
      <c r="BJ19" s="77"/>
      <c r="BK19" s="77"/>
      <c r="BL19" s="78">
        <f t="shared" si="29"/>
        <v>598630</v>
      </c>
      <c r="BM19" s="49">
        <v>15</v>
      </c>
      <c r="BN19" s="79">
        <f t="shared" si="25"/>
        <v>598630</v>
      </c>
    </row>
    <row r="20" spans="2:68" ht="20" customHeight="1">
      <c r="B20" s="80">
        <f t="shared" si="26"/>
        <v>45977</v>
      </c>
      <c r="C20" s="81"/>
      <c r="D20" s="52"/>
      <c r="E20" s="53">
        <v>39</v>
      </c>
      <c r="F20" s="54">
        <v>179850</v>
      </c>
      <c r="G20" s="55">
        <f t="shared" si="0"/>
        <v>4192.3076923076924</v>
      </c>
      <c r="H20" s="54">
        <v>33270</v>
      </c>
      <c r="I20" s="56">
        <f t="shared" si="27"/>
        <v>775.51282051282055</v>
      </c>
      <c r="J20" s="57">
        <f t="shared" si="1"/>
        <v>213120</v>
      </c>
      <c r="K20" s="58">
        <f t="shared" si="2"/>
        <v>5464.6153846153848</v>
      </c>
      <c r="L20" s="59"/>
      <c r="M20" s="60">
        <f t="shared" si="3"/>
        <v>20</v>
      </c>
      <c r="N20" s="61">
        <f t="shared" si="3"/>
        <v>211160</v>
      </c>
      <c r="O20" s="55">
        <f t="shared" si="4"/>
        <v>9598.15</v>
      </c>
      <c r="P20" s="61">
        <f t="shared" si="5"/>
        <v>42100</v>
      </c>
      <c r="Q20" s="87">
        <f t="shared" si="6"/>
        <v>1913.6</v>
      </c>
      <c r="R20" s="62">
        <f t="shared" si="7"/>
        <v>253260</v>
      </c>
      <c r="S20" s="58">
        <f t="shared" si="8"/>
        <v>12663</v>
      </c>
      <c r="T20" s="82">
        <f t="shared" si="9"/>
        <v>59</v>
      </c>
      <c r="U20" s="61">
        <f t="shared" si="9"/>
        <v>391010</v>
      </c>
      <c r="V20" s="61">
        <f t="shared" si="10"/>
        <v>75370</v>
      </c>
      <c r="W20" s="64">
        <f t="shared" si="11"/>
        <v>466380</v>
      </c>
      <c r="X20" s="83"/>
      <c r="Y20" s="65"/>
      <c r="Z20" s="66">
        <v>3</v>
      </c>
      <c r="AA20" s="66"/>
      <c r="AB20" s="54">
        <v>7500</v>
      </c>
      <c r="AC20" s="55">
        <f t="shared" si="12"/>
        <v>2500</v>
      </c>
      <c r="AD20" s="54">
        <v>750</v>
      </c>
      <c r="AE20" s="56">
        <f t="shared" si="13"/>
        <v>250</v>
      </c>
      <c r="AF20" s="67">
        <f t="shared" si="14"/>
        <v>8250</v>
      </c>
      <c r="AG20" s="58">
        <f t="shared" si="15"/>
        <v>2750</v>
      </c>
      <c r="AH20" s="68"/>
      <c r="AI20" s="66"/>
      <c r="AJ20" s="54"/>
      <c r="AK20" s="55" t="e">
        <f t="shared" si="16"/>
        <v>#DIV/0!</v>
      </c>
      <c r="AL20" s="54"/>
      <c r="AM20" s="56" t="e">
        <f t="shared" si="17"/>
        <v>#DIV/0!</v>
      </c>
      <c r="AN20" s="67">
        <f t="shared" si="28"/>
        <v>0</v>
      </c>
      <c r="AO20" s="69" t="str">
        <f t="shared" si="18"/>
        <v/>
      </c>
      <c r="AP20" s="70"/>
      <c r="AQ20" s="66"/>
      <c r="AR20" s="54"/>
      <c r="AS20" s="55" t="e">
        <f t="shared" si="19"/>
        <v>#DIV/0!</v>
      </c>
      <c r="AT20" s="54"/>
      <c r="AU20" s="56" t="e">
        <f t="shared" si="20"/>
        <v>#DIV/0!</v>
      </c>
      <c r="AV20" s="56"/>
      <c r="AW20" s="56"/>
      <c r="AX20" s="71">
        <f t="shared" si="34"/>
        <v>0</v>
      </c>
      <c r="AY20" s="69" t="str">
        <f t="shared" si="21"/>
        <v/>
      </c>
      <c r="AZ20" s="84">
        <f t="shared" si="22"/>
        <v>59</v>
      </c>
      <c r="BA20" s="61">
        <f t="shared" si="23"/>
        <v>398510</v>
      </c>
      <c r="BB20" s="61">
        <f t="shared" si="24"/>
        <v>76120</v>
      </c>
      <c r="BC20" s="73">
        <f>W20+AF20+AN20+AX20</f>
        <v>474630</v>
      </c>
      <c r="BD20" s="74">
        <f t="shared" si="30"/>
        <v>6600</v>
      </c>
      <c r="BE20" s="223">
        <v>59</v>
      </c>
      <c r="BF20" s="224">
        <v>391010</v>
      </c>
      <c r="BG20" s="76">
        <v>75370</v>
      </c>
      <c r="BH20" s="77">
        <v>6600</v>
      </c>
      <c r="BI20" s="77"/>
      <c r="BJ20" s="77"/>
      <c r="BK20" s="77"/>
      <c r="BL20" s="78">
        <f t="shared" si="29"/>
        <v>472980</v>
      </c>
      <c r="BM20" s="49">
        <v>16</v>
      </c>
      <c r="BN20" s="79">
        <f t="shared" si="25"/>
        <v>472980</v>
      </c>
    </row>
    <row r="21" spans="2:68" ht="20" customHeight="1">
      <c r="B21" s="80">
        <f t="shared" si="26"/>
        <v>45978</v>
      </c>
      <c r="C21" s="81"/>
      <c r="D21" s="52"/>
      <c r="E21" s="53">
        <v>27</v>
      </c>
      <c r="F21" s="54">
        <v>105930</v>
      </c>
      <c r="G21" s="55">
        <f>ROUNDDOWN(F21/1.1,0)/E21</f>
        <v>3566.6666666666665</v>
      </c>
      <c r="H21" s="54">
        <v>19350</v>
      </c>
      <c r="I21" s="56">
        <f t="shared" si="27"/>
        <v>651.48148148148152</v>
      </c>
      <c r="J21" s="57">
        <f t="shared" si="1"/>
        <v>125280</v>
      </c>
      <c r="K21" s="58">
        <f t="shared" si="2"/>
        <v>4640</v>
      </c>
      <c r="L21" s="59"/>
      <c r="M21" s="60">
        <f t="shared" si="3"/>
        <v>13</v>
      </c>
      <c r="N21" s="61">
        <f t="shared" si="3"/>
        <v>126900</v>
      </c>
      <c r="O21" s="55">
        <f t="shared" si="4"/>
        <v>8874.0769230769238</v>
      </c>
      <c r="P21" s="61">
        <f t="shared" si="5"/>
        <v>20910</v>
      </c>
      <c r="Q21" s="87">
        <f t="shared" si="6"/>
        <v>1462.2307692307693</v>
      </c>
      <c r="R21" s="62">
        <f>N21+P21</f>
        <v>147810</v>
      </c>
      <c r="S21" s="58">
        <f t="shared" si="8"/>
        <v>11370</v>
      </c>
      <c r="T21" s="82">
        <f t="shared" si="9"/>
        <v>40</v>
      </c>
      <c r="U21" s="61">
        <f t="shared" si="9"/>
        <v>232830</v>
      </c>
      <c r="V21" s="61">
        <f t="shared" si="10"/>
        <v>40260</v>
      </c>
      <c r="W21" s="64">
        <f t="shared" si="11"/>
        <v>273090</v>
      </c>
      <c r="X21" s="83"/>
      <c r="Y21" s="65"/>
      <c r="Z21" s="66">
        <v>0</v>
      </c>
      <c r="AA21" s="66"/>
      <c r="AB21" s="54"/>
      <c r="AC21" s="55" t="e">
        <f t="shared" si="12"/>
        <v>#DIV/0!</v>
      </c>
      <c r="AD21" s="54"/>
      <c r="AE21" s="56" t="e">
        <f t="shared" si="13"/>
        <v>#DIV/0!</v>
      </c>
      <c r="AF21" s="67">
        <f t="shared" si="14"/>
        <v>0</v>
      </c>
      <c r="AG21" s="58" t="e">
        <f t="shared" si="15"/>
        <v>#DIV/0!</v>
      </c>
      <c r="AH21" s="68"/>
      <c r="AI21" s="66"/>
      <c r="AJ21" s="54"/>
      <c r="AK21" s="55" t="e">
        <f t="shared" si="16"/>
        <v>#DIV/0!</v>
      </c>
      <c r="AL21" s="54"/>
      <c r="AM21" s="56" t="e">
        <f t="shared" si="17"/>
        <v>#DIV/0!</v>
      </c>
      <c r="AN21" s="67">
        <f t="shared" si="28"/>
        <v>0</v>
      </c>
      <c r="AO21" s="69" t="str">
        <f t="shared" si="18"/>
        <v/>
      </c>
      <c r="AP21" s="70"/>
      <c r="AQ21" s="66"/>
      <c r="AR21" s="54"/>
      <c r="AS21" s="55" t="e">
        <f t="shared" si="19"/>
        <v>#DIV/0!</v>
      </c>
      <c r="AT21" s="54"/>
      <c r="AU21" s="56" t="e">
        <f t="shared" si="20"/>
        <v>#DIV/0!</v>
      </c>
      <c r="AV21" s="56"/>
      <c r="AW21" s="56"/>
      <c r="AX21" s="71">
        <f t="shared" si="34"/>
        <v>0</v>
      </c>
      <c r="AY21" s="69" t="str">
        <f t="shared" si="21"/>
        <v/>
      </c>
      <c r="AZ21" s="84">
        <f t="shared" si="22"/>
        <v>40</v>
      </c>
      <c r="BA21" s="61">
        <f t="shared" si="23"/>
        <v>232830</v>
      </c>
      <c r="BB21" s="61">
        <f t="shared" si="24"/>
        <v>40260</v>
      </c>
      <c r="BC21" s="73">
        <f>W21+AF21+AN21+AX21-BO21</f>
        <v>273090</v>
      </c>
      <c r="BD21" s="74">
        <f t="shared" si="30"/>
        <v>2200</v>
      </c>
      <c r="BE21" s="75">
        <v>40</v>
      </c>
      <c r="BF21" s="76">
        <v>232830</v>
      </c>
      <c r="BG21" s="76">
        <v>40260</v>
      </c>
      <c r="BH21" s="77">
        <v>2200</v>
      </c>
      <c r="BI21" s="77"/>
      <c r="BJ21" s="77"/>
      <c r="BK21" s="77"/>
      <c r="BL21" s="78">
        <f t="shared" si="29"/>
        <v>275290</v>
      </c>
      <c r="BM21" s="49">
        <v>17</v>
      </c>
      <c r="BN21" s="79">
        <f t="shared" si="25"/>
        <v>275290</v>
      </c>
    </row>
    <row r="22" spans="2:68" ht="20" customHeight="1">
      <c r="B22" s="80">
        <f t="shared" si="26"/>
        <v>45979</v>
      </c>
      <c r="C22" s="81"/>
      <c r="D22" s="52"/>
      <c r="E22" s="53">
        <v>29</v>
      </c>
      <c r="F22" s="54">
        <v>107800</v>
      </c>
      <c r="G22" s="55">
        <f t="shared" si="0"/>
        <v>3379.3103448275861</v>
      </c>
      <c r="H22" s="54">
        <v>11500</v>
      </c>
      <c r="I22" s="56">
        <f t="shared" si="27"/>
        <v>360.48275862068965</v>
      </c>
      <c r="J22" s="57">
        <f t="shared" si="1"/>
        <v>119300</v>
      </c>
      <c r="K22" s="58">
        <f t="shared" si="2"/>
        <v>4113.7931034482763</v>
      </c>
      <c r="L22" s="59"/>
      <c r="M22" s="60">
        <f>BE22-E22</f>
        <v>13</v>
      </c>
      <c r="N22" s="61">
        <f t="shared" si="3"/>
        <v>87780</v>
      </c>
      <c r="O22" s="55">
        <f t="shared" si="4"/>
        <v>6138.4615384615381</v>
      </c>
      <c r="P22" s="61">
        <f t="shared" si="5"/>
        <v>31280</v>
      </c>
      <c r="Q22" s="87">
        <f t="shared" si="6"/>
        <v>2187.3846153846152</v>
      </c>
      <c r="R22" s="62">
        <f t="shared" si="7"/>
        <v>119060</v>
      </c>
      <c r="S22" s="58">
        <f t="shared" si="8"/>
        <v>9158.461538461539</v>
      </c>
      <c r="T22" s="82">
        <f t="shared" si="9"/>
        <v>42</v>
      </c>
      <c r="U22" s="61">
        <f t="shared" si="9"/>
        <v>195580</v>
      </c>
      <c r="V22" s="61">
        <f t="shared" si="10"/>
        <v>42780</v>
      </c>
      <c r="W22" s="64">
        <f t="shared" si="11"/>
        <v>238360</v>
      </c>
      <c r="X22" s="83"/>
      <c r="Y22" s="65"/>
      <c r="Z22" s="66">
        <v>0</v>
      </c>
      <c r="AA22" s="66"/>
      <c r="AB22" s="54"/>
      <c r="AC22" s="55" t="e">
        <f t="shared" si="12"/>
        <v>#DIV/0!</v>
      </c>
      <c r="AD22" s="54"/>
      <c r="AE22" s="56" t="e">
        <f t="shared" si="13"/>
        <v>#DIV/0!</v>
      </c>
      <c r="AF22" s="67">
        <f t="shared" si="14"/>
        <v>0</v>
      </c>
      <c r="AG22" s="58" t="e">
        <f t="shared" si="15"/>
        <v>#DIV/0!</v>
      </c>
      <c r="AH22" s="68"/>
      <c r="AI22" s="66">
        <v>19</v>
      </c>
      <c r="AJ22" s="54">
        <v>107445</v>
      </c>
      <c r="AK22" s="55">
        <f t="shared" si="16"/>
        <v>5655</v>
      </c>
      <c r="AL22" s="54">
        <v>24795</v>
      </c>
      <c r="AM22" s="56">
        <f t="shared" si="17"/>
        <v>1305</v>
      </c>
      <c r="AN22" s="67">
        <f t="shared" si="28"/>
        <v>132240</v>
      </c>
      <c r="AO22" s="69">
        <f t="shared" si="18"/>
        <v>6960</v>
      </c>
      <c r="AP22" s="70"/>
      <c r="AQ22" s="66"/>
      <c r="AR22" s="54"/>
      <c r="AS22" s="55" t="e">
        <f t="shared" si="19"/>
        <v>#DIV/0!</v>
      </c>
      <c r="AT22" s="54"/>
      <c r="AU22" s="56" t="e">
        <f t="shared" si="20"/>
        <v>#DIV/0!</v>
      </c>
      <c r="AV22" s="56"/>
      <c r="AW22" s="56"/>
      <c r="AX22" s="71">
        <f t="shared" si="34"/>
        <v>0</v>
      </c>
      <c r="AY22" s="69" t="str">
        <f t="shared" si="21"/>
        <v/>
      </c>
      <c r="AZ22" s="84">
        <f t="shared" si="22"/>
        <v>42</v>
      </c>
      <c r="BA22" s="61">
        <f>U22+AB22+AJ22+AR22</f>
        <v>303025</v>
      </c>
      <c r="BB22" s="61">
        <f t="shared" si="24"/>
        <v>67575</v>
      </c>
      <c r="BC22" s="73">
        <f>W22+AF22+AN22+AX22-BO22</f>
        <v>370600</v>
      </c>
      <c r="BD22" s="74">
        <f t="shared" si="30"/>
        <v>0</v>
      </c>
      <c r="BE22" s="75">
        <v>42</v>
      </c>
      <c r="BF22" s="76">
        <v>195580</v>
      </c>
      <c r="BG22" s="76">
        <v>42780</v>
      </c>
      <c r="BH22" s="77"/>
      <c r="BI22" s="77"/>
      <c r="BJ22" s="77"/>
      <c r="BK22" s="77">
        <v>7040</v>
      </c>
      <c r="BL22" s="78">
        <f t="shared" si="29"/>
        <v>238360</v>
      </c>
      <c r="BM22" s="49">
        <v>18</v>
      </c>
      <c r="BN22" s="79">
        <f t="shared" si="25"/>
        <v>245400</v>
      </c>
      <c r="BP22" s="85"/>
    </row>
    <row r="23" spans="2:68" ht="20" customHeight="1">
      <c r="B23" s="80">
        <f t="shared" si="26"/>
        <v>45980</v>
      </c>
      <c r="C23" s="81"/>
      <c r="D23" s="52"/>
      <c r="E23" s="53">
        <v>31</v>
      </c>
      <c r="F23" s="54">
        <v>119900</v>
      </c>
      <c r="G23" s="55">
        <f t="shared" si="0"/>
        <v>3516.1290322580644</v>
      </c>
      <c r="H23" s="54">
        <v>30810</v>
      </c>
      <c r="I23" s="56">
        <f t="shared" si="27"/>
        <v>903.51612903225805</v>
      </c>
      <c r="J23" s="57">
        <f t="shared" si="1"/>
        <v>150710</v>
      </c>
      <c r="K23" s="58">
        <f t="shared" si="2"/>
        <v>4861.6129032258068</v>
      </c>
      <c r="L23" s="59"/>
      <c r="M23" s="60">
        <f t="shared" si="3"/>
        <v>17</v>
      </c>
      <c r="N23" s="61">
        <f t="shared" si="3"/>
        <v>172480</v>
      </c>
      <c r="O23" s="55">
        <f t="shared" si="4"/>
        <v>9223.5294117647063</v>
      </c>
      <c r="P23" s="61">
        <f t="shared" si="5"/>
        <v>99280</v>
      </c>
      <c r="Q23" s="87">
        <f t="shared" si="6"/>
        <v>5309.0588235294117</v>
      </c>
      <c r="R23" s="62">
        <f t="shared" si="7"/>
        <v>271760</v>
      </c>
      <c r="S23" s="58">
        <f t="shared" si="8"/>
        <v>15985.882352941177</v>
      </c>
      <c r="T23" s="82">
        <f t="shared" si="9"/>
        <v>48</v>
      </c>
      <c r="U23" s="61">
        <f t="shared" si="9"/>
        <v>292380</v>
      </c>
      <c r="V23" s="61">
        <f t="shared" si="10"/>
        <v>130090</v>
      </c>
      <c r="W23" s="64">
        <f t="shared" si="11"/>
        <v>422470</v>
      </c>
      <c r="X23" s="83"/>
      <c r="Y23" s="65"/>
      <c r="Z23" s="66">
        <v>2</v>
      </c>
      <c r="AA23" s="66"/>
      <c r="AB23" s="54">
        <v>5000</v>
      </c>
      <c r="AC23" s="55">
        <f t="shared" si="12"/>
        <v>2500</v>
      </c>
      <c r="AD23" s="54">
        <v>500</v>
      </c>
      <c r="AE23" s="56">
        <f t="shared" si="13"/>
        <v>250</v>
      </c>
      <c r="AF23" s="67">
        <f t="shared" si="14"/>
        <v>5500</v>
      </c>
      <c r="AG23" s="58">
        <f t="shared" si="15"/>
        <v>2750</v>
      </c>
      <c r="AH23" s="68"/>
      <c r="AI23" s="66"/>
      <c r="AJ23" s="54"/>
      <c r="AK23" s="55" t="e">
        <f t="shared" si="16"/>
        <v>#DIV/0!</v>
      </c>
      <c r="AL23" s="54"/>
      <c r="AM23" s="56" t="e">
        <f t="shared" si="17"/>
        <v>#DIV/0!</v>
      </c>
      <c r="AN23" s="67">
        <f t="shared" si="28"/>
        <v>0</v>
      </c>
      <c r="AO23" s="69" t="str">
        <f t="shared" si="18"/>
        <v/>
      </c>
      <c r="AP23" s="70"/>
      <c r="AQ23" s="66"/>
      <c r="AR23" s="54"/>
      <c r="AS23" s="55" t="e">
        <f t="shared" si="19"/>
        <v>#DIV/0!</v>
      </c>
      <c r="AT23" s="54"/>
      <c r="AU23" s="56" t="e">
        <f t="shared" si="20"/>
        <v>#DIV/0!</v>
      </c>
      <c r="AV23" s="56"/>
      <c r="AW23" s="56"/>
      <c r="AX23" s="71">
        <f t="shared" si="34"/>
        <v>0</v>
      </c>
      <c r="AY23" s="69" t="str">
        <f>IF(AQ23="","",AX23/AQ23)</f>
        <v/>
      </c>
      <c r="AZ23" s="84">
        <f t="shared" si="22"/>
        <v>48</v>
      </c>
      <c r="BA23" s="61">
        <f t="shared" si="23"/>
        <v>297380</v>
      </c>
      <c r="BB23" s="61">
        <f t="shared" si="24"/>
        <v>130590</v>
      </c>
      <c r="BC23" s="73">
        <f>W23+AF23+AN23+AX23</f>
        <v>427970</v>
      </c>
      <c r="BD23" s="74">
        <f t="shared" si="30"/>
        <v>4400</v>
      </c>
      <c r="BE23" s="75">
        <v>48</v>
      </c>
      <c r="BF23" s="76">
        <v>292380</v>
      </c>
      <c r="BG23" s="76">
        <v>130090</v>
      </c>
      <c r="BH23" s="77">
        <v>4400</v>
      </c>
      <c r="BI23" s="77"/>
      <c r="BJ23" s="77"/>
      <c r="BK23" s="77"/>
      <c r="BL23" s="78">
        <f>SUM(BF23:BI23)</f>
        <v>426870</v>
      </c>
      <c r="BM23" s="49">
        <v>19</v>
      </c>
      <c r="BN23" s="79">
        <f t="shared" si="25"/>
        <v>426870</v>
      </c>
    </row>
    <row r="24" spans="2:68" ht="20" customHeight="1">
      <c r="B24" s="80">
        <f t="shared" si="26"/>
        <v>45981</v>
      </c>
      <c r="C24" s="81"/>
      <c r="D24" s="52"/>
      <c r="E24" s="53">
        <v>18</v>
      </c>
      <c r="F24" s="54">
        <v>79860</v>
      </c>
      <c r="G24" s="55">
        <f t="shared" si="0"/>
        <v>4033.3333333333335</v>
      </c>
      <c r="H24" s="54">
        <v>14530</v>
      </c>
      <c r="I24" s="56">
        <f t="shared" si="27"/>
        <v>733.83333333333337</v>
      </c>
      <c r="J24" s="57">
        <f t="shared" si="1"/>
        <v>94390</v>
      </c>
      <c r="K24" s="58">
        <f t="shared" si="2"/>
        <v>5243.8888888888887</v>
      </c>
      <c r="L24" s="59"/>
      <c r="M24" s="60">
        <f t="shared" si="3"/>
        <v>23</v>
      </c>
      <c r="N24" s="61">
        <f t="shared" si="3"/>
        <v>183750</v>
      </c>
      <c r="O24" s="55">
        <f t="shared" si="4"/>
        <v>7262.826086956522</v>
      </c>
      <c r="P24" s="61">
        <f t="shared" si="5"/>
        <v>61031</v>
      </c>
      <c r="Q24" s="87">
        <f t="shared" si="6"/>
        <v>2412.2608695652175</v>
      </c>
      <c r="R24" s="62">
        <f t="shared" si="7"/>
        <v>244781</v>
      </c>
      <c r="S24" s="58">
        <f t="shared" si="8"/>
        <v>10642.652173913044</v>
      </c>
      <c r="T24" s="82">
        <f t="shared" si="9"/>
        <v>41</v>
      </c>
      <c r="U24" s="61">
        <f t="shared" si="9"/>
        <v>263610</v>
      </c>
      <c r="V24" s="61">
        <f t="shared" si="10"/>
        <v>75561</v>
      </c>
      <c r="W24" s="64">
        <f t="shared" si="11"/>
        <v>339171</v>
      </c>
      <c r="X24" s="83"/>
      <c r="Y24" s="65"/>
      <c r="Z24" s="66">
        <v>0</v>
      </c>
      <c r="AA24" s="66"/>
      <c r="AB24" s="54"/>
      <c r="AC24" s="55" t="e">
        <f t="shared" si="12"/>
        <v>#DIV/0!</v>
      </c>
      <c r="AD24" s="54"/>
      <c r="AE24" s="56" t="e">
        <f t="shared" si="13"/>
        <v>#DIV/0!</v>
      </c>
      <c r="AF24" s="67">
        <f t="shared" si="14"/>
        <v>0</v>
      </c>
      <c r="AG24" s="58" t="e">
        <f t="shared" si="15"/>
        <v>#DIV/0!</v>
      </c>
      <c r="AH24" s="68"/>
      <c r="AI24" s="66"/>
      <c r="AJ24" s="54"/>
      <c r="AK24" s="55" t="e">
        <f t="shared" si="16"/>
        <v>#DIV/0!</v>
      </c>
      <c r="AL24" s="54"/>
      <c r="AM24" s="56" t="e">
        <f t="shared" si="17"/>
        <v>#DIV/0!</v>
      </c>
      <c r="AN24" s="67">
        <f t="shared" si="28"/>
        <v>0</v>
      </c>
      <c r="AO24" s="69" t="str">
        <f t="shared" si="18"/>
        <v/>
      </c>
      <c r="AP24" s="70"/>
      <c r="AQ24" s="66"/>
      <c r="AR24" s="54"/>
      <c r="AS24" s="55" t="e">
        <f t="shared" si="19"/>
        <v>#DIV/0!</v>
      </c>
      <c r="AT24" s="54"/>
      <c r="AU24" s="56" t="e">
        <f t="shared" si="20"/>
        <v>#DIV/0!</v>
      </c>
      <c r="AV24" s="56"/>
      <c r="AW24" s="56"/>
      <c r="AX24" s="71">
        <f t="shared" si="34"/>
        <v>0</v>
      </c>
      <c r="AY24" s="69" t="str">
        <f t="shared" si="21"/>
        <v/>
      </c>
      <c r="AZ24" s="84">
        <f t="shared" si="22"/>
        <v>41</v>
      </c>
      <c r="BA24" s="61">
        <f t="shared" si="23"/>
        <v>263610</v>
      </c>
      <c r="BB24" s="61">
        <f t="shared" si="24"/>
        <v>75561</v>
      </c>
      <c r="BC24" s="73">
        <f>W24+AF24+AN24+AX24</f>
        <v>339171</v>
      </c>
      <c r="BD24" s="74">
        <f t="shared" si="30"/>
        <v>8800</v>
      </c>
      <c r="BE24" s="75">
        <v>41</v>
      </c>
      <c r="BF24" s="76">
        <v>263610</v>
      </c>
      <c r="BG24" s="76">
        <v>75561</v>
      </c>
      <c r="BH24" s="77">
        <v>8800</v>
      </c>
      <c r="BI24" s="77"/>
      <c r="BJ24" s="77"/>
      <c r="BK24" s="77"/>
      <c r="BL24" s="78">
        <f t="shared" si="29"/>
        <v>347971</v>
      </c>
      <c r="BM24" s="49">
        <v>20</v>
      </c>
      <c r="BN24" s="79">
        <f t="shared" si="25"/>
        <v>347971</v>
      </c>
    </row>
    <row r="25" spans="2:68" ht="20" customHeight="1">
      <c r="B25" s="80">
        <f t="shared" si="26"/>
        <v>45982</v>
      </c>
      <c r="C25" s="81"/>
      <c r="D25" s="52"/>
      <c r="E25" s="53">
        <v>19</v>
      </c>
      <c r="F25" s="54">
        <v>75240</v>
      </c>
      <c r="G25" s="55">
        <f t="shared" si="0"/>
        <v>3600</v>
      </c>
      <c r="H25" s="54">
        <v>12990</v>
      </c>
      <c r="I25" s="56">
        <f t="shared" si="27"/>
        <v>621.52631578947364</v>
      </c>
      <c r="J25" s="57">
        <f t="shared" si="1"/>
        <v>88230</v>
      </c>
      <c r="K25" s="58">
        <f t="shared" si="2"/>
        <v>4643.6842105263158</v>
      </c>
      <c r="L25" s="59"/>
      <c r="M25" s="60">
        <f t="shared" si="3"/>
        <v>33</v>
      </c>
      <c r="N25" s="61">
        <f t="shared" si="3"/>
        <v>241850</v>
      </c>
      <c r="O25" s="55">
        <f t="shared" si="4"/>
        <v>6662.515151515152</v>
      </c>
      <c r="P25" s="61">
        <f t="shared" si="5"/>
        <v>161710</v>
      </c>
      <c r="Q25" s="87">
        <f t="shared" si="6"/>
        <v>4454.818181818182</v>
      </c>
      <c r="R25" s="62">
        <f t="shared" si="7"/>
        <v>403560</v>
      </c>
      <c r="S25" s="58">
        <f t="shared" si="8"/>
        <v>12229.09090909091</v>
      </c>
      <c r="T25" s="82">
        <f t="shared" si="9"/>
        <v>52</v>
      </c>
      <c r="U25" s="61">
        <f t="shared" si="9"/>
        <v>317090</v>
      </c>
      <c r="V25" s="61">
        <f t="shared" si="10"/>
        <v>174700</v>
      </c>
      <c r="W25" s="64">
        <f t="shared" si="11"/>
        <v>491790</v>
      </c>
      <c r="X25" s="83"/>
      <c r="Y25" s="65"/>
      <c r="Z25" s="66">
        <v>0</v>
      </c>
      <c r="AA25" s="66"/>
      <c r="AB25" s="54"/>
      <c r="AC25" s="55" t="e">
        <f t="shared" si="12"/>
        <v>#DIV/0!</v>
      </c>
      <c r="AD25" s="54"/>
      <c r="AE25" s="56" t="e">
        <f t="shared" si="13"/>
        <v>#DIV/0!</v>
      </c>
      <c r="AF25" s="67">
        <f t="shared" si="14"/>
        <v>0</v>
      </c>
      <c r="AG25" s="58" t="e">
        <f t="shared" si="15"/>
        <v>#DIV/0!</v>
      </c>
      <c r="AH25" s="68"/>
      <c r="AI25" s="66"/>
      <c r="AJ25" s="54"/>
      <c r="AK25" s="55" t="e">
        <f t="shared" si="16"/>
        <v>#DIV/0!</v>
      </c>
      <c r="AL25" s="54"/>
      <c r="AM25" s="56" t="e">
        <f t="shared" si="17"/>
        <v>#DIV/0!</v>
      </c>
      <c r="AN25" s="67">
        <f t="shared" si="28"/>
        <v>0</v>
      </c>
      <c r="AO25" s="69" t="str">
        <f t="shared" si="18"/>
        <v/>
      </c>
      <c r="AP25" s="70"/>
      <c r="AQ25" s="66"/>
      <c r="AR25" s="54"/>
      <c r="AS25" s="55" t="e">
        <f t="shared" si="19"/>
        <v>#DIV/0!</v>
      </c>
      <c r="AT25" s="54"/>
      <c r="AU25" s="56" t="e">
        <f t="shared" si="20"/>
        <v>#DIV/0!</v>
      </c>
      <c r="AV25" s="56"/>
      <c r="AW25" s="56"/>
      <c r="AX25" s="71">
        <f t="shared" si="34"/>
        <v>0</v>
      </c>
      <c r="AY25" s="69" t="str">
        <f t="shared" si="21"/>
        <v/>
      </c>
      <c r="AZ25" s="84">
        <f t="shared" si="22"/>
        <v>52</v>
      </c>
      <c r="BA25" s="61">
        <f t="shared" si="23"/>
        <v>317090</v>
      </c>
      <c r="BB25" s="61">
        <f t="shared" si="24"/>
        <v>174700</v>
      </c>
      <c r="BC25" s="73">
        <f>W25+AF25+AN25+AX25-BO25</f>
        <v>491790</v>
      </c>
      <c r="BD25" s="74">
        <f t="shared" si="30"/>
        <v>0</v>
      </c>
      <c r="BE25" s="75">
        <v>52</v>
      </c>
      <c r="BF25" s="76">
        <v>317090</v>
      </c>
      <c r="BG25" s="76">
        <v>174700</v>
      </c>
      <c r="BH25" s="77"/>
      <c r="BI25" s="77"/>
      <c r="BJ25" s="77"/>
      <c r="BK25" s="77"/>
      <c r="BL25" s="78">
        <f t="shared" si="29"/>
        <v>491790</v>
      </c>
      <c r="BM25" s="49">
        <v>21</v>
      </c>
      <c r="BN25" s="79">
        <f t="shared" si="25"/>
        <v>491790</v>
      </c>
    </row>
    <row r="26" spans="2:68" ht="20" customHeight="1">
      <c r="B26" s="80">
        <f t="shared" si="26"/>
        <v>45983</v>
      </c>
      <c r="C26" s="81"/>
      <c r="D26" s="52"/>
      <c r="E26" s="53">
        <v>33</v>
      </c>
      <c r="F26" s="54">
        <v>142450</v>
      </c>
      <c r="G26" s="55">
        <f t="shared" si="0"/>
        <v>3924.242424242424</v>
      </c>
      <c r="H26" s="54">
        <v>32810</v>
      </c>
      <c r="I26" s="56">
        <f t="shared" si="27"/>
        <v>903.84848484848487</v>
      </c>
      <c r="J26" s="57">
        <f t="shared" si="1"/>
        <v>175260</v>
      </c>
      <c r="K26" s="58">
        <f t="shared" si="2"/>
        <v>5310.909090909091</v>
      </c>
      <c r="L26" s="59"/>
      <c r="M26" s="60">
        <f t="shared" si="3"/>
        <v>30</v>
      </c>
      <c r="N26" s="61">
        <f t="shared" si="3"/>
        <v>351950</v>
      </c>
      <c r="O26" s="55">
        <f t="shared" si="4"/>
        <v>10665.133333333333</v>
      </c>
      <c r="P26" s="61">
        <f t="shared" si="5"/>
        <v>58110</v>
      </c>
      <c r="Q26" s="87">
        <f t="shared" si="6"/>
        <v>1760.9</v>
      </c>
      <c r="R26" s="62">
        <f t="shared" si="7"/>
        <v>410060</v>
      </c>
      <c r="S26" s="58">
        <f t="shared" si="8"/>
        <v>13668.666666666666</v>
      </c>
      <c r="T26" s="82">
        <f t="shared" si="9"/>
        <v>63</v>
      </c>
      <c r="U26" s="61">
        <f t="shared" si="9"/>
        <v>494400</v>
      </c>
      <c r="V26" s="61">
        <f t="shared" si="10"/>
        <v>90920</v>
      </c>
      <c r="W26" s="64">
        <f t="shared" si="11"/>
        <v>585320</v>
      </c>
      <c r="X26" s="83"/>
      <c r="Y26" s="65"/>
      <c r="Z26" s="66">
        <v>2</v>
      </c>
      <c r="AA26" s="66"/>
      <c r="AB26" s="54">
        <v>5000</v>
      </c>
      <c r="AC26" s="55">
        <f t="shared" si="12"/>
        <v>2500</v>
      </c>
      <c r="AD26" s="54">
        <v>500</v>
      </c>
      <c r="AE26" s="56">
        <f t="shared" si="13"/>
        <v>250</v>
      </c>
      <c r="AF26" s="67">
        <f t="shared" si="14"/>
        <v>5500</v>
      </c>
      <c r="AG26" s="58">
        <f t="shared" si="15"/>
        <v>2750</v>
      </c>
      <c r="AH26" s="68"/>
      <c r="AI26" s="66">
        <v>22</v>
      </c>
      <c r="AJ26" s="54">
        <v>86130</v>
      </c>
      <c r="AK26" s="55">
        <f t="shared" si="16"/>
        <v>3915</v>
      </c>
      <c r="AL26" s="54">
        <v>28710</v>
      </c>
      <c r="AM26" s="56">
        <f t="shared" si="17"/>
        <v>1305</v>
      </c>
      <c r="AN26" s="67">
        <f t="shared" si="28"/>
        <v>114840</v>
      </c>
      <c r="AO26" s="69">
        <f t="shared" si="18"/>
        <v>5220</v>
      </c>
      <c r="AP26" s="70"/>
      <c r="AQ26" s="66"/>
      <c r="AR26" s="54"/>
      <c r="AS26" s="55" t="e">
        <f t="shared" si="19"/>
        <v>#DIV/0!</v>
      </c>
      <c r="AT26" s="54"/>
      <c r="AU26" s="56" t="e">
        <f t="shared" si="20"/>
        <v>#DIV/0!</v>
      </c>
      <c r="AV26" s="56"/>
      <c r="AW26" s="56"/>
      <c r="AX26" s="71">
        <f t="shared" si="34"/>
        <v>0</v>
      </c>
      <c r="AY26" s="69" t="str">
        <f>IF(AQ26="","",AX26/AQ26)</f>
        <v/>
      </c>
      <c r="AZ26" s="84">
        <f t="shared" si="22"/>
        <v>63</v>
      </c>
      <c r="BA26" s="61">
        <f t="shared" si="23"/>
        <v>585530</v>
      </c>
      <c r="BB26" s="61">
        <f t="shared" si="24"/>
        <v>120130</v>
      </c>
      <c r="BC26" s="73">
        <f>W26+AF26+AN26+AX26-BO26</f>
        <v>698400</v>
      </c>
      <c r="BD26" s="74">
        <f>BH26+BI26</f>
        <v>6600</v>
      </c>
      <c r="BE26" s="75">
        <v>63</v>
      </c>
      <c r="BF26" s="76">
        <v>494400</v>
      </c>
      <c r="BG26" s="76">
        <v>90920</v>
      </c>
      <c r="BH26" s="77">
        <v>6600</v>
      </c>
      <c r="BI26" s="77"/>
      <c r="BJ26" s="77"/>
      <c r="BK26" s="77">
        <v>17600</v>
      </c>
      <c r="BL26" s="78">
        <f t="shared" si="29"/>
        <v>591920</v>
      </c>
      <c r="BM26" s="49">
        <v>22</v>
      </c>
      <c r="BN26" s="79">
        <f t="shared" si="25"/>
        <v>609520</v>
      </c>
      <c r="BO26" s="49">
        <v>7260</v>
      </c>
    </row>
    <row r="27" spans="2:68" ht="20" customHeight="1">
      <c r="B27" s="80">
        <f t="shared" si="26"/>
        <v>45984</v>
      </c>
      <c r="C27" s="81"/>
      <c r="D27" s="52"/>
      <c r="E27" s="53">
        <v>29</v>
      </c>
      <c r="F27" s="54">
        <v>118690</v>
      </c>
      <c r="G27" s="55">
        <f t="shared" si="0"/>
        <v>3720.6896551724139</v>
      </c>
      <c r="H27" s="54">
        <v>25850</v>
      </c>
      <c r="I27" s="56">
        <f t="shared" si="27"/>
        <v>810.34482758620686</v>
      </c>
      <c r="J27" s="57">
        <f t="shared" si="1"/>
        <v>144540</v>
      </c>
      <c r="K27" s="58">
        <f t="shared" si="2"/>
        <v>4984.1379310344828</v>
      </c>
      <c r="L27" s="59"/>
      <c r="M27" s="60">
        <f t="shared" si="3"/>
        <v>32</v>
      </c>
      <c r="N27" s="61">
        <f t="shared" si="3"/>
        <v>330440</v>
      </c>
      <c r="O27" s="55">
        <f t="shared" si="4"/>
        <v>9387.5</v>
      </c>
      <c r="P27" s="61">
        <f t="shared" si="5"/>
        <v>57860</v>
      </c>
      <c r="Q27" s="56">
        <f t="shared" si="6"/>
        <v>1643.75</v>
      </c>
      <c r="R27" s="62">
        <f t="shared" si="7"/>
        <v>388300</v>
      </c>
      <c r="S27" s="58">
        <f t="shared" si="8"/>
        <v>12134.375</v>
      </c>
      <c r="T27" s="82">
        <f t="shared" si="9"/>
        <v>61</v>
      </c>
      <c r="U27" s="61">
        <f t="shared" si="9"/>
        <v>449130</v>
      </c>
      <c r="V27" s="61">
        <f t="shared" si="10"/>
        <v>83710</v>
      </c>
      <c r="W27" s="64">
        <f t="shared" si="11"/>
        <v>532840</v>
      </c>
      <c r="X27" s="83"/>
      <c r="Y27" s="65"/>
      <c r="Z27" s="66">
        <v>2</v>
      </c>
      <c r="AA27" s="66"/>
      <c r="AB27" s="54">
        <v>5000</v>
      </c>
      <c r="AC27" s="55">
        <f t="shared" si="12"/>
        <v>2500</v>
      </c>
      <c r="AD27" s="54">
        <v>500</v>
      </c>
      <c r="AE27" s="56">
        <f t="shared" si="13"/>
        <v>250</v>
      </c>
      <c r="AF27" s="67">
        <f t="shared" si="14"/>
        <v>5500</v>
      </c>
      <c r="AG27" s="58">
        <f t="shared" si="15"/>
        <v>2750</v>
      </c>
      <c r="AH27" s="68"/>
      <c r="AI27" s="66">
        <v>14</v>
      </c>
      <c r="AJ27" s="54">
        <v>54810</v>
      </c>
      <c r="AK27" s="55">
        <f t="shared" si="16"/>
        <v>3915</v>
      </c>
      <c r="AL27" s="54">
        <v>18270</v>
      </c>
      <c r="AM27" s="56">
        <f t="shared" si="17"/>
        <v>1305</v>
      </c>
      <c r="AN27" s="67">
        <f t="shared" si="28"/>
        <v>73080</v>
      </c>
      <c r="AO27" s="69">
        <f t="shared" si="18"/>
        <v>5220</v>
      </c>
      <c r="AP27" s="70"/>
      <c r="AQ27" s="66"/>
      <c r="AR27" s="54"/>
      <c r="AS27" s="55" t="e">
        <f t="shared" si="19"/>
        <v>#DIV/0!</v>
      </c>
      <c r="AT27" s="54"/>
      <c r="AU27" s="56" t="e">
        <f t="shared" si="20"/>
        <v>#DIV/0!</v>
      </c>
      <c r="AV27" s="56"/>
      <c r="AW27" s="56"/>
      <c r="AX27" s="71">
        <f>AR27+AT27+AV27+AW27-BP26</f>
        <v>0</v>
      </c>
      <c r="AY27" s="69" t="str">
        <f t="shared" si="21"/>
        <v/>
      </c>
      <c r="AZ27" s="84">
        <f t="shared" si="22"/>
        <v>61</v>
      </c>
      <c r="BA27" s="61">
        <f t="shared" si="23"/>
        <v>508940</v>
      </c>
      <c r="BB27" s="61">
        <f t="shared" si="24"/>
        <v>102480</v>
      </c>
      <c r="BC27" s="73">
        <f>W27+AF27+AN27+AX27</f>
        <v>611420</v>
      </c>
      <c r="BD27" s="74">
        <f t="shared" si="30"/>
        <v>19250</v>
      </c>
      <c r="BE27" s="75">
        <v>61</v>
      </c>
      <c r="BF27" s="76">
        <v>449130</v>
      </c>
      <c r="BG27" s="76">
        <v>83710</v>
      </c>
      <c r="BH27" s="77">
        <v>18150</v>
      </c>
      <c r="BI27" s="77">
        <v>1100</v>
      </c>
      <c r="BJ27" s="77"/>
      <c r="BK27" s="77">
        <v>9900</v>
      </c>
      <c r="BL27" s="78">
        <f t="shared" si="29"/>
        <v>552090</v>
      </c>
      <c r="BM27" s="49">
        <v>23</v>
      </c>
      <c r="BN27" s="79">
        <f t="shared" si="25"/>
        <v>561990</v>
      </c>
    </row>
    <row r="28" spans="2:68" ht="20" customHeight="1">
      <c r="B28" s="80">
        <f>B27+1</f>
        <v>45985</v>
      </c>
      <c r="C28" s="81"/>
      <c r="D28" s="52"/>
      <c r="E28" s="53">
        <v>35</v>
      </c>
      <c r="F28" s="54">
        <v>157520</v>
      </c>
      <c r="G28" s="55">
        <f t="shared" si="0"/>
        <v>4091.4285714285716</v>
      </c>
      <c r="H28" s="54">
        <v>29860</v>
      </c>
      <c r="I28" s="56">
        <f t="shared" si="27"/>
        <v>775.57142857142856</v>
      </c>
      <c r="J28" s="57">
        <f t="shared" si="1"/>
        <v>187380</v>
      </c>
      <c r="K28" s="58">
        <f t="shared" si="2"/>
        <v>5353.7142857142853</v>
      </c>
      <c r="L28" s="59"/>
      <c r="M28" s="60">
        <f t="shared" si="3"/>
        <v>25</v>
      </c>
      <c r="N28" s="61">
        <f t="shared" si="3"/>
        <v>226820</v>
      </c>
      <c r="O28" s="55">
        <f t="shared" si="4"/>
        <v>8248</v>
      </c>
      <c r="P28" s="61">
        <f t="shared" si="5"/>
        <v>64220</v>
      </c>
      <c r="Q28" s="56">
        <f>ROUNDDOWN(P28/1.1,0)/M28</f>
        <v>2335.2399999999998</v>
      </c>
      <c r="R28" s="62">
        <f t="shared" si="7"/>
        <v>291040</v>
      </c>
      <c r="S28" s="58">
        <f t="shared" si="8"/>
        <v>11641.6</v>
      </c>
      <c r="T28" s="82">
        <f t="shared" si="9"/>
        <v>60</v>
      </c>
      <c r="U28" s="61">
        <f t="shared" si="9"/>
        <v>384340</v>
      </c>
      <c r="V28" s="61">
        <f t="shared" si="10"/>
        <v>94080</v>
      </c>
      <c r="W28" s="64">
        <f t="shared" si="11"/>
        <v>478420</v>
      </c>
      <c r="X28" s="83"/>
      <c r="Y28" s="65"/>
      <c r="Z28" s="66">
        <v>6</v>
      </c>
      <c r="AA28" s="66"/>
      <c r="AB28" s="54">
        <v>15000</v>
      </c>
      <c r="AC28" s="55">
        <f t="shared" si="12"/>
        <v>2500</v>
      </c>
      <c r="AD28" s="54">
        <v>1500</v>
      </c>
      <c r="AE28" s="56">
        <f t="shared" si="13"/>
        <v>250</v>
      </c>
      <c r="AF28" s="67">
        <f t="shared" si="14"/>
        <v>16500</v>
      </c>
      <c r="AG28" s="58">
        <f t="shared" si="15"/>
        <v>2750</v>
      </c>
      <c r="AH28" s="68"/>
      <c r="AI28" s="66"/>
      <c r="AJ28" s="54"/>
      <c r="AK28" s="55" t="e">
        <f t="shared" si="16"/>
        <v>#DIV/0!</v>
      </c>
      <c r="AL28" s="54"/>
      <c r="AM28" s="56" t="e">
        <f t="shared" si="17"/>
        <v>#DIV/0!</v>
      </c>
      <c r="AN28" s="67">
        <f t="shared" si="28"/>
        <v>0</v>
      </c>
      <c r="AO28" s="69" t="str">
        <f t="shared" si="18"/>
        <v/>
      </c>
      <c r="AP28" s="70"/>
      <c r="AQ28" s="66"/>
      <c r="AR28" s="54"/>
      <c r="AS28" s="55" t="e">
        <f t="shared" si="19"/>
        <v>#DIV/0!</v>
      </c>
      <c r="AT28" s="54"/>
      <c r="AU28" s="56" t="e">
        <f t="shared" si="20"/>
        <v>#DIV/0!</v>
      </c>
      <c r="AV28" s="56"/>
      <c r="AW28" s="56"/>
      <c r="AX28" s="71">
        <f>AR28+AT28+AV28+AW28</f>
        <v>0</v>
      </c>
      <c r="AY28" s="69" t="str">
        <f t="shared" si="21"/>
        <v/>
      </c>
      <c r="AZ28" s="84">
        <f t="shared" si="22"/>
        <v>60</v>
      </c>
      <c r="BA28" s="61">
        <f t="shared" si="23"/>
        <v>399340</v>
      </c>
      <c r="BB28" s="61">
        <f t="shared" si="24"/>
        <v>95580</v>
      </c>
      <c r="BC28" s="73">
        <f>W28+AF28+AN28+AX28-BO28</f>
        <v>494920</v>
      </c>
      <c r="BD28" s="74">
        <f t="shared" si="30"/>
        <v>6600</v>
      </c>
      <c r="BE28" s="75">
        <v>60</v>
      </c>
      <c r="BF28" s="76">
        <v>384340</v>
      </c>
      <c r="BG28" s="76">
        <v>94080</v>
      </c>
      <c r="BH28" s="77">
        <v>6600</v>
      </c>
      <c r="BI28" s="77"/>
      <c r="BJ28" s="77"/>
      <c r="BK28" s="77"/>
      <c r="BL28" s="78">
        <f t="shared" si="29"/>
        <v>485020</v>
      </c>
      <c r="BM28" s="49">
        <v>24</v>
      </c>
      <c r="BN28" s="79">
        <f t="shared" si="25"/>
        <v>485020</v>
      </c>
    </row>
    <row r="29" spans="2:68" ht="20" customHeight="1">
      <c r="B29" s="80">
        <f t="shared" si="26"/>
        <v>45986</v>
      </c>
      <c r="C29" s="81"/>
      <c r="D29" s="52"/>
      <c r="E29" s="53">
        <v>33</v>
      </c>
      <c r="F29" s="54">
        <v>125620</v>
      </c>
      <c r="G29" s="55">
        <f t="shared" si="0"/>
        <v>3460.6060606060605</v>
      </c>
      <c r="H29" s="54">
        <v>12050</v>
      </c>
      <c r="I29" s="55">
        <f t="shared" si="27"/>
        <v>331.93939393939394</v>
      </c>
      <c r="J29" s="57">
        <f t="shared" si="1"/>
        <v>137670</v>
      </c>
      <c r="K29" s="58">
        <f t="shared" si="2"/>
        <v>4171.818181818182</v>
      </c>
      <c r="L29" s="59"/>
      <c r="M29" s="60">
        <f t="shared" si="3"/>
        <v>21</v>
      </c>
      <c r="N29" s="61">
        <f t="shared" si="3"/>
        <v>224510</v>
      </c>
      <c r="O29" s="55">
        <f t="shared" si="4"/>
        <v>9719.0476190476184</v>
      </c>
      <c r="P29" s="61">
        <f t="shared" si="5"/>
        <v>58230</v>
      </c>
      <c r="Q29" s="56">
        <f t="shared" si="6"/>
        <v>2520.7619047619046</v>
      </c>
      <c r="R29" s="62">
        <f t="shared" si="7"/>
        <v>282740</v>
      </c>
      <c r="S29" s="58">
        <f t="shared" si="8"/>
        <v>13463.809523809523</v>
      </c>
      <c r="T29" s="82">
        <f t="shared" si="9"/>
        <v>54</v>
      </c>
      <c r="U29" s="61">
        <f t="shared" si="9"/>
        <v>350130</v>
      </c>
      <c r="V29" s="61">
        <f t="shared" si="10"/>
        <v>70280</v>
      </c>
      <c r="W29" s="64">
        <f t="shared" si="11"/>
        <v>420410</v>
      </c>
      <c r="X29" s="83"/>
      <c r="Y29" s="65"/>
      <c r="Z29" s="66">
        <v>4</v>
      </c>
      <c r="AA29" s="66"/>
      <c r="AB29" s="54">
        <v>10000</v>
      </c>
      <c r="AC29" s="55">
        <f t="shared" si="12"/>
        <v>2500</v>
      </c>
      <c r="AD29" s="54">
        <v>1000</v>
      </c>
      <c r="AE29" s="56">
        <f t="shared" si="13"/>
        <v>250</v>
      </c>
      <c r="AF29" s="67">
        <f t="shared" si="14"/>
        <v>11000</v>
      </c>
      <c r="AG29" s="58">
        <f t="shared" si="15"/>
        <v>2750</v>
      </c>
      <c r="AH29" s="68"/>
      <c r="AI29" s="66"/>
      <c r="AJ29" s="54"/>
      <c r="AK29" s="55" t="e">
        <f t="shared" si="16"/>
        <v>#DIV/0!</v>
      </c>
      <c r="AL29" s="54"/>
      <c r="AM29" s="56" t="e">
        <f t="shared" si="17"/>
        <v>#DIV/0!</v>
      </c>
      <c r="AN29" s="67">
        <f t="shared" si="28"/>
        <v>0</v>
      </c>
      <c r="AO29" s="69" t="str">
        <f t="shared" si="18"/>
        <v/>
      </c>
      <c r="AP29" s="70"/>
      <c r="AQ29" s="66"/>
      <c r="AR29" s="54"/>
      <c r="AS29" s="55" t="e">
        <f t="shared" si="19"/>
        <v>#DIV/0!</v>
      </c>
      <c r="AT29" s="54"/>
      <c r="AU29" s="56" t="e">
        <f t="shared" si="20"/>
        <v>#DIV/0!</v>
      </c>
      <c r="AV29" s="56"/>
      <c r="AW29" s="56"/>
      <c r="AX29" s="71">
        <f>AR29+AT29+AV29+AW29-BP29</f>
        <v>0</v>
      </c>
      <c r="AY29" s="69" t="str">
        <f t="shared" si="21"/>
        <v/>
      </c>
      <c r="AZ29" s="84">
        <f t="shared" si="22"/>
        <v>54</v>
      </c>
      <c r="BA29" s="61">
        <f t="shared" si="23"/>
        <v>360130</v>
      </c>
      <c r="BB29" s="61">
        <f t="shared" si="24"/>
        <v>71280</v>
      </c>
      <c r="BC29" s="73">
        <f>W29+AF29+AN29+AX29</f>
        <v>431410</v>
      </c>
      <c r="BD29" s="74">
        <f t="shared" si="30"/>
        <v>9900</v>
      </c>
      <c r="BE29" s="75">
        <v>54</v>
      </c>
      <c r="BF29" s="76">
        <v>350130</v>
      </c>
      <c r="BG29" s="76">
        <v>70280</v>
      </c>
      <c r="BH29" s="77">
        <v>9900</v>
      </c>
      <c r="BI29" s="77"/>
      <c r="BJ29" s="77"/>
      <c r="BK29" s="77"/>
      <c r="BL29" s="78">
        <f t="shared" si="29"/>
        <v>430310</v>
      </c>
      <c r="BM29" s="49">
        <v>25</v>
      </c>
      <c r="BN29" s="79">
        <f t="shared" si="25"/>
        <v>430310</v>
      </c>
    </row>
    <row r="30" spans="2:68" ht="20" customHeight="1">
      <c r="B30" s="80">
        <f t="shared" si="26"/>
        <v>45987</v>
      </c>
      <c r="C30" s="81"/>
      <c r="D30" s="52"/>
      <c r="E30" s="53">
        <v>32</v>
      </c>
      <c r="F30" s="54">
        <v>158400</v>
      </c>
      <c r="G30" s="55">
        <f t="shared" si="0"/>
        <v>4500</v>
      </c>
      <c r="H30" s="54">
        <f>53350+1050</f>
        <v>54400</v>
      </c>
      <c r="I30" s="55">
        <f t="shared" si="27"/>
        <v>1545.4375</v>
      </c>
      <c r="J30" s="57">
        <f t="shared" si="1"/>
        <v>212800</v>
      </c>
      <c r="K30" s="58">
        <f t="shared" si="2"/>
        <v>6650</v>
      </c>
      <c r="L30" s="59"/>
      <c r="M30" s="60">
        <f t="shared" si="3"/>
        <v>20</v>
      </c>
      <c r="N30" s="61">
        <f t="shared" si="3"/>
        <v>174220</v>
      </c>
      <c r="O30" s="55">
        <f t="shared" si="4"/>
        <v>7919.05</v>
      </c>
      <c r="P30" s="61">
        <f t="shared" si="5"/>
        <v>57930</v>
      </c>
      <c r="Q30" s="55">
        <f t="shared" si="6"/>
        <v>2633.15</v>
      </c>
      <c r="R30" s="62">
        <f t="shared" si="7"/>
        <v>232150</v>
      </c>
      <c r="S30" s="58">
        <f t="shared" si="8"/>
        <v>11607.5</v>
      </c>
      <c r="T30" s="82">
        <f t="shared" si="9"/>
        <v>52</v>
      </c>
      <c r="U30" s="61">
        <f t="shared" si="9"/>
        <v>332620</v>
      </c>
      <c r="V30" s="61">
        <f t="shared" si="10"/>
        <v>112330</v>
      </c>
      <c r="W30" s="64">
        <f t="shared" si="11"/>
        <v>444950</v>
      </c>
      <c r="X30" s="83"/>
      <c r="Y30" s="65"/>
      <c r="Z30" s="66">
        <v>0</v>
      </c>
      <c r="AA30" s="66"/>
      <c r="AB30" s="54"/>
      <c r="AC30" s="55" t="e">
        <f t="shared" si="12"/>
        <v>#DIV/0!</v>
      </c>
      <c r="AD30" s="54"/>
      <c r="AE30" s="56" t="e">
        <f t="shared" si="13"/>
        <v>#DIV/0!</v>
      </c>
      <c r="AF30" s="67">
        <f t="shared" si="14"/>
        <v>0</v>
      </c>
      <c r="AG30" s="58" t="e">
        <f t="shared" si="15"/>
        <v>#DIV/0!</v>
      </c>
      <c r="AH30" s="68"/>
      <c r="AI30" s="66">
        <v>55</v>
      </c>
      <c r="AJ30" s="54">
        <v>215325</v>
      </c>
      <c r="AK30" s="55">
        <f t="shared" si="16"/>
        <v>3915</v>
      </c>
      <c r="AL30" s="54">
        <v>71775</v>
      </c>
      <c r="AM30" s="56">
        <f t="shared" si="17"/>
        <v>1305</v>
      </c>
      <c r="AN30" s="67">
        <f t="shared" si="28"/>
        <v>287100</v>
      </c>
      <c r="AO30" s="69">
        <f t="shared" si="18"/>
        <v>5220</v>
      </c>
      <c r="AP30" s="70"/>
      <c r="AQ30" s="66"/>
      <c r="AR30" s="54"/>
      <c r="AS30" s="55" t="e">
        <f t="shared" si="19"/>
        <v>#DIV/0!</v>
      </c>
      <c r="AT30" s="54"/>
      <c r="AU30" s="56" t="e">
        <f t="shared" si="20"/>
        <v>#DIV/0!</v>
      </c>
      <c r="AV30" s="56"/>
      <c r="AW30" s="56"/>
      <c r="AX30" s="71">
        <f>AR30+AT30+AV30+AW30-BP30</f>
        <v>0</v>
      </c>
      <c r="AY30" s="69" t="str">
        <f t="shared" si="21"/>
        <v/>
      </c>
      <c r="AZ30" s="84">
        <f t="shared" si="22"/>
        <v>52</v>
      </c>
      <c r="BA30" s="61">
        <f t="shared" si="23"/>
        <v>547945</v>
      </c>
      <c r="BB30" s="61">
        <f t="shared" si="24"/>
        <v>184105</v>
      </c>
      <c r="BC30" s="73">
        <f>W30+AF30+AN30+AX30+BD30</f>
        <v>750750</v>
      </c>
      <c r="BD30" s="74">
        <f>BH30+BI30</f>
        <v>18700</v>
      </c>
      <c r="BE30" s="75">
        <v>52</v>
      </c>
      <c r="BF30" s="76">
        <f>336470-3850</f>
        <v>332620</v>
      </c>
      <c r="BG30" s="76">
        <v>112330</v>
      </c>
      <c r="BH30" s="77"/>
      <c r="BI30" s="77">
        <f>14850+3850</f>
        <v>18700</v>
      </c>
      <c r="BJ30" s="77"/>
      <c r="BK30" s="77"/>
      <c r="BL30" s="78">
        <f t="shared" si="29"/>
        <v>463650</v>
      </c>
      <c r="BM30" s="49">
        <v>26</v>
      </c>
      <c r="BN30" s="79">
        <f t="shared" si="25"/>
        <v>463650</v>
      </c>
    </row>
    <row r="31" spans="2:68" ht="20" customHeight="1">
      <c r="B31" s="80">
        <f t="shared" si="26"/>
        <v>45988</v>
      </c>
      <c r="C31" s="81"/>
      <c r="D31" s="52"/>
      <c r="E31" s="53">
        <v>21</v>
      </c>
      <c r="F31" s="54">
        <v>89210</v>
      </c>
      <c r="G31" s="55">
        <f t="shared" si="0"/>
        <v>3861.9047619047619</v>
      </c>
      <c r="H31" s="54">
        <v>12980</v>
      </c>
      <c r="I31" s="55">
        <f t="shared" si="27"/>
        <v>561.90476190476193</v>
      </c>
      <c r="J31" s="57">
        <f t="shared" si="1"/>
        <v>102190</v>
      </c>
      <c r="K31" s="58">
        <f t="shared" si="2"/>
        <v>4866.1904761904761</v>
      </c>
      <c r="L31" s="59"/>
      <c r="M31" s="60">
        <f t="shared" si="3"/>
        <v>23</v>
      </c>
      <c r="N31" s="61">
        <f t="shared" si="3"/>
        <v>232650</v>
      </c>
      <c r="O31" s="55">
        <f t="shared" si="4"/>
        <v>9195.652173913044</v>
      </c>
      <c r="P31" s="61">
        <f t="shared" si="5"/>
        <v>78000</v>
      </c>
      <c r="Q31" s="55">
        <f t="shared" si="6"/>
        <v>3083</v>
      </c>
      <c r="R31" s="62">
        <f t="shared" si="7"/>
        <v>310650</v>
      </c>
      <c r="S31" s="58">
        <f t="shared" si="8"/>
        <v>13506.521739130434</v>
      </c>
      <c r="T31" s="82">
        <f t="shared" si="9"/>
        <v>44</v>
      </c>
      <c r="U31" s="61">
        <f t="shared" si="9"/>
        <v>321860</v>
      </c>
      <c r="V31" s="61">
        <f t="shared" si="10"/>
        <v>90980</v>
      </c>
      <c r="W31" s="64">
        <f t="shared" si="11"/>
        <v>412840</v>
      </c>
      <c r="X31" s="83"/>
      <c r="Y31" s="65"/>
      <c r="Z31" s="66">
        <v>4</v>
      </c>
      <c r="AA31" s="66"/>
      <c r="AB31" s="54">
        <v>10000</v>
      </c>
      <c r="AC31" s="55">
        <f t="shared" si="12"/>
        <v>2500</v>
      </c>
      <c r="AD31" s="54">
        <v>1000</v>
      </c>
      <c r="AE31" s="56">
        <f t="shared" si="13"/>
        <v>250</v>
      </c>
      <c r="AF31" s="67">
        <f t="shared" si="14"/>
        <v>11000</v>
      </c>
      <c r="AG31" s="58">
        <f t="shared" si="15"/>
        <v>2750</v>
      </c>
      <c r="AH31" s="68"/>
      <c r="AI31" s="66"/>
      <c r="AJ31" s="54"/>
      <c r="AK31" s="55" t="e">
        <f t="shared" si="16"/>
        <v>#DIV/0!</v>
      </c>
      <c r="AL31" s="54"/>
      <c r="AM31" s="56" t="e">
        <f t="shared" si="17"/>
        <v>#DIV/0!</v>
      </c>
      <c r="AN31" s="67">
        <f t="shared" si="28"/>
        <v>0</v>
      </c>
      <c r="AO31" s="69" t="str">
        <f t="shared" si="18"/>
        <v/>
      </c>
      <c r="AP31" s="70"/>
      <c r="AQ31" s="66"/>
      <c r="AR31" s="54"/>
      <c r="AS31" s="55" t="e">
        <f t="shared" si="19"/>
        <v>#DIV/0!</v>
      </c>
      <c r="AT31" s="54"/>
      <c r="AU31" s="56" t="e">
        <f t="shared" si="20"/>
        <v>#DIV/0!</v>
      </c>
      <c r="AV31" s="56"/>
      <c r="AW31" s="56"/>
      <c r="AX31" s="71">
        <f>AR31+AT31+AV31+AW31-BP31</f>
        <v>0</v>
      </c>
      <c r="AY31" s="69" t="str">
        <f t="shared" si="21"/>
        <v/>
      </c>
      <c r="AZ31" s="84">
        <f t="shared" si="22"/>
        <v>44</v>
      </c>
      <c r="BA31" s="61">
        <f t="shared" si="23"/>
        <v>331860</v>
      </c>
      <c r="BB31" s="61">
        <f t="shared" si="24"/>
        <v>91980</v>
      </c>
      <c r="BC31" s="73">
        <f>W31+AF31+AN31+AX31-BO31</f>
        <v>417900</v>
      </c>
      <c r="BD31" s="74">
        <f t="shared" ref="BD31:BD34" si="35">BH31+BI31</f>
        <v>13200</v>
      </c>
      <c r="BE31" s="75">
        <v>44</v>
      </c>
      <c r="BF31" s="76">
        <v>321860</v>
      </c>
      <c r="BG31" s="76">
        <v>90980</v>
      </c>
      <c r="BH31" s="77">
        <v>13200</v>
      </c>
      <c r="BI31" s="77"/>
      <c r="BJ31" s="77"/>
      <c r="BK31" s="77"/>
      <c r="BL31" s="78">
        <f t="shared" si="29"/>
        <v>426040</v>
      </c>
      <c r="BM31" s="49">
        <v>27</v>
      </c>
      <c r="BN31" s="79">
        <f t="shared" si="25"/>
        <v>426040</v>
      </c>
      <c r="BO31" s="49">
        <v>5940</v>
      </c>
    </row>
    <row r="32" spans="2:68" ht="20" customHeight="1">
      <c r="B32" s="80">
        <f t="shared" si="26"/>
        <v>45989</v>
      </c>
      <c r="C32" s="81"/>
      <c r="D32" s="52"/>
      <c r="E32" s="53">
        <v>33</v>
      </c>
      <c r="F32" s="54">
        <v>123090</v>
      </c>
      <c r="G32" s="55">
        <f t="shared" si="0"/>
        <v>3390.909090909091</v>
      </c>
      <c r="H32" s="54">
        <v>29820</v>
      </c>
      <c r="I32" s="55">
        <f t="shared" si="27"/>
        <v>821.4848484848485</v>
      </c>
      <c r="J32" s="57">
        <f t="shared" si="1"/>
        <v>152910</v>
      </c>
      <c r="K32" s="58">
        <f t="shared" si="2"/>
        <v>4633.636363636364</v>
      </c>
      <c r="L32" s="59"/>
      <c r="M32" s="60">
        <f t="shared" si="3"/>
        <v>28</v>
      </c>
      <c r="N32" s="61">
        <f t="shared" si="3"/>
        <v>223190</v>
      </c>
      <c r="O32" s="55">
        <f t="shared" si="4"/>
        <v>7246.4285714285716</v>
      </c>
      <c r="P32" s="61">
        <f t="shared" si="5"/>
        <v>67600</v>
      </c>
      <c r="Q32" s="55">
        <f t="shared" si="6"/>
        <v>2194.7857142857142</v>
      </c>
      <c r="R32" s="62">
        <f t="shared" si="7"/>
        <v>290790</v>
      </c>
      <c r="S32" s="58">
        <f t="shared" si="8"/>
        <v>10385.357142857143</v>
      </c>
      <c r="T32" s="82">
        <f t="shared" si="9"/>
        <v>61</v>
      </c>
      <c r="U32" s="61">
        <f t="shared" si="9"/>
        <v>346280</v>
      </c>
      <c r="V32" s="61">
        <f t="shared" si="10"/>
        <v>97420</v>
      </c>
      <c r="W32" s="64">
        <f t="shared" si="11"/>
        <v>443700</v>
      </c>
      <c r="X32" s="83"/>
      <c r="Y32" s="65"/>
      <c r="Z32" s="66">
        <v>0</v>
      </c>
      <c r="AA32" s="66"/>
      <c r="AB32" s="54"/>
      <c r="AC32" s="55" t="e">
        <f t="shared" si="12"/>
        <v>#DIV/0!</v>
      </c>
      <c r="AD32" s="54"/>
      <c r="AE32" s="56" t="e">
        <f t="shared" si="13"/>
        <v>#DIV/0!</v>
      </c>
      <c r="AF32" s="67">
        <f t="shared" si="14"/>
        <v>0</v>
      </c>
      <c r="AG32" s="58" t="e">
        <f t="shared" si="15"/>
        <v>#DIV/0!</v>
      </c>
      <c r="AH32" s="68"/>
      <c r="AI32" s="66"/>
      <c r="AJ32" s="54"/>
      <c r="AK32" s="55" t="e">
        <f t="shared" si="16"/>
        <v>#DIV/0!</v>
      </c>
      <c r="AL32" s="54"/>
      <c r="AM32" s="56" t="e">
        <f t="shared" si="17"/>
        <v>#DIV/0!</v>
      </c>
      <c r="AN32" s="67">
        <f t="shared" si="28"/>
        <v>0</v>
      </c>
      <c r="AO32" s="69" t="str">
        <f t="shared" si="18"/>
        <v/>
      </c>
      <c r="AP32" s="70"/>
      <c r="AQ32" s="66"/>
      <c r="AR32" s="54"/>
      <c r="AS32" s="55" t="e">
        <f t="shared" si="19"/>
        <v>#DIV/0!</v>
      </c>
      <c r="AT32" s="54"/>
      <c r="AU32" s="56" t="e">
        <f t="shared" si="20"/>
        <v>#DIV/0!</v>
      </c>
      <c r="AV32" s="56"/>
      <c r="AW32" s="56"/>
      <c r="AX32" s="71">
        <f t="shared" ref="AX32" si="36">AR32+AT32+AV32+AW32</f>
        <v>0</v>
      </c>
      <c r="AY32" s="69" t="str">
        <f t="shared" si="21"/>
        <v/>
      </c>
      <c r="AZ32" s="84">
        <f t="shared" si="22"/>
        <v>61</v>
      </c>
      <c r="BA32" s="61">
        <f>U32+AB32+AJ32+AR32</f>
        <v>346280</v>
      </c>
      <c r="BB32" s="61">
        <f t="shared" si="24"/>
        <v>97420</v>
      </c>
      <c r="BC32" s="73">
        <f>W32+AF32+AN32+AX32-BO32</f>
        <v>443700</v>
      </c>
      <c r="BD32" s="74">
        <f>BH32+BI32</f>
        <v>7150</v>
      </c>
      <c r="BE32" s="75">
        <v>61</v>
      </c>
      <c r="BF32" s="76">
        <v>346280</v>
      </c>
      <c r="BG32" s="76">
        <v>97420</v>
      </c>
      <c r="BH32" s="77">
        <v>6600</v>
      </c>
      <c r="BI32" s="77">
        <v>550</v>
      </c>
      <c r="BJ32" s="77"/>
      <c r="BK32" s="77"/>
      <c r="BL32" s="78">
        <f>SUM(BF32:BI32)</f>
        <v>450850</v>
      </c>
      <c r="BM32" s="49">
        <v>28</v>
      </c>
    </row>
    <row r="33" spans="2:66" ht="20" customHeight="1">
      <c r="B33" s="80">
        <f t="shared" si="26"/>
        <v>45990</v>
      </c>
      <c r="C33" s="81"/>
      <c r="D33" s="52"/>
      <c r="E33" s="53">
        <v>32</v>
      </c>
      <c r="F33" s="54">
        <v>159940</v>
      </c>
      <c r="G33" s="55">
        <f t="shared" si="0"/>
        <v>4543.75</v>
      </c>
      <c r="H33" s="54">
        <v>36220</v>
      </c>
      <c r="I33" s="55">
        <f t="shared" si="27"/>
        <v>1028.96875</v>
      </c>
      <c r="J33" s="57">
        <f t="shared" si="1"/>
        <v>196160</v>
      </c>
      <c r="K33" s="58">
        <f t="shared" si="2"/>
        <v>6130</v>
      </c>
      <c r="L33" s="59"/>
      <c r="M33" s="60">
        <f t="shared" si="3"/>
        <v>28</v>
      </c>
      <c r="N33" s="61">
        <f t="shared" si="3"/>
        <v>308240</v>
      </c>
      <c r="O33" s="55">
        <f t="shared" si="4"/>
        <v>10007.785714285714</v>
      </c>
      <c r="P33" s="61">
        <f t="shared" si="5"/>
        <v>43300</v>
      </c>
      <c r="Q33" s="55">
        <f t="shared" si="6"/>
        <v>1405.8214285714287</v>
      </c>
      <c r="R33" s="62">
        <f t="shared" si="7"/>
        <v>351540</v>
      </c>
      <c r="S33" s="58">
        <f t="shared" si="8"/>
        <v>12555</v>
      </c>
      <c r="T33" s="82">
        <f t="shared" si="9"/>
        <v>60</v>
      </c>
      <c r="U33" s="61">
        <f t="shared" si="9"/>
        <v>468180</v>
      </c>
      <c r="V33" s="61">
        <f t="shared" si="10"/>
        <v>79520</v>
      </c>
      <c r="W33" s="64">
        <f>J33+R33</f>
        <v>547700</v>
      </c>
      <c r="X33" s="83"/>
      <c r="Y33" s="65"/>
      <c r="Z33" s="66">
        <v>4</v>
      </c>
      <c r="AA33" s="66"/>
      <c r="AB33" s="54">
        <v>10000</v>
      </c>
      <c r="AC33" s="55">
        <f t="shared" si="12"/>
        <v>2500</v>
      </c>
      <c r="AD33" s="54">
        <v>1000</v>
      </c>
      <c r="AE33" s="56">
        <f t="shared" si="13"/>
        <v>250</v>
      </c>
      <c r="AF33" s="67">
        <f t="shared" si="14"/>
        <v>11000</v>
      </c>
      <c r="AG33" s="58">
        <f t="shared" si="15"/>
        <v>2750</v>
      </c>
      <c r="AH33" s="68"/>
      <c r="AI33" s="66"/>
      <c r="AJ33" s="54"/>
      <c r="AK33" s="55" t="e">
        <f t="shared" si="16"/>
        <v>#DIV/0!</v>
      </c>
      <c r="AL33" s="54"/>
      <c r="AM33" s="56" t="e">
        <f t="shared" si="17"/>
        <v>#DIV/0!</v>
      </c>
      <c r="AN33" s="67">
        <f t="shared" si="28"/>
        <v>0</v>
      </c>
      <c r="AO33" s="69" t="str">
        <f t="shared" si="18"/>
        <v/>
      </c>
      <c r="AP33" s="70"/>
      <c r="AQ33" s="66"/>
      <c r="AR33" s="54"/>
      <c r="AS33" s="55" t="e">
        <f t="shared" si="19"/>
        <v>#DIV/0!</v>
      </c>
      <c r="AT33" s="54"/>
      <c r="AU33" s="56" t="e">
        <f t="shared" si="20"/>
        <v>#DIV/0!</v>
      </c>
      <c r="AV33" s="56"/>
      <c r="AW33" s="56"/>
      <c r="AX33" s="71">
        <f>AR33+AT33+AV33+AW33-BP33</f>
        <v>0</v>
      </c>
      <c r="AY33" s="69" t="str">
        <f t="shared" si="21"/>
        <v/>
      </c>
      <c r="AZ33" s="84">
        <f t="shared" si="22"/>
        <v>60</v>
      </c>
      <c r="BA33" s="61">
        <f t="shared" si="23"/>
        <v>478180</v>
      </c>
      <c r="BB33" s="61">
        <f t="shared" si="24"/>
        <v>80520</v>
      </c>
      <c r="BC33" s="73">
        <f>W33+AF33+AN33+AX33-BO33</f>
        <v>558700</v>
      </c>
      <c r="BD33" s="74">
        <f t="shared" si="35"/>
        <v>16500</v>
      </c>
      <c r="BE33" s="75">
        <v>60</v>
      </c>
      <c r="BF33" s="76">
        <v>468180</v>
      </c>
      <c r="BG33" s="76">
        <v>79520</v>
      </c>
      <c r="BH33" s="77">
        <v>16500</v>
      </c>
      <c r="BI33" s="77"/>
      <c r="BJ33" s="77"/>
      <c r="BK33" s="77">
        <v>3300</v>
      </c>
      <c r="BL33" s="78">
        <f t="shared" si="29"/>
        <v>564200</v>
      </c>
      <c r="BM33" s="49">
        <v>29</v>
      </c>
      <c r="BN33" s="79">
        <f t="shared" si="25"/>
        <v>567500</v>
      </c>
    </row>
    <row r="34" spans="2:66" ht="20" customHeight="1">
      <c r="B34" s="80">
        <f t="shared" si="26"/>
        <v>45991</v>
      </c>
      <c r="C34" s="81"/>
      <c r="D34" s="52"/>
      <c r="E34" s="53">
        <v>28</v>
      </c>
      <c r="F34" s="54">
        <v>120340</v>
      </c>
      <c r="G34" s="55">
        <f t="shared" si="0"/>
        <v>3907.1428571428573</v>
      </c>
      <c r="H34" s="54">
        <v>17200</v>
      </c>
      <c r="I34" s="55">
        <f t="shared" si="27"/>
        <v>558.42857142857144</v>
      </c>
      <c r="J34" s="57">
        <f t="shared" si="1"/>
        <v>137540</v>
      </c>
      <c r="K34" s="58">
        <f t="shared" si="2"/>
        <v>4912.1428571428569</v>
      </c>
      <c r="L34" s="59"/>
      <c r="M34" s="60">
        <f t="shared" si="3"/>
        <v>24</v>
      </c>
      <c r="N34" s="61">
        <f t="shared" si="3"/>
        <v>252810</v>
      </c>
      <c r="O34" s="55">
        <f t="shared" si="4"/>
        <v>9576.125</v>
      </c>
      <c r="P34" s="61">
        <f t="shared" si="5"/>
        <v>57210</v>
      </c>
      <c r="Q34" s="55">
        <f t="shared" si="6"/>
        <v>2167.0416666666665</v>
      </c>
      <c r="R34" s="62">
        <f t="shared" si="7"/>
        <v>310020</v>
      </c>
      <c r="S34" s="58">
        <f t="shared" si="8"/>
        <v>12917.5</v>
      </c>
      <c r="T34" s="82">
        <f t="shared" si="9"/>
        <v>52</v>
      </c>
      <c r="U34" s="61">
        <f t="shared" si="9"/>
        <v>373150</v>
      </c>
      <c r="V34" s="61">
        <f t="shared" si="10"/>
        <v>74410</v>
      </c>
      <c r="W34" s="64">
        <f t="shared" si="11"/>
        <v>447560</v>
      </c>
      <c r="X34" s="83"/>
      <c r="Y34" s="88"/>
      <c r="Z34" s="89">
        <v>0</v>
      </c>
      <c r="AA34" s="89"/>
      <c r="AB34" s="90"/>
      <c r="AC34" s="55" t="e">
        <f t="shared" si="12"/>
        <v>#DIV/0!</v>
      </c>
      <c r="AD34" s="90"/>
      <c r="AE34" s="56" t="e">
        <f t="shared" si="13"/>
        <v>#DIV/0!</v>
      </c>
      <c r="AF34" s="67">
        <f t="shared" si="14"/>
        <v>0</v>
      </c>
      <c r="AG34" s="58" t="e">
        <f t="shared" si="15"/>
        <v>#DIV/0!</v>
      </c>
      <c r="AH34" s="68"/>
      <c r="AI34" s="66"/>
      <c r="AJ34" s="54"/>
      <c r="AK34" s="55" t="e">
        <f t="shared" si="16"/>
        <v>#DIV/0!</v>
      </c>
      <c r="AL34" s="54"/>
      <c r="AM34" s="56" t="e">
        <f t="shared" si="17"/>
        <v>#DIV/0!</v>
      </c>
      <c r="AN34" s="67">
        <f t="shared" si="28"/>
        <v>0</v>
      </c>
      <c r="AO34" s="69" t="str">
        <f t="shared" si="18"/>
        <v/>
      </c>
      <c r="AP34" s="70"/>
      <c r="AQ34" s="89"/>
      <c r="AR34" s="90"/>
      <c r="AS34" s="55" t="e">
        <f t="shared" si="19"/>
        <v>#DIV/0!</v>
      </c>
      <c r="AT34" s="90"/>
      <c r="AU34" s="56" t="e">
        <f t="shared" si="20"/>
        <v>#DIV/0!</v>
      </c>
      <c r="AV34" s="56"/>
      <c r="AW34" s="56"/>
      <c r="AX34" s="71">
        <f>AR34+AT34+AV34+AW34</f>
        <v>0</v>
      </c>
      <c r="AY34" s="69" t="str">
        <f t="shared" si="21"/>
        <v/>
      </c>
      <c r="AZ34" s="84">
        <f t="shared" si="22"/>
        <v>52</v>
      </c>
      <c r="BA34" s="61">
        <f t="shared" si="23"/>
        <v>373150</v>
      </c>
      <c r="BB34" s="61">
        <f t="shared" si="24"/>
        <v>74410</v>
      </c>
      <c r="BC34" s="73">
        <f>W34+AF34+AN34+AX34</f>
        <v>447560</v>
      </c>
      <c r="BD34" s="74">
        <f t="shared" si="35"/>
        <v>9900</v>
      </c>
      <c r="BE34" s="75">
        <v>52</v>
      </c>
      <c r="BF34" s="76">
        <v>373150</v>
      </c>
      <c r="BG34" s="76">
        <v>74410</v>
      </c>
      <c r="BH34" s="77">
        <v>8800</v>
      </c>
      <c r="BI34" s="77">
        <v>1100</v>
      </c>
      <c r="BJ34" s="77"/>
      <c r="BK34" s="77"/>
      <c r="BL34" s="78">
        <f t="shared" si="29"/>
        <v>457460</v>
      </c>
      <c r="BM34" s="49">
        <v>30</v>
      </c>
      <c r="BN34" s="79">
        <f t="shared" si="25"/>
        <v>457460</v>
      </c>
    </row>
    <row r="35" spans="2:66" ht="20" customHeight="1" thickBot="1">
      <c r="B35" s="80">
        <f t="shared" si="26"/>
        <v>45992</v>
      </c>
      <c r="C35" s="81"/>
      <c r="D35" s="52"/>
      <c r="E35" s="53"/>
      <c r="F35" s="54"/>
      <c r="G35" s="55" t="e">
        <f t="shared" si="0"/>
        <v>#DIV/0!</v>
      </c>
      <c r="H35" s="54"/>
      <c r="I35" s="55" t="e">
        <f t="shared" si="27"/>
        <v>#DIV/0!</v>
      </c>
      <c r="J35" s="57">
        <f t="shared" si="1"/>
        <v>0</v>
      </c>
      <c r="K35" s="58" t="str">
        <f t="shared" si="2"/>
        <v/>
      </c>
      <c r="L35" s="59"/>
      <c r="M35" s="91">
        <f t="shared" si="3"/>
        <v>0</v>
      </c>
      <c r="N35" s="61">
        <f t="shared" si="3"/>
        <v>0</v>
      </c>
      <c r="O35" s="55" t="e">
        <f t="shared" si="4"/>
        <v>#DIV/0!</v>
      </c>
      <c r="P35" s="61">
        <f t="shared" si="5"/>
        <v>0</v>
      </c>
      <c r="Q35" s="55" t="e">
        <f t="shared" si="6"/>
        <v>#DIV/0!</v>
      </c>
      <c r="R35" s="62">
        <f t="shared" si="7"/>
        <v>0</v>
      </c>
      <c r="S35" s="58" t="e">
        <f t="shared" si="8"/>
        <v>#DIV/0!</v>
      </c>
      <c r="T35" s="92">
        <f t="shared" si="9"/>
        <v>0</v>
      </c>
      <c r="U35" s="93">
        <f t="shared" si="9"/>
        <v>0</v>
      </c>
      <c r="V35" s="93">
        <f t="shared" si="10"/>
        <v>0</v>
      </c>
      <c r="W35" s="94">
        <f t="shared" si="11"/>
        <v>0</v>
      </c>
      <c r="X35" s="93"/>
      <c r="Y35" s="95"/>
      <c r="Z35" s="96"/>
      <c r="AA35" s="96"/>
      <c r="AB35" s="97"/>
      <c r="AC35" s="98" t="e">
        <f t="shared" si="12"/>
        <v>#DIV/0!</v>
      </c>
      <c r="AD35" s="97"/>
      <c r="AE35" s="99" t="e">
        <f t="shared" si="13"/>
        <v>#DIV/0!</v>
      </c>
      <c r="AF35" s="100">
        <f t="shared" si="14"/>
        <v>0</v>
      </c>
      <c r="AG35" s="58" t="str">
        <f t="shared" si="15"/>
        <v/>
      </c>
      <c r="AH35" s="101"/>
      <c r="AI35" s="96"/>
      <c r="AJ35" s="97"/>
      <c r="AK35" s="98" t="e">
        <f t="shared" si="16"/>
        <v>#DIV/0!</v>
      </c>
      <c r="AL35" s="97"/>
      <c r="AM35" s="99" t="e">
        <f t="shared" si="17"/>
        <v>#DIV/0!</v>
      </c>
      <c r="AN35" s="67">
        <f t="shared" si="28"/>
        <v>0</v>
      </c>
      <c r="AO35" s="69" t="str">
        <f t="shared" si="18"/>
        <v/>
      </c>
      <c r="AP35" s="102"/>
      <c r="AQ35" s="96"/>
      <c r="AR35" s="97"/>
      <c r="AS35" s="98" t="e">
        <f t="shared" si="19"/>
        <v>#DIV/0!</v>
      </c>
      <c r="AT35" s="97"/>
      <c r="AU35" s="99" t="e">
        <f t="shared" si="20"/>
        <v>#DIV/0!</v>
      </c>
      <c r="AV35" s="99"/>
      <c r="AW35" s="56"/>
      <c r="AX35" s="71">
        <f t="shared" si="34"/>
        <v>0</v>
      </c>
      <c r="AY35" s="69" t="str">
        <f t="shared" si="21"/>
        <v/>
      </c>
      <c r="AZ35" s="103">
        <f t="shared" si="22"/>
        <v>0</v>
      </c>
      <c r="BA35" s="61">
        <f t="shared" si="23"/>
        <v>0</v>
      </c>
      <c r="BB35" s="61">
        <f t="shared" si="24"/>
        <v>0</v>
      </c>
      <c r="BC35" s="73">
        <f>W35+AF35+AN35+AX35</f>
        <v>0</v>
      </c>
      <c r="BD35" s="74">
        <f t="shared" si="30"/>
        <v>0</v>
      </c>
      <c r="BE35" s="104"/>
      <c r="BF35" s="105"/>
      <c r="BG35" s="105"/>
      <c r="BH35" s="106"/>
      <c r="BI35" s="106"/>
      <c r="BJ35" s="106"/>
      <c r="BK35" s="106"/>
      <c r="BL35" s="78">
        <f t="shared" si="29"/>
        <v>0</v>
      </c>
      <c r="BM35" s="49">
        <v>31</v>
      </c>
      <c r="BN35" s="79">
        <f t="shared" si="25"/>
        <v>0</v>
      </c>
    </row>
    <row r="36" spans="2:66" s="129" customFormat="1" ht="20" customHeight="1" thickTop="1">
      <c r="B36" s="107" t="s">
        <v>27</v>
      </c>
      <c r="C36" s="108">
        <f>SUM(C5:C35)</f>
        <v>0</v>
      </c>
      <c r="D36" s="109">
        <f>SUM(D5:D35)</f>
        <v>0</v>
      </c>
      <c r="E36" s="110">
        <f>SUM(E5:E35)</f>
        <v>871</v>
      </c>
      <c r="F36" s="111">
        <f>SUM(F5:F35)</f>
        <v>3833490</v>
      </c>
      <c r="G36" s="112">
        <f>F36/E36</f>
        <v>4401.2514351320324</v>
      </c>
      <c r="H36" s="108">
        <f>SUM(H5:H35)</f>
        <v>703100</v>
      </c>
      <c r="I36" s="113">
        <f>H36/E36</f>
        <v>807.23306544202069</v>
      </c>
      <c r="J36" s="114">
        <f>SUM(J5:J35)</f>
        <v>4536590</v>
      </c>
      <c r="K36" s="115">
        <f>J36/E36</f>
        <v>5208.4845005740526</v>
      </c>
      <c r="L36" s="116">
        <f>SUM(L5:L35)</f>
        <v>0</v>
      </c>
      <c r="M36" s="110">
        <f>SUM(M5:M35)</f>
        <v>768</v>
      </c>
      <c r="N36" s="111">
        <f>SUM(N5:N35)</f>
        <v>6756360</v>
      </c>
      <c r="O36" s="112">
        <f>N36/M36</f>
        <v>8797.34375</v>
      </c>
      <c r="P36" s="117">
        <f>SUM(P5:P35)</f>
        <v>1931271</v>
      </c>
      <c r="Q36" s="113">
        <f>P36/M36</f>
        <v>2514.67578125</v>
      </c>
      <c r="R36" s="118">
        <f>SUM(R5:R35)</f>
        <v>8687631</v>
      </c>
      <c r="S36" s="119">
        <f>R36/M36</f>
        <v>11312.01953125</v>
      </c>
      <c r="T36" s="110">
        <f t="shared" ref="T36:AB36" si="37">SUM(T5:T35)</f>
        <v>1639</v>
      </c>
      <c r="U36" s="117">
        <f t="shared" si="37"/>
        <v>10589850</v>
      </c>
      <c r="V36" s="117">
        <f t="shared" si="37"/>
        <v>2634371</v>
      </c>
      <c r="W36" s="114">
        <f>SUM(W5:W35)</f>
        <v>13224221</v>
      </c>
      <c r="X36" s="120">
        <f t="shared" si="37"/>
        <v>0</v>
      </c>
      <c r="Y36" s="109">
        <f t="shared" si="37"/>
        <v>0</v>
      </c>
      <c r="Z36" s="110">
        <f t="shared" si="37"/>
        <v>58</v>
      </c>
      <c r="AA36" s="121"/>
      <c r="AB36" s="112">
        <f t="shared" si="37"/>
        <v>145000</v>
      </c>
      <c r="AC36" s="112">
        <f>AB36/Z36</f>
        <v>2500</v>
      </c>
      <c r="AD36" s="108">
        <f>SUM(AD5:AD35)</f>
        <v>17800</v>
      </c>
      <c r="AE36" s="113">
        <f>AD36/Z36</f>
        <v>306.89655172413791</v>
      </c>
      <c r="AF36" s="118">
        <f>SUM(AF5:AF35)</f>
        <v>162800</v>
      </c>
      <c r="AG36" s="122">
        <f>AF36/Z36</f>
        <v>2806.8965517241381</v>
      </c>
      <c r="AH36" s="123">
        <f t="shared" ref="AH36:AJ36" si="38">SUM(AH5:AH35)</f>
        <v>0</v>
      </c>
      <c r="AI36" s="110">
        <f t="shared" si="38"/>
        <v>193</v>
      </c>
      <c r="AJ36" s="112">
        <f t="shared" si="38"/>
        <v>706005</v>
      </c>
      <c r="AK36" s="112"/>
      <c r="AL36" s="108">
        <f>SUM(AL5:AL35)</f>
        <v>256841</v>
      </c>
      <c r="AM36" s="113"/>
      <c r="AN36" s="118">
        <f>SUM(AN5:AN35)</f>
        <v>962846</v>
      </c>
      <c r="AO36" s="124">
        <f>AN36/AI36</f>
        <v>4988.8393782383419</v>
      </c>
      <c r="AP36" s="125">
        <f t="shared" ref="AP36:AR36" si="39">SUM(AP5:AP35)</f>
        <v>0</v>
      </c>
      <c r="AQ36" s="110">
        <f t="shared" si="39"/>
        <v>0</v>
      </c>
      <c r="AR36" s="112">
        <f t="shared" si="39"/>
        <v>0</v>
      </c>
      <c r="AS36" s="112"/>
      <c r="AT36" s="108">
        <f>SUM(AT5:AT35)</f>
        <v>0</v>
      </c>
      <c r="AU36" s="113"/>
      <c r="AV36" s="108">
        <f>SUM(AV5:AV35)</f>
        <v>0</v>
      </c>
      <c r="AW36" s="108">
        <f>SUM(AW5:AW35)</f>
        <v>0</v>
      </c>
      <c r="AX36" s="118">
        <f>SUM(AX5:AX35)</f>
        <v>0</v>
      </c>
      <c r="AY36" s="124" t="e">
        <f>AX36/AQ36</f>
        <v>#DIV/0!</v>
      </c>
      <c r="AZ36" s="121">
        <f t="shared" ref="AZ36:BL36" si="40">SUM(AZ5:AZ35)</f>
        <v>1639</v>
      </c>
      <c r="BA36" s="117">
        <f t="shared" si="40"/>
        <v>11440855</v>
      </c>
      <c r="BB36" s="117">
        <f t="shared" si="40"/>
        <v>2909012</v>
      </c>
      <c r="BC36" s="118">
        <f>SUM(BC5:BC35)</f>
        <v>14342889</v>
      </c>
      <c r="BD36" s="126">
        <f t="shared" si="40"/>
        <v>172700</v>
      </c>
      <c r="BE36" s="127">
        <f t="shared" si="40"/>
        <v>1639</v>
      </c>
      <c r="BF36" s="127">
        <f t="shared" si="40"/>
        <v>10589850</v>
      </c>
      <c r="BG36" s="127">
        <f t="shared" si="40"/>
        <v>2634371</v>
      </c>
      <c r="BH36" s="127">
        <f t="shared" si="40"/>
        <v>151250</v>
      </c>
      <c r="BI36" s="127">
        <f t="shared" si="40"/>
        <v>21450</v>
      </c>
      <c r="BJ36" s="127">
        <f t="shared" si="40"/>
        <v>3300</v>
      </c>
      <c r="BK36" s="127">
        <f t="shared" si="40"/>
        <v>62040</v>
      </c>
      <c r="BL36" s="128">
        <f t="shared" si="40"/>
        <v>13396921</v>
      </c>
      <c r="BN36" s="130">
        <f>SUM(BN5:BN35)</f>
        <v>13008111</v>
      </c>
    </row>
    <row r="37" spans="2:66" s="129" customFormat="1" ht="18">
      <c r="B37" s="131"/>
      <c r="E37" s="132" t="s">
        <v>40</v>
      </c>
      <c r="F37" s="133">
        <f>F36/1.1</f>
        <v>3484990.9090909087</v>
      </c>
      <c r="G37" s="134">
        <f>F37/E36</f>
        <v>4001.137668301847</v>
      </c>
      <c r="H37" s="135">
        <f>H36/1.1</f>
        <v>639181.81818181812</v>
      </c>
      <c r="I37" s="134">
        <f>H37/E36</f>
        <v>733.84824131092785</v>
      </c>
      <c r="J37" s="136">
        <f>J36/1.1</f>
        <v>4124172.7272727271</v>
      </c>
      <c r="K37" s="137">
        <f>G37+I37</f>
        <v>4734.9859096127748</v>
      </c>
      <c r="L37" s="138"/>
      <c r="M37" s="132" t="s">
        <v>40</v>
      </c>
      <c r="N37" s="133">
        <f>N36/1.1</f>
        <v>6142145.4545454541</v>
      </c>
      <c r="O37" s="134">
        <f>N37/M36</f>
        <v>7997.585227272727</v>
      </c>
      <c r="P37" s="135">
        <f>P36/1.1</f>
        <v>1755700.9090909089</v>
      </c>
      <c r="Q37" s="134">
        <f>P37/M36</f>
        <v>2286.0688920454545</v>
      </c>
      <c r="R37" s="134">
        <f>R36/1.1</f>
        <v>7897846.3636363633</v>
      </c>
      <c r="S37" s="139">
        <f>R37/M36</f>
        <v>10283.654119318182</v>
      </c>
      <c r="T37" s="132" t="s">
        <v>40</v>
      </c>
      <c r="U37" s="133">
        <f>U36/1.1</f>
        <v>9627136.3636363633</v>
      </c>
      <c r="V37" s="133">
        <f>V36/1.1</f>
        <v>2394882.7272727271</v>
      </c>
      <c r="W37" s="136">
        <f>W36/1.1</f>
        <v>12022019.09090909</v>
      </c>
      <c r="X37" s="140"/>
      <c r="Y37" s="138"/>
      <c r="Z37" s="132" t="s">
        <v>40</v>
      </c>
      <c r="AA37" s="132"/>
      <c r="AB37" s="133">
        <f>AB36/1.1</f>
        <v>131818.18181818179</v>
      </c>
      <c r="AC37" s="135">
        <f>AB37/Z36</f>
        <v>2272.7272727272725</v>
      </c>
      <c r="AD37" s="135">
        <f>AD36/1.1</f>
        <v>16181.81818181818</v>
      </c>
      <c r="AE37" s="135">
        <f>AD37/Z36</f>
        <v>278.99686520376173</v>
      </c>
      <c r="AF37" s="134">
        <f>AF36/1.1</f>
        <v>148000</v>
      </c>
      <c r="AG37" s="141">
        <f>AF37/Z36</f>
        <v>2551.7241379310344</v>
      </c>
      <c r="AH37" s="138"/>
      <c r="AI37" s="132" t="s">
        <v>40</v>
      </c>
      <c r="AJ37" s="133">
        <f>AJ36/1.1</f>
        <v>641822.72727272718</v>
      </c>
      <c r="AK37" s="135">
        <f>AJ37/AI36</f>
        <v>3325.5063589260476</v>
      </c>
      <c r="AL37" s="135">
        <f>AL36/1.1</f>
        <v>233491.81818181818</v>
      </c>
      <c r="AM37" s="135">
        <f>AL37/AI36</f>
        <v>1209.8021667451719</v>
      </c>
      <c r="AN37" s="134">
        <f>AN36/1.1</f>
        <v>875314.54545454541</v>
      </c>
      <c r="AO37" s="142" t="e">
        <f>AN37/AH36</f>
        <v>#DIV/0!</v>
      </c>
      <c r="AP37" s="138"/>
      <c r="AQ37" s="132" t="s">
        <v>40</v>
      </c>
      <c r="AR37" s="133">
        <f>AR36/1.1</f>
        <v>0</v>
      </c>
      <c r="AS37" s="135" t="e">
        <f>AR37/AQ36</f>
        <v>#DIV/0!</v>
      </c>
      <c r="AT37" s="135">
        <f>AT36/1.1</f>
        <v>0</v>
      </c>
      <c r="AU37" s="135" t="e">
        <f>AT37/AQ36</f>
        <v>#DIV/0!</v>
      </c>
      <c r="AV37" s="135">
        <f>AV36/1.1</f>
        <v>0</v>
      </c>
      <c r="AW37" s="135">
        <f>AW36/1.1</f>
        <v>0</v>
      </c>
      <c r="AX37" s="134">
        <f>AX36/1.1</f>
        <v>0</v>
      </c>
      <c r="AY37" s="142" t="e">
        <f>AX37/AQ36</f>
        <v>#DIV/0!</v>
      </c>
      <c r="AZ37" s="143" t="s">
        <v>40</v>
      </c>
      <c r="BA37" s="133">
        <f>BA36/1.1</f>
        <v>10400777.272727272</v>
      </c>
      <c r="BB37" s="133">
        <f>BB36/1.1</f>
        <v>2644556.3636363633</v>
      </c>
      <c r="BC37" s="134">
        <f>BC36/1.1</f>
        <v>13038989.999999998</v>
      </c>
      <c r="BD37" s="144">
        <f>BD36/1.1</f>
        <v>157000</v>
      </c>
      <c r="BI37" s="145"/>
      <c r="BL37" s="146">
        <f>BL36/1.1</f>
        <v>12179019.09090909</v>
      </c>
      <c r="BN37" s="146"/>
    </row>
    <row r="38" spans="2:66">
      <c r="C38" s="49">
        <v>30</v>
      </c>
      <c r="E38" s="147" t="s">
        <v>41</v>
      </c>
      <c r="F38" s="148">
        <f>E36/G38</f>
        <v>30.03448275862069</v>
      </c>
      <c r="G38" s="149">
        <v>29</v>
      </c>
      <c r="H38" s="148"/>
      <c r="I38" s="148"/>
      <c r="J38" s="150" t="s">
        <v>42</v>
      </c>
      <c r="K38" s="151">
        <f>J37/G38</f>
        <v>142212.85266457679</v>
      </c>
      <c r="M38" s="147" t="s">
        <v>41</v>
      </c>
      <c r="N38" s="148">
        <f>M36/O38</f>
        <v>26.482758620689655</v>
      </c>
      <c r="O38" s="149">
        <f>G38</f>
        <v>29</v>
      </c>
      <c r="P38" s="148"/>
      <c r="Q38" s="148"/>
      <c r="R38" s="150" t="s">
        <v>42</v>
      </c>
      <c r="S38" s="152">
        <f>R37/O38</f>
        <v>272339.52978056425</v>
      </c>
      <c r="U38" s="153">
        <f>O38</f>
        <v>29</v>
      </c>
      <c r="W38" s="85">
        <f>W37/U38</f>
        <v>414552.38244514103</v>
      </c>
      <c r="X38" s="79"/>
      <c r="AB38" s="154">
        <f>G38</f>
        <v>29</v>
      </c>
      <c r="AC38" s="148"/>
      <c r="AD38" s="148"/>
      <c r="AE38" s="148"/>
      <c r="AF38" s="148"/>
      <c r="AG38" s="151">
        <f>AF37/AB38</f>
        <v>5103.4482758620688</v>
      </c>
      <c r="AJ38" s="154">
        <f>AB38</f>
        <v>29</v>
      </c>
      <c r="AK38" s="148"/>
      <c r="AL38" s="148"/>
      <c r="AM38" s="148"/>
      <c r="AN38" s="148"/>
      <c r="AO38" s="151">
        <f>AN37/AJ38</f>
        <v>30183.260188087774</v>
      </c>
      <c r="AR38" s="154">
        <f>G38</f>
        <v>29</v>
      </c>
      <c r="AS38" s="148"/>
      <c r="AT38" s="148"/>
      <c r="AU38" s="148"/>
      <c r="AV38" s="148"/>
      <c r="AW38" s="148"/>
      <c r="AX38" s="148"/>
      <c r="AY38" s="151">
        <f>AX37/AR38</f>
        <v>0</v>
      </c>
      <c r="BC38" s="85"/>
      <c r="BD38" s="79" t="e">
        <f>BC37/BE37</f>
        <v>#DIV/0!</v>
      </c>
      <c r="BE38" s="155">
        <f>AZ36+T36</f>
        <v>3278</v>
      </c>
      <c r="BI38" s="85"/>
    </row>
    <row r="39" spans="2:66">
      <c r="D39" s="156" t="s">
        <v>43</v>
      </c>
      <c r="E39" s="157"/>
      <c r="F39" s="148"/>
      <c r="G39" s="158"/>
      <c r="H39" s="148"/>
      <c r="I39" s="148"/>
      <c r="J39" s="150"/>
      <c r="K39" s="151"/>
      <c r="L39" s="159" t="s">
        <v>44</v>
      </c>
      <c r="M39" s="147"/>
      <c r="N39" s="148"/>
      <c r="O39" s="148"/>
      <c r="P39" s="148"/>
      <c r="Q39" s="148"/>
      <c r="R39" s="150"/>
      <c r="S39" s="151"/>
      <c r="V39" s="85">
        <f>V37/T36</f>
        <v>1461.1853125519995</v>
      </c>
      <c r="W39" s="85"/>
      <c r="X39" s="79"/>
      <c r="Y39" s="159" t="s">
        <v>45</v>
      </c>
      <c r="AB39" s="148"/>
      <c r="AC39" s="148"/>
      <c r="AD39" s="148"/>
      <c r="AE39" s="148"/>
      <c r="AF39" s="148"/>
      <c r="AG39" s="151"/>
      <c r="AH39" s="159" t="s">
        <v>46</v>
      </c>
      <c r="AJ39" s="148"/>
      <c r="AK39" s="148"/>
      <c r="AL39" s="148"/>
      <c r="AM39" s="148"/>
      <c r="AN39" s="148"/>
      <c r="AO39" s="151"/>
      <c r="AP39" s="159" t="s">
        <v>47</v>
      </c>
      <c r="AR39" s="148"/>
      <c r="AS39" s="148"/>
      <c r="AT39" s="148"/>
      <c r="AU39" s="148"/>
      <c r="AV39" s="148"/>
      <c r="AW39" s="148"/>
      <c r="AX39" s="148"/>
      <c r="AY39" s="151"/>
      <c r="BC39" s="79">
        <f>BC36+BD36</f>
        <v>14515589</v>
      </c>
      <c r="BD39" s="160">
        <f>BC39/G38</f>
        <v>500537.55172413791</v>
      </c>
      <c r="BE39" s="49" t="s">
        <v>48</v>
      </c>
      <c r="BI39" s="85"/>
    </row>
    <row r="40" spans="2:66" ht="21.5" customHeight="1">
      <c r="C40" s="159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49">
        <v>25</v>
      </c>
      <c r="W40" s="79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BC40" s="162">
        <f>BC37+BD37</f>
        <v>13195989.999999998</v>
      </c>
    </row>
    <row r="41" spans="2:66" ht="21.5" customHeight="1">
      <c r="C41" s="159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49">
        <v>15</v>
      </c>
      <c r="V41" s="49">
        <f>17+10+14+5+7+8+9+6</f>
        <v>76</v>
      </c>
      <c r="W41" s="85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BC41" s="79"/>
      <c r="BD41" s="160">
        <f>BC40/G38</f>
        <v>455034.13793103443</v>
      </c>
      <c r="BE41" s="49" t="s">
        <v>49</v>
      </c>
      <c r="BF41" s="49">
        <v>9</v>
      </c>
    </row>
    <row r="42" spans="2:66" ht="21.5" customHeight="1">
      <c r="C42" s="159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49">
        <v>13</v>
      </c>
      <c r="W42" s="79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BF42" s="49">
        <v>8</v>
      </c>
      <c r="BG42" s="85">
        <f>AT37</f>
        <v>0</v>
      </c>
    </row>
    <row r="43" spans="2:66" ht="21.5" customHeight="1">
      <c r="C43" s="159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49">
        <v>10</v>
      </c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BC43" s="85">
        <f>BC37+BD37</f>
        <v>13195989.999999998</v>
      </c>
      <c r="BD43" s="163" t="s">
        <v>50</v>
      </c>
      <c r="BF43" s="49">
        <v>7</v>
      </c>
      <c r="BG43" s="164">
        <f>'[1]2023(7)'!AS37</f>
        <v>15843636.363636361</v>
      </c>
      <c r="BH43" s="164">
        <v>6266320</v>
      </c>
      <c r="BI43" s="165">
        <f>BH43/BG43</f>
        <v>0.39551021344962134</v>
      </c>
    </row>
    <row r="44" spans="2:66" ht="21.5" customHeight="1">
      <c r="C44" s="159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49">
        <v>40</v>
      </c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BA44" s="129"/>
      <c r="BB44" s="166" t="s">
        <v>51</v>
      </c>
      <c r="BC44" s="146">
        <f>J45+R45+AF45+BD44+AN45+AX45</f>
        <v>11789345</v>
      </c>
      <c r="BD44" s="167">
        <v>90000</v>
      </c>
      <c r="BE44" s="129"/>
      <c r="BF44" s="49">
        <v>6</v>
      </c>
      <c r="BG44" s="164">
        <v>7119727</v>
      </c>
      <c r="BH44" s="164">
        <v>2680643</v>
      </c>
      <c r="BI44" s="165">
        <f t="shared" ref="BI44:BI45" si="41">BH44/BG44</f>
        <v>0.37650923975034434</v>
      </c>
      <c r="BJ44" s="49" t="s">
        <v>52</v>
      </c>
    </row>
    <row r="45" spans="2:66" ht="21" customHeight="1">
      <c r="H45" s="168"/>
      <c r="I45" s="169" t="s">
        <v>53</v>
      </c>
      <c r="J45" s="146">
        <v>3440000</v>
      </c>
      <c r="K45" s="170" t="s">
        <v>54</v>
      </c>
      <c r="L45" s="129"/>
      <c r="M45" s="129"/>
      <c r="N45" s="129"/>
      <c r="O45" s="129"/>
      <c r="P45" s="129"/>
      <c r="Q45" s="169" t="s">
        <v>55</v>
      </c>
      <c r="R45" s="146">
        <v>6272000</v>
      </c>
      <c r="S45" s="170" t="s">
        <v>54</v>
      </c>
      <c r="T45" s="129">
        <v>10</v>
      </c>
      <c r="U45" s="129"/>
      <c r="V45" s="169" t="s">
        <v>56</v>
      </c>
      <c r="W45" s="146">
        <f>J45+R45</f>
        <v>9712000</v>
      </c>
      <c r="X45" s="170" t="s">
        <v>54</v>
      </c>
      <c r="Y45" s="129"/>
      <c r="Z45" s="129"/>
      <c r="AA45" s="129"/>
      <c r="AB45" s="129"/>
      <c r="AC45" s="129"/>
      <c r="AD45" s="129"/>
      <c r="AE45" s="168" t="s">
        <v>101</v>
      </c>
      <c r="AF45" s="146">
        <v>345400</v>
      </c>
      <c r="AG45" s="170" t="s">
        <v>54</v>
      </c>
      <c r="AH45" s="170"/>
      <c r="AI45" s="170"/>
      <c r="AJ45" s="170"/>
      <c r="AK45" s="170"/>
      <c r="AL45" s="129"/>
      <c r="AM45" s="169" t="s">
        <v>57</v>
      </c>
      <c r="AN45" s="146">
        <v>1641945</v>
      </c>
      <c r="AO45" s="170" t="s">
        <v>54</v>
      </c>
      <c r="AP45" s="170"/>
      <c r="AQ45" s="170"/>
      <c r="AR45" s="170"/>
      <c r="AS45" s="170"/>
      <c r="AT45" s="129"/>
      <c r="AU45" s="169" t="s">
        <v>58</v>
      </c>
      <c r="AV45" s="169"/>
      <c r="AW45" s="169"/>
      <c r="AX45" s="146">
        <v>0</v>
      </c>
      <c r="AY45" s="170" t="s">
        <v>54</v>
      </c>
      <c r="AZ45" s="129"/>
      <c r="BA45" s="129"/>
      <c r="BB45" s="166" t="s">
        <v>59</v>
      </c>
      <c r="BC45" s="145">
        <f>BC44-BC37-BD37</f>
        <v>-1406644.9999999981</v>
      </c>
      <c r="BD45" s="145">
        <v>90000</v>
      </c>
      <c r="BE45" s="171">
        <f>BD37/BD44</f>
        <v>1.7444444444444445</v>
      </c>
      <c r="BF45" s="49">
        <v>5</v>
      </c>
      <c r="BG45" s="164">
        <v>637682</v>
      </c>
      <c r="BH45" s="164"/>
      <c r="BI45" s="165">
        <f t="shared" si="41"/>
        <v>0</v>
      </c>
      <c r="BJ45" s="79" t="s">
        <v>60</v>
      </c>
      <c r="BN45" s="49"/>
    </row>
    <row r="46" spans="2:66" ht="21" customHeight="1">
      <c r="H46" s="168"/>
      <c r="I46" s="168" t="s">
        <v>59</v>
      </c>
      <c r="J46" s="145">
        <f>J45-J37</f>
        <v>-684172.72727272706</v>
      </c>
      <c r="K46" s="172">
        <f>C38-G38</f>
        <v>1</v>
      </c>
      <c r="L46" s="129"/>
      <c r="M46" s="129"/>
      <c r="N46" s="129"/>
      <c r="O46" s="129"/>
      <c r="P46" s="129"/>
      <c r="Q46" s="168" t="s">
        <v>59</v>
      </c>
      <c r="R46" s="145">
        <f>R45-R37</f>
        <v>-1625846.3636363633</v>
      </c>
      <c r="S46" s="129">
        <f>K46</f>
        <v>1</v>
      </c>
      <c r="T46" s="129"/>
      <c r="U46" s="129"/>
      <c r="V46" s="168" t="s">
        <v>59</v>
      </c>
      <c r="W46" s="145">
        <f>W45-W37</f>
        <v>-2310019.0909090899</v>
      </c>
      <c r="X46" s="129">
        <f>S46</f>
        <v>1</v>
      </c>
      <c r="Y46" s="129"/>
      <c r="Z46" s="129"/>
      <c r="AA46" s="129"/>
      <c r="AB46" s="129"/>
      <c r="AC46" s="129"/>
      <c r="AD46" s="129"/>
      <c r="AE46" s="168" t="s">
        <v>59</v>
      </c>
      <c r="AF46" s="145">
        <f>AF45-AF37</f>
        <v>197400</v>
      </c>
      <c r="AG46" s="129">
        <f>K46</f>
        <v>1</v>
      </c>
      <c r="AH46" s="129"/>
      <c r="AI46" s="129"/>
      <c r="AJ46" s="129"/>
      <c r="AK46" s="129"/>
      <c r="AL46" s="129"/>
      <c r="AM46" s="168" t="s">
        <v>59</v>
      </c>
      <c r="AN46" s="145">
        <f>AN45-AN37</f>
        <v>766630.45454545459</v>
      </c>
      <c r="AO46" s="129">
        <f>AG46</f>
        <v>1</v>
      </c>
      <c r="AP46" s="129"/>
      <c r="AQ46" s="129"/>
      <c r="AR46" s="129"/>
      <c r="AS46" s="129"/>
      <c r="AT46" s="129"/>
      <c r="AU46" s="168" t="s">
        <v>59</v>
      </c>
      <c r="AV46" s="168"/>
      <c r="AW46" s="173"/>
      <c r="AX46" s="145">
        <f>AX45-AX37</f>
        <v>0</v>
      </c>
      <c r="AY46" s="129">
        <f>AO46</f>
        <v>1</v>
      </c>
      <c r="AZ46" s="129"/>
      <c r="BA46" s="174"/>
      <c r="BB46" s="175" t="s">
        <v>61</v>
      </c>
      <c r="BC46" s="176">
        <f>BC45/K46</f>
        <v>-1406644.9999999981</v>
      </c>
      <c r="BD46" s="177">
        <f>(BC37+BD37)/BC44</f>
        <v>1.1193149407367413</v>
      </c>
      <c r="BE46" s="174"/>
      <c r="BF46" s="178"/>
      <c r="BG46" s="179">
        <f>SUM(BG41:BG45)</f>
        <v>23601045.36363636</v>
      </c>
      <c r="BH46" s="180">
        <f>BL71</f>
        <v>9138052</v>
      </c>
      <c r="BI46" s="181">
        <f>BH46/BG46</f>
        <v>0.38718844268142383</v>
      </c>
      <c r="BJ46" s="182">
        <f>BG46-BH46</f>
        <v>14462993.36363636</v>
      </c>
      <c r="BN46" s="49"/>
    </row>
    <row r="47" spans="2:66" s="178" customFormat="1" ht="26" customHeight="1">
      <c r="B47" s="183"/>
      <c r="H47" s="184"/>
      <c r="I47" s="175" t="s">
        <v>61</v>
      </c>
      <c r="J47" s="185">
        <f>J46/K46</f>
        <v>-684172.72727272706</v>
      </c>
      <c r="K47" s="186">
        <f>J37/J45</f>
        <v>1.198887420718816</v>
      </c>
      <c r="L47" s="174"/>
      <c r="M47" s="174"/>
      <c r="N47" s="174"/>
      <c r="O47" s="174"/>
      <c r="P47" s="174"/>
      <c r="Q47" s="175" t="s">
        <v>61</v>
      </c>
      <c r="R47" s="176">
        <f>R46/S46</f>
        <v>-1625846.3636363633</v>
      </c>
      <c r="S47" s="186">
        <f>R37/R45</f>
        <v>1.2592229533858998</v>
      </c>
      <c r="T47" s="174"/>
      <c r="U47" s="174"/>
      <c r="V47" s="175" t="s">
        <v>61</v>
      </c>
      <c r="W47" s="176">
        <f>W46/X46</f>
        <v>-2310019.0909090899</v>
      </c>
      <c r="X47" s="186">
        <f>W37/W45</f>
        <v>1.2378520480754829</v>
      </c>
      <c r="Y47" s="174"/>
      <c r="Z47" s="174"/>
      <c r="AA47" s="174"/>
      <c r="AB47" s="174"/>
      <c r="AC47" s="174"/>
      <c r="AD47" s="174"/>
      <c r="AE47" s="175" t="s">
        <v>61</v>
      </c>
      <c r="AF47" s="185">
        <f>AF46/AG46</f>
        <v>197400</v>
      </c>
      <c r="AG47" s="186">
        <f>AF37/AF45</f>
        <v>0.42848870874348582</v>
      </c>
      <c r="AH47" s="186"/>
      <c r="AI47" s="186"/>
      <c r="AJ47" s="186"/>
      <c r="AK47" s="186"/>
      <c r="AL47" s="174"/>
      <c r="AM47" s="175" t="s">
        <v>61</v>
      </c>
      <c r="AN47" s="176">
        <f>AN46/AO46</f>
        <v>766630.45454545459</v>
      </c>
      <c r="AO47" s="186">
        <f>AN37/AN45</f>
        <v>0.53309614235223801</v>
      </c>
      <c r="AP47" s="186"/>
      <c r="AQ47" s="186"/>
      <c r="AR47" s="186"/>
      <c r="AS47" s="186"/>
      <c r="AT47" s="174"/>
      <c r="AU47" s="175" t="s">
        <v>61</v>
      </c>
      <c r="AV47" s="175"/>
      <c r="AW47" s="175">
        <f>AW46/AY46</f>
        <v>0</v>
      </c>
      <c r="AX47" s="176">
        <f>AX46/AY46</f>
        <v>0</v>
      </c>
      <c r="AY47" s="186" t="e">
        <f>AX37/AX45</f>
        <v>#DIV/0!</v>
      </c>
      <c r="AZ47" s="174"/>
      <c r="BA47" s="49"/>
      <c r="BB47" s="49"/>
      <c r="BC47" s="85"/>
      <c r="BD47" s="49"/>
      <c r="BE47" s="49"/>
      <c r="BF47" s="49"/>
      <c r="BJ47" s="187"/>
      <c r="BL47" s="187"/>
    </row>
    <row r="48" spans="2:66">
      <c r="E48" s="49" t="s">
        <v>111</v>
      </c>
      <c r="H48" s="49">
        <v>931</v>
      </c>
      <c r="I48" s="49">
        <f>H48/31</f>
        <v>30.032258064516128</v>
      </c>
      <c r="K48" s="49">
        <f>J45/31</f>
        <v>110967.74193548386</v>
      </c>
      <c r="M48" s="49" t="s">
        <v>112</v>
      </c>
      <c r="P48" s="49">
        <v>557</v>
      </c>
      <c r="Q48" s="49">
        <f>P48/31</f>
        <v>17.967741935483872</v>
      </c>
      <c r="S48" s="49">
        <f>R45/31</f>
        <v>202322.5806451613</v>
      </c>
      <c r="AY48" s="49" t="e">
        <f>AX37/AW45</f>
        <v>#DIV/0!</v>
      </c>
      <c r="BA48" s="188"/>
      <c r="BB48" s="188"/>
      <c r="BC48" s="188"/>
      <c r="BD48" s="188"/>
      <c r="BE48" s="188"/>
      <c r="BF48" s="188"/>
      <c r="BJ48" s="79"/>
      <c r="BN48" s="49"/>
    </row>
    <row r="49" spans="2:64" s="188" customFormat="1" ht="24" customHeight="1">
      <c r="B49" s="189"/>
      <c r="E49" s="49" t="s">
        <v>113</v>
      </c>
      <c r="F49" s="49" t="s">
        <v>114</v>
      </c>
      <c r="G49" s="49" t="s">
        <v>115</v>
      </c>
      <c r="J49" s="190"/>
      <c r="L49" s="191"/>
      <c r="M49" s="49" t="s">
        <v>113</v>
      </c>
      <c r="N49" s="49" t="s">
        <v>114</v>
      </c>
      <c r="O49" s="49" t="s">
        <v>115</v>
      </c>
      <c r="P49" s="49"/>
      <c r="Q49" s="49"/>
      <c r="R49" s="191">
        <v>400000</v>
      </c>
      <c r="AF49" s="188">
        <f>AF45/30</f>
        <v>11513.333333333334</v>
      </c>
      <c r="AR49" s="192">
        <f>AQ14+AQ21</f>
        <v>0</v>
      </c>
      <c r="AS49" s="193" t="e">
        <f>AS14+AS21</f>
        <v>#DIV/0!</v>
      </c>
      <c r="AT49" s="193" t="e">
        <f>AU14+AU21</f>
        <v>#DIV/0!</v>
      </c>
      <c r="AX49" s="188">
        <f>AX45/30</f>
        <v>0</v>
      </c>
      <c r="BA49" s="1"/>
      <c r="BB49" s="1"/>
      <c r="BC49" s="1"/>
      <c r="BD49" s="1"/>
      <c r="BE49" s="194" t="s">
        <v>63</v>
      </c>
      <c r="BF49" s="1" t="s">
        <v>64</v>
      </c>
      <c r="BG49" s="1" t="s">
        <v>65</v>
      </c>
      <c r="BH49" s="1" t="s">
        <v>66</v>
      </c>
      <c r="BI49" s="1" t="s">
        <v>67</v>
      </c>
      <c r="BJ49" s="195" t="s">
        <v>68</v>
      </c>
      <c r="BK49" s="195" t="s">
        <v>69</v>
      </c>
      <c r="BL49" s="195" t="s">
        <v>70</v>
      </c>
    </row>
    <row r="50" spans="2:64" s="1" customFormat="1" ht="24" customHeight="1">
      <c r="B50" s="189"/>
      <c r="D50" s="188" t="s">
        <v>116</v>
      </c>
      <c r="E50" s="222">
        <f>E7+E14+E28+E21</f>
        <v>128</v>
      </c>
      <c r="F50" s="1">
        <f>F7+F14+F28+F21</f>
        <v>555720</v>
      </c>
      <c r="G50" s="190">
        <f>H7+H14+H21+H28</f>
        <v>95980</v>
      </c>
      <c r="J50" s="190"/>
      <c r="L50" s="188" t="s">
        <v>116</v>
      </c>
      <c r="M50" s="49">
        <f>M7+M14+M21+M28</f>
        <v>91</v>
      </c>
      <c r="N50" s="49">
        <f>N7+N14+N21+N28</f>
        <v>791580</v>
      </c>
      <c r="O50" s="49">
        <f>P7+P14+P21+P28</f>
        <v>158550</v>
      </c>
      <c r="P50" s="49"/>
      <c r="Q50" s="49"/>
      <c r="R50" s="196"/>
      <c r="S50" s="196"/>
      <c r="Z50" s="197"/>
      <c r="AA50" s="197"/>
      <c r="AR50" s="1">
        <f>AR49/2</f>
        <v>0</v>
      </c>
      <c r="AS50" s="198" t="e">
        <f t="shared" ref="AS50:AT50" si="42">AS49/2</f>
        <v>#DIV/0!</v>
      </c>
      <c r="AT50" s="198" t="e">
        <f t="shared" si="42"/>
        <v>#DIV/0!</v>
      </c>
      <c r="AX50" s="1">
        <v>54000000</v>
      </c>
      <c r="AY50" s="199">
        <f>AX50-AX37</f>
        <v>54000000</v>
      </c>
      <c r="BA50" s="188"/>
      <c r="BB50" s="188"/>
      <c r="BC50" s="188"/>
      <c r="BD50" s="188"/>
      <c r="BE50" s="194" t="s">
        <v>72</v>
      </c>
      <c r="BF50" s="200">
        <v>1800</v>
      </c>
      <c r="BG50" s="200">
        <v>21</v>
      </c>
      <c r="BH50" s="201">
        <v>0</v>
      </c>
      <c r="BI50" s="200"/>
      <c r="BJ50" s="202">
        <f>BG50*BF50</f>
        <v>37800</v>
      </c>
      <c r="BK50" s="202">
        <f>BF50*BH50</f>
        <v>0</v>
      </c>
      <c r="BL50" s="202">
        <f>BJ50-BK50</f>
        <v>37800</v>
      </c>
    </row>
    <row r="51" spans="2:64" s="188" customFormat="1" ht="24" customHeight="1">
      <c r="B51" s="189"/>
      <c r="D51" s="188" t="s">
        <v>107</v>
      </c>
      <c r="E51" s="222">
        <f>E8+E15+E29+E22</f>
        <v>117</v>
      </c>
      <c r="F51" s="1">
        <f t="shared" ref="F51:F54" si="43">F8+F15+F29+F22</f>
        <v>466180</v>
      </c>
      <c r="G51" s="190">
        <f t="shared" ref="G51:G54" si="44">H8+H15+H22+H29</f>
        <v>72510</v>
      </c>
      <c r="K51" s="1"/>
      <c r="L51" s="188" t="s">
        <v>107</v>
      </c>
      <c r="M51" s="49">
        <f t="shared" ref="M51:N54" si="45">M8+M15+M22+M29</f>
        <v>97</v>
      </c>
      <c r="N51" s="49">
        <f t="shared" si="45"/>
        <v>789430</v>
      </c>
      <c r="O51" s="49">
        <f t="shared" ref="O51:O54" si="46">P8+P15+P22+P29</f>
        <v>255640</v>
      </c>
      <c r="P51" s="49"/>
      <c r="Q51" s="49"/>
      <c r="R51" s="203"/>
      <c r="S51" s="204"/>
      <c r="T51" s="204"/>
      <c r="U51" s="204" t="s">
        <v>73</v>
      </c>
      <c r="V51" s="204"/>
      <c r="W51" s="205"/>
      <c r="X51" s="206"/>
      <c r="Y51" s="194"/>
      <c r="Z51" s="202"/>
      <c r="AA51" s="202"/>
      <c r="AY51" s="188">
        <f>AY50/AY46</f>
        <v>54000000</v>
      </c>
      <c r="BE51" s="194" t="s">
        <v>74</v>
      </c>
      <c r="BF51" s="200">
        <v>10800</v>
      </c>
      <c r="BG51" s="200">
        <v>640</v>
      </c>
      <c r="BH51" s="200">
        <v>20</v>
      </c>
      <c r="BI51" s="200"/>
      <c r="BJ51" s="202">
        <f t="shared" ref="BJ51:BJ70" si="47">BF51*BG51</f>
        <v>6912000</v>
      </c>
      <c r="BK51" s="202">
        <f t="shared" ref="BK51:BK70" si="48">BF51*BH51</f>
        <v>216000</v>
      </c>
      <c r="BL51" s="202">
        <f t="shared" ref="BL51:BL70" si="49">BJ51-BK51</f>
        <v>6696000</v>
      </c>
    </row>
    <row r="52" spans="2:64" s="188" customFormat="1" ht="24" customHeight="1">
      <c r="B52" s="189"/>
      <c r="D52" s="188" t="s">
        <v>108</v>
      </c>
      <c r="E52" s="1">
        <f>E9+E16+E30+E23</f>
        <v>88</v>
      </c>
      <c r="F52" s="1">
        <f t="shared" si="43"/>
        <v>388960</v>
      </c>
      <c r="G52" s="190">
        <f t="shared" si="44"/>
        <v>102780</v>
      </c>
      <c r="K52" s="1"/>
      <c r="L52" s="188" t="s">
        <v>108</v>
      </c>
      <c r="M52" s="49">
        <f t="shared" si="45"/>
        <v>64</v>
      </c>
      <c r="N52" s="49">
        <f t="shared" si="45"/>
        <v>561500</v>
      </c>
      <c r="O52" s="49">
        <f t="shared" si="46"/>
        <v>214650</v>
      </c>
      <c r="P52" s="49"/>
      <c r="Q52" s="49"/>
      <c r="R52" s="205"/>
      <c r="S52" s="204"/>
      <c r="T52" s="204"/>
      <c r="U52" s="207" t="s">
        <v>75</v>
      </c>
      <c r="V52" s="208" t="s">
        <v>76</v>
      </c>
      <c r="W52" s="209"/>
      <c r="X52" s="210" t="e">
        <f>W52/Y52</f>
        <v>#DIV/0!</v>
      </c>
      <c r="Y52" s="211">
        <f>W52+W53</f>
        <v>0</v>
      </c>
      <c r="Z52" s="212"/>
      <c r="AA52" s="212"/>
      <c r="AB52" s="212"/>
      <c r="BE52" s="194" t="s">
        <v>77</v>
      </c>
      <c r="BF52" s="200">
        <v>6120</v>
      </c>
      <c r="BG52" s="200">
        <v>40</v>
      </c>
      <c r="BH52" s="200">
        <v>4</v>
      </c>
      <c r="BI52" s="200"/>
      <c r="BJ52" s="202">
        <f t="shared" si="47"/>
        <v>244800</v>
      </c>
      <c r="BK52" s="202">
        <f t="shared" si="48"/>
        <v>24480</v>
      </c>
      <c r="BL52" s="202">
        <f t="shared" si="49"/>
        <v>220320</v>
      </c>
    </row>
    <row r="53" spans="2:64" s="188" customFormat="1" ht="24" customHeight="1">
      <c r="B53" s="189"/>
      <c r="D53" s="188" t="s">
        <v>109</v>
      </c>
      <c r="E53" s="1">
        <f>E10+E17+E31+E24</f>
        <v>92</v>
      </c>
      <c r="F53" s="1">
        <f t="shared" si="43"/>
        <v>411510</v>
      </c>
      <c r="G53" s="190">
        <f t="shared" si="44"/>
        <v>67240</v>
      </c>
      <c r="K53" s="1"/>
      <c r="L53" s="188" t="s">
        <v>109</v>
      </c>
      <c r="M53" s="49">
        <f t="shared" si="45"/>
        <v>89</v>
      </c>
      <c r="N53" s="49">
        <f t="shared" si="45"/>
        <v>831970</v>
      </c>
      <c r="O53" s="49">
        <f t="shared" si="46"/>
        <v>243711</v>
      </c>
      <c r="P53" s="49"/>
      <c r="Q53" s="49"/>
      <c r="R53" s="205"/>
      <c r="S53" s="204"/>
      <c r="T53" s="204"/>
      <c r="U53" s="207"/>
      <c r="V53" s="208" t="s">
        <v>78</v>
      </c>
      <c r="W53" s="209"/>
      <c r="X53" s="210" t="e">
        <f>W53/Y52</f>
        <v>#DIV/0!</v>
      </c>
      <c r="Y53" s="212"/>
      <c r="Z53" s="212"/>
      <c r="AA53" s="212"/>
      <c r="AB53" s="212"/>
      <c r="AV53" s="188">
        <v>4670600</v>
      </c>
      <c r="AW53" s="188">
        <v>19016645.454545453</v>
      </c>
      <c r="AX53" s="188">
        <v>16482254.545454545</v>
      </c>
      <c r="AY53" s="188">
        <v>6958118.1818181816</v>
      </c>
      <c r="BC53" s="188" t="s">
        <v>79</v>
      </c>
      <c r="BE53" s="194" t="s">
        <v>80</v>
      </c>
      <c r="BF53" s="200">
        <v>1780</v>
      </c>
      <c r="BG53" s="200">
        <v>24</v>
      </c>
      <c r="BH53" s="200">
        <v>4</v>
      </c>
      <c r="BI53" s="200"/>
      <c r="BJ53" s="202">
        <f t="shared" si="47"/>
        <v>42720</v>
      </c>
      <c r="BK53" s="202">
        <f t="shared" si="48"/>
        <v>7120</v>
      </c>
      <c r="BL53" s="202">
        <f t="shared" si="49"/>
        <v>35600</v>
      </c>
    </row>
    <row r="54" spans="2:64" s="188" customFormat="1" ht="24" customHeight="1">
      <c r="B54" s="189"/>
      <c r="D54" s="188" t="s">
        <v>110</v>
      </c>
      <c r="E54" s="1">
        <f t="shared" ref="E54" si="50">E11+E18+E32+E25</f>
        <v>112</v>
      </c>
      <c r="F54" s="1">
        <f t="shared" si="43"/>
        <v>445160</v>
      </c>
      <c r="G54" s="190">
        <f t="shared" si="44"/>
        <v>73180</v>
      </c>
      <c r="K54" s="1"/>
      <c r="L54" s="188" t="s">
        <v>110</v>
      </c>
      <c r="M54" s="49">
        <f t="shared" si="45"/>
        <v>127</v>
      </c>
      <c r="N54" s="49">
        <f t="shared" si="45"/>
        <v>941120</v>
      </c>
      <c r="O54" s="49">
        <f t="shared" si="46"/>
        <v>395650</v>
      </c>
      <c r="P54" s="49"/>
      <c r="Q54" s="49"/>
      <c r="R54" s="205"/>
      <c r="S54" s="204"/>
      <c r="T54" s="204"/>
      <c r="U54" s="213" t="s">
        <v>81</v>
      </c>
      <c r="V54" s="208" t="s">
        <v>76</v>
      </c>
      <c r="W54" s="209"/>
      <c r="X54" s="210" t="e">
        <f t="shared" ref="X54" si="51">W54/Y54</f>
        <v>#DIV/0!</v>
      </c>
      <c r="Y54" s="211">
        <f t="shared" ref="Y54" si="52">W54+W55</f>
        <v>0</v>
      </c>
      <c r="Z54" s="212"/>
      <c r="AA54" s="212"/>
      <c r="AB54" s="212"/>
      <c r="BE54" s="194" t="s">
        <v>82</v>
      </c>
      <c r="BF54" s="200">
        <v>1780</v>
      </c>
      <c r="BG54" s="200">
        <v>24</v>
      </c>
      <c r="BH54" s="200">
        <v>20</v>
      </c>
      <c r="BI54" s="200"/>
      <c r="BJ54" s="202">
        <f t="shared" si="47"/>
        <v>42720</v>
      </c>
      <c r="BK54" s="202">
        <f t="shared" si="48"/>
        <v>35600</v>
      </c>
      <c r="BL54" s="202">
        <f t="shared" si="49"/>
        <v>7120</v>
      </c>
    </row>
    <row r="55" spans="2:64" s="188" customFormat="1" ht="24" customHeight="1">
      <c r="B55" s="189"/>
      <c r="D55" s="188" t="s">
        <v>117</v>
      </c>
      <c r="E55" s="222">
        <f>E12+E19+E33+E26+E5</f>
        <v>166</v>
      </c>
      <c r="F55" s="190">
        <f>F12+F19+F33+F26+F5</f>
        <v>788590</v>
      </c>
      <c r="G55" s="190">
        <f>H12+H19+H26+H33+H5</f>
        <v>158670</v>
      </c>
      <c r="L55" s="188" t="s">
        <v>117</v>
      </c>
      <c r="M55" s="155">
        <f>M12+M19+M26+M33+M5</f>
        <v>160</v>
      </c>
      <c r="N55" s="49">
        <f>N12+N19+N26+N33+N5</f>
        <v>1510520</v>
      </c>
      <c r="O55" s="85">
        <f>P12+P19+P26+P33+P5</f>
        <v>371110</v>
      </c>
      <c r="P55" s="49"/>
      <c r="Q55" s="49"/>
      <c r="R55" s="214"/>
      <c r="S55" s="204"/>
      <c r="T55" s="204"/>
      <c r="U55" s="213"/>
      <c r="V55" s="208" t="s">
        <v>78</v>
      </c>
      <c r="W55" s="209"/>
      <c r="X55" s="210" t="e">
        <f t="shared" ref="X55" si="53">W55/Y54</f>
        <v>#DIV/0!</v>
      </c>
      <c r="Y55" s="212"/>
      <c r="Z55" s="212"/>
      <c r="AA55" s="212"/>
      <c r="AB55" s="212"/>
      <c r="AX55" s="200">
        <f>AX36 +1000</f>
        <v>1000</v>
      </c>
      <c r="AY55" s="190">
        <f>'[1]2025(5)'!AX34+'[1]2025(5)'!AX35</f>
        <v>2847290</v>
      </c>
      <c r="BA55" s="85">
        <f>AX55+AY55</f>
        <v>2848290</v>
      </c>
      <c r="BB55" s="49"/>
      <c r="BC55" s="49"/>
      <c r="BD55" s="49"/>
      <c r="BE55" s="194" t="s">
        <v>83</v>
      </c>
      <c r="BF55" s="215">
        <v>8190</v>
      </c>
      <c r="BG55" s="200">
        <v>13</v>
      </c>
      <c r="BH55" s="200">
        <v>4</v>
      </c>
      <c r="BI55" s="200"/>
      <c r="BJ55" s="202">
        <f t="shared" si="47"/>
        <v>106470</v>
      </c>
      <c r="BK55" s="202">
        <f t="shared" si="48"/>
        <v>32760</v>
      </c>
      <c r="BL55" s="202">
        <f t="shared" si="49"/>
        <v>73710</v>
      </c>
    </row>
    <row r="56" spans="2:64" ht="24" customHeight="1">
      <c r="D56" s="188" t="s">
        <v>105</v>
      </c>
      <c r="E56" s="222">
        <f>E13+E20+E34+E27+E6</f>
        <v>168</v>
      </c>
      <c r="F56" s="190">
        <f>F13+F20+F34+F27+F6</f>
        <v>777370</v>
      </c>
      <c r="G56" s="190">
        <f>H13+H20+H27+H34+H6</f>
        <v>132740</v>
      </c>
      <c r="L56" s="188" t="s">
        <v>105</v>
      </c>
      <c r="M56" s="155">
        <f>M13+M20+M27+M34+M6</f>
        <v>140</v>
      </c>
      <c r="N56" s="49">
        <f>N13+N20+N27+N34+N6</f>
        <v>1330240</v>
      </c>
      <c r="O56" s="85">
        <f>P13+P20+P27+P34+P6</f>
        <v>291960</v>
      </c>
      <c r="U56" s="216" t="s">
        <v>2</v>
      </c>
      <c r="V56" s="217" t="s">
        <v>76</v>
      </c>
      <c r="W56" s="209"/>
      <c r="X56" s="210" t="e">
        <f t="shared" ref="X56:X58" si="54">W56/Y56</f>
        <v>#DIV/0!</v>
      </c>
      <c r="Y56" s="211">
        <f t="shared" ref="Y56" si="55">W56+W57</f>
        <v>0</v>
      </c>
      <c r="Z56" s="212"/>
      <c r="AA56" s="212"/>
      <c r="AB56" s="212"/>
      <c r="AX56" s="215"/>
      <c r="AY56" s="163"/>
      <c r="BA56" s="85">
        <f>BA55-BA57</f>
        <v>-8193350</v>
      </c>
      <c r="BE56" s="194" t="s">
        <v>84</v>
      </c>
      <c r="BF56" s="215">
        <v>5784</v>
      </c>
      <c r="BG56" s="215">
        <v>36</v>
      </c>
      <c r="BH56" s="215">
        <v>28</v>
      </c>
      <c r="BI56" s="215"/>
      <c r="BJ56" s="202">
        <f t="shared" si="47"/>
        <v>208224</v>
      </c>
      <c r="BK56" s="202">
        <f t="shared" si="48"/>
        <v>161952</v>
      </c>
      <c r="BL56" s="202">
        <f t="shared" si="49"/>
        <v>46272</v>
      </c>
    </row>
    <row r="57" spans="2:64" ht="24" customHeight="1">
      <c r="U57" s="216"/>
      <c r="V57" s="217" t="s">
        <v>78</v>
      </c>
      <c r="W57" s="209"/>
      <c r="X57" s="210" t="e">
        <f t="shared" ref="X57:X59" si="56">W57/Y56</f>
        <v>#DIV/0!</v>
      </c>
      <c r="Y57" s="212"/>
      <c r="Z57" s="212"/>
      <c r="AA57" s="212"/>
      <c r="AB57" s="212"/>
      <c r="AX57" s="215">
        <v>10513690</v>
      </c>
      <c r="AY57" s="163">
        <v>527950</v>
      </c>
      <c r="BA57" s="85">
        <f t="shared" ref="BA57" si="57">AX57+AY57</f>
        <v>11041640</v>
      </c>
      <c r="BE57" s="194" t="s">
        <v>85</v>
      </c>
      <c r="BF57" s="215">
        <v>6775</v>
      </c>
      <c r="BG57" s="215">
        <v>12</v>
      </c>
      <c r="BH57" s="215">
        <v>11</v>
      </c>
      <c r="BI57" s="215"/>
      <c r="BJ57" s="202">
        <f t="shared" si="47"/>
        <v>81300</v>
      </c>
      <c r="BK57" s="202">
        <f t="shared" si="48"/>
        <v>74525</v>
      </c>
      <c r="BL57" s="202">
        <f t="shared" si="49"/>
        <v>6775</v>
      </c>
    </row>
    <row r="58" spans="2:64" ht="24" customHeight="1">
      <c r="U58" s="218" t="s">
        <v>86</v>
      </c>
      <c r="V58" s="217" t="s">
        <v>76</v>
      </c>
      <c r="W58" s="209"/>
      <c r="X58" s="210" t="e">
        <f t="shared" si="54"/>
        <v>#DIV/0!</v>
      </c>
      <c r="Y58" s="219">
        <f>SUM(Y52:AB56)</f>
        <v>0</v>
      </c>
      <c r="Z58" s="220"/>
      <c r="AA58" s="220"/>
      <c r="AB58" s="220"/>
      <c r="AX58" s="215"/>
      <c r="BA58" s="49">
        <f>BA55/BA57</f>
        <v>0.25795896261787199</v>
      </c>
      <c r="BE58" s="194" t="s">
        <v>87</v>
      </c>
      <c r="BF58" s="215">
        <v>1755</v>
      </c>
      <c r="BG58" s="215">
        <v>14</v>
      </c>
      <c r="BH58" s="215">
        <v>2</v>
      </c>
      <c r="BI58" s="215"/>
      <c r="BJ58" s="202">
        <f t="shared" si="47"/>
        <v>24570</v>
      </c>
      <c r="BK58" s="202">
        <f t="shared" si="48"/>
        <v>3510</v>
      </c>
      <c r="BL58" s="202">
        <f t="shared" si="49"/>
        <v>21060</v>
      </c>
    </row>
    <row r="59" spans="2:64" ht="24" customHeight="1">
      <c r="F59" s="49">
        <v>346.60869565217394</v>
      </c>
      <c r="G59" s="49">
        <v>301.36363636363637</v>
      </c>
      <c r="H59" s="49">
        <v>801.17391304347825</v>
      </c>
      <c r="I59" s="49">
        <v>591.75</v>
      </c>
      <c r="N59" s="49">
        <v>2473.9333333333334</v>
      </c>
      <c r="O59" s="49">
        <v>6122.2222222222226</v>
      </c>
      <c r="P59" s="49">
        <v>3277</v>
      </c>
      <c r="Q59" s="49">
        <v>507.14285714285717</v>
      </c>
      <c r="U59" s="218"/>
      <c r="V59" s="217" t="s">
        <v>78</v>
      </c>
      <c r="W59" s="209"/>
      <c r="X59" s="210" t="e">
        <f t="shared" si="56"/>
        <v>#DIV/0!</v>
      </c>
      <c r="Y59" s="220"/>
      <c r="Z59" s="220"/>
      <c r="AA59" s="220"/>
      <c r="AB59" s="220"/>
      <c r="AX59" s="215"/>
      <c r="BE59" s="194" t="s">
        <v>88</v>
      </c>
      <c r="BF59" s="215">
        <v>1755</v>
      </c>
      <c r="BG59" s="215">
        <v>10</v>
      </c>
      <c r="BH59" s="215">
        <v>0</v>
      </c>
      <c r="BI59" s="215"/>
      <c r="BJ59" s="202">
        <f t="shared" si="47"/>
        <v>17550</v>
      </c>
      <c r="BK59" s="202">
        <f t="shared" si="48"/>
        <v>0</v>
      </c>
      <c r="BL59" s="202">
        <f t="shared" si="49"/>
        <v>17550</v>
      </c>
    </row>
    <row r="60" spans="2:64" ht="24" customHeight="1">
      <c r="F60" s="49">
        <v>313.11111111111109</v>
      </c>
      <c r="G60" s="49">
        <v>301.125</v>
      </c>
      <c r="H60" s="49">
        <v>991.89189189189187</v>
      </c>
      <c r="I60" s="49">
        <v>595.73333333333335</v>
      </c>
      <c r="N60" s="49">
        <v>1887.1176470588234</v>
      </c>
      <c r="O60" s="49">
        <v>2474.4615384615386</v>
      </c>
      <c r="P60" s="49">
        <v>1210.7142857142858</v>
      </c>
      <c r="Q60" s="49">
        <v>1056.9666666666667</v>
      </c>
      <c r="BE60" s="194" t="s">
        <v>89</v>
      </c>
      <c r="BF60" s="215">
        <v>1075</v>
      </c>
      <c r="BG60" s="215">
        <v>96</v>
      </c>
      <c r="BH60" s="215">
        <v>38</v>
      </c>
      <c r="BI60" s="215"/>
      <c r="BJ60" s="202">
        <f t="shared" si="47"/>
        <v>103200</v>
      </c>
      <c r="BK60" s="202">
        <f t="shared" si="48"/>
        <v>40850</v>
      </c>
      <c r="BL60" s="202">
        <f t="shared" si="49"/>
        <v>62350</v>
      </c>
    </row>
    <row r="61" spans="2:64" ht="24" customHeight="1">
      <c r="F61" s="49">
        <v>603.85</v>
      </c>
      <c r="G61" s="49">
        <v>457.44</v>
      </c>
      <c r="H61" s="49">
        <v>1139.4827586206898</v>
      </c>
      <c r="I61" s="49">
        <v>847.56666666666672</v>
      </c>
      <c r="N61" s="49">
        <v>1504.7619047619048</v>
      </c>
      <c r="O61" s="49">
        <v>1838.3333333333333</v>
      </c>
      <c r="P61" s="49">
        <v>1940.7241379310344</v>
      </c>
      <c r="Q61" s="49">
        <v>1493</v>
      </c>
      <c r="BE61" s="194" t="s">
        <v>90</v>
      </c>
      <c r="BF61" s="215">
        <v>3860</v>
      </c>
      <c r="BG61" s="215">
        <v>166</v>
      </c>
      <c r="BH61" s="215">
        <v>13</v>
      </c>
      <c r="BI61" s="215"/>
      <c r="BJ61" s="202">
        <f t="shared" si="47"/>
        <v>640760</v>
      </c>
      <c r="BK61" s="202">
        <f t="shared" si="48"/>
        <v>50180</v>
      </c>
      <c r="BL61" s="202">
        <f t="shared" si="49"/>
        <v>590580</v>
      </c>
    </row>
    <row r="62" spans="2:64" ht="24" customHeight="1">
      <c r="F62" s="49">
        <v>343.40740740740739</v>
      </c>
      <c r="G62" s="49">
        <v>387.26666666666665</v>
      </c>
      <c r="H62" s="49">
        <v>2381.804347826087</v>
      </c>
      <c r="I62" s="49">
        <v>694.28571428571433</v>
      </c>
      <c r="N62" s="49">
        <v>1742.5625</v>
      </c>
      <c r="O62" s="49">
        <v>1967.25</v>
      </c>
      <c r="P62" s="49">
        <v>1330.2962962962963</v>
      </c>
      <c r="Q62" s="49">
        <v>1470.4166666666667</v>
      </c>
      <c r="BE62" s="194" t="s">
        <v>91</v>
      </c>
      <c r="BF62" s="215">
        <v>6450</v>
      </c>
      <c r="BG62" s="215">
        <v>137</v>
      </c>
      <c r="BH62" s="215">
        <v>12</v>
      </c>
      <c r="BI62" s="215"/>
      <c r="BJ62" s="202">
        <f t="shared" si="47"/>
        <v>883650</v>
      </c>
      <c r="BK62" s="202">
        <f t="shared" si="48"/>
        <v>77400</v>
      </c>
      <c r="BL62" s="202">
        <f t="shared" si="49"/>
        <v>806250</v>
      </c>
    </row>
    <row r="63" spans="2:64" ht="24" customHeight="1">
      <c r="F63" s="49">
        <v>208.22727272727272</v>
      </c>
      <c r="G63" s="49">
        <v>257.91666666666669</v>
      </c>
      <c r="H63" s="49">
        <v>560.46153846153845</v>
      </c>
      <c r="I63" s="49">
        <v>858.42857142857144</v>
      </c>
      <c r="N63" s="49">
        <v>2161.5555555555557</v>
      </c>
      <c r="O63" s="49">
        <v>2455.9230769230771</v>
      </c>
      <c r="P63" s="49">
        <v>2270</v>
      </c>
      <c r="Q63" s="49">
        <v>1696.9666666666667</v>
      </c>
      <c r="BE63" s="194" t="s">
        <v>92</v>
      </c>
      <c r="BF63" s="215">
        <v>1380</v>
      </c>
      <c r="BG63" s="215">
        <v>35</v>
      </c>
      <c r="BH63" s="215">
        <v>5</v>
      </c>
      <c r="BI63" s="215"/>
      <c r="BJ63" s="202">
        <f t="shared" si="47"/>
        <v>48300</v>
      </c>
      <c r="BK63" s="202">
        <f t="shared" si="48"/>
        <v>6900</v>
      </c>
      <c r="BL63" s="202">
        <f t="shared" si="49"/>
        <v>41400</v>
      </c>
    </row>
    <row r="64" spans="2:64" ht="24" customHeight="1">
      <c r="F64" s="49">
        <v>1347.6206896551723</v>
      </c>
      <c r="G64" s="49">
        <v>382.63636363636363</v>
      </c>
      <c r="H64" s="49">
        <v>791.6</v>
      </c>
      <c r="I64" s="49">
        <v>821.5</v>
      </c>
      <c r="N64" s="49">
        <v>3109.0731707317073</v>
      </c>
      <c r="O64" s="49">
        <v>2867.5</v>
      </c>
      <c r="P64" s="49">
        <v>1673.8333333333333</v>
      </c>
      <c r="Q64" s="49">
        <v>1269</v>
      </c>
      <c r="BE64" s="194" t="s">
        <v>93</v>
      </c>
      <c r="BF64" s="215">
        <v>1380</v>
      </c>
      <c r="BG64" s="215">
        <v>39</v>
      </c>
      <c r="BH64" s="215">
        <v>6</v>
      </c>
      <c r="BI64" s="215"/>
      <c r="BJ64" s="202">
        <f t="shared" si="47"/>
        <v>53820</v>
      </c>
      <c r="BK64" s="202">
        <f t="shared" si="48"/>
        <v>8280</v>
      </c>
      <c r="BL64" s="202">
        <f t="shared" si="49"/>
        <v>45540</v>
      </c>
    </row>
    <row r="65" spans="6:64" ht="24" customHeight="1">
      <c r="F65" s="49">
        <v>547.19354838709683</v>
      </c>
      <c r="G65" s="49">
        <v>174.07407407407408</v>
      </c>
      <c r="H65" s="49">
        <v>791.66666666666663</v>
      </c>
      <c r="I65" s="49">
        <v>1078.7878787878788</v>
      </c>
      <c r="N65" s="49">
        <v>2510.9</v>
      </c>
      <c r="O65" s="49">
        <v>4228.2222222222226</v>
      </c>
      <c r="P65" s="49">
        <v>2237.6999999999998</v>
      </c>
      <c r="Q65" s="49">
        <v>1475</v>
      </c>
      <c r="BE65" s="194" t="s">
        <v>94</v>
      </c>
      <c r="BF65" s="215">
        <v>160</v>
      </c>
      <c r="BG65" s="215">
        <v>594</v>
      </c>
      <c r="BH65" s="215">
        <v>53</v>
      </c>
      <c r="BI65" s="215"/>
      <c r="BJ65" s="202">
        <f t="shared" si="47"/>
        <v>95040</v>
      </c>
      <c r="BK65" s="202">
        <f t="shared" si="48"/>
        <v>8480</v>
      </c>
      <c r="BL65" s="202">
        <f t="shared" si="49"/>
        <v>86560</v>
      </c>
    </row>
    <row r="66" spans="6:64" ht="24" customHeight="1">
      <c r="F66" s="49">
        <v>517.64705882352939</v>
      </c>
      <c r="G66" s="49">
        <v>457.8</v>
      </c>
      <c r="I66" s="49">
        <v>796.08571428571429</v>
      </c>
      <c r="N66" s="49">
        <v>2083.0952380952381</v>
      </c>
      <c r="O66" s="49">
        <v>596.20000000000005</v>
      </c>
      <c r="Q66" s="49">
        <v>1050.8148148148148</v>
      </c>
      <c r="BE66" s="194" t="s">
        <v>95</v>
      </c>
      <c r="BF66" s="215">
        <v>160</v>
      </c>
      <c r="BG66" s="215">
        <v>300</v>
      </c>
      <c r="BH66" s="215">
        <v>47</v>
      </c>
      <c r="BI66" s="215"/>
      <c r="BJ66" s="202">
        <f t="shared" si="47"/>
        <v>48000</v>
      </c>
      <c r="BK66" s="202">
        <f t="shared" si="48"/>
        <v>7520</v>
      </c>
      <c r="BL66" s="202">
        <f t="shared" si="49"/>
        <v>40480</v>
      </c>
    </row>
    <row r="67" spans="6:64" ht="24" customHeight="1">
      <c r="F67" s="49">
        <v>558.35483870967744</v>
      </c>
      <c r="G67" s="49">
        <v>370</v>
      </c>
      <c r="N67" s="49">
        <v>1328.1290322580646</v>
      </c>
      <c r="O67" s="49">
        <v>1228.2142857142858</v>
      </c>
      <c r="BE67" s="194" t="s">
        <v>96</v>
      </c>
      <c r="BF67" s="215">
        <v>205</v>
      </c>
      <c r="BG67" s="215">
        <v>366</v>
      </c>
      <c r="BH67" s="215">
        <v>49</v>
      </c>
      <c r="BI67" s="215"/>
      <c r="BJ67" s="202">
        <f t="shared" si="47"/>
        <v>75030</v>
      </c>
      <c r="BK67" s="202">
        <f t="shared" si="48"/>
        <v>10045</v>
      </c>
      <c r="BL67" s="202">
        <f t="shared" si="49"/>
        <v>64985</v>
      </c>
    </row>
    <row r="68" spans="6:64" ht="24" customHeight="1">
      <c r="F68" s="49">
        <v>522.70000000000005</v>
      </c>
      <c r="G68" s="49">
        <v>100</v>
      </c>
      <c r="N68" s="49">
        <v>2040.8333333333333</v>
      </c>
      <c r="O68" s="49">
        <v>3688.1</v>
      </c>
      <c r="BE68" s="194" t="s">
        <v>97</v>
      </c>
      <c r="BF68" s="215">
        <v>295</v>
      </c>
      <c r="BG68" s="215">
        <v>612</v>
      </c>
      <c r="BH68" s="215">
        <v>86</v>
      </c>
      <c r="BI68" s="215"/>
      <c r="BJ68" s="202">
        <f t="shared" si="47"/>
        <v>180540</v>
      </c>
      <c r="BK68" s="202">
        <f t="shared" si="48"/>
        <v>25370</v>
      </c>
      <c r="BL68" s="202">
        <f t="shared" si="49"/>
        <v>155170</v>
      </c>
    </row>
    <row r="69" spans="6:64" ht="24" customHeight="1">
      <c r="F69" s="49">
        <v>406</v>
      </c>
      <c r="G69" s="49">
        <v>201.25</v>
      </c>
      <c r="N69" s="49">
        <v>4227.2222222222226</v>
      </c>
      <c r="O69" s="49">
        <v>1802.7</v>
      </c>
      <c r="BE69" s="194" t="s">
        <v>98</v>
      </c>
      <c r="BF69" s="215">
        <v>70</v>
      </c>
      <c r="BG69" s="215">
        <v>480</v>
      </c>
      <c r="BH69" s="215">
        <v>71</v>
      </c>
      <c r="BI69" s="215"/>
      <c r="BJ69" s="202">
        <f t="shared" si="47"/>
        <v>33600</v>
      </c>
      <c r="BK69" s="202">
        <f t="shared" si="48"/>
        <v>4970</v>
      </c>
      <c r="BL69" s="202">
        <f t="shared" si="49"/>
        <v>28630</v>
      </c>
    </row>
    <row r="70" spans="6:64" ht="24" customHeight="1">
      <c r="F70" s="49">
        <v>500</v>
      </c>
      <c r="G70" s="49">
        <v>572.21621621621625</v>
      </c>
      <c r="N70" s="49">
        <v>2111.25</v>
      </c>
      <c r="O70" s="49">
        <v>1473.1578947368421</v>
      </c>
      <c r="BE70" s="194" t="s">
        <v>99</v>
      </c>
      <c r="BF70" s="215">
        <v>2450</v>
      </c>
      <c r="BG70" s="215">
        <v>31</v>
      </c>
      <c r="BH70" s="215">
        <v>9</v>
      </c>
      <c r="BI70" s="215"/>
      <c r="BJ70" s="202">
        <f t="shared" si="47"/>
        <v>75950</v>
      </c>
      <c r="BK70" s="202">
        <f t="shared" si="48"/>
        <v>22050</v>
      </c>
      <c r="BL70" s="202">
        <f t="shared" si="49"/>
        <v>53900</v>
      </c>
    </row>
    <row r="71" spans="6:64" ht="24" customHeight="1">
      <c r="F71" s="49">
        <v>671.68571428571431</v>
      </c>
      <c r="G71" s="49">
        <v>475.84615384615387</v>
      </c>
      <c r="N71" s="49">
        <v>1641.0322580645161</v>
      </c>
      <c r="O71" s="49">
        <v>2539.5294117647059</v>
      </c>
      <c r="BE71" s="194"/>
      <c r="BJ71" s="221">
        <f>SUM(BJ50:BJ70)</f>
        <v>9956044</v>
      </c>
      <c r="BK71" s="221">
        <f t="shared" ref="BK71:BL71" si="58">SUM(BK50:BK70)</f>
        <v>817992</v>
      </c>
      <c r="BL71" s="221">
        <f t="shared" si="58"/>
        <v>9138052</v>
      </c>
    </row>
    <row r="72" spans="6:64" ht="24" customHeight="1">
      <c r="F72" s="49">
        <v>333.33333333333331</v>
      </c>
      <c r="G72" s="49">
        <v>439.60714285714283</v>
      </c>
      <c r="N72" s="49">
        <v>5737.5714285714284</v>
      </c>
      <c r="O72" s="49">
        <v>1814.2333333333333</v>
      </c>
      <c r="BE72" s="194"/>
    </row>
    <row r="73" spans="6:64" ht="24" customHeight="1">
      <c r="F73" s="49">
        <v>424.20833333333331</v>
      </c>
      <c r="G73" s="49">
        <v>253.18518518518519</v>
      </c>
      <c r="N73" s="49">
        <v>2000</v>
      </c>
      <c r="O73" s="49">
        <v>920</v>
      </c>
      <c r="BE73" s="194"/>
    </row>
    <row r="74" spans="6:64" ht="24" customHeight="1">
      <c r="F74" s="49">
        <v>316.66666666666669</v>
      </c>
      <c r="G74" s="49">
        <v>497.22222222222223</v>
      </c>
      <c r="N74" s="49">
        <v>1563.1111111111111</v>
      </c>
      <c r="O74" s="49">
        <v>1221.4545454545455</v>
      </c>
      <c r="BE74" s="194"/>
    </row>
    <row r="75" spans="6:64" ht="24" customHeight="1">
      <c r="F75" s="49">
        <v>625.79999999999995</v>
      </c>
      <c r="N75" s="49">
        <v>1707.5</v>
      </c>
      <c r="BE75" s="194"/>
    </row>
    <row r="76" spans="6:64" ht="24" customHeight="1">
      <c r="F76" s="49">
        <f>SUM(F59:F75)</f>
        <v>8586.4146700924884</v>
      </c>
      <c r="G76" s="49">
        <f>SUM(G59:G75)</f>
        <v>5628.949327734329</v>
      </c>
      <c r="H76" s="49">
        <f>SUM(H59:H66)</f>
        <v>7458.0811165103523</v>
      </c>
      <c r="I76" s="49">
        <f>SUM(I59:I68)</f>
        <v>6284.1378787878784</v>
      </c>
      <c r="N76" s="49">
        <f>SUM(N59:N75)</f>
        <v>39829.648735097238</v>
      </c>
      <c r="O76" s="49">
        <f>SUM(O59:O75)</f>
        <v>37237.501864166101</v>
      </c>
      <c r="P76" s="49">
        <f>SUM(P59:P68)</f>
        <v>13940.268053274951</v>
      </c>
      <c r="Q76" s="49">
        <f>SUM(Q59:Q66)</f>
        <v>10019.307671957671</v>
      </c>
      <c r="BE76" s="194"/>
    </row>
    <row r="77" spans="6:64" ht="24" customHeight="1">
      <c r="F77" s="49">
        <f>F76/17</f>
        <v>505.08321588779341</v>
      </c>
      <c r="G77" s="49">
        <f>G76/16</f>
        <v>351.80933298339556</v>
      </c>
      <c r="H77" s="49">
        <f>H76/7</f>
        <v>1065.440159501479</v>
      </c>
      <c r="I77" s="49">
        <f>I76/8</f>
        <v>785.5172348484848</v>
      </c>
      <c r="N77" s="49">
        <f>N76/17</f>
        <v>2342.9205138292491</v>
      </c>
      <c r="O77" s="49">
        <f>O76/16</f>
        <v>2327.3438665103813</v>
      </c>
      <c r="P77" s="49">
        <f>P76/7</f>
        <v>1991.4668647535643</v>
      </c>
      <c r="Q77" s="49">
        <f>Q76/8</f>
        <v>1252.4134589947089</v>
      </c>
      <c r="BE77" s="194"/>
    </row>
    <row r="78" spans="6:64" ht="24" customHeight="1">
      <c r="BE78" s="194"/>
    </row>
    <row r="79" spans="6:64" ht="24" customHeight="1">
      <c r="BE79" s="194"/>
    </row>
    <row r="80" spans="6:64" ht="24" customHeight="1">
      <c r="BE80" s="194"/>
    </row>
    <row r="81" spans="57:57" ht="24" customHeight="1">
      <c r="BE81" s="194"/>
    </row>
    <row r="82" spans="57:57" ht="24" customHeight="1">
      <c r="BE82" s="194"/>
    </row>
    <row r="83" spans="57:57" ht="24" customHeight="1">
      <c r="BE83" s="194"/>
    </row>
    <row r="84" spans="57:57" ht="24" customHeight="1">
      <c r="BE84" s="194"/>
    </row>
    <row r="85" spans="57:57" ht="24" customHeight="1">
      <c r="BE85" s="194"/>
    </row>
    <row r="86" spans="57:57" ht="24" customHeight="1">
      <c r="BE86" s="194"/>
    </row>
    <row r="87" spans="57:57" ht="24" customHeight="1">
      <c r="BE87" s="194"/>
    </row>
    <row r="88" spans="57:57" ht="24" customHeight="1">
      <c r="BE88" s="194"/>
    </row>
    <row r="89" spans="57:57" ht="24" customHeight="1">
      <c r="BE89" s="194"/>
    </row>
    <row r="90" spans="57:57" ht="24" customHeight="1">
      <c r="BE90" s="194"/>
    </row>
    <row r="91" spans="57:57" ht="24" customHeight="1">
      <c r="BE91" s="194"/>
    </row>
    <row r="92" spans="57:57" ht="24" customHeight="1">
      <c r="BE92" s="194"/>
    </row>
    <row r="93" spans="57:57" ht="24" customHeight="1">
      <c r="BE93" s="194"/>
    </row>
    <row r="94" spans="57:57" ht="24" customHeight="1">
      <c r="BE94" s="194"/>
    </row>
    <row r="95" spans="57:57" ht="24" customHeight="1">
      <c r="BE95" s="194"/>
    </row>
    <row r="96" spans="57:57" ht="24" customHeight="1">
      <c r="BE96" s="194"/>
    </row>
    <row r="97" spans="57:57" ht="24" customHeight="1">
      <c r="BE97" s="194"/>
    </row>
    <row r="98" spans="57:57" ht="24" customHeight="1">
      <c r="BE98" s="194"/>
    </row>
    <row r="99" spans="57:57" ht="24" customHeight="1">
      <c r="BE99" s="194"/>
    </row>
    <row r="100" spans="57:57" ht="24" customHeight="1">
      <c r="BE100" s="194"/>
    </row>
    <row r="101" spans="57:57" ht="24" customHeight="1">
      <c r="BE101" s="194"/>
    </row>
    <row r="102" spans="57:57" ht="24" customHeight="1">
      <c r="BE102" s="194"/>
    </row>
    <row r="103" spans="57:57" ht="24" customHeight="1">
      <c r="BE103" s="194"/>
    </row>
    <row r="104" spans="57:57" ht="24" customHeight="1">
      <c r="BE104" s="194"/>
    </row>
    <row r="105" spans="57:57" ht="24" customHeight="1">
      <c r="BE105" s="194"/>
    </row>
    <row r="106" spans="57:57" ht="24" customHeight="1">
      <c r="BE106" s="194"/>
    </row>
    <row r="107" spans="57:57" ht="24" customHeight="1">
      <c r="BE107" s="194"/>
    </row>
    <row r="108" spans="57:57" ht="24" customHeight="1">
      <c r="BE108" s="194"/>
    </row>
    <row r="109" spans="57:57" ht="24" customHeight="1">
      <c r="BE109" s="194"/>
    </row>
    <row r="110" spans="57:57" ht="24" customHeight="1">
      <c r="BE110" s="194"/>
    </row>
    <row r="111" spans="57:57" ht="24" customHeight="1">
      <c r="BE111" s="194"/>
    </row>
    <row r="112" spans="57:57" ht="24" customHeight="1">
      <c r="BE112" s="194"/>
    </row>
    <row r="113" spans="57:57" ht="24" customHeight="1">
      <c r="BE113" s="194"/>
    </row>
    <row r="114" spans="57:57" ht="24" customHeight="1">
      <c r="BE114" s="194"/>
    </row>
    <row r="115" spans="57:57" ht="24" customHeight="1">
      <c r="BE115" s="194"/>
    </row>
    <row r="116" spans="57:57" ht="24" customHeight="1">
      <c r="BE116" s="194"/>
    </row>
    <row r="117" spans="57:57" ht="24" customHeight="1">
      <c r="BE117" s="194"/>
    </row>
    <row r="118" spans="57:57" ht="24" customHeight="1">
      <c r="BE118" s="194"/>
    </row>
    <row r="119" spans="57:57" ht="24" customHeight="1">
      <c r="BE119" s="194"/>
    </row>
    <row r="120" spans="57:57" ht="24" customHeight="1">
      <c r="BE120" s="194"/>
    </row>
    <row r="121" spans="57:57" ht="24" customHeight="1">
      <c r="BE121" s="194"/>
    </row>
    <row r="122" spans="57:57" ht="24" customHeight="1">
      <c r="BE122" s="194"/>
    </row>
    <row r="123" spans="57:57" ht="24" customHeight="1">
      <c r="BE123" s="194"/>
    </row>
    <row r="124" spans="57:57" ht="24" customHeight="1">
      <c r="BE124" s="194"/>
    </row>
    <row r="125" spans="57:57" ht="24" customHeight="1">
      <c r="BE125" s="194"/>
    </row>
    <row r="126" spans="57:57" ht="24" customHeight="1">
      <c r="BE126" s="194"/>
    </row>
    <row r="127" spans="57:57" ht="24" customHeight="1">
      <c r="BE127" s="194"/>
    </row>
    <row r="128" spans="57:57" ht="24" customHeight="1">
      <c r="BE128" s="194"/>
    </row>
    <row r="129" spans="57:57" ht="24" customHeight="1">
      <c r="BE129" s="194"/>
    </row>
    <row r="130" spans="57:57" ht="24" customHeight="1">
      <c r="BE130" s="194"/>
    </row>
    <row r="131" spans="57:57" ht="24" customHeight="1">
      <c r="BE131" s="194"/>
    </row>
    <row r="132" spans="57:57" ht="24" customHeight="1">
      <c r="BE132" s="194"/>
    </row>
    <row r="133" spans="57:57" ht="24" customHeight="1">
      <c r="BE133" s="194"/>
    </row>
    <row r="134" spans="57:57" ht="24" customHeight="1">
      <c r="BE134" s="194"/>
    </row>
    <row r="135" spans="57:57" ht="24" customHeight="1">
      <c r="BE135" s="194"/>
    </row>
    <row r="136" spans="57:57" ht="24" customHeight="1">
      <c r="BE136" s="194"/>
    </row>
    <row r="137" spans="57:57" ht="24" customHeight="1">
      <c r="BE137" s="194"/>
    </row>
    <row r="138" spans="57:57" ht="24" customHeight="1">
      <c r="BE138" s="194"/>
    </row>
    <row r="139" spans="57:57" ht="24" customHeight="1">
      <c r="BE139" s="194"/>
    </row>
    <row r="140" spans="57:57" ht="24" customHeight="1">
      <c r="BE140" s="194"/>
    </row>
    <row r="141" spans="57:57" ht="24" customHeight="1">
      <c r="BE141" s="194"/>
    </row>
    <row r="142" spans="57:57" ht="24" customHeight="1">
      <c r="BE142" s="194"/>
    </row>
    <row r="143" spans="57:57" ht="24" customHeight="1">
      <c r="BE143" s="194"/>
    </row>
    <row r="144" spans="57:57" ht="24" customHeight="1">
      <c r="BE144" s="194"/>
    </row>
    <row r="145" spans="57:57" ht="24" customHeight="1">
      <c r="BE145" s="194"/>
    </row>
    <row r="146" spans="57:57" ht="24" customHeight="1">
      <c r="BE146" s="194"/>
    </row>
    <row r="147" spans="57:57" ht="24" customHeight="1">
      <c r="BE147" s="194"/>
    </row>
    <row r="148" spans="57:57" ht="24" customHeight="1">
      <c r="BE148" s="194"/>
    </row>
    <row r="149" spans="57:57" ht="24" customHeight="1">
      <c r="BE149" s="194"/>
    </row>
    <row r="150" spans="57:57" ht="24" customHeight="1">
      <c r="BE150" s="194"/>
    </row>
    <row r="151" spans="57:57" ht="24" customHeight="1">
      <c r="BE151" s="194"/>
    </row>
    <row r="152" spans="57:57" ht="24" customHeight="1">
      <c r="BE152" s="194"/>
    </row>
    <row r="153" spans="57:57" ht="24" customHeight="1">
      <c r="BE153" s="194"/>
    </row>
    <row r="154" spans="57:57" ht="24" customHeight="1">
      <c r="BE154" s="194"/>
    </row>
    <row r="155" spans="57:57" ht="24" customHeight="1">
      <c r="BE155" s="194"/>
    </row>
    <row r="156" spans="57:57" ht="24" customHeight="1">
      <c r="BE156" s="194"/>
    </row>
    <row r="157" spans="57:57" ht="24" customHeight="1">
      <c r="BE157" s="194"/>
    </row>
    <row r="158" spans="57:57" ht="24" customHeight="1">
      <c r="BE158" s="194"/>
    </row>
    <row r="159" spans="57:57" ht="24" customHeight="1">
      <c r="BE159" s="194"/>
    </row>
    <row r="160" spans="57:57" ht="24" customHeight="1">
      <c r="BE160" s="194"/>
    </row>
    <row r="161" spans="57:57" ht="24" customHeight="1">
      <c r="BE161" s="194"/>
    </row>
    <row r="162" spans="57:57" ht="24" customHeight="1">
      <c r="BE162" s="194"/>
    </row>
    <row r="163" spans="57:57" ht="24" customHeight="1">
      <c r="BE163" s="194"/>
    </row>
    <row r="164" spans="57:57" ht="24" customHeight="1">
      <c r="BE164" s="194"/>
    </row>
    <row r="165" spans="57:57" ht="24" customHeight="1">
      <c r="BE165" s="194"/>
    </row>
    <row r="166" spans="57:57" ht="24" customHeight="1">
      <c r="BE166" s="194"/>
    </row>
    <row r="167" spans="57:57" ht="24" customHeight="1">
      <c r="BE167" s="194"/>
    </row>
    <row r="168" spans="57:57" ht="24" customHeight="1">
      <c r="BE168" s="194"/>
    </row>
    <row r="169" spans="57:57" ht="24" customHeight="1">
      <c r="BE169" s="194"/>
    </row>
    <row r="170" spans="57:57" ht="24" customHeight="1">
      <c r="BE170" s="194"/>
    </row>
    <row r="171" spans="57:57" ht="24" customHeight="1">
      <c r="BE171" s="194"/>
    </row>
    <row r="172" spans="57:57" ht="24" customHeight="1">
      <c r="BE172" s="194"/>
    </row>
    <row r="173" spans="57:57" ht="24" customHeight="1">
      <c r="BE173" s="194"/>
    </row>
    <row r="174" spans="57:57" ht="24" customHeight="1">
      <c r="BE174" s="194"/>
    </row>
    <row r="175" spans="57:57" ht="24" customHeight="1">
      <c r="BE175" s="194"/>
    </row>
    <row r="176" spans="57:57" ht="24" customHeight="1">
      <c r="BE176" s="194"/>
    </row>
    <row r="177" spans="57:57" ht="24" customHeight="1">
      <c r="BE177" s="194"/>
    </row>
    <row r="178" spans="57:57" ht="24" customHeight="1">
      <c r="BE178" s="194"/>
    </row>
    <row r="179" spans="57:57" ht="24" customHeight="1">
      <c r="BE179" s="194"/>
    </row>
    <row r="180" spans="57:57" ht="24" customHeight="1">
      <c r="BE180" s="194"/>
    </row>
    <row r="181" spans="57:57" ht="24" customHeight="1">
      <c r="BE181" s="194"/>
    </row>
    <row r="182" spans="57:57" ht="24" customHeight="1">
      <c r="BE182" s="194"/>
    </row>
    <row r="183" spans="57:57" ht="24" customHeight="1">
      <c r="BE183" s="194"/>
    </row>
    <row r="184" spans="57:57">
      <c r="BE184" s="194"/>
    </row>
    <row r="185" spans="57:57">
      <c r="BE185" s="194"/>
    </row>
    <row r="186" spans="57:57">
      <c r="BE186" s="194"/>
    </row>
    <row r="187" spans="57:57">
      <c r="BE187" s="194"/>
    </row>
    <row r="188" spans="57:57">
      <c r="BE188" s="194"/>
    </row>
    <row r="189" spans="57:57">
      <c r="BE189" s="194"/>
    </row>
    <row r="190" spans="57:57">
      <c r="BE190" s="194"/>
    </row>
    <row r="191" spans="57:57">
      <c r="BE191" s="194"/>
    </row>
    <row r="192" spans="57:57">
      <c r="BE192" s="194"/>
    </row>
    <row r="193" spans="57:57">
      <c r="BE193" s="194"/>
    </row>
    <row r="194" spans="57:57">
      <c r="BE194" s="194"/>
    </row>
    <row r="195" spans="57:57">
      <c r="BE195" s="194"/>
    </row>
    <row r="196" spans="57:57">
      <c r="BE196" s="194"/>
    </row>
    <row r="197" spans="57:57">
      <c r="BE197" s="194"/>
    </row>
    <row r="198" spans="57:57">
      <c r="BE198" s="194"/>
    </row>
    <row r="199" spans="57:57">
      <c r="BE199" s="194"/>
    </row>
    <row r="200" spans="57:57">
      <c r="BE200" s="194"/>
    </row>
    <row r="201" spans="57:57">
      <c r="BE201" s="194"/>
    </row>
    <row r="202" spans="57:57">
      <c r="BE202" s="194"/>
    </row>
    <row r="203" spans="57:57">
      <c r="BE203" s="194"/>
    </row>
    <row r="204" spans="57:57">
      <c r="BE204" s="194"/>
    </row>
    <row r="205" spans="57:57">
      <c r="BE205" s="194"/>
    </row>
    <row r="206" spans="57:57">
      <c r="BE206" s="194"/>
    </row>
    <row r="207" spans="57:57">
      <c r="BE207" s="194"/>
    </row>
    <row r="208" spans="57:57">
      <c r="BE208" s="194"/>
    </row>
    <row r="209" spans="57:57">
      <c r="BE209" s="194"/>
    </row>
    <row r="210" spans="57:57">
      <c r="BE210" s="194"/>
    </row>
    <row r="211" spans="57:57">
      <c r="BE211" s="194"/>
    </row>
    <row r="212" spans="57:57">
      <c r="BE212" s="194"/>
    </row>
    <row r="213" spans="57:57">
      <c r="BE213" s="194"/>
    </row>
    <row r="214" spans="57:57">
      <c r="BE214" s="194"/>
    </row>
    <row r="215" spans="57:57">
      <c r="BE215" s="194"/>
    </row>
    <row r="216" spans="57:57">
      <c r="BE216" s="194"/>
    </row>
    <row r="217" spans="57:57">
      <c r="BE217" s="194"/>
    </row>
    <row r="218" spans="57:57">
      <c r="BE218" s="194"/>
    </row>
    <row r="219" spans="57:57">
      <c r="BE219" s="194"/>
    </row>
    <row r="220" spans="57:57">
      <c r="BE220" s="194"/>
    </row>
    <row r="221" spans="57:57">
      <c r="BE221" s="194"/>
    </row>
    <row r="222" spans="57:57">
      <c r="BE222" s="194"/>
    </row>
    <row r="223" spans="57:57">
      <c r="BE223" s="194"/>
    </row>
    <row r="224" spans="57:57">
      <c r="BE224" s="194"/>
    </row>
  </sheetData>
  <mergeCells count="22">
    <mergeCell ref="U58:U59"/>
    <mergeCell ref="Y58:AB59"/>
    <mergeCell ref="U52:U53"/>
    <mergeCell ref="Y52:AB53"/>
    <mergeCell ref="U54:U55"/>
    <mergeCell ref="Y54:AB55"/>
    <mergeCell ref="U56:U57"/>
    <mergeCell ref="Y56:AB57"/>
    <mergeCell ref="AP3:AY3"/>
    <mergeCell ref="AZ3:BD3"/>
    <mergeCell ref="BE3:BL3"/>
    <mergeCell ref="D40:K44"/>
    <mergeCell ref="L40:S44"/>
    <mergeCell ref="Y40:AG44"/>
    <mergeCell ref="AH40:AO44"/>
    <mergeCell ref="AP40:AY44"/>
    <mergeCell ref="B3:B4"/>
    <mergeCell ref="D3:K3"/>
    <mergeCell ref="L3:S3"/>
    <mergeCell ref="T3:X3"/>
    <mergeCell ref="Y3:AG3"/>
    <mergeCell ref="AH3:AO3"/>
  </mergeCells>
  <phoneticPr fontId="4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DEFA-13D7-A444-9047-C806FEBDD60A}">
  <dimension ref="A1:BP224"/>
  <sheetViews>
    <sheetView tabSelected="1" workbookViewId="0">
      <selection sqref="A1:XFD1048576"/>
    </sheetView>
  </sheetViews>
  <sheetFormatPr baseColWidth="10" defaultColWidth="11.140625" defaultRowHeight="16"/>
  <cols>
    <col min="1" max="1" width="11.140625" style="49"/>
    <col min="2" max="2" width="10.42578125" style="131" customWidth="1"/>
    <col min="3" max="3" width="12.42578125" style="49" customWidth="1"/>
    <col min="4" max="4" width="4.140625" style="49" customWidth="1"/>
    <col min="5" max="9" width="8.42578125" style="49" customWidth="1"/>
    <col min="10" max="10" width="12" style="49" customWidth="1"/>
    <col min="11" max="11" width="8.42578125" style="49" customWidth="1"/>
    <col min="12" max="12" width="3.85546875" style="49" customWidth="1"/>
    <col min="13" max="17" width="8.42578125" style="49" customWidth="1"/>
    <col min="18" max="18" width="12.42578125" style="49" customWidth="1"/>
    <col min="19" max="19" width="8.42578125" style="49" customWidth="1"/>
    <col min="20" max="23" width="11.140625" style="49"/>
    <col min="24" max="24" width="7.5703125" style="49" customWidth="1"/>
    <col min="25" max="25" width="3" style="49" customWidth="1"/>
    <col min="26" max="26" width="7" style="49" customWidth="1"/>
    <col min="27" max="27" width="6.7109375" style="49" customWidth="1"/>
    <col min="28" max="31" width="7.5703125" style="49" customWidth="1"/>
    <col min="32" max="32" width="10" style="49" customWidth="1"/>
    <col min="33" max="33" width="7.5703125" style="49" customWidth="1"/>
    <col min="34" max="34" width="3.5703125" style="49" customWidth="1"/>
    <col min="35" max="39" width="7.5703125" style="49" customWidth="1"/>
    <col min="40" max="40" width="11.85546875" style="49" customWidth="1"/>
    <col min="41" max="41" width="10" style="49" customWidth="1"/>
    <col min="42" max="42" width="4.140625" style="49" customWidth="1"/>
    <col min="43" max="43" width="7.5703125" style="49" customWidth="1"/>
    <col min="44" max="44" width="15.85546875" style="49" customWidth="1"/>
    <col min="45" max="47" width="7.5703125" style="49" customWidth="1"/>
    <col min="48" max="49" width="9.140625" style="49" customWidth="1"/>
    <col min="50" max="50" width="11.28515625" style="49" customWidth="1"/>
    <col min="51" max="51" width="9.85546875" style="49" customWidth="1"/>
    <col min="52" max="52" width="5.7109375" style="49" customWidth="1"/>
    <col min="53" max="54" width="9.140625" style="49" customWidth="1"/>
    <col min="55" max="55" width="13.5703125" style="49" customWidth="1"/>
    <col min="56" max="56" width="11.140625" style="49"/>
    <col min="57" max="57" width="14.85546875" style="49" customWidth="1"/>
    <col min="58" max="63" width="11.140625" style="49"/>
    <col min="64" max="64" width="11.140625" style="79"/>
    <col min="65" max="65" width="11.140625" style="49"/>
    <col min="66" max="66" width="11.140625" style="79"/>
    <col min="67" max="16384" width="11.140625" style="49"/>
  </cols>
  <sheetData>
    <row r="1" spans="1:68" s="3" customFormat="1">
      <c r="A1" s="1" t="s">
        <v>0</v>
      </c>
      <c r="B1" s="2"/>
      <c r="BL1" s="4"/>
      <c r="BN1" s="4"/>
    </row>
    <row r="2" spans="1:68" s="3" customFormat="1" ht="35" thickBot="1">
      <c r="A2" s="5">
        <v>2025</v>
      </c>
      <c r="B2" s="6">
        <v>12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AE2" s="8"/>
      <c r="BD2" s="3" t="s">
        <v>1</v>
      </c>
      <c r="BL2" s="4"/>
      <c r="BN2" s="4"/>
    </row>
    <row r="3" spans="1:68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/>
      <c r="AH3" s="17" t="s">
        <v>7</v>
      </c>
      <c r="AI3" s="18"/>
      <c r="AJ3" s="18"/>
      <c r="AK3" s="18"/>
      <c r="AL3" s="18"/>
      <c r="AM3" s="18"/>
      <c r="AN3" s="18"/>
      <c r="AO3" s="19"/>
      <c r="AP3" s="20" t="s">
        <v>102</v>
      </c>
      <c r="AQ3" s="21"/>
      <c r="AR3" s="21"/>
      <c r="AS3" s="21"/>
      <c r="AT3" s="21"/>
      <c r="AU3" s="21"/>
      <c r="AV3" s="21"/>
      <c r="AW3" s="21"/>
      <c r="AX3" s="21"/>
      <c r="AY3" s="22"/>
      <c r="AZ3" s="23" t="s">
        <v>8</v>
      </c>
      <c r="BA3" s="14"/>
      <c r="BB3" s="14"/>
      <c r="BC3" s="14"/>
      <c r="BD3" s="24"/>
      <c r="BE3" s="25" t="s">
        <v>100</v>
      </c>
      <c r="BF3" s="26"/>
      <c r="BG3" s="26"/>
      <c r="BH3" s="26"/>
      <c r="BI3" s="26"/>
      <c r="BJ3" s="26"/>
      <c r="BK3" s="26"/>
      <c r="BL3" s="27"/>
      <c r="BN3" s="4"/>
    </row>
    <row r="4" spans="1:68" s="8" customFormat="1" ht="53.25" customHeight="1" thickTop="1" thickBot="1">
      <c r="A4" s="28"/>
      <c r="B4" s="10"/>
      <c r="C4" s="29" t="s">
        <v>9</v>
      </c>
      <c r="D4" s="30" t="s">
        <v>10</v>
      </c>
      <c r="E4" s="31" t="s">
        <v>11</v>
      </c>
      <c r="F4" s="30" t="s">
        <v>12</v>
      </c>
      <c r="G4" s="32" t="s">
        <v>13</v>
      </c>
      <c r="H4" s="30" t="s">
        <v>14</v>
      </c>
      <c r="I4" s="33" t="s">
        <v>15</v>
      </c>
      <c r="J4" s="31" t="s">
        <v>16</v>
      </c>
      <c r="K4" s="30" t="s">
        <v>17</v>
      </c>
      <c r="L4" s="30" t="s">
        <v>18</v>
      </c>
      <c r="M4" s="34" t="s">
        <v>11</v>
      </c>
      <c r="N4" s="30" t="s">
        <v>12</v>
      </c>
      <c r="O4" s="32" t="s">
        <v>13</v>
      </c>
      <c r="P4" s="30" t="s">
        <v>14</v>
      </c>
      <c r="Q4" s="33" t="s">
        <v>15</v>
      </c>
      <c r="R4" s="31" t="s">
        <v>16</v>
      </c>
      <c r="S4" s="35" t="s">
        <v>17</v>
      </c>
      <c r="T4" s="36" t="s">
        <v>19</v>
      </c>
      <c r="U4" s="37" t="s">
        <v>20</v>
      </c>
      <c r="V4" s="37" t="s">
        <v>21</v>
      </c>
      <c r="W4" s="38" t="s">
        <v>22</v>
      </c>
      <c r="X4" s="37"/>
      <c r="Y4" s="39" t="s">
        <v>23</v>
      </c>
      <c r="Z4" s="37" t="s">
        <v>11</v>
      </c>
      <c r="AA4" s="37" t="s">
        <v>24</v>
      </c>
      <c r="AB4" s="37" t="s">
        <v>20</v>
      </c>
      <c r="AC4" s="40" t="s">
        <v>25</v>
      </c>
      <c r="AD4" s="37" t="s">
        <v>21</v>
      </c>
      <c r="AE4" s="38" t="s">
        <v>26</v>
      </c>
      <c r="AF4" s="41" t="s">
        <v>27</v>
      </c>
      <c r="AG4" s="42" t="s">
        <v>17</v>
      </c>
      <c r="AH4" s="43" t="s">
        <v>28</v>
      </c>
      <c r="AI4" s="30" t="s">
        <v>11</v>
      </c>
      <c r="AJ4" s="30" t="s">
        <v>20</v>
      </c>
      <c r="AK4" s="32" t="s">
        <v>25</v>
      </c>
      <c r="AL4" s="30" t="s">
        <v>21</v>
      </c>
      <c r="AM4" s="33" t="s">
        <v>26</v>
      </c>
      <c r="AN4" s="34" t="s">
        <v>27</v>
      </c>
      <c r="AO4" s="40" t="s">
        <v>17</v>
      </c>
      <c r="AP4" s="44" t="s">
        <v>28</v>
      </c>
      <c r="AQ4" s="30" t="s">
        <v>11</v>
      </c>
      <c r="AR4" s="30" t="s">
        <v>20</v>
      </c>
      <c r="AS4" s="32" t="s">
        <v>25</v>
      </c>
      <c r="AT4" s="30" t="s">
        <v>21</v>
      </c>
      <c r="AU4" s="33" t="s">
        <v>26</v>
      </c>
      <c r="AV4" s="33" t="s">
        <v>29</v>
      </c>
      <c r="AW4" s="33" t="s">
        <v>30</v>
      </c>
      <c r="AX4" s="34" t="s">
        <v>27</v>
      </c>
      <c r="AY4" s="40" t="s">
        <v>17</v>
      </c>
      <c r="AZ4" s="40" t="s">
        <v>19</v>
      </c>
      <c r="BA4" s="37" t="s">
        <v>20</v>
      </c>
      <c r="BB4" s="37" t="s">
        <v>21</v>
      </c>
      <c r="BC4" s="38" t="s">
        <v>22</v>
      </c>
      <c r="BD4" s="38" t="s">
        <v>31</v>
      </c>
      <c r="BE4" s="45" t="s">
        <v>32</v>
      </c>
      <c r="BF4" s="46" t="s">
        <v>33</v>
      </c>
      <c r="BG4" s="46" t="s">
        <v>34</v>
      </c>
      <c r="BH4" s="46" t="s">
        <v>35</v>
      </c>
      <c r="BI4" s="46" t="s">
        <v>36</v>
      </c>
      <c r="BJ4" s="46" t="s">
        <v>37</v>
      </c>
      <c r="BK4" s="46" t="s">
        <v>38</v>
      </c>
      <c r="BL4" s="47" t="s">
        <v>39</v>
      </c>
      <c r="BN4" s="48"/>
    </row>
    <row r="5" spans="1:68" ht="20" customHeight="1" thickTop="1">
      <c r="B5" s="50">
        <f>DATE($A$2,$B$2,1)</f>
        <v>45992</v>
      </c>
      <c r="C5" s="51"/>
      <c r="D5" s="52"/>
      <c r="E5" s="53">
        <v>25</v>
      </c>
      <c r="F5" s="54">
        <v>92840</v>
      </c>
      <c r="G5" s="55">
        <f t="shared" ref="G5:G35" si="0">ROUNDDOWN(F5/1.1,0)/E5</f>
        <v>3376</v>
      </c>
      <c r="H5" s="54">
        <v>9500</v>
      </c>
      <c r="I5" s="56">
        <f>ROUNDDOWN(H5/1.1,0)/E5</f>
        <v>345.44</v>
      </c>
      <c r="J5" s="57">
        <f t="shared" ref="J5:J35" si="1">F5+H5</f>
        <v>102340</v>
      </c>
      <c r="K5" s="58">
        <f t="shared" ref="K5:K35" si="2">IF(E5="","",J5/E5)</f>
        <v>4093.6</v>
      </c>
      <c r="L5" s="59"/>
      <c r="M5" s="60">
        <f t="shared" ref="M5:N35" si="3">BE5-E5</f>
        <v>17</v>
      </c>
      <c r="N5" s="61">
        <f t="shared" si="3"/>
        <v>150920</v>
      </c>
      <c r="O5" s="55">
        <f t="shared" ref="O5:O35" si="4">ROUNDDOWN(N5/1.1,0)/M5</f>
        <v>8070.588235294118</v>
      </c>
      <c r="P5" s="61">
        <f t="shared" ref="P5:P35" si="5">BG5-H5</f>
        <v>35070</v>
      </c>
      <c r="Q5" s="56">
        <f t="shared" ref="Q5:Q35" si="6">ROUNDDOWN(P5/1.1,0)/M5</f>
        <v>1875.3529411764705</v>
      </c>
      <c r="R5" s="62">
        <f t="shared" ref="R5:R35" si="7">N5+P5</f>
        <v>185990</v>
      </c>
      <c r="S5" s="58">
        <f t="shared" ref="S5:S35" si="8">IF(M5="","",R5/M5)</f>
        <v>10940.588235294117</v>
      </c>
      <c r="T5" s="63">
        <f t="shared" ref="T5:U35" si="9">E5+M5</f>
        <v>42</v>
      </c>
      <c r="U5" s="61">
        <f t="shared" si="9"/>
        <v>243760</v>
      </c>
      <c r="V5" s="61">
        <f t="shared" ref="V5:V35" si="10">H5+P5</f>
        <v>44570</v>
      </c>
      <c r="W5" s="64">
        <f t="shared" ref="W5:W35" si="11">J5+R5</f>
        <v>288330</v>
      </c>
      <c r="X5" s="61"/>
      <c r="Y5" s="65"/>
      <c r="Z5" s="66">
        <v>0</v>
      </c>
      <c r="AA5" s="66"/>
      <c r="AB5" s="54"/>
      <c r="AC5" s="55" t="e">
        <f t="shared" ref="AC5:AC35" si="12">AB5/Z5</f>
        <v>#DIV/0!</v>
      </c>
      <c r="AD5" s="54"/>
      <c r="AE5" s="56" t="e">
        <f t="shared" ref="AE5:AE35" si="13">AD5/Z5</f>
        <v>#DIV/0!</v>
      </c>
      <c r="AF5" s="67">
        <f t="shared" ref="AF5:AF35" si="14">AB5+AD5</f>
        <v>0</v>
      </c>
      <c r="AG5" s="58" t="e">
        <f t="shared" ref="AG5:AG35" si="15">IF(Z5="","",AF5/Z5)</f>
        <v>#DIV/0!</v>
      </c>
      <c r="AH5" s="68"/>
      <c r="AI5" s="66"/>
      <c r="AJ5" s="54"/>
      <c r="AK5" s="55" t="e">
        <f t="shared" ref="AK5:AK35" si="16">AJ5/AI5</f>
        <v>#DIV/0!</v>
      </c>
      <c r="AL5" s="54"/>
      <c r="AM5" s="56" t="e">
        <f t="shared" ref="AM5:AM35" si="17">AL5/AI5</f>
        <v>#DIV/0!</v>
      </c>
      <c r="AN5" s="67">
        <f>AJ5+AL5</f>
        <v>0</v>
      </c>
      <c r="AO5" s="69" t="str">
        <f t="shared" ref="AO5:AO35" si="18">IF(AI5="","",AN5/AI5)</f>
        <v/>
      </c>
      <c r="AP5" s="70"/>
      <c r="AQ5" s="66"/>
      <c r="AR5" s="54"/>
      <c r="AS5" s="55" t="e">
        <f t="shared" ref="AS5:AS35" si="19">AR5/AQ5</f>
        <v>#DIV/0!</v>
      </c>
      <c r="AT5" s="54"/>
      <c r="AU5" s="56" t="e">
        <f t="shared" ref="AU5:AU35" si="20">AT5/AQ5</f>
        <v>#DIV/0!</v>
      </c>
      <c r="AV5" s="56"/>
      <c r="AW5" s="56"/>
      <c r="AX5" s="71">
        <f>AR5+AT5+AV5+AW5</f>
        <v>0</v>
      </c>
      <c r="AY5" s="69" t="str">
        <f t="shared" ref="AY5:AY35" si="21">IF(AQ5="","",AX5/AQ5)</f>
        <v/>
      </c>
      <c r="AZ5" s="72">
        <f t="shared" ref="AZ5:AZ35" si="22">SUM(E5,M5)</f>
        <v>42</v>
      </c>
      <c r="BA5" s="61">
        <f t="shared" ref="BA5:BA35" si="23">U5+AB5+AJ5+AR5</f>
        <v>243760</v>
      </c>
      <c r="BB5" s="61">
        <f t="shared" ref="BB5:BB35" si="24">V5+AD5+AL5+AT5</f>
        <v>44570</v>
      </c>
      <c r="BC5" s="73">
        <f>W5+AF5+AN5+AX5-BO5</f>
        <v>288330</v>
      </c>
      <c r="BD5" s="74">
        <f>BH5+BI5</f>
        <v>5500</v>
      </c>
      <c r="BE5" s="75">
        <v>42</v>
      </c>
      <c r="BF5" s="76">
        <v>243760</v>
      </c>
      <c r="BG5" s="76">
        <v>44570</v>
      </c>
      <c r="BH5" s="77">
        <v>4400</v>
      </c>
      <c r="BI5" s="77">
        <v>1100</v>
      </c>
      <c r="BJ5" s="77"/>
      <c r="BK5" s="77"/>
      <c r="BL5" s="78">
        <f>SUM(BF5:BI5)</f>
        <v>293830</v>
      </c>
      <c r="BM5" s="49">
        <v>1</v>
      </c>
      <c r="BN5" s="79">
        <f t="shared" ref="BN5:BN35" si="25">BK5+BL5</f>
        <v>293830</v>
      </c>
    </row>
    <row r="6" spans="1:68" ht="20" customHeight="1">
      <c r="B6" s="80">
        <f t="shared" ref="B6:B35" si="26">B5+1</f>
        <v>45993</v>
      </c>
      <c r="C6" s="81"/>
      <c r="D6" s="52"/>
      <c r="E6" s="53">
        <v>37</v>
      </c>
      <c r="F6" s="54">
        <v>136180</v>
      </c>
      <c r="G6" s="55">
        <f t="shared" si="0"/>
        <v>3345.9459459459458</v>
      </c>
      <c r="H6" s="54">
        <v>20260</v>
      </c>
      <c r="I6" s="56">
        <f t="shared" ref="I6:I35" si="27">ROUNDDOWN(H6/1.1,0)/E6</f>
        <v>497.7837837837838</v>
      </c>
      <c r="J6" s="57">
        <f t="shared" si="1"/>
        <v>156440</v>
      </c>
      <c r="K6" s="58">
        <f t="shared" si="2"/>
        <v>4228.1081081081084</v>
      </c>
      <c r="L6" s="59"/>
      <c r="M6" s="60">
        <f t="shared" si="3"/>
        <v>14</v>
      </c>
      <c r="N6" s="61">
        <f t="shared" si="3"/>
        <v>153560</v>
      </c>
      <c r="O6" s="55">
        <f t="shared" si="4"/>
        <v>9971.4285714285706</v>
      </c>
      <c r="P6" s="61">
        <f t="shared" si="5"/>
        <v>32440</v>
      </c>
      <c r="Q6" s="56">
        <f t="shared" si="6"/>
        <v>2106.4285714285716</v>
      </c>
      <c r="R6" s="62">
        <f t="shared" si="7"/>
        <v>186000</v>
      </c>
      <c r="S6" s="58">
        <f t="shared" si="8"/>
        <v>13285.714285714286</v>
      </c>
      <c r="T6" s="82">
        <f t="shared" si="9"/>
        <v>51</v>
      </c>
      <c r="U6" s="61">
        <f t="shared" si="9"/>
        <v>289740</v>
      </c>
      <c r="V6" s="61">
        <f t="shared" si="10"/>
        <v>52700</v>
      </c>
      <c r="W6" s="64">
        <f t="shared" si="11"/>
        <v>342440</v>
      </c>
      <c r="X6" s="83"/>
      <c r="Y6" s="65"/>
      <c r="Z6" s="66">
        <v>0</v>
      </c>
      <c r="AA6" s="66"/>
      <c r="AB6" s="54"/>
      <c r="AC6" s="55" t="e">
        <f t="shared" si="12"/>
        <v>#DIV/0!</v>
      </c>
      <c r="AD6" s="54"/>
      <c r="AE6" s="56" t="e">
        <f t="shared" si="13"/>
        <v>#DIV/0!</v>
      </c>
      <c r="AF6" s="67">
        <f>AB6+AD6</f>
        <v>0</v>
      </c>
      <c r="AG6" s="58" t="e">
        <f t="shared" si="15"/>
        <v>#DIV/0!</v>
      </c>
      <c r="AH6" s="68"/>
      <c r="AI6" s="66">
        <v>23</v>
      </c>
      <c r="AJ6" s="54">
        <v>90045</v>
      </c>
      <c r="AK6" s="55">
        <f t="shared" si="16"/>
        <v>3915</v>
      </c>
      <c r="AL6" s="54">
        <v>30015</v>
      </c>
      <c r="AM6" s="56">
        <f t="shared" si="17"/>
        <v>1305</v>
      </c>
      <c r="AN6" s="67">
        <f t="shared" ref="AN6:AN35" si="28">AJ6+AL6</f>
        <v>120060</v>
      </c>
      <c r="AO6" s="69">
        <f t="shared" si="18"/>
        <v>5220</v>
      </c>
      <c r="AP6" s="70"/>
      <c r="AQ6" s="66"/>
      <c r="AR6" s="54"/>
      <c r="AS6" s="55" t="e">
        <f t="shared" si="19"/>
        <v>#DIV/0!</v>
      </c>
      <c r="AT6" s="54"/>
      <c r="AU6" s="56" t="e">
        <f t="shared" si="20"/>
        <v>#DIV/0!</v>
      </c>
      <c r="AV6" s="56"/>
      <c r="AW6" s="56"/>
      <c r="AX6" s="71">
        <f>AR6+AT6+AV6+AW6-BP6</f>
        <v>0</v>
      </c>
      <c r="AY6" s="69" t="str">
        <f t="shared" si="21"/>
        <v/>
      </c>
      <c r="AZ6" s="84">
        <f t="shared" si="22"/>
        <v>51</v>
      </c>
      <c r="BA6" s="61">
        <f t="shared" si="23"/>
        <v>379785</v>
      </c>
      <c r="BB6" s="61">
        <f t="shared" si="24"/>
        <v>82715</v>
      </c>
      <c r="BC6" s="73">
        <f t="shared" ref="BC6:BC35" si="29">W6+AF6+AN6+AX6-BO6</f>
        <v>462500</v>
      </c>
      <c r="BD6" s="74">
        <f>BH6+BI6</f>
        <v>19250</v>
      </c>
      <c r="BE6" s="75">
        <v>51</v>
      </c>
      <c r="BF6" s="76">
        <v>289740</v>
      </c>
      <c r="BG6" s="76">
        <v>52700</v>
      </c>
      <c r="BH6" s="77">
        <v>18150</v>
      </c>
      <c r="BI6" s="77">
        <v>1100</v>
      </c>
      <c r="BJ6" s="77">
        <v>3300</v>
      </c>
      <c r="BK6" s="77"/>
      <c r="BL6" s="78">
        <f t="shared" ref="BL6:BL35" si="30">SUM(BF6:BI6)</f>
        <v>361690</v>
      </c>
      <c r="BM6" s="49">
        <v>2</v>
      </c>
      <c r="BN6" s="79">
        <f t="shared" si="25"/>
        <v>361690</v>
      </c>
    </row>
    <row r="7" spans="1:68" ht="20" customHeight="1">
      <c r="B7" s="80">
        <f>B6+1</f>
        <v>45994</v>
      </c>
      <c r="C7" s="81"/>
      <c r="D7" s="52"/>
      <c r="E7" s="53">
        <v>34</v>
      </c>
      <c r="F7" s="54">
        <v>155350</v>
      </c>
      <c r="G7" s="55">
        <f t="shared" si="0"/>
        <v>4153.7352941176468</v>
      </c>
      <c r="H7" s="54">
        <v>16590</v>
      </c>
      <c r="I7" s="56">
        <f t="shared" si="27"/>
        <v>443.55882352941177</v>
      </c>
      <c r="J7" s="57">
        <f t="shared" si="1"/>
        <v>171940</v>
      </c>
      <c r="K7" s="58">
        <f t="shared" si="2"/>
        <v>5057.0588235294117</v>
      </c>
      <c r="L7" s="59"/>
      <c r="M7" s="60">
        <f t="shared" si="3"/>
        <v>19</v>
      </c>
      <c r="N7" s="61">
        <f t="shared" si="3"/>
        <v>185630</v>
      </c>
      <c r="O7" s="55">
        <f t="shared" si="4"/>
        <v>8881.78947368421</v>
      </c>
      <c r="P7" s="61">
        <f t="shared" si="5"/>
        <v>29760</v>
      </c>
      <c r="Q7" s="56">
        <f t="shared" si="6"/>
        <v>1423.8947368421052</v>
      </c>
      <c r="R7" s="62">
        <f t="shared" si="7"/>
        <v>215390</v>
      </c>
      <c r="S7" s="58">
        <f t="shared" si="8"/>
        <v>11336.315789473685</v>
      </c>
      <c r="T7" s="82">
        <f t="shared" si="9"/>
        <v>53</v>
      </c>
      <c r="U7" s="61">
        <f t="shared" si="9"/>
        <v>340980</v>
      </c>
      <c r="V7" s="61">
        <f t="shared" si="10"/>
        <v>46350</v>
      </c>
      <c r="W7" s="64">
        <f t="shared" si="11"/>
        <v>387330</v>
      </c>
      <c r="X7" s="83"/>
      <c r="Y7" s="65"/>
      <c r="Z7" s="66">
        <v>2</v>
      </c>
      <c r="AA7" s="66"/>
      <c r="AB7" s="54">
        <v>5000</v>
      </c>
      <c r="AC7" s="55">
        <f t="shared" si="12"/>
        <v>2500</v>
      </c>
      <c r="AD7" s="54">
        <v>500</v>
      </c>
      <c r="AE7" s="56">
        <f t="shared" si="13"/>
        <v>250</v>
      </c>
      <c r="AF7" s="67">
        <f t="shared" si="14"/>
        <v>5500</v>
      </c>
      <c r="AG7" s="58">
        <f t="shared" si="15"/>
        <v>2750</v>
      </c>
      <c r="AH7" s="68"/>
      <c r="AI7" s="66"/>
      <c r="AJ7" s="54"/>
      <c r="AK7" s="55" t="e">
        <f t="shared" si="16"/>
        <v>#DIV/0!</v>
      </c>
      <c r="AL7" s="54"/>
      <c r="AM7" s="56" t="e">
        <f t="shared" si="17"/>
        <v>#DIV/0!</v>
      </c>
      <c r="AN7" s="67">
        <f t="shared" si="28"/>
        <v>0</v>
      </c>
      <c r="AO7" s="69" t="str">
        <f t="shared" si="18"/>
        <v/>
      </c>
      <c r="AP7" s="70"/>
      <c r="AQ7" s="66"/>
      <c r="AR7" s="54"/>
      <c r="AS7" s="55" t="e">
        <f t="shared" si="19"/>
        <v>#DIV/0!</v>
      </c>
      <c r="AT7" s="54"/>
      <c r="AU7" s="56" t="e">
        <f t="shared" si="20"/>
        <v>#DIV/0!</v>
      </c>
      <c r="AV7" s="56"/>
      <c r="AW7" s="56"/>
      <c r="AX7" s="71">
        <f>AR7+AT7+AV7+AW7</f>
        <v>0</v>
      </c>
      <c r="AY7" s="69" t="str">
        <f t="shared" si="21"/>
        <v/>
      </c>
      <c r="AZ7" s="84">
        <f t="shared" si="22"/>
        <v>53</v>
      </c>
      <c r="BA7" s="61">
        <f t="shared" si="23"/>
        <v>345980</v>
      </c>
      <c r="BB7" s="61">
        <f t="shared" si="24"/>
        <v>46850</v>
      </c>
      <c r="BC7" s="73">
        <f t="shared" si="29"/>
        <v>392830</v>
      </c>
      <c r="BD7" s="74">
        <f t="shared" ref="BD7:BD35" si="31">BH7+BI7</f>
        <v>8250</v>
      </c>
      <c r="BE7" s="75">
        <v>53</v>
      </c>
      <c r="BF7" s="76">
        <v>340980</v>
      </c>
      <c r="BG7" s="76">
        <v>46350</v>
      </c>
      <c r="BH7" s="77">
        <v>6600</v>
      </c>
      <c r="BI7" s="77">
        <v>1650</v>
      </c>
      <c r="BJ7" s="77"/>
      <c r="BK7" s="77"/>
      <c r="BL7" s="78">
        <f>SUM(BF7:BI7)</f>
        <v>395580</v>
      </c>
      <c r="BM7" s="49">
        <v>3</v>
      </c>
      <c r="BN7" s="79">
        <f t="shared" si="25"/>
        <v>395580</v>
      </c>
    </row>
    <row r="8" spans="1:68" ht="20" customHeight="1">
      <c r="B8" s="80">
        <f t="shared" si="26"/>
        <v>45995</v>
      </c>
      <c r="C8" s="81"/>
      <c r="D8" s="52"/>
      <c r="E8" s="53">
        <v>24</v>
      </c>
      <c r="F8" s="54">
        <v>89760</v>
      </c>
      <c r="G8" s="55">
        <f t="shared" si="0"/>
        <v>3400</v>
      </c>
      <c r="H8" s="54">
        <v>14920</v>
      </c>
      <c r="I8" s="56">
        <f t="shared" si="27"/>
        <v>565.125</v>
      </c>
      <c r="J8" s="57">
        <f t="shared" si="1"/>
        <v>104680</v>
      </c>
      <c r="K8" s="58">
        <f t="shared" si="2"/>
        <v>4361.666666666667</v>
      </c>
      <c r="L8" s="59"/>
      <c r="M8" s="60">
        <f t="shared" si="3"/>
        <v>40</v>
      </c>
      <c r="N8" s="61">
        <f t="shared" si="3"/>
        <v>484000</v>
      </c>
      <c r="O8" s="55">
        <f t="shared" si="4"/>
        <v>11000</v>
      </c>
      <c r="P8" s="61">
        <f t="shared" si="5"/>
        <v>36000</v>
      </c>
      <c r="Q8" s="56">
        <f t="shared" si="6"/>
        <v>818.17499999999995</v>
      </c>
      <c r="R8" s="62">
        <f t="shared" si="7"/>
        <v>520000</v>
      </c>
      <c r="S8" s="58">
        <f t="shared" si="8"/>
        <v>13000</v>
      </c>
      <c r="T8" s="82">
        <f t="shared" si="9"/>
        <v>64</v>
      </c>
      <c r="U8" s="61">
        <f t="shared" si="9"/>
        <v>573760</v>
      </c>
      <c r="V8" s="61">
        <f t="shared" si="10"/>
        <v>50920</v>
      </c>
      <c r="W8" s="64">
        <f t="shared" si="11"/>
        <v>624680</v>
      </c>
      <c r="X8" s="83"/>
      <c r="Y8" s="65"/>
      <c r="Z8" s="66">
        <v>0</v>
      </c>
      <c r="AA8" s="66"/>
      <c r="AB8" s="54"/>
      <c r="AC8" s="55" t="e">
        <f t="shared" si="12"/>
        <v>#DIV/0!</v>
      </c>
      <c r="AD8" s="54"/>
      <c r="AE8" s="56" t="e">
        <f t="shared" si="13"/>
        <v>#DIV/0!</v>
      </c>
      <c r="AF8" s="67">
        <f t="shared" si="14"/>
        <v>0</v>
      </c>
      <c r="AG8" s="58" t="e">
        <f t="shared" si="15"/>
        <v>#DIV/0!</v>
      </c>
      <c r="AH8" s="68"/>
      <c r="AI8" s="66"/>
      <c r="AJ8" s="54"/>
      <c r="AK8" s="55" t="e">
        <f t="shared" si="16"/>
        <v>#DIV/0!</v>
      </c>
      <c r="AL8" s="54"/>
      <c r="AM8" s="56" t="e">
        <f t="shared" si="17"/>
        <v>#DIV/0!</v>
      </c>
      <c r="AN8" s="67">
        <f t="shared" si="28"/>
        <v>0</v>
      </c>
      <c r="AO8" s="69" t="str">
        <f t="shared" si="18"/>
        <v/>
      </c>
      <c r="AP8" s="70"/>
      <c r="AQ8" s="66"/>
      <c r="AR8" s="54"/>
      <c r="AS8" s="55" t="e">
        <f t="shared" si="19"/>
        <v>#DIV/0!</v>
      </c>
      <c r="AT8" s="54"/>
      <c r="AU8" s="56" t="e">
        <f t="shared" si="20"/>
        <v>#DIV/0!</v>
      </c>
      <c r="AV8" s="56"/>
      <c r="AW8" s="56"/>
      <c r="AX8" s="71">
        <f t="shared" ref="AX8:AX16" si="32">AR8+AT8+AV8+AW8</f>
        <v>0</v>
      </c>
      <c r="AY8" s="69" t="str">
        <f t="shared" si="21"/>
        <v/>
      </c>
      <c r="AZ8" s="84">
        <f t="shared" si="22"/>
        <v>64</v>
      </c>
      <c r="BA8" s="61">
        <f t="shared" si="23"/>
        <v>573760</v>
      </c>
      <c r="BB8" s="61">
        <f t="shared" si="24"/>
        <v>50920</v>
      </c>
      <c r="BC8" s="73">
        <f t="shared" si="29"/>
        <v>624680</v>
      </c>
      <c r="BD8" s="74">
        <f t="shared" si="31"/>
        <v>1650</v>
      </c>
      <c r="BE8" s="75">
        <v>64</v>
      </c>
      <c r="BF8" s="76">
        <v>573760</v>
      </c>
      <c r="BG8" s="76">
        <v>50920</v>
      </c>
      <c r="BH8" s="77">
        <v>1650</v>
      </c>
      <c r="BI8" s="77"/>
      <c r="BJ8" s="77"/>
      <c r="BK8" s="77"/>
      <c r="BL8" s="78">
        <f>SUM(BF8:BI8)</f>
        <v>626330</v>
      </c>
      <c r="BM8" s="49">
        <v>4</v>
      </c>
      <c r="BN8" s="79">
        <f t="shared" si="25"/>
        <v>626330</v>
      </c>
      <c r="BO8" s="85"/>
      <c r="BP8" s="85"/>
    </row>
    <row r="9" spans="1:68" ht="20" customHeight="1">
      <c r="B9" s="80">
        <f t="shared" si="26"/>
        <v>45996</v>
      </c>
      <c r="C9" s="81"/>
      <c r="D9" s="52"/>
      <c r="E9" s="53">
        <v>27</v>
      </c>
      <c r="F9" s="54">
        <v>116160</v>
      </c>
      <c r="G9" s="55">
        <f t="shared" si="0"/>
        <v>3911.1111111111113</v>
      </c>
      <c r="H9" s="54">
        <v>16920</v>
      </c>
      <c r="I9" s="56">
        <f t="shared" si="27"/>
        <v>569.66666666666663</v>
      </c>
      <c r="J9" s="57">
        <f t="shared" si="1"/>
        <v>133080</v>
      </c>
      <c r="K9" s="58">
        <f t="shared" si="2"/>
        <v>4928.8888888888887</v>
      </c>
      <c r="L9" s="59"/>
      <c r="M9" s="60">
        <f t="shared" si="3"/>
        <v>29</v>
      </c>
      <c r="N9" s="61">
        <f t="shared" si="3"/>
        <v>255200</v>
      </c>
      <c r="O9" s="55">
        <f t="shared" si="4"/>
        <v>8000</v>
      </c>
      <c r="P9" s="61">
        <f t="shared" si="5"/>
        <v>75600</v>
      </c>
      <c r="Q9" s="56">
        <f>ROUNDDOWN(P9/1.1,0)/M9</f>
        <v>2369.8965517241381</v>
      </c>
      <c r="R9" s="62">
        <f t="shared" si="7"/>
        <v>330800</v>
      </c>
      <c r="S9" s="58">
        <f t="shared" si="8"/>
        <v>11406.896551724138</v>
      </c>
      <c r="T9" s="82">
        <f t="shared" si="9"/>
        <v>56</v>
      </c>
      <c r="U9" s="61">
        <f t="shared" si="9"/>
        <v>371360</v>
      </c>
      <c r="V9" s="61">
        <f t="shared" si="10"/>
        <v>92520</v>
      </c>
      <c r="W9" s="64">
        <f t="shared" si="11"/>
        <v>463880</v>
      </c>
      <c r="X9" s="83"/>
      <c r="Y9" s="65"/>
      <c r="Z9" s="66">
        <v>2</v>
      </c>
      <c r="AA9" s="66"/>
      <c r="AB9" s="54">
        <v>5000</v>
      </c>
      <c r="AC9" s="55">
        <f t="shared" si="12"/>
        <v>2500</v>
      </c>
      <c r="AD9" s="54">
        <v>500</v>
      </c>
      <c r="AE9" s="56">
        <f t="shared" si="13"/>
        <v>250</v>
      </c>
      <c r="AF9" s="67">
        <f t="shared" si="14"/>
        <v>5500</v>
      </c>
      <c r="AG9" s="58">
        <f t="shared" si="15"/>
        <v>2750</v>
      </c>
      <c r="AH9" s="68"/>
      <c r="AI9" s="66">
        <v>55</v>
      </c>
      <c r="AJ9" s="54">
        <v>215325</v>
      </c>
      <c r="AK9" s="55">
        <f t="shared" si="16"/>
        <v>3915</v>
      </c>
      <c r="AL9" s="54">
        <v>71775</v>
      </c>
      <c r="AM9" s="56">
        <f t="shared" si="17"/>
        <v>1305</v>
      </c>
      <c r="AN9" s="67">
        <f t="shared" si="28"/>
        <v>287100</v>
      </c>
      <c r="AO9" s="69">
        <f t="shared" si="18"/>
        <v>5220</v>
      </c>
      <c r="AP9" s="70"/>
      <c r="AQ9" s="66"/>
      <c r="AR9" s="54"/>
      <c r="AS9" s="55" t="e">
        <f t="shared" si="19"/>
        <v>#DIV/0!</v>
      </c>
      <c r="AT9" s="54"/>
      <c r="AU9" s="56" t="e">
        <f t="shared" si="20"/>
        <v>#DIV/0!</v>
      </c>
      <c r="AV9" s="56"/>
      <c r="AW9" s="56"/>
      <c r="AX9" s="71">
        <f t="shared" si="32"/>
        <v>0</v>
      </c>
      <c r="AY9" s="69" t="str">
        <f>IF(AQ9="","",AX9/AQ9)</f>
        <v/>
      </c>
      <c r="AZ9" s="84">
        <f t="shared" si="22"/>
        <v>56</v>
      </c>
      <c r="BA9" s="61">
        <f t="shared" si="23"/>
        <v>591685</v>
      </c>
      <c r="BB9" s="61">
        <f t="shared" si="24"/>
        <v>164795</v>
      </c>
      <c r="BC9" s="73">
        <f t="shared" si="29"/>
        <v>756280</v>
      </c>
      <c r="BD9" s="74">
        <f>BH9+BI9</f>
        <v>13750</v>
      </c>
      <c r="BE9" s="75">
        <v>56</v>
      </c>
      <c r="BF9" s="76">
        <v>371360</v>
      </c>
      <c r="BG9" s="76">
        <v>92520</v>
      </c>
      <c r="BH9" s="77">
        <v>12650</v>
      </c>
      <c r="BI9" s="77">
        <v>1100</v>
      </c>
      <c r="BJ9" s="77">
        <v>3300</v>
      </c>
      <c r="BK9" s="77"/>
      <c r="BL9" s="78">
        <f t="shared" si="30"/>
        <v>477630</v>
      </c>
      <c r="BM9" s="49">
        <v>5</v>
      </c>
      <c r="BN9" s="79">
        <f t="shared" si="25"/>
        <v>477630</v>
      </c>
      <c r="BO9" s="49">
        <v>200</v>
      </c>
    </row>
    <row r="10" spans="1:68" ht="19.5" customHeight="1">
      <c r="B10" s="80">
        <f t="shared" si="26"/>
        <v>45997</v>
      </c>
      <c r="C10" s="81"/>
      <c r="D10" s="52"/>
      <c r="E10" s="53">
        <v>33</v>
      </c>
      <c r="F10" s="54">
        <v>173360</v>
      </c>
      <c r="G10" s="55">
        <f t="shared" si="0"/>
        <v>4775.757575757576</v>
      </c>
      <c r="H10" s="54">
        <v>39290</v>
      </c>
      <c r="I10" s="56">
        <f t="shared" si="27"/>
        <v>1082.3636363636363</v>
      </c>
      <c r="J10" s="57">
        <f t="shared" si="1"/>
        <v>212650</v>
      </c>
      <c r="K10" s="58">
        <f t="shared" si="2"/>
        <v>6443.939393939394</v>
      </c>
      <c r="L10" s="59"/>
      <c r="M10" s="60">
        <f t="shared" si="3"/>
        <v>37</v>
      </c>
      <c r="N10" s="61">
        <f t="shared" si="3"/>
        <v>347910</v>
      </c>
      <c r="O10" s="55">
        <f t="shared" si="4"/>
        <v>8548.135135135135</v>
      </c>
      <c r="P10" s="61">
        <f t="shared" si="5"/>
        <v>84280</v>
      </c>
      <c r="Q10" s="56">
        <f t="shared" si="6"/>
        <v>2070.7567567567567</v>
      </c>
      <c r="R10" s="62">
        <f t="shared" si="7"/>
        <v>432190</v>
      </c>
      <c r="S10" s="58">
        <f t="shared" si="8"/>
        <v>11680.81081081081</v>
      </c>
      <c r="T10" s="82">
        <f t="shared" si="9"/>
        <v>70</v>
      </c>
      <c r="U10" s="61">
        <f t="shared" si="9"/>
        <v>521270</v>
      </c>
      <c r="V10" s="61">
        <f t="shared" si="10"/>
        <v>123570</v>
      </c>
      <c r="W10" s="64">
        <f t="shared" si="11"/>
        <v>644840</v>
      </c>
      <c r="X10" s="83"/>
      <c r="Y10" s="65"/>
      <c r="Z10" s="66">
        <v>2</v>
      </c>
      <c r="AA10" s="66"/>
      <c r="AB10" s="54">
        <v>5000</v>
      </c>
      <c r="AC10" s="55">
        <f t="shared" si="12"/>
        <v>2500</v>
      </c>
      <c r="AD10" s="54">
        <v>500</v>
      </c>
      <c r="AE10" s="56">
        <f t="shared" si="13"/>
        <v>250</v>
      </c>
      <c r="AF10" s="67">
        <f t="shared" si="14"/>
        <v>5500</v>
      </c>
      <c r="AG10" s="58">
        <f t="shared" si="15"/>
        <v>2750</v>
      </c>
      <c r="AH10" s="68"/>
      <c r="AI10" s="66">
        <v>28</v>
      </c>
      <c r="AJ10" s="54">
        <v>109620</v>
      </c>
      <c r="AK10" s="55">
        <f t="shared" si="16"/>
        <v>3915</v>
      </c>
      <c r="AL10" s="54">
        <v>36540</v>
      </c>
      <c r="AM10" s="56">
        <f t="shared" si="17"/>
        <v>1305</v>
      </c>
      <c r="AN10" s="67">
        <f t="shared" si="28"/>
        <v>146160</v>
      </c>
      <c r="AO10" s="69">
        <f t="shared" si="18"/>
        <v>5220</v>
      </c>
      <c r="AP10" s="70"/>
      <c r="AQ10" s="66"/>
      <c r="AR10" s="54"/>
      <c r="AS10" s="55" t="e">
        <f t="shared" si="19"/>
        <v>#DIV/0!</v>
      </c>
      <c r="AT10" s="54"/>
      <c r="AU10" s="56" t="e">
        <f t="shared" si="20"/>
        <v>#DIV/0!</v>
      </c>
      <c r="AV10" s="56"/>
      <c r="AW10" s="56"/>
      <c r="AX10" s="71">
        <f t="shared" si="32"/>
        <v>0</v>
      </c>
      <c r="AY10" s="69" t="str">
        <f t="shared" si="21"/>
        <v/>
      </c>
      <c r="AZ10" s="84">
        <f t="shared" si="22"/>
        <v>70</v>
      </c>
      <c r="BA10" s="61">
        <f t="shared" si="23"/>
        <v>635890</v>
      </c>
      <c r="BB10" s="61">
        <f t="shared" si="24"/>
        <v>160610</v>
      </c>
      <c r="BC10" s="73">
        <f t="shared" si="29"/>
        <v>796500</v>
      </c>
      <c r="BD10" s="74">
        <f t="shared" si="31"/>
        <v>25300</v>
      </c>
      <c r="BE10" s="75">
        <v>70</v>
      </c>
      <c r="BF10" s="76">
        <v>521270</v>
      </c>
      <c r="BG10" s="76">
        <v>123570</v>
      </c>
      <c r="BH10" s="77">
        <v>25300</v>
      </c>
      <c r="BI10" s="77"/>
      <c r="BJ10" s="77"/>
      <c r="BK10" s="77"/>
      <c r="BL10" s="78">
        <f t="shared" si="30"/>
        <v>670140</v>
      </c>
      <c r="BM10" s="49">
        <v>6</v>
      </c>
      <c r="BN10" s="79">
        <f t="shared" si="25"/>
        <v>670140</v>
      </c>
    </row>
    <row r="11" spans="1:68" ht="20" customHeight="1">
      <c r="B11" s="80">
        <f t="shared" si="26"/>
        <v>45998</v>
      </c>
      <c r="C11" s="81"/>
      <c r="D11" s="52"/>
      <c r="E11" s="53">
        <v>29</v>
      </c>
      <c r="F11" s="54">
        <v>123530</v>
      </c>
      <c r="G11" s="55">
        <f t="shared" si="0"/>
        <v>3872.4137931034484</v>
      </c>
      <c r="H11" s="54">
        <v>25160</v>
      </c>
      <c r="I11" s="56">
        <f t="shared" si="27"/>
        <v>788.68965517241384</v>
      </c>
      <c r="J11" s="57">
        <f t="shared" si="1"/>
        <v>148690</v>
      </c>
      <c r="K11" s="58">
        <f t="shared" si="2"/>
        <v>5127.2413793103451</v>
      </c>
      <c r="L11" s="59"/>
      <c r="M11" s="60">
        <f t="shared" si="3"/>
        <v>29</v>
      </c>
      <c r="N11" s="61">
        <f t="shared" si="3"/>
        <v>279170</v>
      </c>
      <c r="O11" s="55">
        <f t="shared" si="4"/>
        <v>8751.3793103448279</v>
      </c>
      <c r="P11" s="61">
        <f t="shared" si="5"/>
        <v>51780</v>
      </c>
      <c r="Q11" s="56">
        <f t="shared" si="6"/>
        <v>1623.1724137931035</v>
      </c>
      <c r="R11" s="62">
        <f t="shared" si="7"/>
        <v>330950</v>
      </c>
      <c r="S11" s="58">
        <f t="shared" si="8"/>
        <v>11412.068965517241</v>
      </c>
      <c r="T11" s="82">
        <f t="shared" si="9"/>
        <v>58</v>
      </c>
      <c r="U11" s="61">
        <f t="shared" si="9"/>
        <v>402700</v>
      </c>
      <c r="V11" s="61">
        <f t="shared" si="10"/>
        <v>76940</v>
      </c>
      <c r="W11" s="64">
        <f t="shared" si="11"/>
        <v>479640</v>
      </c>
      <c r="X11" s="83"/>
      <c r="Y11" s="65"/>
      <c r="Z11" s="66">
        <v>0</v>
      </c>
      <c r="AA11" s="66"/>
      <c r="AB11" s="54"/>
      <c r="AC11" s="55" t="e">
        <f t="shared" si="12"/>
        <v>#DIV/0!</v>
      </c>
      <c r="AD11" s="54"/>
      <c r="AE11" s="56" t="e">
        <f t="shared" si="13"/>
        <v>#DIV/0!</v>
      </c>
      <c r="AF11" s="67">
        <f t="shared" si="14"/>
        <v>0</v>
      </c>
      <c r="AG11" s="58" t="e">
        <f t="shared" si="15"/>
        <v>#DIV/0!</v>
      </c>
      <c r="AH11" s="68"/>
      <c r="AI11" s="66"/>
      <c r="AJ11" s="54"/>
      <c r="AK11" s="55" t="e">
        <f t="shared" si="16"/>
        <v>#DIV/0!</v>
      </c>
      <c r="AL11" s="54"/>
      <c r="AM11" s="56" t="e">
        <f t="shared" si="17"/>
        <v>#DIV/0!</v>
      </c>
      <c r="AN11" s="67">
        <f t="shared" si="28"/>
        <v>0</v>
      </c>
      <c r="AO11" s="69" t="str">
        <f t="shared" si="18"/>
        <v/>
      </c>
      <c r="AP11" s="70"/>
      <c r="AQ11" s="66"/>
      <c r="AR11" s="54"/>
      <c r="AS11" s="55" t="e">
        <f t="shared" si="19"/>
        <v>#DIV/0!</v>
      </c>
      <c r="AT11" s="54"/>
      <c r="AU11" s="56" t="e">
        <f t="shared" si="20"/>
        <v>#DIV/0!</v>
      </c>
      <c r="AV11" s="56"/>
      <c r="AW11" s="56"/>
      <c r="AX11" s="71">
        <f>AR11+AT11+AV11+AW11-BP11</f>
        <v>0</v>
      </c>
      <c r="AY11" s="69" t="str">
        <f t="shared" si="21"/>
        <v/>
      </c>
      <c r="AZ11" s="84">
        <f t="shared" si="22"/>
        <v>58</v>
      </c>
      <c r="BA11" s="61">
        <f t="shared" si="23"/>
        <v>402700</v>
      </c>
      <c r="BB11" s="61">
        <f>V11+AD11+AL11+AT11</f>
        <v>76940</v>
      </c>
      <c r="BC11" s="73">
        <f t="shared" si="29"/>
        <v>479640</v>
      </c>
      <c r="BD11" s="74">
        <f>BH11+BI11</f>
        <v>14300</v>
      </c>
      <c r="BE11" s="75">
        <v>58</v>
      </c>
      <c r="BF11" s="76">
        <v>402700</v>
      </c>
      <c r="BG11" s="76">
        <v>76940</v>
      </c>
      <c r="BH11" s="77">
        <v>13200</v>
      </c>
      <c r="BI11" s="77">
        <v>1100</v>
      </c>
      <c r="BJ11" s="77"/>
      <c r="BK11" s="77"/>
      <c r="BL11" s="78">
        <f t="shared" si="30"/>
        <v>493940</v>
      </c>
      <c r="BM11" s="49">
        <v>7</v>
      </c>
      <c r="BN11" s="79">
        <f t="shared" si="25"/>
        <v>493940</v>
      </c>
    </row>
    <row r="12" spans="1:68" ht="20" customHeight="1">
      <c r="B12" s="80">
        <f t="shared" si="26"/>
        <v>45999</v>
      </c>
      <c r="C12" s="86"/>
      <c r="D12" s="52"/>
      <c r="E12" s="53">
        <v>31</v>
      </c>
      <c r="F12" s="54">
        <v>137500</v>
      </c>
      <c r="G12" s="55">
        <f t="shared" si="0"/>
        <v>4032.2580645161293</v>
      </c>
      <c r="H12" s="54">
        <v>19710</v>
      </c>
      <c r="I12" s="56">
        <f t="shared" si="27"/>
        <v>578</v>
      </c>
      <c r="J12" s="57">
        <f t="shared" si="1"/>
        <v>157210</v>
      </c>
      <c r="K12" s="58">
        <f t="shared" si="2"/>
        <v>5071.2903225806449</v>
      </c>
      <c r="L12" s="59"/>
      <c r="M12" s="60">
        <f t="shared" si="3"/>
        <v>19</v>
      </c>
      <c r="N12" s="61">
        <f t="shared" si="3"/>
        <v>202870</v>
      </c>
      <c r="O12" s="55">
        <f t="shared" si="4"/>
        <v>9706.6842105263149</v>
      </c>
      <c r="P12" s="61">
        <f t="shared" si="5"/>
        <v>56710</v>
      </c>
      <c r="Q12" s="87">
        <f t="shared" si="6"/>
        <v>2713.3684210526317</v>
      </c>
      <c r="R12" s="62">
        <f t="shared" si="7"/>
        <v>259580</v>
      </c>
      <c r="S12" s="58">
        <f t="shared" si="8"/>
        <v>13662.105263157895</v>
      </c>
      <c r="T12" s="82">
        <f t="shared" si="9"/>
        <v>50</v>
      </c>
      <c r="U12" s="61">
        <f t="shared" si="9"/>
        <v>340370</v>
      </c>
      <c r="V12" s="61">
        <f t="shared" si="10"/>
        <v>76420</v>
      </c>
      <c r="W12" s="64">
        <f t="shared" si="11"/>
        <v>416790</v>
      </c>
      <c r="X12" s="83"/>
      <c r="Y12" s="65"/>
      <c r="Z12" s="66">
        <v>0</v>
      </c>
      <c r="AA12" s="66"/>
      <c r="AB12" s="54"/>
      <c r="AC12" s="55" t="e">
        <f t="shared" si="12"/>
        <v>#DIV/0!</v>
      </c>
      <c r="AD12" s="54"/>
      <c r="AE12" s="56" t="e">
        <f t="shared" si="13"/>
        <v>#DIV/0!</v>
      </c>
      <c r="AF12" s="67">
        <f t="shared" si="14"/>
        <v>0</v>
      </c>
      <c r="AG12" s="58" t="e">
        <f t="shared" si="15"/>
        <v>#DIV/0!</v>
      </c>
      <c r="AH12" s="68"/>
      <c r="AI12" s="66">
        <v>20</v>
      </c>
      <c r="AJ12" s="54">
        <v>113100</v>
      </c>
      <c r="AK12" s="55">
        <f t="shared" si="16"/>
        <v>5655</v>
      </c>
      <c r="AL12" s="54">
        <v>26100</v>
      </c>
      <c r="AM12" s="56">
        <f t="shared" si="17"/>
        <v>1305</v>
      </c>
      <c r="AN12" s="67">
        <f t="shared" si="28"/>
        <v>139200</v>
      </c>
      <c r="AO12" s="69">
        <f t="shared" si="18"/>
        <v>6960</v>
      </c>
      <c r="AP12" s="70"/>
      <c r="AQ12" s="66"/>
      <c r="AR12" s="54"/>
      <c r="AS12" s="55" t="e">
        <f t="shared" si="19"/>
        <v>#DIV/0!</v>
      </c>
      <c r="AT12" s="54"/>
      <c r="AU12" s="56" t="e">
        <f t="shared" si="20"/>
        <v>#DIV/0!</v>
      </c>
      <c r="AV12" s="56"/>
      <c r="AW12" s="56"/>
      <c r="AX12" s="71">
        <f>AR12+AT12+AV12+AW12</f>
        <v>0</v>
      </c>
      <c r="AY12" s="69" t="str">
        <f t="shared" si="21"/>
        <v/>
      </c>
      <c r="AZ12" s="84">
        <f t="shared" si="22"/>
        <v>50</v>
      </c>
      <c r="BA12" s="61">
        <f t="shared" si="23"/>
        <v>453470</v>
      </c>
      <c r="BB12" s="61">
        <f t="shared" si="24"/>
        <v>102520</v>
      </c>
      <c r="BC12" s="73">
        <f t="shared" si="29"/>
        <v>555990</v>
      </c>
      <c r="BD12" s="74">
        <f t="shared" si="31"/>
        <v>11000</v>
      </c>
      <c r="BE12" s="75">
        <v>50</v>
      </c>
      <c r="BF12" s="76">
        <v>340370</v>
      </c>
      <c r="BG12" s="76">
        <v>76420</v>
      </c>
      <c r="BH12" s="77">
        <v>8800</v>
      </c>
      <c r="BI12" s="77">
        <v>2200</v>
      </c>
      <c r="BJ12" s="77"/>
      <c r="BK12" s="77"/>
      <c r="BL12" s="78">
        <f t="shared" si="30"/>
        <v>427790</v>
      </c>
      <c r="BM12" s="49">
        <v>8</v>
      </c>
      <c r="BN12" s="79">
        <f t="shared" si="25"/>
        <v>427790</v>
      </c>
    </row>
    <row r="13" spans="1:68" ht="20" customHeight="1">
      <c r="B13" s="80">
        <f t="shared" si="26"/>
        <v>46000</v>
      </c>
      <c r="C13" s="81"/>
      <c r="D13" s="52"/>
      <c r="E13" s="53">
        <v>28</v>
      </c>
      <c r="F13" s="54">
        <v>92950</v>
      </c>
      <c r="G13" s="55">
        <f t="shared" si="0"/>
        <v>3017.8571428571427</v>
      </c>
      <c r="H13" s="54">
        <v>15510</v>
      </c>
      <c r="I13" s="56">
        <f t="shared" si="27"/>
        <v>503.57142857142856</v>
      </c>
      <c r="J13" s="57">
        <f t="shared" si="1"/>
        <v>108460</v>
      </c>
      <c r="K13" s="58">
        <f t="shared" si="2"/>
        <v>3873.5714285714284</v>
      </c>
      <c r="L13" s="59"/>
      <c r="M13" s="60">
        <f t="shared" si="3"/>
        <v>46</v>
      </c>
      <c r="N13" s="61">
        <f t="shared" si="3"/>
        <v>563200</v>
      </c>
      <c r="O13" s="55">
        <f t="shared" si="4"/>
        <v>11130.434782608696</v>
      </c>
      <c r="P13" s="61">
        <f t="shared" si="5"/>
        <v>106800</v>
      </c>
      <c r="Q13" s="56">
        <f t="shared" si="6"/>
        <v>2110.6521739130435</v>
      </c>
      <c r="R13" s="62">
        <f t="shared" si="7"/>
        <v>670000</v>
      </c>
      <c r="S13" s="58">
        <f t="shared" si="8"/>
        <v>14565.217391304348</v>
      </c>
      <c r="T13" s="82">
        <f t="shared" si="9"/>
        <v>74</v>
      </c>
      <c r="U13" s="61">
        <f t="shared" si="9"/>
        <v>656150</v>
      </c>
      <c r="V13" s="61">
        <f t="shared" si="10"/>
        <v>122310</v>
      </c>
      <c r="W13" s="64">
        <f t="shared" si="11"/>
        <v>778460</v>
      </c>
      <c r="X13" s="83"/>
      <c r="Y13" s="65"/>
      <c r="Z13" s="66">
        <v>1</v>
      </c>
      <c r="AA13" s="66"/>
      <c r="AB13" s="54">
        <v>2500</v>
      </c>
      <c r="AC13" s="55">
        <f t="shared" si="12"/>
        <v>2500</v>
      </c>
      <c r="AD13" s="54">
        <v>250</v>
      </c>
      <c r="AE13" s="56">
        <f t="shared" si="13"/>
        <v>250</v>
      </c>
      <c r="AF13" s="67">
        <f t="shared" si="14"/>
        <v>2750</v>
      </c>
      <c r="AG13" s="58">
        <f t="shared" si="15"/>
        <v>2750</v>
      </c>
      <c r="AH13" s="68"/>
      <c r="AI13" s="66">
        <v>42</v>
      </c>
      <c r="AJ13" s="54">
        <v>164430</v>
      </c>
      <c r="AK13" s="55">
        <f t="shared" si="16"/>
        <v>3915</v>
      </c>
      <c r="AL13" s="54">
        <v>54810</v>
      </c>
      <c r="AM13" s="56">
        <f t="shared" si="17"/>
        <v>1305</v>
      </c>
      <c r="AN13" s="67">
        <f t="shared" si="28"/>
        <v>219240</v>
      </c>
      <c r="AO13" s="69">
        <f t="shared" si="18"/>
        <v>5220</v>
      </c>
      <c r="AP13" s="70"/>
      <c r="AQ13" s="66"/>
      <c r="AR13" s="54"/>
      <c r="AS13" s="55" t="e">
        <f t="shared" si="19"/>
        <v>#DIV/0!</v>
      </c>
      <c r="AT13" s="54"/>
      <c r="AU13" s="56" t="e">
        <f t="shared" si="20"/>
        <v>#DIV/0!</v>
      </c>
      <c r="AV13" s="56"/>
      <c r="AW13" s="56"/>
      <c r="AX13" s="71">
        <f>AR13+AT13+AV13+AW13-BP13</f>
        <v>0</v>
      </c>
      <c r="AY13" s="69" t="str">
        <f t="shared" si="21"/>
        <v/>
      </c>
      <c r="AZ13" s="84">
        <f t="shared" si="22"/>
        <v>74</v>
      </c>
      <c r="BA13" s="61">
        <f t="shared" si="23"/>
        <v>823080</v>
      </c>
      <c r="BB13" s="61">
        <f t="shared" si="24"/>
        <v>177370</v>
      </c>
      <c r="BC13" s="73">
        <f t="shared" si="29"/>
        <v>1000450</v>
      </c>
      <c r="BD13" s="74">
        <f t="shared" si="31"/>
        <v>1100</v>
      </c>
      <c r="BE13" s="75">
        <v>74</v>
      </c>
      <c r="BF13" s="76">
        <v>656150</v>
      </c>
      <c r="BG13" s="76">
        <v>122310</v>
      </c>
      <c r="BH13" s="77">
        <v>1100</v>
      </c>
      <c r="BI13" s="77"/>
      <c r="BJ13" s="77"/>
      <c r="BK13" s="77"/>
      <c r="BL13" s="78">
        <f t="shared" si="30"/>
        <v>779560</v>
      </c>
      <c r="BM13" s="49">
        <v>9</v>
      </c>
      <c r="BN13" s="79">
        <f t="shared" si="25"/>
        <v>779560</v>
      </c>
    </row>
    <row r="14" spans="1:68" ht="20" customHeight="1">
      <c r="B14" s="80">
        <f t="shared" si="26"/>
        <v>46001</v>
      </c>
      <c r="C14" s="81"/>
      <c r="D14" s="52"/>
      <c r="E14" s="53">
        <v>28</v>
      </c>
      <c r="F14" s="54">
        <v>105380</v>
      </c>
      <c r="G14" s="55">
        <f t="shared" si="0"/>
        <v>3421.4285714285716</v>
      </c>
      <c r="H14" s="54">
        <v>20270</v>
      </c>
      <c r="I14" s="56">
        <f>ROUNDDOWN(H14/1.1,0)/E14</f>
        <v>658.10714285714289</v>
      </c>
      <c r="J14" s="57">
        <f t="shared" si="1"/>
        <v>125650</v>
      </c>
      <c r="K14" s="58">
        <f t="shared" si="2"/>
        <v>4487.5</v>
      </c>
      <c r="L14" s="59"/>
      <c r="M14" s="60">
        <f t="shared" si="3"/>
        <v>25</v>
      </c>
      <c r="N14" s="61">
        <f t="shared" si="3"/>
        <v>196900</v>
      </c>
      <c r="O14" s="55">
        <f t="shared" si="4"/>
        <v>7160</v>
      </c>
      <c r="P14" s="61">
        <f t="shared" si="5"/>
        <v>43530</v>
      </c>
      <c r="Q14" s="56">
        <f t="shared" si="6"/>
        <v>1582.88</v>
      </c>
      <c r="R14" s="62">
        <f t="shared" si="7"/>
        <v>240430</v>
      </c>
      <c r="S14" s="58">
        <f t="shared" si="8"/>
        <v>9617.2000000000007</v>
      </c>
      <c r="T14" s="82">
        <f t="shared" si="9"/>
        <v>53</v>
      </c>
      <c r="U14" s="61">
        <f t="shared" si="9"/>
        <v>302280</v>
      </c>
      <c r="V14" s="61">
        <f t="shared" si="10"/>
        <v>63800</v>
      </c>
      <c r="W14" s="64">
        <f t="shared" si="11"/>
        <v>366080</v>
      </c>
      <c r="X14" s="83"/>
      <c r="Y14" s="65"/>
      <c r="Z14" s="66">
        <v>1</v>
      </c>
      <c r="AA14" s="66"/>
      <c r="AB14" s="54">
        <v>2500</v>
      </c>
      <c r="AC14" s="55">
        <f t="shared" si="12"/>
        <v>2500</v>
      </c>
      <c r="AD14" s="54">
        <v>250</v>
      </c>
      <c r="AE14" s="56">
        <f t="shared" si="13"/>
        <v>250</v>
      </c>
      <c r="AF14" s="67">
        <f t="shared" si="14"/>
        <v>2750</v>
      </c>
      <c r="AG14" s="58">
        <f t="shared" si="15"/>
        <v>2750</v>
      </c>
      <c r="AH14" s="68"/>
      <c r="AI14" s="66">
        <v>90</v>
      </c>
      <c r="AJ14" s="54">
        <v>332775</v>
      </c>
      <c r="AK14" s="55">
        <f t="shared" si="16"/>
        <v>3697.5</v>
      </c>
      <c r="AL14" s="54">
        <v>124323</v>
      </c>
      <c r="AM14" s="56">
        <f t="shared" si="17"/>
        <v>1381.3666666666666</v>
      </c>
      <c r="AN14" s="67">
        <f t="shared" si="28"/>
        <v>457098</v>
      </c>
      <c r="AO14" s="69">
        <f t="shared" si="18"/>
        <v>5078.8666666666668</v>
      </c>
      <c r="AP14" s="70"/>
      <c r="AQ14" s="66"/>
      <c r="AR14" s="54"/>
      <c r="AS14" s="55" t="e">
        <f t="shared" si="19"/>
        <v>#DIV/0!</v>
      </c>
      <c r="AT14" s="54"/>
      <c r="AU14" s="56" t="e">
        <f t="shared" si="20"/>
        <v>#DIV/0!</v>
      </c>
      <c r="AV14" s="56"/>
      <c r="AW14" s="56"/>
      <c r="AX14" s="71">
        <f t="shared" si="32"/>
        <v>0</v>
      </c>
      <c r="AY14" s="69" t="str">
        <f t="shared" si="21"/>
        <v/>
      </c>
      <c r="AZ14" s="84">
        <f t="shared" si="22"/>
        <v>53</v>
      </c>
      <c r="BA14" s="61">
        <f t="shared" si="23"/>
        <v>637555</v>
      </c>
      <c r="BB14" s="61">
        <f t="shared" si="24"/>
        <v>188373</v>
      </c>
      <c r="BC14" s="73">
        <f t="shared" si="29"/>
        <v>825928</v>
      </c>
      <c r="BD14" s="74">
        <f t="shared" si="31"/>
        <v>5500</v>
      </c>
      <c r="BE14" s="75">
        <v>53</v>
      </c>
      <c r="BF14" s="76">
        <v>302280</v>
      </c>
      <c r="BG14" s="76">
        <v>63800</v>
      </c>
      <c r="BH14" s="77">
        <v>5500</v>
      </c>
      <c r="BI14" s="77"/>
      <c r="BJ14" s="77"/>
      <c r="BK14" s="77"/>
      <c r="BL14" s="78">
        <f t="shared" si="30"/>
        <v>371580</v>
      </c>
      <c r="BM14" s="49">
        <v>10</v>
      </c>
      <c r="BN14" s="79">
        <f t="shared" si="25"/>
        <v>371580</v>
      </c>
    </row>
    <row r="15" spans="1:68" ht="20" customHeight="1">
      <c r="B15" s="80">
        <f t="shared" si="26"/>
        <v>46002</v>
      </c>
      <c r="C15" s="86"/>
      <c r="D15" s="52"/>
      <c r="E15" s="53">
        <v>33</v>
      </c>
      <c r="F15" s="54">
        <v>144980</v>
      </c>
      <c r="G15" s="55">
        <f t="shared" si="0"/>
        <v>3993.939393939394</v>
      </c>
      <c r="H15" s="54">
        <v>20250</v>
      </c>
      <c r="I15" s="56">
        <f t="shared" si="27"/>
        <v>557.84848484848487</v>
      </c>
      <c r="J15" s="57">
        <f t="shared" si="1"/>
        <v>165230</v>
      </c>
      <c r="K15" s="58">
        <f t="shared" si="2"/>
        <v>5006.969696969697</v>
      </c>
      <c r="L15" s="59"/>
      <c r="M15" s="60">
        <f t="shared" si="3"/>
        <v>25</v>
      </c>
      <c r="N15" s="61">
        <f t="shared" si="3"/>
        <v>232320</v>
      </c>
      <c r="O15" s="55">
        <f t="shared" si="4"/>
        <v>8448</v>
      </c>
      <c r="P15" s="61">
        <f t="shared" si="5"/>
        <v>46050</v>
      </c>
      <c r="Q15" s="56">
        <f t="shared" si="6"/>
        <v>1674.52</v>
      </c>
      <c r="R15" s="62">
        <f t="shared" si="7"/>
        <v>278370</v>
      </c>
      <c r="S15" s="58">
        <f t="shared" si="8"/>
        <v>11134.8</v>
      </c>
      <c r="T15" s="82">
        <f t="shared" si="9"/>
        <v>58</v>
      </c>
      <c r="U15" s="61">
        <f t="shared" si="9"/>
        <v>377300</v>
      </c>
      <c r="V15" s="61">
        <f t="shared" si="10"/>
        <v>66300</v>
      </c>
      <c r="W15" s="64">
        <f t="shared" si="11"/>
        <v>443600</v>
      </c>
      <c r="X15" s="83"/>
      <c r="Y15" s="65"/>
      <c r="Z15" s="66">
        <v>0</v>
      </c>
      <c r="AA15" s="66"/>
      <c r="AB15" s="54"/>
      <c r="AC15" s="55" t="e">
        <f t="shared" si="12"/>
        <v>#DIV/0!</v>
      </c>
      <c r="AD15" s="54"/>
      <c r="AE15" s="56" t="e">
        <f t="shared" si="13"/>
        <v>#DIV/0!</v>
      </c>
      <c r="AF15" s="67">
        <f t="shared" si="14"/>
        <v>0</v>
      </c>
      <c r="AG15" s="58" t="e">
        <f t="shared" si="15"/>
        <v>#DIV/0!</v>
      </c>
      <c r="AH15" s="68"/>
      <c r="AI15" s="66"/>
      <c r="AJ15" s="54"/>
      <c r="AK15" s="55" t="e">
        <f t="shared" si="16"/>
        <v>#DIV/0!</v>
      </c>
      <c r="AL15" s="54"/>
      <c r="AM15" s="56" t="e">
        <f t="shared" si="17"/>
        <v>#DIV/0!</v>
      </c>
      <c r="AN15" s="67">
        <f t="shared" si="28"/>
        <v>0</v>
      </c>
      <c r="AO15" s="69" t="str">
        <f t="shared" si="18"/>
        <v/>
      </c>
      <c r="AP15" s="70"/>
      <c r="AQ15" s="66"/>
      <c r="AR15" s="54"/>
      <c r="AS15" s="55" t="e">
        <f t="shared" si="19"/>
        <v>#DIV/0!</v>
      </c>
      <c r="AT15" s="54"/>
      <c r="AU15" s="56" t="e">
        <f t="shared" si="20"/>
        <v>#DIV/0!</v>
      </c>
      <c r="AV15" s="56"/>
      <c r="AW15" s="56"/>
      <c r="AX15" s="71">
        <f t="shared" si="32"/>
        <v>0</v>
      </c>
      <c r="AY15" s="69" t="str">
        <f t="shared" si="21"/>
        <v/>
      </c>
      <c r="AZ15" s="84">
        <f t="shared" si="22"/>
        <v>58</v>
      </c>
      <c r="BA15" s="61">
        <f t="shared" si="23"/>
        <v>377300</v>
      </c>
      <c r="BB15" s="61">
        <f t="shared" si="24"/>
        <v>66300</v>
      </c>
      <c r="BC15" s="73">
        <f t="shared" si="29"/>
        <v>443600</v>
      </c>
      <c r="BD15" s="74">
        <f t="shared" si="31"/>
        <v>24200</v>
      </c>
      <c r="BE15" s="75">
        <v>58</v>
      </c>
      <c r="BF15" s="76">
        <v>377300</v>
      </c>
      <c r="BG15" s="76">
        <v>66300</v>
      </c>
      <c r="BH15" s="77">
        <v>20900</v>
      </c>
      <c r="BI15" s="77">
        <v>3300</v>
      </c>
      <c r="BJ15" s="77">
        <v>3300</v>
      </c>
      <c r="BK15" s="77"/>
      <c r="BL15" s="78">
        <f t="shared" si="30"/>
        <v>467800</v>
      </c>
      <c r="BM15" s="49">
        <v>11</v>
      </c>
      <c r="BN15" s="79">
        <f t="shared" si="25"/>
        <v>467800</v>
      </c>
    </row>
    <row r="16" spans="1:68" ht="20" customHeight="1">
      <c r="B16" s="80">
        <f t="shared" si="26"/>
        <v>46003</v>
      </c>
      <c r="C16" s="81"/>
      <c r="D16" s="52"/>
      <c r="E16" s="53">
        <v>25</v>
      </c>
      <c r="F16" s="54">
        <v>125370</v>
      </c>
      <c r="G16" s="55">
        <f t="shared" si="0"/>
        <v>4558.88</v>
      </c>
      <c r="H16" s="54">
        <v>20540</v>
      </c>
      <c r="I16" s="56">
        <f t="shared" si="27"/>
        <v>746.88</v>
      </c>
      <c r="J16" s="57">
        <f t="shared" si="1"/>
        <v>145910</v>
      </c>
      <c r="K16" s="58">
        <f t="shared" si="2"/>
        <v>5836.4</v>
      </c>
      <c r="L16" s="59"/>
      <c r="M16" s="60">
        <f t="shared" si="3"/>
        <v>46</v>
      </c>
      <c r="N16" s="61">
        <f t="shared" si="3"/>
        <v>486200</v>
      </c>
      <c r="O16" s="55">
        <f t="shared" si="4"/>
        <v>9608.6956521739139</v>
      </c>
      <c r="P16" s="61">
        <f t="shared" si="5"/>
        <v>59800</v>
      </c>
      <c r="Q16" s="56">
        <f t="shared" si="6"/>
        <v>1181.804347826087</v>
      </c>
      <c r="R16" s="62">
        <f t="shared" si="7"/>
        <v>546000</v>
      </c>
      <c r="S16" s="58">
        <f t="shared" si="8"/>
        <v>11869.565217391304</v>
      </c>
      <c r="T16" s="82">
        <f t="shared" si="9"/>
        <v>71</v>
      </c>
      <c r="U16" s="61">
        <f t="shared" si="9"/>
        <v>611570</v>
      </c>
      <c r="V16" s="61">
        <f t="shared" si="10"/>
        <v>80340</v>
      </c>
      <c r="W16" s="64">
        <f t="shared" si="11"/>
        <v>691910</v>
      </c>
      <c r="X16" s="83"/>
      <c r="Y16" s="65"/>
      <c r="Z16" s="66">
        <v>2</v>
      </c>
      <c r="AA16" s="66"/>
      <c r="AB16" s="54">
        <v>5000</v>
      </c>
      <c r="AC16" s="55">
        <f t="shared" si="12"/>
        <v>2500</v>
      </c>
      <c r="AD16" s="54">
        <v>500</v>
      </c>
      <c r="AE16" s="56">
        <f t="shared" si="13"/>
        <v>250</v>
      </c>
      <c r="AF16" s="67">
        <f t="shared" si="14"/>
        <v>5500</v>
      </c>
      <c r="AG16" s="58">
        <f t="shared" si="15"/>
        <v>2750</v>
      </c>
      <c r="AH16" s="68"/>
      <c r="AI16" s="66">
        <v>77</v>
      </c>
      <c r="AJ16" s="54">
        <v>255345</v>
      </c>
      <c r="AK16" s="55">
        <f t="shared" si="16"/>
        <v>3316.1688311688313</v>
      </c>
      <c r="AL16" s="54">
        <v>100485</v>
      </c>
      <c r="AM16" s="56">
        <f t="shared" si="17"/>
        <v>1305</v>
      </c>
      <c r="AN16" s="67">
        <f t="shared" si="28"/>
        <v>355830</v>
      </c>
      <c r="AO16" s="69">
        <f t="shared" si="18"/>
        <v>4621.1688311688313</v>
      </c>
      <c r="AP16" s="70"/>
      <c r="AQ16" s="66"/>
      <c r="AR16" s="54"/>
      <c r="AS16" s="55" t="e">
        <f t="shared" si="19"/>
        <v>#DIV/0!</v>
      </c>
      <c r="AT16" s="54"/>
      <c r="AU16" s="56" t="e">
        <f t="shared" si="20"/>
        <v>#DIV/0!</v>
      </c>
      <c r="AV16" s="56"/>
      <c r="AW16" s="56"/>
      <c r="AX16" s="71">
        <f t="shared" si="32"/>
        <v>0</v>
      </c>
      <c r="AY16" s="69" t="str">
        <f t="shared" si="21"/>
        <v/>
      </c>
      <c r="AZ16" s="84">
        <f t="shared" si="22"/>
        <v>71</v>
      </c>
      <c r="BA16" s="61">
        <f t="shared" si="23"/>
        <v>871915</v>
      </c>
      <c r="BB16" s="61">
        <f t="shared" si="24"/>
        <v>181325</v>
      </c>
      <c r="BC16" s="73">
        <f t="shared" si="29"/>
        <v>1053240</v>
      </c>
      <c r="BD16" s="74">
        <f t="shared" si="31"/>
        <v>0</v>
      </c>
      <c r="BE16" s="75">
        <v>71</v>
      </c>
      <c r="BF16" s="76">
        <v>611570</v>
      </c>
      <c r="BG16" s="76">
        <v>80340</v>
      </c>
      <c r="BH16" s="77"/>
      <c r="BI16" s="77"/>
      <c r="BJ16" s="77"/>
      <c r="BK16" s="77"/>
      <c r="BL16" s="78">
        <f t="shared" si="30"/>
        <v>691910</v>
      </c>
      <c r="BM16" s="49">
        <v>12</v>
      </c>
      <c r="BN16" s="79">
        <f t="shared" si="25"/>
        <v>691910</v>
      </c>
    </row>
    <row r="17" spans="2:68" ht="20" customHeight="1">
      <c r="B17" s="80">
        <f t="shared" si="26"/>
        <v>46004</v>
      </c>
      <c r="C17" s="86"/>
      <c r="D17" s="52"/>
      <c r="E17" s="53">
        <v>42</v>
      </c>
      <c r="F17" s="54">
        <v>150700</v>
      </c>
      <c r="G17" s="55">
        <f t="shared" si="0"/>
        <v>3261.9047619047619</v>
      </c>
      <c r="H17" s="54">
        <v>27730</v>
      </c>
      <c r="I17" s="56">
        <f t="shared" si="27"/>
        <v>600.21428571428567</v>
      </c>
      <c r="J17" s="57">
        <f t="shared" si="1"/>
        <v>178430</v>
      </c>
      <c r="K17" s="58">
        <f t="shared" si="2"/>
        <v>4248.333333333333</v>
      </c>
      <c r="L17" s="59"/>
      <c r="M17" s="60">
        <f t="shared" si="3"/>
        <v>35</v>
      </c>
      <c r="N17" s="61">
        <f t="shared" si="3"/>
        <v>344990</v>
      </c>
      <c r="O17" s="55">
        <f t="shared" si="4"/>
        <v>8960.7714285714283</v>
      </c>
      <c r="P17" s="61">
        <f t="shared" si="5"/>
        <v>77560</v>
      </c>
      <c r="Q17" s="56">
        <f t="shared" si="6"/>
        <v>2014.5428571428572</v>
      </c>
      <c r="R17" s="62">
        <f t="shared" si="7"/>
        <v>422550</v>
      </c>
      <c r="S17" s="58">
        <f t="shared" si="8"/>
        <v>12072.857142857143</v>
      </c>
      <c r="T17" s="82">
        <f>E17+M17</f>
        <v>77</v>
      </c>
      <c r="U17" s="61">
        <f t="shared" si="9"/>
        <v>495690</v>
      </c>
      <c r="V17" s="61">
        <f t="shared" si="10"/>
        <v>105290</v>
      </c>
      <c r="W17" s="64">
        <f t="shared" si="11"/>
        <v>600980</v>
      </c>
      <c r="X17" s="83"/>
      <c r="Y17" s="65"/>
      <c r="Z17" s="66">
        <v>2</v>
      </c>
      <c r="AA17" s="66"/>
      <c r="AB17" s="54">
        <v>5000</v>
      </c>
      <c r="AC17" s="55">
        <f t="shared" si="12"/>
        <v>2500</v>
      </c>
      <c r="AD17" s="54">
        <v>500</v>
      </c>
      <c r="AE17" s="56">
        <f t="shared" si="13"/>
        <v>250</v>
      </c>
      <c r="AF17" s="67">
        <f t="shared" si="14"/>
        <v>5500</v>
      </c>
      <c r="AG17" s="58">
        <f t="shared" si="15"/>
        <v>2750</v>
      </c>
      <c r="AH17" s="68"/>
      <c r="AI17" s="66">
        <v>21</v>
      </c>
      <c r="AJ17" s="54">
        <v>82215</v>
      </c>
      <c r="AK17" s="55">
        <f>AJ17/AI17</f>
        <v>3915</v>
      </c>
      <c r="AL17" s="54">
        <v>27405</v>
      </c>
      <c r="AM17" s="56">
        <f>AL17/AI17</f>
        <v>1305</v>
      </c>
      <c r="AN17" s="67">
        <f>AJ17+AL17</f>
        <v>109620</v>
      </c>
      <c r="AO17" s="69">
        <f>IF(AI17="","",AN17/AI17)</f>
        <v>5220</v>
      </c>
      <c r="AP17" s="70"/>
      <c r="AQ17" s="66"/>
      <c r="AR17" s="54"/>
      <c r="AS17" s="55" t="e">
        <f t="shared" si="19"/>
        <v>#DIV/0!</v>
      </c>
      <c r="AT17" s="54"/>
      <c r="AU17" s="56" t="e">
        <f t="shared" si="20"/>
        <v>#DIV/0!</v>
      </c>
      <c r="AV17" s="56"/>
      <c r="AW17" s="56"/>
      <c r="AX17" s="71">
        <f>AR17+AT17+AV17+AW17-BP17</f>
        <v>0</v>
      </c>
      <c r="AY17" s="69" t="str">
        <f t="shared" si="21"/>
        <v/>
      </c>
      <c r="AZ17" s="84">
        <f t="shared" si="22"/>
        <v>77</v>
      </c>
      <c r="BA17" s="61">
        <f>U17+AB17+AJ17+AR17</f>
        <v>582905</v>
      </c>
      <c r="BB17" s="61">
        <f t="shared" si="24"/>
        <v>133195</v>
      </c>
      <c r="BC17" s="73">
        <f t="shared" si="29"/>
        <v>716100</v>
      </c>
      <c r="BD17" s="74">
        <f t="shared" si="31"/>
        <v>33000</v>
      </c>
      <c r="BE17" s="75">
        <v>77</v>
      </c>
      <c r="BF17" s="76">
        <v>495690</v>
      </c>
      <c r="BG17" s="76">
        <v>105290</v>
      </c>
      <c r="BH17" s="77">
        <v>29700</v>
      </c>
      <c r="BI17" s="77">
        <v>3300</v>
      </c>
      <c r="BJ17" s="77"/>
      <c r="BK17" s="77">
        <v>25520</v>
      </c>
      <c r="BL17" s="78">
        <f t="shared" si="30"/>
        <v>633980</v>
      </c>
      <c r="BM17" s="49">
        <v>13</v>
      </c>
      <c r="BN17" s="79">
        <f t="shared" si="25"/>
        <v>659500</v>
      </c>
    </row>
    <row r="18" spans="2:68" ht="20" customHeight="1">
      <c r="B18" s="80">
        <f t="shared" si="26"/>
        <v>46005</v>
      </c>
      <c r="C18" s="81"/>
      <c r="D18" s="52"/>
      <c r="E18" s="53">
        <v>31</v>
      </c>
      <c r="F18" s="54">
        <v>146850</v>
      </c>
      <c r="G18" s="55">
        <f t="shared" si="0"/>
        <v>4306.4516129032254</v>
      </c>
      <c r="H18" s="54">
        <v>28830</v>
      </c>
      <c r="I18" s="56">
        <f t="shared" si="27"/>
        <v>845.45161290322585</v>
      </c>
      <c r="J18" s="57">
        <f t="shared" si="1"/>
        <v>175680</v>
      </c>
      <c r="K18" s="58">
        <f t="shared" si="2"/>
        <v>5667.0967741935483</v>
      </c>
      <c r="L18" s="59"/>
      <c r="M18" s="60">
        <f t="shared" si="3"/>
        <v>42</v>
      </c>
      <c r="N18" s="61">
        <f t="shared" si="3"/>
        <v>504570</v>
      </c>
      <c r="O18" s="55">
        <f t="shared" si="4"/>
        <v>10921.428571428571</v>
      </c>
      <c r="P18" s="61">
        <f t="shared" si="5"/>
        <v>65300</v>
      </c>
      <c r="Q18" s="56">
        <f t="shared" si="6"/>
        <v>1413.4047619047619</v>
      </c>
      <c r="R18" s="62">
        <f t="shared" si="7"/>
        <v>569870</v>
      </c>
      <c r="S18" s="58">
        <f t="shared" si="8"/>
        <v>13568.333333333334</v>
      </c>
      <c r="T18" s="82">
        <f t="shared" si="9"/>
        <v>73</v>
      </c>
      <c r="U18" s="61">
        <f t="shared" si="9"/>
        <v>651420</v>
      </c>
      <c r="V18" s="61">
        <f t="shared" si="10"/>
        <v>94130</v>
      </c>
      <c r="W18" s="64">
        <f t="shared" si="11"/>
        <v>745550</v>
      </c>
      <c r="X18" s="83"/>
      <c r="Y18" s="65"/>
      <c r="Z18" s="66">
        <v>4</v>
      </c>
      <c r="AA18" s="66"/>
      <c r="AB18" s="54">
        <v>10000</v>
      </c>
      <c r="AC18" s="55">
        <f t="shared" si="12"/>
        <v>2500</v>
      </c>
      <c r="AD18" s="54">
        <v>1000</v>
      </c>
      <c r="AE18" s="56">
        <f t="shared" si="13"/>
        <v>250</v>
      </c>
      <c r="AF18" s="67">
        <f t="shared" si="14"/>
        <v>11000</v>
      </c>
      <c r="AG18" s="58">
        <f t="shared" si="15"/>
        <v>2750</v>
      </c>
      <c r="AH18" s="68"/>
      <c r="AI18" s="66"/>
      <c r="AJ18" s="54"/>
      <c r="AK18" s="55" t="e">
        <f t="shared" si="16"/>
        <v>#DIV/0!</v>
      </c>
      <c r="AL18" s="54"/>
      <c r="AM18" s="56" t="e">
        <f t="shared" si="17"/>
        <v>#DIV/0!</v>
      </c>
      <c r="AN18" s="67">
        <f t="shared" si="28"/>
        <v>0</v>
      </c>
      <c r="AO18" s="69" t="str">
        <f t="shared" si="18"/>
        <v/>
      </c>
      <c r="AP18" s="70"/>
      <c r="AQ18" s="66"/>
      <c r="AR18" s="54"/>
      <c r="AS18" s="55" t="e">
        <f t="shared" si="19"/>
        <v>#DIV/0!</v>
      </c>
      <c r="AT18" s="54"/>
      <c r="AU18" s="56" t="e">
        <f t="shared" si="20"/>
        <v>#DIV/0!</v>
      </c>
      <c r="AV18" s="56"/>
      <c r="AW18" s="56"/>
      <c r="AX18" s="71">
        <f t="shared" ref="AX18:AX35" si="33">AR18+AT18+AV18+AW18</f>
        <v>0</v>
      </c>
      <c r="AY18" s="69" t="str">
        <f t="shared" si="21"/>
        <v/>
      </c>
      <c r="AZ18" s="84">
        <f t="shared" si="22"/>
        <v>73</v>
      </c>
      <c r="BA18" s="61">
        <f t="shared" si="23"/>
        <v>661420</v>
      </c>
      <c r="BB18" s="61">
        <f t="shared" si="24"/>
        <v>95130</v>
      </c>
      <c r="BC18" s="73">
        <f t="shared" si="29"/>
        <v>756550</v>
      </c>
      <c r="BD18" s="74">
        <f t="shared" si="31"/>
        <v>3300</v>
      </c>
      <c r="BE18" s="75">
        <v>73</v>
      </c>
      <c r="BF18" s="76">
        <v>651420</v>
      </c>
      <c r="BG18" s="76">
        <v>94130</v>
      </c>
      <c r="BH18" s="77">
        <v>3300</v>
      </c>
      <c r="BI18" s="77"/>
      <c r="BJ18" s="77"/>
      <c r="BK18" s="77"/>
      <c r="BL18" s="78">
        <f t="shared" si="30"/>
        <v>748850</v>
      </c>
      <c r="BM18" s="49">
        <v>14</v>
      </c>
      <c r="BN18" s="79">
        <f t="shared" si="25"/>
        <v>748850</v>
      </c>
    </row>
    <row r="19" spans="2:68" ht="20" customHeight="1">
      <c r="B19" s="80">
        <f t="shared" si="26"/>
        <v>46006</v>
      </c>
      <c r="C19" s="81"/>
      <c r="D19" s="52"/>
      <c r="E19" s="53">
        <v>36</v>
      </c>
      <c r="F19" s="54">
        <v>169620</v>
      </c>
      <c r="G19" s="55">
        <f t="shared" si="0"/>
        <v>4283.333333333333</v>
      </c>
      <c r="H19" s="54">
        <v>39940</v>
      </c>
      <c r="I19" s="56">
        <f t="shared" si="27"/>
        <v>1008.5833333333334</v>
      </c>
      <c r="J19" s="57">
        <f t="shared" si="1"/>
        <v>209560</v>
      </c>
      <c r="K19" s="58">
        <f t="shared" si="2"/>
        <v>5821.1111111111113</v>
      </c>
      <c r="L19" s="59"/>
      <c r="M19" s="60">
        <f t="shared" si="3"/>
        <v>28</v>
      </c>
      <c r="N19" s="61">
        <f t="shared" si="3"/>
        <v>260990</v>
      </c>
      <c r="O19" s="55">
        <f t="shared" si="4"/>
        <v>8473.6785714285706</v>
      </c>
      <c r="P19" s="61">
        <f t="shared" si="5"/>
        <v>88080</v>
      </c>
      <c r="Q19" s="87">
        <f t="shared" si="6"/>
        <v>2859.7142857142858</v>
      </c>
      <c r="R19" s="62">
        <f t="shared" si="7"/>
        <v>349070</v>
      </c>
      <c r="S19" s="58">
        <f t="shared" si="8"/>
        <v>12466.785714285714</v>
      </c>
      <c r="T19" s="82">
        <f t="shared" si="9"/>
        <v>64</v>
      </c>
      <c r="U19" s="61">
        <f t="shared" si="9"/>
        <v>430610</v>
      </c>
      <c r="V19" s="61">
        <f t="shared" si="10"/>
        <v>128020</v>
      </c>
      <c r="W19" s="64">
        <f t="shared" si="11"/>
        <v>558630</v>
      </c>
      <c r="X19" s="83"/>
      <c r="Y19" s="65"/>
      <c r="Z19" s="66">
        <v>4</v>
      </c>
      <c r="AA19" s="66"/>
      <c r="AB19" s="54">
        <v>10000</v>
      </c>
      <c r="AC19" s="55">
        <f t="shared" si="12"/>
        <v>2500</v>
      </c>
      <c r="AD19" s="54">
        <v>1000</v>
      </c>
      <c r="AE19" s="56">
        <f t="shared" si="13"/>
        <v>250</v>
      </c>
      <c r="AF19" s="67">
        <f t="shared" si="14"/>
        <v>11000</v>
      </c>
      <c r="AG19" s="58">
        <f t="shared" si="15"/>
        <v>2750</v>
      </c>
      <c r="AH19" s="68"/>
      <c r="AI19" s="66">
        <v>21</v>
      </c>
      <c r="AJ19" s="54">
        <v>82215</v>
      </c>
      <c r="AK19" s="55">
        <f t="shared" si="16"/>
        <v>3915</v>
      </c>
      <c r="AL19" s="54">
        <v>27405</v>
      </c>
      <c r="AM19" s="56">
        <f t="shared" si="17"/>
        <v>1305</v>
      </c>
      <c r="AN19" s="67">
        <f t="shared" si="28"/>
        <v>109620</v>
      </c>
      <c r="AO19" s="69">
        <f t="shared" si="18"/>
        <v>5220</v>
      </c>
      <c r="AP19" s="70"/>
      <c r="AQ19" s="66"/>
      <c r="AR19" s="54"/>
      <c r="AS19" s="55" t="e">
        <f t="shared" si="19"/>
        <v>#DIV/0!</v>
      </c>
      <c r="AT19" s="54"/>
      <c r="AU19" s="56" t="e">
        <f t="shared" si="20"/>
        <v>#DIV/0!</v>
      </c>
      <c r="AV19" s="56"/>
      <c r="AW19" s="56"/>
      <c r="AX19" s="71">
        <f>AR19+AT19+AV19+AW19</f>
        <v>0</v>
      </c>
      <c r="AY19" s="69" t="str">
        <f t="shared" si="21"/>
        <v/>
      </c>
      <c r="AZ19" s="84">
        <f t="shared" si="22"/>
        <v>64</v>
      </c>
      <c r="BA19" s="61">
        <f t="shared" si="23"/>
        <v>522825</v>
      </c>
      <c r="BB19" s="61">
        <f t="shared" si="24"/>
        <v>156425</v>
      </c>
      <c r="BC19" s="73">
        <f t="shared" si="29"/>
        <v>676698</v>
      </c>
      <c r="BD19" s="74">
        <f t="shared" si="31"/>
        <v>18150</v>
      </c>
      <c r="BE19" s="75">
        <v>64</v>
      </c>
      <c r="BF19" s="76">
        <v>430610</v>
      </c>
      <c r="BG19" s="76">
        <v>128020</v>
      </c>
      <c r="BH19" s="77">
        <v>17050</v>
      </c>
      <c r="BI19" s="77">
        <v>1100</v>
      </c>
      <c r="BJ19" s="77"/>
      <c r="BK19" s="77"/>
      <c r="BL19" s="78">
        <f t="shared" si="30"/>
        <v>576780</v>
      </c>
      <c r="BM19" s="49">
        <v>15</v>
      </c>
      <c r="BN19" s="79">
        <f t="shared" si="25"/>
        <v>576780</v>
      </c>
      <c r="BO19" s="49">
        <v>2552</v>
      </c>
    </row>
    <row r="20" spans="2:68" ht="20" customHeight="1">
      <c r="B20" s="80">
        <f t="shared" si="26"/>
        <v>46007</v>
      </c>
      <c r="C20" s="81"/>
      <c r="D20" s="52"/>
      <c r="E20" s="53">
        <v>32</v>
      </c>
      <c r="F20" s="54">
        <v>128150</v>
      </c>
      <c r="G20" s="55">
        <f t="shared" si="0"/>
        <v>3640.625</v>
      </c>
      <c r="H20" s="54">
        <v>10100</v>
      </c>
      <c r="I20" s="56">
        <f t="shared" si="27"/>
        <v>286.90625</v>
      </c>
      <c r="J20" s="57">
        <f t="shared" si="1"/>
        <v>138250</v>
      </c>
      <c r="K20" s="58">
        <f t="shared" si="2"/>
        <v>4320.3125</v>
      </c>
      <c r="L20" s="59"/>
      <c r="M20" s="60">
        <f t="shared" si="3"/>
        <v>53</v>
      </c>
      <c r="N20" s="61">
        <f t="shared" si="3"/>
        <v>503500</v>
      </c>
      <c r="O20" s="55">
        <f t="shared" si="4"/>
        <v>8636.3584905660373</v>
      </c>
      <c r="P20" s="61">
        <f t="shared" si="5"/>
        <v>132500</v>
      </c>
      <c r="Q20" s="87">
        <f t="shared" si="6"/>
        <v>2272.7169811320755</v>
      </c>
      <c r="R20" s="62">
        <f t="shared" si="7"/>
        <v>636000</v>
      </c>
      <c r="S20" s="58">
        <f t="shared" si="8"/>
        <v>12000</v>
      </c>
      <c r="T20" s="82">
        <f t="shared" si="9"/>
        <v>85</v>
      </c>
      <c r="U20" s="61">
        <f t="shared" si="9"/>
        <v>631650</v>
      </c>
      <c r="V20" s="61">
        <f t="shared" si="10"/>
        <v>142600</v>
      </c>
      <c r="W20" s="64">
        <f t="shared" si="11"/>
        <v>774250</v>
      </c>
      <c r="X20" s="83"/>
      <c r="Y20" s="65"/>
      <c r="Z20" s="66">
        <v>0</v>
      </c>
      <c r="AA20" s="66"/>
      <c r="AB20" s="54"/>
      <c r="AC20" s="55" t="e">
        <f t="shared" si="12"/>
        <v>#DIV/0!</v>
      </c>
      <c r="AD20" s="54"/>
      <c r="AE20" s="56" t="e">
        <f t="shared" si="13"/>
        <v>#DIV/0!</v>
      </c>
      <c r="AF20" s="67">
        <f t="shared" si="14"/>
        <v>0</v>
      </c>
      <c r="AG20" s="58" t="e">
        <f t="shared" si="15"/>
        <v>#DIV/0!</v>
      </c>
      <c r="AH20" s="68"/>
      <c r="AI20" s="66"/>
      <c r="AJ20" s="54"/>
      <c r="AK20" s="55" t="e">
        <f t="shared" si="16"/>
        <v>#DIV/0!</v>
      </c>
      <c r="AL20" s="54"/>
      <c r="AM20" s="56" t="e">
        <f t="shared" si="17"/>
        <v>#DIV/0!</v>
      </c>
      <c r="AN20" s="67">
        <f t="shared" si="28"/>
        <v>0</v>
      </c>
      <c r="AO20" s="69" t="str">
        <f t="shared" si="18"/>
        <v/>
      </c>
      <c r="AP20" s="70"/>
      <c r="AQ20" s="66"/>
      <c r="AR20" s="54"/>
      <c r="AS20" s="55" t="e">
        <f t="shared" si="19"/>
        <v>#DIV/0!</v>
      </c>
      <c r="AT20" s="54"/>
      <c r="AU20" s="56" t="e">
        <f t="shared" si="20"/>
        <v>#DIV/0!</v>
      </c>
      <c r="AV20" s="56"/>
      <c r="AW20" s="56"/>
      <c r="AX20" s="71">
        <f t="shared" si="33"/>
        <v>0</v>
      </c>
      <c r="AY20" s="69" t="str">
        <f t="shared" si="21"/>
        <v/>
      </c>
      <c r="AZ20" s="84">
        <f t="shared" si="22"/>
        <v>85</v>
      </c>
      <c r="BA20" s="61">
        <f t="shared" si="23"/>
        <v>631650</v>
      </c>
      <c r="BB20" s="61">
        <f t="shared" si="24"/>
        <v>142600</v>
      </c>
      <c r="BC20" s="73">
        <f t="shared" si="29"/>
        <v>769300</v>
      </c>
      <c r="BD20" s="74">
        <f t="shared" si="31"/>
        <v>1100</v>
      </c>
      <c r="BE20" s="223">
        <v>85</v>
      </c>
      <c r="BF20" s="224">
        <v>631650</v>
      </c>
      <c r="BG20" s="76">
        <v>142600</v>
      </c>
      <c r="BH20" s="77">
        <v>1100</v>
      </c>
      <c r="BI20" s="77"/>
      <c r="BJ20" s="77"/>
      <c r="BK20" s="77"/>
      <c r="BL20" s="78">
        <f t="shared" si="30"/>
        <v>775350</v>
      </c>
      <c r="BM20" s="49">
        <v>16</v>
      </c>
      <c r="BN20" s="79">
        <f t="shared" si="25"/>
        <v>775350</v>
      </c>
      <c r="BO20" s="49">
        <v>4950</v>
      </c>
    </row>
    <row r="21" spans="2:68" ht="20" customHeight="1">
      <c r="B21" s="80">
        <f t="shared" si="26"/>
        <v>46008</v>
      </c>
      <c r="C21" s="81"/>
      <c r="D21" s="52"/>
      <c r="E21" s="53">
        <v>31</v>
      </c>
      <c r="F21" s="54">
        <v>129540</v>
      </c>
      <c r="G21" s="55">
        <f>ROUNDDOWN(F21/1.1,0)/E21</f>
        <v>3798.8064516129034</v>
      </c>
      <c r="H21" s="54">
        <v>25630</v>
      </c>
      <c r="I21" s="56">
        <f t="shared" si="27"/>
        <v>751.61290322580646</v>
      </c>
      <c r="J21" s="57">
        <f t="shared" si="1"/>
        <v>155170</v>
      </c>
      <c r="K21" s="58">
        <f t="shared" si="2"/>
        <v>5005.4838709677415</v>
      </c>
      <c r="L21" s="59"/>
      <c r="M21" s="60">
        <f t="shared" si="3"/>
        <v>32</v>
      </c>
      <c r="N21" s="61">
        <f t="shared" si="3"/>
        <v>290960</v>
      </c>
      <c r="O21" s="55">
        <f t="shared" si="4"/>
        <v>8265.90625</v>
      </c>
      <c r="P21" s="61">
        <f t="shared" si="5"/>
        <v>70080</v>
      </c>
      <c r="Q21" s="87">
        <f t="shared" si="6"/>
        <v>1990.90625</v>
      </c>
      <c r="R21" s="62">
        <f>N21+P21</f>
        <v>361040</v>
      </c>
      <c r="S21" s="58">
        <f t="shared" si="8"/>
        <v>11282.5</v>
      </c>
      <c r="T21" s="82">
        <f t="shared" si="9"/>
        <v>63</v>
      </c>
      <c r="U21" s="61">
        <f t="shared" si="9"/>
        <v>420500</v>
      </c>
      <c r="V21" s="61">
        <f t="shared" si="10"/>
        <v>95710</v>
      </c>
      <c r="W21" s="64">
        <f t="shared" si="11"/>
        <v>516210</v>
      </c>
      <c r="X21" s="83"/>
      <c r="Y21" s="65"/>
      <c r="Z21" s="66">
        <v>4</v>
      </c>
      <c r="AA21" s="66"/>
      <c r="AB21" s="54">
        <v>10000</v>
      </c>
      <c r="AC21" s="55">
        <f t="shared" si="12"/>
        <v>2500</v>
      </c>
      <c r="AD21" s="54">
        <v>1000</v>
      </c>
      <c r="AE21" s="56">
        <f t="shared" si="13"/>
        <v>250</v>
      </c>
      <c r="AF21" s="67">
        <f t="shared" si="14"/>
        <v>11000</v>
      </c>
      <c r="AG21" s="58">
        <f t="shared" si="15"/>
        <v>2750</v>
      </c>
      <c r="AH21" s="68"/>
      <c r="AI21" s="66">
        <v>82</v>
      </c>
      <c r="AJ21" s="54">
        <v>321030</v>
      </c>
      <c r="AK21" s="55">
        <f t="shared" si="16"/>
        <v>3915</v>
      </c>
      <c r="AL21" s="54">
        <v>107010</v>
      </c>
      <c r="AM21" s="56">
        <f t="shared" si="17"/>
        <v>1305</v>
      </c>
      <c r="AN21" s="67">
        <f t="shared" si="28"/>
        <v>428040</v>
      </c>
      <c r="AO21" s="69">
        <f t="shared" si="18"/>
        <v>5220</v>
      </c>
      <c r="AP21" s="70"/>
      <c r="AQ21" s="66"/>
      <c r="AR21" s="54"/>
      <c r="AS21" s="55" t="e">
        <f t="shared" si="19"/>
        <v>#DIV/0!</v>
      </c>
      <c r="AT21" s="54"/>
      <c r="AU21" s="56" t="e">
        <f t="shared" si="20"/>
        <v>#DIV/0!</v>
      </c>
      <c r="AV21" s="56"/>
      <c r="AW21" s="56"/>
      <c r="AX21" s="71">
        <f t="shared" si="33"/>
        <v>0</v>
      </c>
      <c r="AY21" s="69" t="str">
        <f t="shared" si="21"/>
        <v/>
      </c>
      <c r="AZ21" s="84">
        <f t="shared" si="22"/>
        <v>63</v>
      </c>
      <c r="BA21" s="61">
        <f t="shared" si="23"/>
        <v>751530</v>
      </c>
      <c r="BB21" s="61">
        <f t="shared" si="24"/>
        <v>203720</v>
      </c>
      <c r="BC21" s="73">
        <f t="shared" si="29"/>
        <v>955250</v>
      </c>
      <c r="BD21" s="74">
        <f t="shared" si="31"/>
        <v>17600</v>
      </c>
      <c r="BE21" s="75">
        <v>63</v>
      </c>
      <c r="BF21" s="76">
        <v>420500</v>
      </c>
      <c r="BG21" s="76">
        <v>95710</v>
      </c>
      <c r="BH21" s="77">
        <v>14300</v>
      </c>
      <c r="BI21" s="77">
        <v>3300</v>
      </c>
      <c r="BJ21" s="77">
        <v>3300</v>
      </c>
      <c r="BK21" s="77"/>
      <c r="BL21" s="78">
        <f t="shared" si="30"/>
        <v>533810</v>
      </c>
      <c r="BM21" s="49">
        <v>17</v>
      </c>
      <c r="BN21" s="79">
        <f t="shared" si="25"/>
        <v>533810</v>
      </c>
    </row>
    <row r="22" spans="2:68" ht="20" customHeight="1">
      <c r="B22" s="80">
        <f t="shared" si="26"/>
        <v>46009</v>
      </c>
      <c r="C22" s="81"/>
      <c r="D22" s="52"/>
      <c r="E22" s="53">
        <v>31</v>
      </c>
      <c r="F22" s="54">
        <v>114950</v>
      </c>
      <c r="G22" s="55">
        <f t="shared" si="0"/>
        <v>3370.9677419354839</v>
      </c>
      <c r="H22" s="54">
        <v>20800</v>
      </c>
      <c r="I22" s="56">
        <f t="shared" si="27"/>
        <v>609.9677419354839</v>
      </c>
      <c r="J22" s="57">
        <f t="shared" si="1"/>
        <v>135750</v>
      </c>
      <c r="K22" s="58">
        <f t="shared" si="2"/>
        <v>4379.0322580645161</v>
      </c>
      <c r="L22" s="59"/>
      <c r="M22" s="60">
        <f>BE22-E22</f>
        <v>29</v>
      </c>
      <c r="N22" s="61">
        <f t="shared" si="3"/>
        <v>257540</v>
      </c>
      <c r="O22" s="55">
        <f t="shared" si="4"/>
        <v>8073.3448275862065</v>
      </c>
      <c r="P22" s="61">
        <f t="shared" si="5"/>
        <v>86560</v>
      </c>
      <c r="Q22" s="87">
        <f t="shared" si="6"/>
        <v>2713.4482758620688</v>
      </c>
      <c r="R22" s="62">
        <f t="shared" si="7"/>
        <v>344100</v>
      </c>
      <c r="S22" s="58">
        <f t="shared" si="8"/>
        <v>11865.51724137931</v>
      </c>
      <c r="T22" s="82">
        <f t="shared" si="9"/>
        <v>60</v>
      </c>
      <c r="U22" s="61">
        <f t="shared" si="9"/>
        <v>372490</v>
      </c>
      <c r="V22" s="61">
        <f t="shared" si="10"/>
        <v>107360</v>
      </c>
      <c r="W22" s="64">
        <f t="shared" si="11"/>
        <v>479850</v>
      </c>
      <c r="X22" s="83"/>
      <c r="Y22" s="65"/>
      <c r="Z22" s="66">
        <v>3</v>
      </c>
      <c r="AA22" s="66"/>
      <c r="AB22" s="54">
        <v>7500</v>
      </c>
      <c r="AC22" s="55">
        <f t="shared" si="12"/>
        <v>2500</v>
      </c>
      <c r="AD22" s="54">
        <v>750</v>
      </c>
      <c r="AE22" s="56">
        <f t="shared" si="13"/>
        <v>250</v>
      </c>
      <c r="AF22" s="67">
        <f t="shared" si="14"/>
        <v>8250</v>
      </c>
      <c r="AG22" s="58">
        <f t="shared" si="15"/>
        <v>2750</v>
      </c>
      <c r="AH22" s="68"/>
      <c r="AI22" s="66"/>
      <c r="AJ22" s="54"/>
      <c r="AK22" s="55" t="e">
        <f t="shared" si="16"/>
        <v>#DIV/0!</v>
      </c>
      <c r="AL22" s="54"/>
      <c r="AM22" s="56" t="e">
        <f t="shared" si="17"/>
        <v>#DIV/0!</v>
      </c>
      <c r="AN22" s="67">
        <f t="shared" si="28"/>
        <v>0</v>
      </c>
      <c r="AO22" s="69" t="str">
        <f t="shared" si="18"/>
        <v/>
      </c>
      <c r="AP22" s="70"/>
      <c r="AQ22" s="66"/>
      <c r="AR22" s="54"/>
      <c r="AS22" s="55" t="e">
        <f t="shared" si="19"/>
        <v>#DIV/0!</v>
      </c>
      <c r="AT22" s="54"/>
      <c r="AU22" s="56" t="e">
        <f t="shared" si="20"/>
        <v>#DIV/0!</v>
      </c>
      <c r="AV22" s="56"/>
      <c r="AW22" s="56"/>
      <c r="AX22" s="71">
        <f t="shared" si="33"/>
        <v>0</v>
      </c>
      <c r="AY22" s="69" t="str">
        <f t="shared" si="21"/>
        <v/>
      </c>
      <c r="AZ22" s="84">
        <f t="shared" si="22"/>
        <v>60</v>
      </c>
      <c r="BA22" s="61">
        <f>U22+AB22+AJ22+AR22</f>
        <v>379990</v>
      </c>
      <c r="BB22" s="61">
        <f t="shared" si="24"/>
        <v>108110</v>
      </c>
      <c r="BC22" s="73">
        <f t="shared" si="29"/>
        <v>488100</v>
      </c>
      <c r="BD22" s="74">
        <f t="shared" si="31"/>
        <v>8800</v>
      </c>
      <c r="BE22" s="75">
        <v>60</v>
      </c>
      <c r="BF22" s="76">
        <v>372490</v>
      </c>
      <c r="BG22" s="76">
        <v>107360</v>
      </c>
      <c r="BH22" s="77">
        <v>8800</v>
      </c>
      <c r="BI22" s="77"/>
      <c r="BJ22" s="77"/>
      <c r="BK22" s="77"/>
      <c r="BL22" s="78">
        <f t="shared" si="30"/>
        <v>488650</v>
      </c>
      <c r="BM22" s="49">
        <v>18</v>
      </c>
      <c r="BN22" s="79">
        <f t="shared" si="25"/>
        <v>488650</v>
      </c>
      <c r="BP22" s="85"/>
    </row>
    <row r="23" spans="2:68" ht="20" customHeight="1">
      <c r="B23" s="80">
        <f t="shared" si="26"/>
        <v>46010</v>
      </c>
      <c r="C23" s="81"/>
      <c r="D23" s="52"/>
      <c r="E23" s="53">
        <v>32</v>
      </c>
      <c r="F23" s="54">
        <v>136830</v>
      </c>
      <c r="G23" s="55">
        <f t="shared" si="0"/>
        <v>3887.1875</v>
      </c>
      <c r="H23" s="54">
        <v>2980</v>
      </c>
      <c r="I23" s="56">
        <f t="shared" si="27"/>
        <v>84.65625</v>
      </c>
      <c r="J23" s="57">
        <f t="shared" si="1"/>
        <v>139810</v>
      </c>
      <c r="K23" s="58">
        <f t="shared" si="2"/>
        <v>4369.0625</v>
      </c>
      <c r="L23" s="59"/>
      <c r="M23" s="60">
        <f t="shared" si="3"/>
        <v>35</v>
      </c>
      <c r="N23" s="61">
        <f t="shared" si="3"/>
        <v>317130</v>
      </c>
      <c r="O23" s="55">
        <f t="shared" si="4"/>
        <v>8237.1428571428569</v>
      </c>
      <c r="P23" s="61">
        <f t="shared" si="5"/>
        <v>99300</v>
      </c>
      <c r="Q23" s="87">
        <f t="shared" si="6"/>
        <v>2579.1999999999998</v>
      </c>
      <c r="R23" s="62">
        <f t="shared" si="7"/>
        <v>416430</v>
      </c>
      <c r="S23" s="58">
        <f t="shared" si="8"/>
        <v>11898</v>
      </c>
      <c r="T23" s="82">
        <f t="shared" si="9"/>
        <v>67</v>
      </c>
      <c r="U23" s="61">
        <f t="shared" si="9"/>
        <v>453960</v>
      </c>
      <c r="V23" s="61">
        <f t="shared" si="10"/>
        <v>102280</v>
      </c>
      <c r="W23" s="64">
        <f t="shared" si="11"/>
        <v>556240</v>
      </c>
      <c r="X23" s="83"/>
      <c r="Y23" s="65"/>
      <c r="Z23" s="66">
        <v>0</v>
      </c>
      <c r="AA23" s="66"/>
      <c r="AB23" s="54"/>
      <c r="AC23" s="55" t="e">
        <f t="shared" si="12"/>
        <v>#DIV/0!</v>
      </c>
      <c r="AD23" s="54"/>
      <c r="AE23" s="56" t="e">
        <f t="shared" si="13"/>
        <v>#DIV/0!</v>
      </c>
      <c r="AF23" s="67">
        <f t="shared" si="14"/>
        <v>0</v>
      </c>
      <c r="AG23" s="58" t="e">
        <f t="shared" si="15"/>
        <v>#DIV/0!</v>
      </c>
      <c r="AH23" s="68"/>
      <c r="AI23" s="66">
        <v>71</v>
      </c>
      <c r="AJ23" s="54">
        <v>277965</v>
      </c>
      <c r="AK23" s="55">
        <f t="shared" si="16"/>
        <v>3915</v>
      </c>
      <c r="AL23" s="54">
        <v>92655</v>
      </c>
      <c r="AM23" s="56">
        <f t="shared" si="17"/>
        <v>1305</v>
      </c>
      <c r="AN23" s="67">
        <f t="shared" si="28"/>
        <v>370620</v>
      </c>
      <c r="AO23" s="69">
        <f t="shared" si="18"/>
        <v>5220</v>
      </c>
      <c r="AP23" s="70"/>
      <c r="AQ23" s="66"/>
      <c r="AR23" s="54"/>
      <c r="AS23" s="55" t="e">
        <f t="shared" si="19"/>
        <v>#DIV/0!</v>
      </c>
      <c r="AT23" s="54"/>
      <c r="AU23" s="56" t="e">
        <f t="shared" si="20"/>
        <v>#DIV/0!</v>
      </c>
      <c r="AV23" s="56"/>
      <c r="AW23" s="56"/>
      <c r="AX23" s="71">
        <f t="shared" si="33"/>
        <v>0</v>
      </c>
      <c r="AY23" s="69" t="str">
        <f>IF(AQ23="","",AX23/AQ23)</f>
        <v/>
      </c>
      <c r="AZ23" s="84">
        <f t="shared" si="22"/>
        <v>67</v>
      </c>
      <c r="BA23" s="61">
        <f t="shared" si="23"/>
        <v>731925</v>
      </c>
      <c r="BB23" s="61">
        <f t="shared" si="24"/>
        <v>194935</v>
      </c>
      <c r="BC23" s="73">
        <f t="shared" si="29"/>
        <v>926860</v>
      </c>
      <c r="BD23" s="74">
        <f t="shared" si="31"/>
        <v>12100</v>
      </c>
      <c r="BE23" s="75">
        <v>67</v>
      </c>
      <c r="BF23" s="76">
        <v>453960</v>
      </c>
      <c r="BG23" s="76">
        <v>102280</v>
      </c>
      <c r="BH23" s="77">
        <v>12100</v>
      </c>
      <c r="BI23" s="77"/>
      <c r="BJ23" s="77">
        <v>3300</v>
      </c>
      <c r="BK23" s="77"/>
      <c r="BL23" s="78">
        <f>SUM(BF23:BI23)</f>
        <v>568340</v>
      </c>
      <c r="BM23" s="49">
        <v>19</v>
      </c>
      <c r="BN23" s="79">
        <f t="shared" si="25"/>
        <v>568340</v>
      </c>
    </row>
    <row r="24" spans="2:68" ht="20" customHeight="1">
      <c r="B24" s="80">
        <f t="shared" si="26"/>
        <v>46011</v>
      </c>
      <c r="C24" s="81"/>
      <c r="D24" s="52"/>
      <c r="E24" s="53">
        <v>32</v>
      </c>
      <c r="F24" s="54">
        <v>166980</v>
      </c>
      <c r="G24" s="55">
        <f t="shared" si="0"/>
        <v>4743.75</v>
      </c>
      <c r="H24" s="54">
        <v>25020</v>
      </c>
      <c r="I24" s="56">
        <f t="shared" si="27"/>
        <v>710.78125</v>
      </c>
      <c r="J24" s="57">
        <f t="shared" si="1"/>
        <v>192000</v>
      </c>
      <c r="K24" s="58">
        <f t="shared" si="2"/>
        <v>6000</v>
      </c>
      <c r="L24" s="59"/>
      <c r="M24" s="60">
        <f t="shared" si="3"/>
        <v>39</v>
      </c>
      <c r="N24" s="61">
        <f t="shared" si="3"/>
        <v>606320</v>
      </c>
      <c r="O24" s="55">
        <f t="shared" si="4"/>
        <v>14133.333333333334</v>
      </c>
      <c r="P24" s="61">
        <f t="shared" si="5"/>
        <v>183030</v>
      </c>
      <c r="Q24" s="87">
        <f t="shared" si="6"/>
        <v>4266.4102564102568</v>
      </c>
      <c r="R24" s="62">
        <f t="shared" si="7"/>
        <v>789350</v>
      </c>
      <c r="S24" s="58">
        <f t="shared" si="8"/>
        <v>20239.74358974359</v>
      </c>
      <c r="T24" s="82">
        <f t="shared" si="9"/>
        <v>71</v>
      </c>
      <c r="U24" s="61">
        <f t="shared" si="9"/>
        <v>773300</v>
      </c>
      <c r="V24" s="61">
        <f t="shared" si="10"/>
        <v>208050</v>
      </c>
      <c r="W24" s="64">
        <f t="shared" si="11"/>
        <v>981350</v>
      </c>
      <c r="X24" s="83"/>
      <c r="Y24" s="65"/>
      <c r="Z24" s="66">
        <v>6</v>
      </c>
      <c r="AA24" s="66"/>
      <c r="AB24" s="54">
        <v>15000</v>
      </c>
      <c r="AC24" s="55">
        <f t="shared" si="12"/>
        <v>2500</v>
      </c>
      <c r="AD24" s="54">
        <v>1500</v>
      </c>
      <c r="AE24" s="56">
        <f t="shared" si="13"/>
        <v>250</v>
      </c>
      <c r="AF24" s="67">
        <f t="shared" si="14"/>
        <v>16500</v>
      </c>
      <c r="AG24" s="58">
        <f t="shared" si="15"/>
        <v>2750</v>
      </c>
      <c r="AH24" s="68"/>
      <c r="AI24" s="66"/>
      <c r="AJ24" s="54"/>
      <c r="AK24" s="55" t="e">
        <f t="shared" si="16"/>
        <v>#DIV/0!</v>
      </c>
      <c r="AL24" s="54"/>
      <c r="AM24" s="56" t="e">
        <f t="shared" si="17"/>
        <v>#DIV/0!</v>
      </c>
      <c r="AN24" s="67">
        <f t="shared" si="28"/>
        <v>0</v>
      </c>
      <c r="AO24" s="69" t="str">
        <f t="shared" si="18"/>
        <v/>
      </c>
      <c r="AP24" s="70"/>
      <c r="AQ24" s="66"/>
      <c r="AR24" s="54"/>
      <c r="AS24" s="55" t="e">
        <f t="shared" si="19"/>
        <v>#DIV/0!</v>
      </c>
      <c r="AT24" s="54"/>
      <c r="AU24" s="56" t="e">
        <f t="shared" si="20"/>
        <v>#DIV/0!</v>
      </c>
      <c r="AV24" s="56"/>
      <c r="AW24" s="56"/>
      <c r="AX24" s="71">
        <f t="shared" si="33"/>
        <v>0</v>
      </c>
      <c r="AY24" s="69" t="str">
        <f t="shared" si="21"/>
        <v/>
      </c>
      <c r="AZ24" s="84">
        <f t="shared" si="22"/>
        <v>71</v>
      </c>
      <c r="BA24" s="61">
        <f t="shared" si="23"/>
        <v>788300</v>
      </c>
      <c r="BB24" s="61">
        <f t="shared" si="24"/>
        <v>209550</v>
      </c>
      <c r="BC24" s="73">
        <f t="shared" si="29"/>
        <v>997850</v>
      </c>
      <c r="BD24" s="74">
        <f t="shared" si="31"/>
        <v>26400</v>
      </c>
      <c r="BE24" s="75">
        <v>71</v>
      </c>
      <c r="BF24" s="76">
        <v>773300</v>
      </c>
      <c r="BG24" s="76">
        <v>208050</v>
      </c>
      <c r="BH24" s="77">
        <v>26400</v>
      </c>
      <c r="BI24" s="77"/>
      <c r="BJ24" s="77">
        <v>14300</v>
      </c>
      <c r="BK24" s="77"/>
      <c r="BL24" s="78">
        <f t="shared" si="30"/>
        <v>1007750</v>
      </c>
      <c r="BM24" s="49">
        <v>20</v>
      </c>
      <c r="BN24" s="79">
        <f t="shared" si="25"/>
        <v>1007750</v>
      </c>
    </row>
    <row r="25" spans="2:68" ht="20" customHeight="1">
      <c r="B25" s="80">
        <f t="shared" si="26"/>
        <v>46012</v>
      </c>
      <c r="C25" s="81"/>
      <c r="D25" s="52"/>
      <c r="E25" s="53">
        <v>35</v>
      </c>
      <c r="F25" s="54">
        <v>158400</v>
      </c>
      <c r="G25" s="55">
        <f t="shared" si="0"/>
        <v>4114.2857142857147</v>
      </c>
      <c r="H25" s="54">
        <v>45100</v>
      </c>
      <c r="I25" s="56">
        <f t="shared" si="27"/>
        <v>1171.4285714285713</v>
      </c>
      <c r="J25" s="57">
        <f t="shared" si="1"/>
        <v>203500</v>
      </c>
      <c r="K25" s="58">
        <f t="shared" si="2"/>
        <v>5814.2857142857147</v>
      </c>
      <c r="L25" s="59"/>
      <c r="M25" s="60">
        <f t="shared" si="3"/>
        <v>30</v>
      </c>
      <c r="N25" s="61">
        <f t="shared" si="3"/>
        <v>497970</v>
      </c>
      <c r="O25" s="55">
        <f t="shared" si="4"/>
        <v>15090</v>
      </c>
      <c r="P25" s="61">
        <f t="shared" si="5"/>
        <v>122370</v>
      </c>
      <c r="Q25" s="87">
        <f t="shared" si="6"/>
        <v>3708.1666666666665</v>
      </c>
      <c r="R25" s="62">
        <f t="shared" si="7"/>
        <v>620340</v>
      </c>
      <c r="S25" s="58">
        <f t="shared" si="8"/>
        <v>20678</v>
      </c>
      <c r="T25" s="82">
        <f t="shared" si="9"/>
        <v>65</v>
      </c>
      <c r="U25" s="61">
        <f t="shared" si="9"/>
        <v>656370</v>
      </c>
      <c r="V25" s="61">
        <f t="shared" si="10"/>
        <v>167470</v>
      </c>
      <c r="W25" s="64">
        <f t="shared" si="11"/>
        <v>823840</v>
      </c>
      <c r="X25" s="83"/>
      <c r="Y25" s="65"/>
      <c r="Z25" s="66">
        <v>5</v>
      </c>
      <c r="AA25" s="66"/>
      <c r="AB25" s="54">
        <v>12500</v>
      </c>
      <c r="AC25" s="55">
        <f t="shared" si="12"/>
        <v>2500</v>
      </c>
      <c r="AD25" s="54">
        <v>1250</v>
      </c>
      <c r="AE25" s="56">
        <f t="shared" si="13"/>
        <v>250</v>
      </c>
      <c r="AF25" s="67">
        <f t="shared" si="14"/>
        <v>13750</v>
      </c>
      <c r="AG25" s="58">
        <f t="shared" si="15"/>
        <v>2750</v>
      </c>
      <c r="AH25" s="68"/>
      <c r="AI25" s="66"/>
      <c r="AJ25" s="54"/>
      <c r="AK25" s="55" t="e">
        <f t="shared" si="16"/>
        <v>#DIV/0!</v>
      </c>
      <c r="AL25" s="54"/>
      <c r="AM25" s="56" t="e">
        <f t="shared" si="17"/>
        <v>#DIV/0!</v>
      </c>
      <c r="AN25" s="67">
        <f t="shared" si="28"/>
        <v>0</v>
      </c>
      <c r="AO25" s="69" t="str">
        <f t="shared" si="18"/>
        <v/>
      </c>
      <c r="AP25" s="70"/>
      <c r="AQ25" s="66"/>
      <c r="AR25" s="54"/>
      <c r="AS25" s="55" t="e">
        <f t="shared" si="19"/>
        <v>#DIV/0!</v>
      </c>
      <c r="AT25" s="54"/>
      <c r="AU25" s="56" t="e">
        <f t="shared" si="20"/>
        <v>#DIV/0!</v>
      </c>
      <c r="AV25" s="56"/>
      <c r="AW25" s="56"/>
      <c r="AX25" s="71">
        <f t="shared" si="33"/>
        <v>0</v>
      </c>
      <c r="AY25" s="69" t="str">
        <f t="shared" si="21"/>
        <v/>
      </c>
      <c r="AZ25" s="84">
        <f t="shared" si="22"/>
        <v>65</v>
      </c>
      <c r="BA25" s="61">
        <f t="shared" si="23"/>
        <v>668870</v>
      </c>
      <c r="BB25" s="61">
        <f t="shared" si="24"/>
        <v>168720</v>
      </c>
      <c r="BC25" s="73">
        <f t="shared" si="29"/>
        <v>837590</v>
      </c>
      <c r="BD25" s="74">
        <f t="shared" si="31"/>
        <v>23650</v>
      </c>
      <c r="BE25" s="75">
        <v>65</v>
      </c>
      <c r="BF25" s="76">
        <v>656370</v>
      </c>
      <c r="BG25" s="76">
        <v>167470</v>
      </c>
      <c r="BH25" s="77">
        <v>23650</v>
      </c>
      <c r="BI25" s="77"/>
      <c r="BJ25" s="77">
        <v>3300</v>
      </c>
      <c r="BK25" s="77"/>
      <c r="BL25" s="78">
        <f t="shared" si="30"/>
        <v>847490</v>
      </c>
      <c r="BM25" s="49">
        <v>21</v>
      </c>
      <c r="BN25" s="79">
        <f t="shared" si="25"/>
        <v>847490</v>
      </c>
    </row>
    <row r="26" spans="2:68" ht="20" customHeight="1">
      <c r="B26" s="80">
        <f t="shared" si="26"/>
        <v>46013</v>
      </c>
      <c r="C26" s="81"/>
      <c r="D26" s="52"/>
      <c r="E26" s="53">
        <v>31</v>
      </c>
      <c r="F26" s="54">
        <v>135850</v>
      </c>
      <c r="G26" s="55">
        <f t="shared" si="0"/>
        <v>3983.8709677419356</v>
      </c>
      <c r="H26" s="54">
        <v>14930</v>
      </c>
      <c r="I26" s="56">
        <f t="shared" si="27"/>
        <v>437.80645161290323</v>
      </c>
      <c r="J26" s="57">
        <f t="shared" si="1"/>
        <v>150780</v>
      </c>
      <c r="K26" s="58">
        <f t="shared" si="2"/>
        <v>4863.8709677419356</v>
      </c>
      <c r="L26" s="59"/>
      <c r="M26" s="60">
        <f t="shared" si="3"/>
        <v>28</v>
      </c>
      <c r="N26" s="61">
        <f t="shared" si="3"/>
        <v>464970</v>
      </c>
      <c r="O26" s="55">
        <f t="shared" si="4"/>
        <v>15096.428571428571</v>
      </c>
      <c r="P26" s="61">
        <f t="shared" si="5"/>
        <v>127410</v>
      </c>
      <c r="Q26" s="87">
        <f t="shared" si="6"/>
        <v>4136.6785714285716</v>
      </c>
      <c r="R26" s="62">
        <f t="shared" si="7"/>
        <v>592380</v>
      </c>
      <c r="S26" s="58">
        <f t="shared" si="8"/>
        <v>21156.428571428572</v>
      </c>
      <c r="T26" s="82">
        <f t="shared" si="9"/>
        <v>59</v>
      </c>
      <c r="U26" s="61">
        <f t="shared" si="9"/>
        <v>600820</v>
      </c>
      <c r="V26" s="61">
        <f t="shared" si="10"/>
        <v>142340</v>
      </c>
      <c r="W26" s="64">
        <f t="shared" si="11"/>
        <v>743160</v>
      </c>
      <c r="X26" s="83"/>
      <c r="Y26" s="65"/>
      <c r="Z26" s="66">
        <v>4</v>
      </c>
      <c r="AA26" s="66"/>
      <c r="AB26" s="54">
        <v>10000</v>
      </c>
      <c r="AC26" s="55">
        <f t="shared" si="12"/>
        <v>2500</v>
      </c>
      <c r="AD26" s="54">
        <v>4300</v>
      </c>
      <c r="AE26" s="56">
        <f t="shared" si="13"/>
        <v>1075</v>
      </c>
      <c r="AF26" s="67">
        <f t="shared" si="14"/>
        <v>14300</v>
      </c>
      <c r="AG26" s="58">
        <f t="shared" si="15"/>
        <v>3575</v>
      </c>
      <c r="AH26" s="68"/>
      <c r="AI26" s="66">
        <v>79</v>
      </c>
      <c r="AJ26" s="54">
        <v>309285</v>
      </c>
      <c r="AK26" s="55">
        <f t="shared" si="16"/>
        <v>3915</v>
      </c>
      <c r="AL26" s="54">
        <v>208939</v>
      </c>
      <c r="AM26" s="56">
        <f t="shared" si="17"/>
        <v>2644.7974683544303</v>
      </c>
      <c r="AN26" s="67">
        <f t="shared" si="28"/>
        <v>518224</v>
      </c>
      <c r="AO26" s="69">
        <f t="shared" si="18"/>
        <v>6559.7974683544307</v>
      </c>
      <c r="AP26" s="70"/>
      <c r="AQ26" s="66"/>
      <c r="AR26" s="54"/>
      <c r="AS26" s="55" t="e">
        <f t="shared" si="19"/>
        <v>#DIV/0!</v>
      </c>
      <c r="AT26" s="54"/>
      <c r="AU26" s="56" t="e">
        <f t="shared" si="20"/>
        <v>#DIV/0!</v>
      </c>
      <c r="AV26" s="56"/>
      <c r="AW26" s="56"/>
      <c r="AX26" s="71">
        <f t="shared" si="33"/>
        <v>0</v>
      </c>
      <c r="AY26" s="69" t="str">
        <f>IF(AQ26="","",AX26/AQ26)</f>
        <v/>
      </c>
      <c r="AZ26" s="84">
        <f t="shared" si="22"/>
        <v>59</v>
      </c>
      <c r="BA26" s="61">
        <f t="shared" si="23"/>
        <v>920105</v>
      </c>
      <c r="BB26" s="61">
        <f t="shared" si="24"/>
        <v>355579</v>
      </c>
      <c r="BC26" s="73">
        <f t="shared" si="29"/>
        <v>1273572</v>
      </c>
      <c r="BD26" s="74">
        <f>BH26+BI26</f>
        <v>22000</v>
      </c>
      <c r="BE26" s="75">
        <v>59</v>
      </c>
      <c r="BF26" s="76">
        <v>600820</v>
      </c>
      <c r="BG26" s="76">
        <v>142340</v>
      </c>
      <c r="BH26" s="77">
        <v>22000</v>
      </c>
      <c r="BI26" s="77"/>
      <c r="BJ26" s="77"/>
      <c r="BK26" s="77"/>
      <c r="BL26" s="78">
        <f t="shared" si="30"/>
        <v>765160</v>
      </c>
      <c r="BM26" s="49">
        <v>22</v>
      </c>
      <c r="BN26" s="79">
        <f t="shared" si="25"/>
        <v>765160</v>
      </c>
      <c r="BO26" s="49">
        <v>2112</v>
      </c>
    </row>
    <row r="27" spans="2:68" ht="20" customHeight="1">
      <c r="B27" s="80">
        <f t="shared" si="26"/>
        <v>46014</v>
      </c>
      <c r="C27" s="81"/>
      <c r="D27" s="52"/>
      <c r="E27" s="53">
        <v>29</v>
      </c>
      <c r="F27" s="54">
        <v>143220</v>
      </c>
      <c r="G27" s="55">
        <f t="shared" si="0"/>
        <v>4489.6551724137935</v>
      </c>
      <c r="H27" s="54">
        <v>27060</v>
      </c>
      <c r="I27" s="56">
        <f t="shared" si="27"/>
        <v>848.27586206896547</v>
      </c>
      <c r="J27" s="57">
        <f t="shared" si="1"/>
        <v>170280</v>
      </c>
      <c r="K27" s="58">
        <f t="shared" si="2"/>
        <v>5871.7241379310344</v>
      </c>
      <c r="L27" s="59"/>
      <c r="M27" s="60">
        <f t="shared" si="3"/>
        <v>26</v>
      </c>
      <c r="N27" s="61">
        <f t="shared" si="3"/>
        <v>429000</v>
      </c>
      <c r="O27" s="55">
        <f t="shared" si="4"/>
        <v>15000</v>
      </c>
      <c r="P27" s="61">
        <f t="shared" si="5"/>
        <v>113190</v>
      </c>
      <c r="Q27" s="56">
        <f t="shared" si="6"/>
        <v>3957.6923076923076</v>
      </c>
      <c r="R27" s="62">
        <f t="shared" si="7"/>
        <v>542190</v>
      </c>
      <c r="S27" s="58">
        <f t="shared" si="8"/>
        <v>20853.461538461539</v>
      </c>
      <c r="T27" s="82">
        <f t="shared" si="9"/>
        <v>55</v>
      </c>
      <c r="U27" s="61">
        <f t="shared" si="9"/>
        <v>572220</v>
      </c>
      <c r="V27" s="61">
        <f t="shared" si="10"/>
        <v>140250</v>
      </c>
      <c r="W27" s="64">
        <f t="shared" si="11"/>
        <v>712470</v>
      </c>
      <c r="X27" s="83"/>
      <c r="Y27" s="65"/>
      <c r="Z27" s="66">
        <v>2</v>
      </c>
      <c r="AA27" s="66"/>
      <c r="AB27" s="54">
        <v>5000</v>
      </c>
      <c r="AC27" s="55">
        <f t="shared" si="12"/>
        <v>2500</v>
      </c>
      <c r="AD27" s="54">
        <v>500</v>
      </c>
      <c r="AE27" s="56">
        <f t="shared" si="13"/>
        <v>250</v>
      </c>
      <c r="AF27" s="67">
        <f t="shared" si="14"/>
        <v>5500</v>
      </c>
      <c r="AG27" s="58">
        <f t="shared" si="15"/>
        <v>2750</v>
      </c>
      <c r="AH27" s="68"/>
      <c r="AI27" s="66">
        <v>29</v>
      </c>
      <c r="AJ27" s="54">
        <v>113535</v>
      </c>
      <c r="AK27" s="55">
        <f t="shared" si="16"/>
        <v>3915</v>
      </c>
      <c r="AL27" s="54">
        <v>37845</v>
      </c>
      <c r="AM27" s="56">
        <f t="shared" si="17"/>
        <v>1305</v>
      </c>
      <c r="AN27" s="67">
        <f t="shared" si="28"/>
        <v>151380</v>
      </c>
      <c r="AO27" s="69">
        <f t="shared" si="18"/>
        <v>5220</v>
      </c>
      <c r="AP27" s="70"/>
      <c r="AQ27" s="66"/>
      <c r="AR27" s="54"/>
      <c r="AS27" s="55" t="e">
        <f t="shared" si="19"/>
        <v>#DIV/0!</v>
      </c>
      <c r="AT27" s="54"/>
      <c r="AU27" s="56" t="e">
        <f t="shared" si="20"/>
        <v>#DIV/0!</v>
      </c>
      <c r="AV27" s="56"/>
      <c r="AW27" s="56"/>
      <c r="AX27" s="71">
        <f>AR27+AT27+AV27+AW27-BP26</f>
        <v>0</v>
      </c>
      <c r="AY27" s="69" t="str">
        <f t="shared" si="21"/>
        <v/>
      </c>
      <c r="AZ27" s="84">
        <f t="shared" si="22"/>
        <v>55</v>
      </c>
      <c r="BA27" s="61">
        <f t="shared" si="23"/>
        <v>690755</v>
      </c>
      <c r="BB27" s="61">
        <f t="shared" si="24"/>
        <v>178595</v>
      </c>
      <c r="BC27" s="73">
        <f t="shared" si="29"/>
        <v>869350</v>
      </c>
      <c r="BD27" s="74">
        <f t="shared" si="31"/>
        <v>25300</v>
      </c>
      <c r="BE27" s="75">
        <v>55</v>
      </c>
      <c r="BF27" s="76">
        <v>572220</v>
      </c>
      <c r="BG27" s="76">
        <v>140250</v>
      </c>
      <c r="BH27" s="77">
        <v>25300</v>
      </c>
      <c r="BI27" s="77"/>
      <c r="BJ27" s="77">
        <v>3300</v>
      </c>
      <c r="BK27" s="77"/>
      <c r="BL27" s="78">
        <f t="shared" si="30"/>
        <v>737770</v>
      </c>
      <c r="BM27" s="49">
        <v>23</v>
      </c>
      <c r="BN27" s="79">
        <f t="shared" si="25"/>
        <v>737770</v>
      </c>
    </row>
    <row r="28" spans="2:68" ht="20" customHeight="1">
      <c r="B28" s="80">
        <f>B27+1</f>
        <v>46015</v>
      </c>
      <c r="C28" s="81"/>
      <c r="D28" s="52"/>
      <c r="E28" s="53">
        <v>37</v>
      </c>
      <c r="F28" s="54">
        <v>166100</v>
      </c>
      <c r="G28" s="55">
        <f t="shared" si="0"/>
        <v>4081.0810810810813</v>
      </c>
      <c r="H28" s="54">
        <v>31900</v>
      </c>
      <c r="I28" s="56">
        <f t="shared" si="27"/>
        <v>783.78378378378375</v>
      </c>
      <c r="J28" s="57">
        <f t="shared" si="1"/>
        <v>198000</v>
      </c>
      <c r="K28" s="58">
        <f t="shared" si="2"/>
        <v>5351.3513513513517</v>
      </c>
      <c r="L28" s="59"/>
      <c r="M28" s="60">
        <f t="shared" si="3"/>
        <v>36</v>
      </c>
      <c r="N28" s="61">
        <f t="shared" si="3"/>
        <v>594000</v>
      </c>
      <c r="O28" s="55">
        <f t="shared" si="4"/>
        <v>15000</v>
      </c>
      <c r="P28" s="61">
        <f t="shared" si="5"/>
        <v>117950</v>
      </c>
      <c r="Q28" s="56">
        <f>ROUNDDOWN(P28/1.1,0)/M28</f>
        <v>2978.5277777777778</v>
      </c>
      <c r="R28" s="62">
        <f t="shared" si="7"/>
        <v>711950</v>
      </c>
      <c r="S28" s="58">
        <f t="shared" si="8"/>
        <v>19776.388888888891</v>
      </c>
      <c r="T28" s="82">
        <f t="shared" si="9"/>
        <v>73</v>
      </c>
      <c r="U28" s="61">
        <f t="shared" si="9"/>
        <v>760100</v>
      </c>
      <c r="V28" s="61">
        <f t="shared" si="10"/>
        <v>149850</v>
      </c>
      <c r="W28" s="64">
        <f t="shared" si="11"/>
        <v>909950</v>
      </c>
      <c r="X28" s="83"/>
      <c r="Y28" s="65"/>
      <c r="Z28" s="66">
        <v>6</v>
      </c>
      <c r="AA28" s="66"/>
      <c r="AB28" s="54">
        <v>15000</v>
      </c>
      <c r="AC28" s="55">
        <f t="shared" si="12"/>
        <v>2500</v>
      </c>
      <c r="AD28" s="54">
        <v>1500</v>
      </c>
      <c r="AE28" s="56">
        <f t="shared" si="13"/>
        <v>250</v>
      </c>
      <c r="AF28" s="67">
        <f t="shared" si="14"/>
        <v>16500</v>
      </c>
      <c r="AG28" s="58">
        <f t="shared" si="15"/>
        <v>2750</v>
      </c>
      <c r="AH28" s="68"/>
      <c r="AI28" s="66"/>
      <c r="AJ28" s="54"/>
      <c r="AK28" s="55" t="e">
        <f t="shared" si="16"/>
        <v>#DIV/0!</v>
      </c>
      <c r="AL28" s="54"/>
      <c r="AM28" s="56" t="e">
        <f t="shared" si="17"/>
        <v>#DIV/0!</v>
      </c>
      <c r="AN28" s="67">
        <f t="shared" si="28"/>
        <v>0</v>
      </c>
      <c r="AO28" s="69" t="str">
        <f t="shared" si="18"/>
        <v/>
      </c>
      <c r="AP28" s="70"/>
      <c r="AQ28" s="66"/>
      <c r="AR28" s="54"/>
      <c r="AS28" s="55" t="e">
        <f t="shared" si="19"/>
        <v>#DIV/0!</v>
      </c>
      <c r="AT28" s="54"/>
      <c r="AU28" s="56" t="e">
        <f t="shared" si="20"/>
        <v>#DIV/0!</v>
      </c>
      <c r="AV28" s="56"/>
      <c r="AW28" s="56"/>
      <c r="AX28" s="71">
        <f>AR28+AT28+AV28+AW28</f>
        <v>0</v>
      </c>
      <c r="AY28" s="69" t="str">
        <f t="shared" si="21"/>
        <v/>
      </c>
      <c r="AZ28" s="84">
        <f t="shared" si="22"/>
        <v>73</v>
      </c>
      <c r="BA28" s="61">
        <f t="shared" si="23"/>
        <v>775100</v>
      </c>
      <c r="BB28" s="61">
        <f t="shared" si="24"/>
        <v>151350</v>
      </c>
      <c r="BC28" s="73">
        <f t="shared" si="29"/>
        <v>926450</v>
      </c>
      <c r="BD28" s="74">
        <f t="shared" si="31"/>
        <v>29150</v>
      </c>
      <c r="BE28" s="75">
        <v>73</v>
      </c>
      <c r="BF28" s="76">
        <v>760100</v>
      </c>
      <c r="BG28" s="76">
        <v>149850</v>
      </c>
      <c r="BH28" s="77">
        <v>29150</v>
      </c>
      <c r="BI28" s="77"/>
      <c r="BJ28" s="77"/>
      <c r="BK28" s="77"/>
      <c r="BL28" s="78">
        <f t="shared" si="30"/>
        <v>939100</v>
      </c>
      <c r="BM28" s="49">
        <v>24</v>
      </c>
      <c r="BN28" s="79">
        <f t="shared" si="25"/>
        <v>939100</v>
      </c>
    </row>
    <row r="29" spans="2:68" ht="20" customHeight="1">
      <c r="B29" s="80">
        <f t="shared" si="26"/>
        <v>46016</v>
      </c>
      <c r="C29" s="81"/>
      <c r="D29" s="52"/>
      <c r="E29" s="53">
        <v>42</v>
      </c>
      <c r="F29" s="54">
        <f>192280+7040</f>
        <v>199320</v>
      </c>
      <c r="G29" s="55">
        <f t="shared" si="0"/>
        <v>4314.2857142857147</v>
      </c>
      <c r="H29" s="54">
        <f>29910+2420</f>
        <v>32330</v>
      </c>
      <c r="I29" s="55">
        <f t="shared" si="27"/>
        <v>699.76190476190482</v>
      </c>
      <c r="J29" s="57">
        <f t="shared" si="1"/>
        <v>231650</v>
      </c>
      <c r="K29" s="58">
        <f t="shared" si="2"/>
        <v>5515.4761904761908</v>
      </c>
      <c r="L29" s="59"/>
      <c r="M29" s="60">
        <f t="shared" si="3"/>
        <v>34</v>
      </c>
      <c r="N29" s="61">
        <f t="shared" si="3"/>
        <v>553740</v>
      </c>
      <c r="O29" s="55">
        <f t="shared" si="4"/>
        <v>14805.882352941177</v>
      </c>
      <c r="P29" s="61">
        <f t="shared" si="5"/>
        <v>130450</v>
      </c>
      <c r="Q29" s="56">
        <f t="shared" si="6"/>
        <v>3487.9411764705883</v>
      </c>
      <c r="R29" s="62">
        <f t="shared" si="7"/>
        <v>684190</v>
      </c>
      <c r="S29" s="58">
        <f t="shared" si="8"/>
        <v>20123.235294117647</v>
      </c>
      <c r="T29" s="82">
        <f t="shared" si="9"/>
        <v>76</v>
      </c>
      <c r="U29" s="61">
        <f t="shared" si="9"/>
        <v>753060</v>
      </c>
      <c r="V29" s="61">
        <f t="shared" si="10"/>
        <v>162780</v>
      </c>
      <c r="W29" s="64">
        <f t="shared" si="11"/>
        <v>915840</v>
      </c>
      <c r="X29" s="83"/>
      <c r="Y29" s="65"/>
      <c r="Z29" s="66">
        <v>6</v>
      </c>
      <c r="AA29" s="66"/>
      <c r="AB29" s="54">
        <v>15000</v>
      </c>
      <c r="AC29" s="55">
        <f t="shared" si="12"/>
        <v>2500</v>
      </c>
      <c r="AD29" s="54">
        <v>1500</v>
      </c>
      <c r="AE29" s="56">
        <f t="shared" si="13"/>
        <v>250</v>
      </c>
      <c r="AF29" s="67">
        <f t="shared" si="14"/>
        <v>16500</v>
      </c>
      <c r="AG29" s="58">
        <f t="shared" si="15"/>
        <v>2750</v>
      </c>
      <c r="AH29" s="68"/>
      <c r="AI29" s="66"/>
      <c r="AJ29" s="54"/>
      <c r="AK29" s="55" t="e">
        <f t="shared" si="16"/>
        <v>#DIV/0!</v>
      </c>
      <c r="AL29" s="54"/>
      <c r="AM29" s="56" t="e">
        <f t="shared" si="17"/>
        <v>#DIV/0!</v>
      </c>
      <c r="AN29" s="67">
        <f t="shared" si="28"/>
        <v>0</v>
      </c>
      <c r="AO29" s="69" t="str">
        <f t="shared" si="18"/>
        <v/>
      </c>
      <c r="AP29" s="70"/>
      <c r="AQ29" s="66"/>
      <c r="AR29" s="54"/>
      <c r="AS29" s="55" t="e">
        <f t="shared" si="19"/>
        <v>#DIV/0!</v>
      </c>
      <c r="AT29" s="54"/>
      <c r="AU29" s="56" t="e">
        <f t="shared" si="20"/>
        <v>#DIV/0!</v>
      </c>
      <c r="AV29" s="56"/>
      <c r="AW29" s="56"/>
      <c r="AX29" s="71">
        <f>AR29+AT29+AV29+AW29-BP29</f>
        <v>0</v>
      </c>
      <c r="AY29" s="69" t="str">
        <f t="shared" si="21"/>
        <v/>
      </c>
      <c r="AZ29" s="84">
        <f t="shared" si="22"/>
        <v>76</v>
      </c>
      <c r="BA29" s="61">
        <f t="shared" si="23"/>
        <v>768060</v>
      </c>
      <c r="BB29" s="61">
        <f t="shared" si="24"/>
        <v>164280</v>
      </c>
      <c r="BC29" s="73">
        <f t="shared" si="29"/>
        <v>932340</v>
      </c>
      <c r="BD29" s="74">
        <f t="shared" si="31"/>
        <v>8800</v>
      </c>
      <c r="BE29" s="75">
        <v>76</v>
      </c>
      <c r="BF29" s="76">
        <v>753060</v>
      </c>
      <c r="BG29" s="76">
        <v>162780</v>
      </c>
      <c r="BH29" s="77">
        <v>8800</v>
      </c>
      <c r="BI29" s="77"/>
      <c r="BJ29" s="77">
        <v>3300</v>
      </c>
      <c r="BK29" s="77"/>
      <c r="BL29" s="78">
        <f t="shared" si="30"/>
        <v>924640</v>
      </c>
      <c r="BM29" s="49">
        <v>25</v>
      </c>
      <c r="BN29" s="79">
        <f t="shared" si="25"/>
        <v>924640</v>
      </c>
    </row>
    <row r="30" spans="2:68" ht="20" customHeight="1">
      <c r="B30" s="80">
        <f t="shared" si="26"/>
        <v>46017</v>
      </c>
      <c r="C30" s="81"/>
      <c r="D30" s="52"/>
      <c r="E30" s="53">
        <v>37</v>
      </c>
      <c r="F30" s="54">
        <v>145640</v>
      </c>
      <c r="G30" s="55">
        <f t="shared" si="0"/>
        <v>3578.3783783783783</v>
      </c>
      <c r="H30" s="54">
        <v>30800</v>
      </c>
      <c r="I30" s="55">
        <f t="shared" si="27"/>
        <v>756.75675675675677</v>
      </c>
      <c r="J30" s="57">
        <f t="shared" si="1"/>
        <v>176440</v>
      </c>
      <c r="K30" s="58">
        <f t="shared" si="2"/>
        <v>4768.6486486486483</v>
      </c>
      <c r="L30" s="59"/>
      <c r="M30" s="60">
        <f t="shared" si="3"/>
        <v>31</v>
      </c>
      <c r="N30" s="61">
        <f t="shared" si="3"/>
        <v>348590</v>
      </c>
      <c r="O30" s="55">
        <f t="shared" si="4"/>
        <v>10222.58064516129</v>
      </c>
      <c r="P30" s="61">
        <f t="shared" si="5"/>
        <v>79620</v>
      </c>
      <c r="Q30" s="55">
        <f t="shared" si="6"/>
        <v>2334.8709677419356</v>
      </c>
      <c r="R30" s="62">
        <f t="shared" si="7"/>
        <v>428210</v>
      </c>
      <c r="S30" s="58">
        <f t="shared" si="8"/>
        <v>13813.225806451614</v>
      </c>
      <c r="T30" s="82">
        <f t="shared" si="9"/>
        <v>68</v>
      </c>
      <c r="U30" s="61">
        <f t="shared" si="9"/>
        <v>494230</v>
      </c>
      <c r="V30" s="61">
        <f t="shared" si="10"/>
        <v>110420</v>
      </c>
      <c r="W30" s="64">
        <f t="shared" si="11"/>
        <v>604650</v>
      </c>
      <c r="X30" s="83"/>
      <c r="Y30" s="65"/>
      <c r="Z30" s="66">
        <v>4</v>
      </c>
      <c r="AA30" s="66"/>
      <c r="AB30" s="54">
        <v>10000</v>
      </c>
      <c r="AC30" s="55">
        <f t="shared" si="12"/>
        <v>2500</v>
      </c>
      <c r="AD30" s="54">
        <v>1000</v>
      </c>
      <c r="AE30" s="56">
        <f t="shared" si="13"/>
        <v>250</v>
      </c>
      <c r="AF30" s="67">
        <f t="shared" si="14"/>
        <v>11000</v>
      </c>
      <c r="AG30" s="58">
        <f t="shared" si="15"/>
        <v>2750</v>
      </c>
      <c r="AH30" s="68"/>
      <c r="AI30" s="66"/>
      <c r="AJ30" s="54"/>
      <c r="AK30" s="55" t="e">
        <f t="shared" si="16"/>
        <v>#DIV/0!</v>
      </c>
      <c r="AL30" s="54"/>
      <c r="AM30" s="56" t="e">
        <f t="shared" si="17"/>
        <v>#DIV/0!</v>
      </c>
      <c r="AN30" s="67">
        <f t="shared" si="28"/>
        <v>0</v>
      </c>
      <c r="AO30" s="69" t="str">
        <f t="shared" si="18"/>
        <v/>
      </c>
      <c r="AP30" s="70"/>
      <c r="AQ30" s="66"/>
      <c r="AR30" s="54"/>
      <c r="AS30" s="55" t="e">
        <f t="shared" si="19"/>
        <v>#DIV/0!</v>
      </c>
      <c r="AT30" s="54"/>
      <c r="AU30" s="56" t="e">
        <f t="shared" si="20"/>
        <v>#DIV/0!</v>
      </c>
      <c r="AV30" s="56"/>
      <c r="AW30" s="56"/>
      <c r="AX30" s="71">
        <f>AR30+AT30+AV30+AW30-BP30</f>
        <v>0</v>
      </c>
      <c r="AY30" s="69" t="str">
        <f t="shared" si="21"/>
        <v/>
      </c>
      <c r="AZ30" s="84">
        <f t="shared" si="22"/>
        <v>68</v>
      </c>
      <c r="BA30" s="61">
        <f t="shared" si="23"/>
        <v>504230</v>
      </c>
      <c r="BB30" s="61">
        <f t="shared" si="24"/>
        <v>111420</v>
      </c>
      <c r="BC30" s="73">
        <f t="shared" si="29"/>
        <v>615650</v>
      </c>
      <c r="BD30" s="74">
        <f>BH30+BI30</f>
        <v>5500</v>
      </c>
      <c r="BE30" s="75">
        <v>68</v>
      </c>
      <c r="BF30" s="76">
        <v>494230</v>
      </c>
      <c r="BG30" s="76">
        <v>110420</v>
      </c>
      <c r="BH30" s="77">
        <v>5500</v>
      </c>
      <c r="BI30" s="77"/>
      <c r="BJ30" s="77">
        <v>6600</v>
      </c>
      <c r="BK30" s="77"/>
      <c r="BL30" s="78">
        <f t="shared" si="30"/>
        <v>610150</v>
      </c>
      <c r="BM30" s="49">
        <v>26</v>
      </c>
      <c r="BN30" s="79">
        <f t="shared" si="25"/>
        <v>610150</v>
      </c>
    </row>
    <row r="31" spans="2:68" ht="20" customHeight="1">
      <c r="B31" s="80">
        <f t="shared" si="26"/>
        <v>46018</v>
      </c>
      <c r="C31" s="81"/>
      <c r="D31" s="52"/>
      <c r="E31" s="53">
        <v>32</v>
      </c>
      <c r="F31" s="54">
        <f>148600+7040</f>
        <v>155640</v>
      </c>
      <c r="G31" s="55">
        <f t="shared" si="0"/>
        <v>4421.5625</v>
      </c>
      <c r="H31" s="54">
        <f>24120+1980</f>
        <v>26100</v>
      </c>
      <c r="I31" s="55">
        <f t="shared" si="27"/>
        <v>741.46875</v>
      </c>
      <c r="J31" s="57">
        <f t="shared" si="1"/>
        <v>181740</v>
      </c>
      <c r="K31" s="58">
        <f t="shared" si="2"/>
        <v>5679.375</v>
      </c>
      <c r="L31" s="59"/>
      <c r="M31" s="60">
        <f t="shared" si="3"/>
        <v>30</v>
      </c>
      <c r="N31" s="61">
        <f t="shared" si="3"/>
        <v>333300</v>
      </c>
      <c r="O31" s="55">
        <f t="shared" si="4"/>
        <v>10100</v>
      </c>
      <c r="P31" s="61">
        <f t="shared" si="5"/>
        <v>125640</v>
      </c>
      <c r="Q31" s="55">
        <f t="shared" si="6"/>
        <v>3807.2666666666669</v>
      </c>
      <c r="R31" s="62">
        <f t="shared" si="7"/>
        <v>458940</v>
      </c>
      <c r="S31" s="58">
        <f t="shared" si="8"/>
        <v>15298</v>
      </c>
      <c r="T31" s="82">
        <f t="shared" si="9"/>
        <v>62</v>
      </c>
      <c r="U31" s="61">
        <f t="shared" si="9"/>
        <v>488940</v>
      </c>
      <c r="V31" s="61">
        <f t="shared" si="10"/>
        <v>151740</v>
      </c>
      <c r="W31" s="64">
        <f t="shared" si="11"/>
        <v>640680</v>
      </c>
      <c r="X31" s="83"/>
      <c r="Y31" s="65"/>
      <c r="Z31" s="66">
        <v>6</v>
      </c>
      <c r="AA31" s="66"/>
      <c r="AB31" s="54">
        <v>15000</v>
      </c>
      <c r="AC31" s="55">
        <f t="shared" si="12"/>
        <v>2500</v>
      </c>
      <c r="AD31" s="54">
        <v>6450</v>
      </c>
      <c r="AE31" s="56">
        <f t="shared" si="13"/>
        <v>1075</v>
      </c>
      <c r="AF31" s="67">
        <f t="shared" si="14"/>
        <v>21450</v>
      </c>
      <c r="AG31" s="58">
        <f t="shared" si="15"/>
        <v>3575</v>
      </c>
      <c r="AH31" s="68"/>
      <c r="AI31" s="66"/>
      <c r="AJ31" s="54"/>
      <c r="AK31" s="55" t="e">
        <f t="shared" si="16"/>
        <v>#DIV/0!</v>
      </c>
      <c r="AL31" s="54"/>
      <c r="AM31" s="56" t="e">
        <f t="shared" si="17"/>
        <v>#DIV/0!</v>
      </c>
      <c r="AN31" s="67">
        <f t="shared" si="28"/>
        <v>0</v>
      </c>
      <c r="AO31" s="69" t="str">
        <f t="shared" si="18"/>
        <v/>
      </c>
      <c r="AP31" s="70"/>
      <c r="AQ31" s="66"/>
      <c r="AR31" s="54"/>
      <c r="AS31" s="55" t="e">
        <f t="shared" si="19"/>
        <v>#DIV/0!</v>
      </c>
      <c r="AT31" s="54"/>
      <c r="AU31" s="56" t="e">
        <f t="shared" si="20"/>
        <v>#DIV/0!</v>
      </c>
      <c r="AV31" s="56"/>
      <c r="AW31" s="56"/>
      <c r="AX31" s="71">
        <f>AR31+AT31+AV31+AW31-BP31</f>
        <v>0</v>
      </c>
      <c r="AY31" s="69" t="str">
        <f t="shared" si="21"/>
        <v/>
      </c>
      <c r="AZ31" s="84">
        <f t="shared" si="22"/>
        <v>62</v>
      </c>
      <c r="BA31" s="61">
        <f t="shared" si="23"/>
        <v>503940</v>
      </c>
      <c r="BB31" s="61">
        <f t="shared" si="24"/>
        <v>158190</v>
      </c>
      <c r="BC31" s="73">
        <f t="shared" si="29"/>
        <v>662130</v>
      </c>
      <c r="BD31" s="74">
        <f t="shared" ref="BD31" si="34">BH31+BI31</f>
        <v>3300</v>
      </c>
      <c r="BE31" s="75">
        <v>62</v>
      </c>
      <c r="BF31" s="76">
        <v>488940</v>
      </c>
      <c r="BG31" s="76">
        <v>151740</v>
      </c>
      <c r="BH31" s="77">
        <v>3300</v>
      </c>
      <c r="BI31" s="77"/>
      <c r="BJ31" s="77"/>
      <c r="BK31" s="77"/>
      <c r="BL31" s="78">
        <f t="shared" si="30"/>
        <v>643980</v>
      </c>
      <c r="BM31" s="49">
        <v>27</v>
      </c>
      <c r="BN31" s="79">
        <f t="shared" si="25"/>
        <v>643980</v>
      </c>
    </row>
    <row r="32" spans="2:68" ht="20" customHeight="1">
      <c r="B32" s="80">
        <f t="shared" si="26"/>
        <v>46019</v>
      </c>
      <c r="C32" s="81"/>
      <c r="D32" s="52"/>
      <c r="E32" s="53">
        <v>34</v>
      </c>
      <c r="F32" s="54">
        <v>178640</v>
      </c>
      <c r="G32" s="55">
        <f t="shared" si="0"/>
        <v>4776.4705882352937</v>
      </c>
      <c r="H32" s="54">
        <v>39400</v>
      </c>
      <c r="I32" s="55">
        <f t="shared" si="27"/>
        <v>1053.4705882352941</v>
      </c>
      <c r="J32" s="57">
        <f t="shared" si="1"/>
        <v>218040</v>
      </c>
      <c r="K32" s="58">
        <f t="shared" si="2"/>
        <v>6412.9411764705883</v>
      </c>
      <c r="L32" s="59"/>
      <c r="M32" s="60">
        <f t="shared" si="3"/>
        <v>28</v>
      </c>
      <c r="N32" s="61">
        <f t="shared" si="3"/>
        <v>330660</v>
      </c>
      <c r="O32" s="55">
        <f t="shared" si="4"/>
        <v>10735.714285714286</v>
      </c>
      <c r="P32" s="61">
        <f t="shared" si="5"/>
        <v>62800</v>
      </c>
      <c r="Q32" s="55">
        <f t="shared" si="6"/>
        <v>2038.9285714285713</v>
      </c>
      <c r="R32" s="62">
        <f t="shared" si="7"/>
        <v>393460</v>
      </c>
      <c r="S32" s="58">
        <f t="shared" si="8"/>
        <v>14052.142857142857</v>
      </c>
      <c r="T32" s="82">
        <f t="shared" si="9"/>
        <v>62</v>
      </c>
      <c r="U32" s="61">
        <f t="shared" si="9"/>
        <v>509300</v>
      </c>
      <c r="V32" s="61">
        <f t="shared" si="10"/>
        <v>102200</v>
      </c>
      <c r="W32" s="64">
        <f t="shared" si="11"/>
        <v>611500</v>
      </c>
      <c r="X32" s="83"/>
      <c r="Y32" s="65"/>
      <c r="Z32" s="66">
        <v>6</v>
      </c>
      <c r="AA32" s="66"/>
      <c r="AB32" s="54">
        <v>15000</v>
      </c>
      <c r="AC32" s="55">
        <f t="shared" si="12"/>
        <v>2500</v>
      </c>
      <c r="AD32" s="54">
        <v>1500</v>
      </c>
      <c r="AE32" s="56">
        <f t="shared" si="13"/>
        <v>250</v>
      </c>
      <c r="AF32" s="67">
        <f t="shared" si="14"/>
        <v>16500</v>
      </c>
      <c r="AG32" s="58">
        <f t="shared" si="15"/>
        <v>2750</v>
      </c>
      <c r="AH32" s="68"/>
      <c r="AI32" s="66"/>
      <c r="AJ32" s="54"/>
      <c r="AK32" s="55" t="e">
        <f t="shared" si="16"/>
        <v>#DIV/0!</v>
      </c>
      <c r="AL32" s="54"/>
      <c r="AM32" s="56" t="e">
        <f t="shared" si="17"/>
        <v>#DIV/0!</v>
      </c>
      <c r="AN32" s="67">
        <f t="shared" si="28"/>
        <v>0</v>
      </c>
      <c r="AO32" s="69" t="str">
        <f t="shared" si="18"/>
        <v/>
      </c>
      <c r="AP32" s="70"/>
      <c r="AQ32" s="66"/>
      <c r="AR32" s="54"/>
      <c r="AS32" s="55" t="e">
        <f t="shared" si="19"/>
        <v>#DIV/0!</v>
      </c>
      <c r="AT32" s="54"/>
      <c r="AU32" s="56" t="e">
        <f t="shared" si="20"/>
        <v>#DIV/0!</v>
      </c>
      <c r="AV32" s="56"/>
      <c r="AW32" s="56"/>
      <c r="AX32" s="71">
        <f t="shared" ref="AX32" si="35">AR32+AT32+AV32+AW32</f>
        <v>0</v>
      </c>
      <c r="AY32" s="69" t="str">
        <f t="shared" si="21"/>
        <v/>
      </c>
      <c r="AZ32" s="84">
        <f t="shared" si="22"/>
        <v>62</v>
      </c>
      <c r="BA32" s="61">
        <f>U32+AB32+AJ32+AR32</f>
        <v>524300</v>
      </c>
      <c r="BB32" s="61">
        <f t="shared" si="24"/>
        <v>103700</v>
      </c>
      <c r="BC32" s="73">
        <f t="shared" si="29"/>
        <v>628000</v>
      </c>
      <c r="BD32" s="74">
        <f>BH32+BI32</f>
        <v>7700</v>
      </c>
      <c r="BE32" s="75">
        <v>62</v>
      </c>
      <c r="BF32" s="76">
        <v>509300</v>
      </c>
      <c r="BG32" s="76">
        <v>102200</v>
      </c>
      <c r="BH32" s="77">
        <v>6600</v>
      </c>
      <c r="BI32" s="77">
        <v>1100</v>
      </c>
      <c r="BJ32" s="77">
        <v>70000</v>
      </c>
      <c r="BK32" s="77"/>
      <c r="BL32" s="78">
        <f>SUM(BF32:BI32)</f>
        <v>619200</v>
      </c>
      <c r="BM32" s="49">
        <v>28</v>
      </c>
    </row>
    <row r="33" spans="2:67" ht="20" customHeight="1">
      <c r="B33" s="80">
        <f t="shared" si="26"/>
        <v>46020</v>
      </c>
      <c r="C33" s="81"/>
      <c r="D33" s="52"/>
      <c r="E33" s="53">
        <v>41</v>
      </c>
      <c r="F33" s="54">
        <v>185130</v>
      </c>
      <c r="G33" s="55">
        <f t="shared" si="0"/>
        <v>4104.8780487804879</v>
      </c>
      <c r="H33" s="54">
        <v>56400</v>
      </c>
      <c r="I33" s="55">
        <f t="shared" si="27"/>
        <v>1250.5365853658536</v>
      </c>
      <c r="J33" s="57">
        <f t="shared" si="1"/>
        <v>241530</v>
      </c>
      <c r="K33" s="58">
        <f t="shared" si="2"/>
        <v>5890.9756097560976</v>
      </c>
      <c r="L33" s="59"/>
      <c r="M33" s="60">
        <f t="shared" si="3"/>
        <v>36</v>
      </c>
      <c r="N33" s="61">
        <f t="shared" si="3"/>
        <v>341220</v>
      </c>
      <c r="O33" s="55">
        <f t="shared" si="4"/>
        <v>8616.6666666666661</v>
      </c>
      <c r="P33" s="61">
        <f t="shared" si="5"/>
        <v>58340</v>
      </c>
      <c r="Q33" s="55">
        <f t="shared" si="6"/>
        <v>1473.2222222222222</v>
      </c>
      <c r="R33" s="62">
        <f t="shared" si="7"/>
        <v>399560</v>
      </c>
      <c r="S33" s="58">
        <f t="shared" si="8"/>
        <v>11098.888888888889</v>
      </c>
      <c r="T33" s="82">
        <f t="shared" si="9"/>
        <v>77</v>
      </c>
      <c r="U33" s="61">
        <f t="shared" si="9"/>
        <v>526350</v>
      </c>
      <c r="V33" s="61">
        <f t="shared" si="10"/>
        <v>114740</v>
      </c>
      <c r="W33" s="64">
        <f>J33+R33</f>
        <v>641090</v>
      </c>
      <c r="X33" s="83"/>
      <c r="Y33" s="65"/>
      <c r="Z33" s="66">
        <v>6</v>
      </c>
      <c r="AA33" s="66"/>
      <c r="AB33" s="54">
        <v>15000</v>
      </c>
      <c r="AC33" s="55">
        <f t="shared" si="12"/>
        <v>2500</v>
      </c>
      <c r="AD33" s="54">
        <v>1500</v>
      </c>
      <c r="AE33" s="56">
        <f t="shared" si="13"/>
        <v>250</v>
      </c>
      <c r="AF33" s="67">
        <f t="shared" si="14"/>
        <v>16500</v>
      </c>
      <c r="AG33" s="58">
        <f t="shared" si="15"/>
        <v>2750</v>
      </c>
      <c r="AH33" s="68"/>
      <c r="AI33" s="66"/>
      <c r="AJ33" s="54"/>
      <c r="AK33" s="55" t="e">
        <f t="shared" si="16"/>
        <v>#DIV/0!</v>
      </c>
      <c r="AL33" s="54"/>
      <c r="AM33" s="56" t="e">
        <f t="shared" si="17"/>
        <v>#DIV/0!</v>
      </c>
      <c r="AN33" s="67">
        <f t="shared" si="28"/>
        <v>0</v>
      </c>
      <c r="AO33" s="69" t="str">
        <f t="shared" si="18"/>
        <v/>
      </c>
      <c r="AP33" s="70"/>
      <c r="AQ33" s="66"/>
      <c r="AR33" s="54"/>
      <c r="AS33" s="55" t="e">
        <f t="shared" si="19"/>
        <v>#DIV/0!</v>
      </c>
      <c r="AT33" s="54"/>
      <c r="AU33" s="56" t="e">
        <f t="shared" si="20"/>
        <v>#DIV/0!</v>
      </c>
      <c r="AV33" s="56"/>
      <c r="AW33" s="56"/>
      <c r="AX33" s="71">
        <f>AR33+AT33+AV33+AW33-BP33</f>
        <v>0</v>
      </c>
      <c r="AY33" s="69" t="str">
        <f t="shared" si="21"/>
        <v/>
      </c>
      <c r="AZ33" s="84">
        <f t="shared" si="22"/>
        <v>77</v>
      </c>
      <c r="BA33" s="61">
        <f t="shared" si="23"/>
        <v>541350</v>
      </c>
      <c r="BB33" s="61">
        <f t="shared" si="24"/>
        <v>116240</v>
      </c>
      <c r="BC33" s="73">
        <f t="shared" si="29"/>
        <v>657590</v>
      </c>
      <c r="BD33" s="74">
        <f>BH33+BI33</f>
        <v>13200</v>
      </c>
      <c r="BE33" s="75">
        <v>77</v>
      </c>
      <c r="BF33" s="76">
        <v>526350</v>
      </c>
      <c r="BG33" s="76">
        <v>114740</v>
      </c>
      <c r="BH33" s="77">
        <v>13200</v>
      </c>
      <c r="BI33" s="77"/>
      <c r="BJ33" s="77"/>
      <c r="BK33" s="77"/>
      <c r="BL33" s="78">
        <f t="shared" si="30"/>
        <v>654290</v>
      </c>
      <c r="BM33" s="49">
        <v>29</v>
      </c>
      <c r="BN33" s="79">
        <f t="shared" si="25"/>
        <v>654290</v>
      </c>
    </row>
    <row r="34" spans="2:67" ht="20" customHeight="1">
      <c r="B34" s="80">
        <f t="shared" si="26"/>
        <v>46021</v>
      </c>
      <c r="C34" s="81"/>
      <c r="D34" s="52"/>
      <c r="E34" s="53">
        <v>40</v>
      </c>
      <c r="F34" s="54">
        <v>200860</v>
      </c>
      <c r="G34" s="55">
        <f t="shared" si="0"/>
        <v>4565</v>
      </c>
      <c r="H34" s="54">
        <v>31390</v>
      </c>
      <c r="I34" s="55">
        <f t="shared" si="27"/>
        <v>713.4</v>
      </c>
      <c r="J34" s="57">
        <f t="shared" si="1"/>
        <v>232250</v>
      </c>
      <c r="K34" s="58">
        <f t="shared" si="2"/>
        <v>5806.25</v>
      </c>
      <c r="L34" s="59"/>
      <c r="M34" s="60">
        <f t="shared" si="3"/>
        <v>35</v>
      </c>
      <c r="N34" s="61">
        <f t="shared" si="3"/>
        <v>360470</v>
      </c>
      <c r="O34" s="55">
        <f t="shared" si="4"/>
        <v>9362.8571428571431</v>
      </c>
      <c r="P34" s="61">
        <f t="shared" si="5"/>
        <v>71370</v>
      </c>
      <c r="Q34" s="55">
        <f t="shared" si="6"/>
        <v>1853.7428571428572</v>
      </c>
      <c r="R34" s="62">
        <f t="shared" si="7"/>
        <v>431840</v>
      </c>
      <c r="S34" s="58">
        <f t="shared" si="8"/>
        <v>12338.285714285714</v>
      </c>
      <c r="T34" s="82">
        <f t="shared" si="9"/>
        <v>75</v>
      </c>
      <c r="U34" s="61">
        <f t="shared" si="9"/>
        <v>561330</v>
      </c>
      <c r="V34" s="61">
        <f t="shared" si="10"/>
        <v>102760</v>
      </c>
      <c r="W34" s="64">
        <f t="shared" si="11"/>
        <v>664090</v>
      </c>
      <c r="X34" s="83"/>
      <c r="Y34" s="88"/>
      <c r="Z34" s="89">
        <v>6</v>
      </c>
      <c r="AA34" s="89"/>
      <c r="AB34" s="90">
        <v>15000</v>
      </c>
      <c r="AC34" s="55">
        <f t="shared" si="12"/>
        <v>2500</v>
      </c>
      <c r="AD34" s="90">
        <v>1500</v>
      </c>
      <c r="AE34" s="56">
        <f t="shared" si="13"/>
        <v>250</v>
      </c>
      <c r="AF34" s="67">
        <f t="shared" si="14"/>
        <v>16500</v>
      </c>
      <c r="AG34" s="58">
        <f t="shared" si="15"/>
        <v>2750</v>
      </c>
      <c r="AH34" s="68"/>
      <c r="AI34" s="66"/>
      <c r="AJ34" s="54"/>
      <c r="AK34" s="55" t="e">
        <f t="shared" si="16"/>
        <v>#DIV/0!</v>
      </c>
      <c r="AL34" s="54"/>
      <c r="AM34" s="56" t="e">
        <f t="shared" si="17"/>
        <v>#DIV/0!</v>
      </c>
      <c r="AN34" s="67">
        <f t="shared" si="28"/>
        <v>0</v>
      </c>
      <c r="AO34" s="69" t="str">
        <f t="shared" si="18"/>
        <v/>
      </c>
      <c r="AP34" s="70"/>
      <c r="AQ34" s="89"/>
      <c r="AR34" s="90"/>
      <c r="AS34" s="55" t="e">
        <f t="shared" si="19"/>
        <v>#DIV/0!</v>
      </c>
      <c r="AT34" s="90"/>
      <c r="AU34" s="56" t="e">
        <f t="shared" si="20"/>
        <v>#DIV/0!</v>
      </c>
      <c r="AV34" s="56"/>
      <c r="AW34" s="56"/>
      <c r="AX34" s="71">
        <f>AR34+AT34+AV34+AW34</f>
        <v>0</v>
      </c>
      <c r="AY34" s="69" t="str">
        <f t="shared" si="21"/>
        <v/>
      </c>
      <c r="AZ34" s="84">
        <f t="shared" si="22"/>
        <v>75</v>
      </c>
      <c r="BA34" s="61">
        <f t="shared" si="23"/>
        <v>576330</v>
      </c>
      <c r="BB34" s="61">
        <f t="shared" si="24"/>
        <v>104260</v>
      </c>
      <c r="BC34" s="73">
        <f t="shared" si="29"/>
        <v>680590</v>
      </c>
      <c r="BD34" s="74">
        <f>BH34+BI34</f>
        <v>5500</v>
      </c>
      <c r="BE34" s="75">
        <v>75</v>
      </c>
      <c r="BF34" s="76">
        <v>561330</v>
      </c>
      <c r="BG34" s="76">
        <v>102760</v>
      </c>
      <c r="BH34" s="77">
        <v>5500</v>
      </c>
      <c r="BI34" s="77"/>
      <c r="BJ34" s="77">
        <v>3300</v>
      </c>
      <c r="BK34" s="77"/>
      <c r="BL34" s="78">
        <f t="shared" si="30"/>
        <v>669590</v>
      </c>
      <c r="BM34" s="49">
        <v>30</v>
      </c>
      <c r="BN34" s="79">
        <f t="shared" si="25"/>
        <v>669590</v>
      </c>
    </row>
    <row r="35" spans="2:67" ht="20" customHeight="1" thickBot="1">
      <c r="B35" s="80">
        <f t="shared" si="26"/>
        <v>46022</v>
      </c>
      <c r="C35" s="81"/>
      <c r="D35" s="52"/>
      <c r="E35" s="53">
        <v>35</v>
      </c>
      <c r="F35" s="54">
        <v>162470</v>
      </c>
      <c r="G35" s="55">
        <f t="shared" si="0"/>
        <v>4220</v>
      </c>
      <c r="H35" s="54">
        <v>46710</v>
      </c>
      <c r="I35" s="55">
        <f t="shared" si="27"/>
        <v>1213.2285714285715</v>
      </c>
      <c r="J35" s="57">
        <f t="shared" si="1"/>
        <v>209180</v>
      </c>
      <c r="K35" s="58">
        <f t="shared" si="2"/>
        <v>5976.5714285714284</v>
      </c>
      <c r="L35" s="59"/>
      <c r="M35" s="91">
        <f t="shared" si="3"/>
        <v>39</v>
      </c>
      <c r="N35" s="61">
        <f t="shared" si="3"/>
        <v>384810</v>
      </c>
      <c r="O35" s="55">
        <f t="shared" si="4"/>
        <v>8969.9230769230762</v>
      </c>
      <c r="P35" s="61">
        <f t="shared" si="5"/>
        <v>65430</v>
      </c>
      <c r="Q35" s="55">
        <f t="shared" si="6"/>
        <v>1525.1538461538462</v>
      </c>
      <c r="R35" s="62">
        <f t="shared" si="7"/>
        <v>450240</v>
      </c>
      <c r="S35" s="58">
        <f t="shared" si="8"/>
        <v>11544.615384615385</v>
      </c>
      <c r="T35" s="92">
        <f t="shared" si="9"/>
        <v>74</v>
      </c>
      <c r="U35" s="93">
        <f t="shared" si="9"/>
        <v>547280</v>
      </c>
      <c r="V35" s="93">
        <f t="shared" si="10"/>
        <v>112140</v>
      </c>
      <c r="W35" s="94">
        <f t="shared" si="11"/>
        <v>659420</v>
      </c>
      <c r="X35" s="93"/>
      <c r="Y35" s="95"/>
      <c r="Z35" s="96">
        <v>0</v>
      </c>
      <c r="AA35" s="96"/>
      <c r="AB35" s="97"/>
      <c r="AC35" s="98" t="e">
        <f t="shared" si="12"/>
        <v>#DIV/0!</v>
      </c>
      <c r="AD35" s="97"/>
      <c r="AE35" s="99" t="e">
        <f t="shared" si="13"/>
        <v>#DIV/0!</v>
      </c>
      <c r="AF35" s="100">
        <f t="shared" si="14"/>
        <v>0</v>
      </c>
      <c r="AG35" s="58" t="e">
        <f t="shared" si="15"/>
        <v>#DIV/0!</v>
      </c>
      <c r="AH35" s="101"/>
      <c r="AI35" s="96"/>
      <c r="AJ35" s="97"/>
      <c r="AK35" s="98" t="e">
        <f t="shared" si="16"/>
        <v>#DIV/0!</v>
      </c>
      <c r="AL35" s="97"/>
      <c r="AM35" s="99" t="e">
        <f t="shared" si="17"/>
        <v>#DIV/0!</v>
      </c>
      <c r="AN35" s="67">
        <f t="shared" si="28"/>
        <v>0</v>
      </c>
      <c r="AO35" s="69" t="str">
        <f t="shared" si="18"/>
        <v/>
      </c>
      <c r="AP35" s="102"/>
      <c r="AQ35" s="96"/>
      <c r="AR35" s="97"/>
      <c r="AS35" s="98" t="e">
        <f t="shared" si="19"/>
        <v>#DIV/0!</v>
      </c>
      <c r="AT35" s="97"/>
      <c r="AU35" s="99" t="e">
        <f t="shared" si="20"/>
        <v>#DIV/0!</v>
      </c>
      <c r="AV35" s="99"/>
      <c r="AW35" s="56"/>
      <c r="AX35" s="71">
        <f t="shared" si="33"/>
        <v>0</v>
      </c>
      <c r="AY35" s="69" t="str">
        <f t="shared" si="21"/>
        <v/>
      </c>
      <c r="AZ35" s="103">
        <f t="shared" si="22"/>
        <v>74</v>
      </c>
      <c r="BA35" s="61">
        <f t="shared" si="23"/>
        <v>547280</v>
      </c>
      <c r="BB35" s="61">
        <f t="shared" si="24"/>
        <v>112140</v>
      </c>
      <c r="BC35" s="73">
        <f t="shared" si="29"/>
        <v>659420</v>
      </c>
      <c r="BD35" s="74">
        <f t="shared" si="31"/>
        <v>4400</v>
      </c>
      <c r="BE35" s="104">
        <v>74</v>
      </c>
      <c r="BF35" s="105">
        <v>547280</v>
      </c>
      <c r="BG35" s="105">
        <v>112140</v>
      </c>
      <c r="BH35" s="106">
        <v>4400</v>
      </c>
      <c r="BI35" s="106"/>
      <c r="BJ35" s="106"/>
      <c r="BK35" s="106"/>
      <c r="BL35" s="78">
        <f t="shared" si="30"/>
        <v>663820</v>
      </c>
      <c r="BM35" s="49">
        <v>31</v>
      </c>
      <c r="BN35" s="79">
        <f t="shared" si="25"/>
        <v>663820</v>
      </c>
    </row>
    <row r="36" spans="2:67" s="129" customFormat="1" ht="20" customHeight="1" thickTop="1">
      <c r="B36" s="107" t="s">
        <v>27</v>
      </c>
      <c r="C36" s="108">
        <f>SUM(C5:C35)</f>
        <v>0</v>
      </c>
      <c r="D36" s="109">
        <f>SUM(D5:D35)</f>
        <v>0</v>
      </c>
      <c r="E36" s="110">
        <f>SUM(E5:E35)</f>
        <v>1014</v>
      </c>
      <c r="F36" s="111">
        <f>SUM(F5:F35)</f>
        <v>4468250</v>
      </c>
      <c r="G36" s="112">
        <f>F36/E36</f>
        <v>4406.5581854043394</v>
      </c>
      <c r="H36" s="108">
        <f>SUM(H5:H35)</f>
        <v>802070</v>
      </c>
      <c r="I36" s="113">
        <f>H36/E36</f>
        <v>790.99605522682441</v>
      </c>
      <c r="J36" s="114">
        <f>SUM(J5:J35)</f>
        <v>5270320</v>
      </c>
      <c r="K36" s="115">
        <f>J36/E36</f>
        <v>5197.5542406311633</v>
      </c>
      <c r="L36" s="116">
        <f>SUM(L5:L35)</f>
        <v>0</v>
      </c>
      <c r="M36" s="110">
        <f>SUM(M5:M35)</f>
        <v>992</v>
      </c>
      <c r="N36" s="111">
        <f>SUM(N5:N35)</f>
        <v>11262610</v>
      </c>
      <c r="O36" s="112">
        <f>N36/M36</f>
        <v>11353.4375</v>
      </c>
      <c r="P36" s="117">
        <f>SUM(P5:P35)</f>
        <v>2534800</v>
      </c>
      <c r="Q36" s="113">
        <f>P36/M36</f>
        <v>2555.2419354838707</v>
      </c>
      <c r="R36" s="118">
        <f>SUM(R5:R35)</f>
        <v>13797410</v>
      </c>
      <c r="S36" s="119">
        <f>R36/M36</f>
        <v>13908.679435483871</v>
      </c>
      <c r="T36" s="110">
        <f t="shared" ref="T36:AB36" si="36">SUM(T5:T35)</f>
        <v>2006</v>
      </c>
      <c r="U36" s="117">
        <f t="shared" si="36"/>
        <v>15730860</v>
      </c>
      <c r="V36" s="117">
        <f t="shared" si="36"/>
        <v>3336870</v>
      </c>
      <c r="W36" s="114">
        <f>SUM(W5:W35)</f>
        <v>19067730</v>
      </c>
      <c r="X36" s="120">
        <f t="shared" si="36"/>
        <v>0</v>
      </c>
      <c r="Y36" s="109">
        <f t="shared" si="36"/>
        <v>0</v>
      </c>
      <c r="Z36" s="110">
        <f t="shared" si="36"/>
        <v>84</v>
      </c>
      <c r="AA36" s="121"/>
      <c r="AB36" s="112">
        <f t="shared" si="36"/>
        <v>210000</v>
      </c>
      <c r="AC36" s="112">
        <f>AB36/Z36</f>
        <v>2500</v>
      </c>
      <c r="AD36" s="108">
        <f>SUM(AD5:AD35)</f>
        <v>29250</v>
      </c>
      <c r="AE36" s="113">
        <f>AD36/Z36</f>
        <v>348.21428571428572</v>
      </c>
      <c r="AF36" s="118">
        <f>SUM(AF5:AF35)</f>
        <v>239250</v>
      </c>
      <c r="AG36" s="122">
        <f>AF36/Z36</f>
        <v>2848.2142857142858</v>
      </c>
      <c r="AH36" s="123">
        <f t="shared" ref="AH36:AJ36" si="37">SUM(AH5:AH35)</f>
        <v>0</v>
      </c>
      <c r="AI36" s="110">
        <f t="shared" si="37"/>
        <v>638</v>
      </c>
      <c r="AJ36" s="112">
        <f t="shared" si="37"/>
        <v>2466885</v>
      </c>
      <c r="AK36" s="112"/>
      <c r="AL36" s="108">
        <f>SUM(AL5:AL35)</f>
        <v>945307</v>
      </c>
      <c r="AM36" s="113"/>
      <c r="AN36" s="118">
        <f>SUM(AN5:AN35)</f>
        <v>3412192</v>
      </c>
      <c r="AO36" s="124">
        <f>AN36/AI36</f>
        <v>5348.2633228840123</v>
      </c>
      <c r="AP36" s="125">
        <f t="shared" ref="AP36:AR36" si="38">SUM(AP5:AP35)</f>
        <v>0</v>
      </c>
      <c r="AQ36" s="110">
        <f t="shared" si="38"/>
        <v>0</v>
      </c>
      <c r="AR36" s="112">
        <f t="shared" si="38"/>
        <v>0</v>
      </c>
      <c r="AS36" s="112"/>
      <c r="AT36" s="108">
        <f>SUM(AT5:AT35)</f>
        <v>0</v>
      </c>
      <c r="AU36" s="113"/>
      <c r="AV36" s="108">
        <f>SUM(AV5:AV35)</f>
        <v>0</v>
      </c>
      <c r="AW36" s="108">
        <f>SUM(AW5:AW35)</f>
        <v>0</v>
      </c>
      <c r="AX36" s="118">
        <f>SUM(AX5:AX35)</f>
        <v>0</v>
      </c>
      <c r="AY36" s="124" t="e">
        <f>AX36/AQ36</f>
        <v>#DIV/0!</v>
      </c>
      <c r="AZ36" s="121">
        <f t="shared" ref="AZ36:BL36" si="39">SUM(AZ5:AZ35)</f>
        <v>2006</v>
      </c>
      <c r="BA36" s="117">
        <f t="shared" si="39"/>
        <v>18407745</v>
      </c>
      <c r="BB36" s="117">
        <f t="shared" si="39"/>
        <v>4311427</v>
      </c>
      <c r="BC36" s="118">
        <f>SUM(BC5:BC35)</f>
        <v>22709358</v>
      </c>
      <c r="BD36" s="126">
        <f t="shared" si="39"/>
        <v>398750</v>
      </c>
      <c r="BE36" s="127">
        <f t="shared" si="39"/>
        <v>2006</v>
      </c>
      <c r="BF36" s="127">
        <f t="shared" si="39"/>
        <v>15730860</v>
      </c>
      <c r="BG36" s="127">
        <f t="shared" si="39"/>
        <v>3336870</v>
      </c>
      <c r="BH36" s="127">
        <f t="shared" si="39"/>
        <v>378400</v>
      </c>
      <c r="BI36" s="127">
        <f t="shared" si="39"/>
        <v>20350</v>
      </c>
      <c r="BJ36" s="127">
        <f t="shared" si="39"/>
        <v>120600</v>
      </c>
      <c r="BK36" s="127">
        <f t="shared" si="39"/>
        <v>25520</v>
      </c>
      <c r="BL36" s="128">
        <f t="shared" si="39"/>
        <v>19466480</v>
      </c>
      <c r="BN36" s="130">
        <f>SUM(BN5:BN35)</f>
        <v>18872800</v>
      </c>
      <c r="BO36" s="129">
        <f>SUM(BO5:BO35)</f>
        <v>9814</v>
      </c>
    </row>
    <row r="37" spans="2:67" s="129" customFormat="1" ht="18">
      <c r="B37" s="131"/>
      <c r="E37" s="132" t="s">
        <v>40</v>
      </c>
      <c r="F37" s="133">
        <f>F36/1.1</f>
        <v>4062045.4545454541</v>
      </c>
      <c r="G37" s="134">
        <f>F37/E36</f>
        <v>4005.9619867312172</v>
      </c>
      <c r="H37" s="135">
        <f>H36/1.1</f>
        <v>729154.54545454541</v>
      </c>
      <c r="I37" s="134">
        <f>H37/E36</f>
        <v>719.08732293347668</v>
      </c>
      <c r="J37" s="136">
        <f>J36/1.1</f>
        <v>4791200</v>
      </c>
      <c r="K37" s="137">
        <f>G37+I37</f>
        <v>4725.0493096646942</v>
      </c>
      <c r="L37" s="138"/>
      <c r="M37" s="132" t="s">
        <v>40</v>
      </c>
      <c r="N37" s="133">
        <f>N36/1.1</f>
        <v>10238736.363636363</v>
      </c>
      <c r="O37" s="134">
        <f>N37/M36</f>
        <v>10321.306818181818</v>
      </c>
      <c r="P37" s="135">
        <f>P36/1.1</f>
        <v>2304363.6363636362</v>
      </c>
      <c r="Q37" s="134">
        <f>P37/M36</f>
        <v>2322.9472140762464</v>
      </c>
      <c r="R37" s="134">
        <f>R36/1.1</f>
        <v>12543099.999999998</v>
      </c>
      <c r="S37" s="139">
        <f>R37/M36</f>
        <v>12644.254032258063</v>
      </c>
      <c r="T37" s="132" t="s">
        <v>40</v>
      </c>
      <c r="U37" s="133">
        <f>U36/1.1</f>
        <v>14300781.818181816</v>
      </c>
      <c r="V37" s="133">
        <f>V36/1.1</f>
        <v>3033518.1818181816</v>
      </c>
      <c r="W37" s="136">
        <f>W36/1.1</f>
        <v>17334300</v>
      </c>
      <c r="X37" s="140"/>
      <c r="Y37" s="138"/>
      <c r="Z37" s="132" t="s">
        <v>40</v>
      </c>
      <c r="AA37" s="132"/>
      <c r="AB37" s="133">
        <f>AB36/1.1</f>
        <v>190909.09090909088</v>
      </c>
      <c r="AC37" s="135">
        <f>AB37/Z36</f>
        <v>2272.7272727272725</v>
      </c>
      <c r="AD37" s="135">
        <f>AD36/1.1</f>
        <v>26590.909090909088</v>
      </c>
      <c r="AE37" s="135">
        <f>AD37/Z36</f>
        <v>316.55844155844153</v>
      </c>
      <c r="AF37" s="134">
        <f>AF36/1.1</f>
        <v>217499.99999999997</v>
      </c>
      <c r="AG37" s="141">
        <f>AF37/Z36</f>
        <v>2589.2857142857138</v>
      </c>
      <c r="AH37" s="138"/>
      <c r="AI37" s="132" t="s">
        <v>40</v>
      </c>
      <c r="AJ37" s="133">
        <f>AJ36/1.1</f>
        <v>2242622.7272727271</v>
      </c>
      <c r="AK37" s="135">
        <f>AJ37/AI36</f>
        <v>3515.0826446280989</v>
      </c>
      <c r="AL37" s="135">
        <f>AL36/1.1</f>
        <v>859369.99999999988</v>
      </c>
      <c r="AM37" s="135">
        <f>AL37/AI36</f>
        <v>1346.9749216300938</v>
      </c>
      <c r="AN37" s="134">
        <f>AN36/1.1</f>
        <v>3101992.7272727271</v>
      </c>
      <c r="AO37" s="142" t="e">
        <f>AN37/AH36</f>
        <v>#DIV/0!</v>
      </c>
      <c r="AP37" s="138"/>
      <c r="AQ37" s="132" t="s">
        <v>40</v>
      </c>
      <c r="AR37" s="133">
        <f>AR36/1.1</f>
        <v>0</v>
      </c>
      <c r="AS37" s="135" t="e">
        <f>AR37/AQ36</f>
        <v>#DIV/0!</v>
      </c>
      <c r="AT37" s="135">
        <f>AT36/1.1</f>
        <v>0</v>
      </c>
      <c r="AU37" s="135" t="e">
        <f>AT37/AQ36</f>
        <v>#DIV/0!</v>
      </c>
      <c r="AV37" s="135">
        <f>AV36/1.1</f>
        <v>0</v>
      </c>
      <c r="AW37" s="135">
        <f>AW36/1.1</f>
        <v>0</v>
      </c>
      <c r="AX37" s="134">
        <f>AX36/1.1</f>
        <v>0</v>
      </c>
      <c r="AY37" s="142" t="e">
        <f>AX37/AQ36</f>
        <v>#DIV/0!</v>
      </c>
      <c r="AZ37" s="143" t="s">
        <v>40</v>
      </c>
      <c r="BA37" s="133">
        <f>BA36/1.1</f>
        <v>16734313.636363635</v>
      </c>
      <c r="BB37" s="133">
        <f>BB36/1.1</f>
        <v>3919479.0909090908</v>
      </c>
      <c r="BC37" s="134">
        <f>BC36/1.1</f>
        <v>20644870.909090906</v>
      </c>
      <c r="BD37" s="144">
        <f>BD36/1.1</f>
        <v>362499.99999999994</v>
      </c>
      <c r="BI37" s="145"/>
      <c r="BL37" s="146">
        <f>BL36/1.1</f>
        <v>17696800</v>
      </c>
      <c r="BN37" s="146"/>
    </row>
    <row r="38" spans="2:67">
      <c r="C38" s="49">
        <v>31</v>
      </c>
      <c r="E38" s="147" t="s">
        <v>41</v>
      </c>
      <c r="F38" s="148">
        <f>E36/G38</f>
        <v>32.70967741935484</v>
      </c>
      <c r="G38" s="149">
        <v>31</v>
      </c>
      <c r="H38" s="148"/>
      <c r="I38" s="148"/>
      <c r="J38" s="150" t="s">
        <v>42</v>
      </c>
      <c r="K38" s="151">
        <f>J37/G38</f>
        <v>154554.83870967742</v>
      </c>
      <c r="M38" s="147" t="s">
        <v>41</v>
      </c>
      <c r="N38" s="148">
        <f>M36/O38</f>
        <v>32</v>
      </c>
      <c r="O38" s="149">
        <f>G38</f>
        <v>31</v>
      </c>
      <c r="P38" s="148"/>
      <c r="Q38" s="148"/>
      <c r="R38" s="150" t="s">
        <v>42</v>
      </c>
      <c r="S38" s="152">
        <f>R37/O38</f>
        <v>404616.129032258</v>
      </c>
      <c r="U38" s="153">
        <f>O38</f>
        <v>31</v>
      </c>
      <c r="W38" s="85">
        <f>W37/U38</f>
        <v>559170.96774193551</v>
      </c>
      <c r="X38" s="79"/>
      <c r="AB38" s="154">
        <f>G38</f>
        <v>31</v>
      </c>
      <c r="AC38" s="148"/>
      <c r="AD38" s="148"/>
      <c r="AE38" s="148"/>
      <c r="AF38" s="148"/>
      <c r="AG38" s="151">
        <f>AF37/AB38</f>
        <v>7016.1290322580635</v>
      </c>
      <c r="AJ38" s="154">
        <f>AB38</f>
        <v>31</v>
      </c>
      <c r="AK38" s="148"/>
      <c r="AL38" s="148"/>
      <c r="AM38" s="148"/>
      <c r="AN38" s="148"/>
      <c r="AO38" s="151">
        <f>AN37/AJ38</f>
        <v>100064.28152492669</v>
      </c>
      <c r="AR38" s="154">
        <f>G38</f>
        <v>31</v>
      </c>
      <c r="AS38" s="148"/>
      <c r="AT38" s="148"/>
      <c r="AU38" s="148"/>
      <c r="AV38" s="148"/>
      <c r="AW38" s="148"/>
      <c r="AX38" s="148"/>
      <c r="AY38" s="151">
        <f>AX37/AR38</f>
        <v>0</v>
      </c>
      <c r="BC38" s="85"/>
      <c r="BD38" s="79" t="e">
        <f>BC37/BE37</f>
        <v>#DIV/0!</v>
      </c>
      <c r="BE38" s="155">
        <f>AZ36+T36</f>
        <v>4012</v>
      </c>
      <c r="BI38" s="85"/>
    </row>
    <row r="39" spans="2:67">
      <c r="D39" s="156" t="s">
        <v>43</v>
      </c>
      <c r="E39" s="157"/>
      <c r="F39" s="148"/>
      <c r="G39" s="158"/>
      <c r="H39" s="148"/>
      <c r="I39" s="148"/>
      <c r="J39" s="150"/>
      <c r="K39" s="151"/>
      <c r="L39" s="159" t="s">
        <v>44</v>
      </c>
      <c r="M39" s="147"/>
      <c r="N39" s="148"/>
      <c r="O39" s="148"/>
      <c r="P39" s="148"/>
      <c r="Q39" s="148"/>
      <c r="R39" s="150"/>
      <c r="S39" s="151"/>
      <c r="V39" s="85">
        <f>V37/T36</f>
        <v>1512.2224236381762</v>
      </c>
      <c r="W39" s="85"/>
      <c r="X39" s="79"/>
      <c r="Y39" s="159" t="s">
        <v>45</v>
      </c>
      <c r="AB39" s="148"/>
      <c r="AC39" s="148"/>
      <c r="AD39" s="148"/>
      <c r="AE39" s="148"/>
      <c r="AF39" s="148"/>
      <c r="AG39" s="151"/>
      <c r="AH39" s="159" t="s">
        <v>46</v>
      </c>
      <c r="AJ39" s="148"/>
      <c r="AK39" s="148"/>
      <c r="AL39" s="148"/>
      <c r="AM39" s="148"/>
      <c r="AN39" s="148"/>
      <c r="AO39" s="151"/>
      <c r="AP39" s="159" t="s">
        <v>47</v>
      </c>
      <c r="AR39" s="148"/>
      <c r="AS39" s="148"/>
      <c r="AT39" s="148"/>
      <c r="AU39" s="148"/>
      <c r="AV39" s="148"/>
      <c r="AW39" s="148"/>
      <c r="AX39" s="148"/>
      <c r="AY39" s="151"/>
      <c r="BC39" s="79">
        <f>BC36+BD36</f>
        <v>23108108</v>
      </c>
      <c r="BD39" s="160">
        <f>BC39/G38</f>
        <v>745422.83870967745</v>
      </c>
      <c r="BE39" s="49" t="s">
        <v>48</v>
      </c>
      <c r="BI39" s="85"/>
    </row>
    <row r="40" spans="2:67" ht="21.5" customHeight="1">
      <c r="C40" s="159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49">
        <v>25</v>
      </c>
      <c r="W40" s="79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BC40" s="162">
        <f>BC37+BD37</f>
        <v>21007370.909090906</v>
      </c>
    </row>
    <row r="41" spans="2:67" ht="21.5" customHeight="1">
      <c r="C41" s="159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49">
        <v>15</v>
      </c>
      <c r="V41" s="49">
        <f>17+10+14+5+7+8+9+6</f>
        <v>76</v>
      </c>
      <c r="W41" s="85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BC41" s="79"/>
      <c r="BD41" s="160">
        <f>BC40/G38</f>
        <v>677657.12609970663</v>
      </c>
      <c r="BE41" s="49" t="s">
        <v>49</v>
      </c>
      <c r="BF41" s="49">
        <v>9</v>
      </c>
    </row>
    <row r="42" spans="2:67" ht="21.5" customHeight="1">
      <c r="C42" s="159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49">
        <v>13</v>
      </c>
      <c r="W42" s="79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BF42" s="49">
        <v>8</v>
      </c>
      <c r="BG42" s="85">
        <f>AT37</f>
        <v>0</v>
      </c>
    </row>
    <row r="43" spans="2:67" ht="21.5" customHeight="1">
      <c r="C43" s="159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49">
        <v>10</v>
      </c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BC43" s="85">
        <f>BC37+BD37</f>
        <v>21007370.909090906</v>
      </c>
      <c r="BD43" s="163" t="s">
        <v>50</v>
      </c>
      <c r="BF43" s="49">
        <v>7</v>
      </c>
      <c r="BG43" s="164">
        <f>'[1]2023(7)'!AS37</f>
        <v>15843636.363636361</v>
      </c>
      <c r="BH43" s="164">
        <v>6266320</v>
      </c>
      <c r="BI43" s="165">
        <f>BH43/BG43</f>
        <v>0.39551021344962134</v>
      </c>
    </row>
    <row r="44" spans="2:67" ht="21.5" customHeight="1">
      <c r="C44" s="159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49">
        <v>40</v>
      </c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BA44" s="129"/>
      <c r="BB44" s="166" t="s">
        <v>51</v>
      </c>
      <c r="BC44" s="146">
        <f>J45+R45+AF45+BD44+AN45+AX45</f>
        <v>18603846</v>
      </c>
      <c r="BD44" s="167">
        <v>340000</v>
      </c>
      <c r="BE44" s="129"/>
      <c r="BF44" s="49">
        <v>6</v>
      </c>
      <c r="BG44" s="164">
        <v>7119727</v>
      </c>
      <c r="BH44" s="164">
        <v>2680643</v>
      </c>
      <c r="BI44" s="165">
        <f t="shared" ref="BI44:BI45" si="40">BH44/BG44</f>
        <v>0.37650923975034434</v>
      </c>
      <c r="BJ44" s="49" t="s">
        <v>52</v>
      </c>
    </row>
    <row r="45" spans="2:67" ht="21" customHeight="1">
      <c r="H45" s="168"/>
      <c r="I45" s="169" t="s">
        <v>53</v>
      </c>
      <c r="J45" s="146">
        <v>4185000</v>
      </c>
      <c r="K45" s="170" t="s">
        <v>54</v>
      </c>
      <c r="L45" s="129"/>
      <c r="M45" s="129"/>
      <c r="N45" s="129"/>
      <c r="O45" s="129"/>
      <c r="P45" s="129"/>
      <c r="Q45" s="169" t="s">
        <v>55</v>
      </c>
      <c r="R45" s="146">
        <v>11439000</v>
      </c>
      <c r="S45" s="170" t="s">
        <v>54</v>
      </c>
      <c r="T45" s="129">
        <v>10</v>
      </c>
      <c r="U45" s="129"/>
      <c r="V45" s="169" t="s">
        <v>56</v>
      </c>
      <c r="W45" s="146">
        <f>J45+R45</f>
        <v>15624000</v>
      </c>
      <c r="X45" s="170" t="s">
        <v>54</v>
      </c>
      <c r="Y45" s="129"/>
      <c r="Z45" s="129"/>
      <c r="AA45" s="129"/>
      <c r="AB45" s="129"/>
      <c r="AC45" s="129"/>
      <c r="AD45" s="129"/>
      <c r="AE45" s="168" t="s">
        <v>101</v>
      </c>
      <c r="AF45" s="146">
        <v>345400</v>
      </c>
      <c r="AG45" s="170" t="s">
        <v>54</v>
      </c>
      <c r="AH45" s="170"/>
      <c r="AI45" s="170"/>
      <c r="AJ45" s="170"/>
      <c r="AK45" s="170"/>
      <c r="AL45" s="129"/>
      <c r="AM45" s="169" t="s">
        <v>57</v>
      </c>
      <c r="AN45" s="146">
        <v>2294446</v>
      </c>
      <c r="AO45" s="170" t="s">
        <v>54</v>
      </c>
      <c r="AP45" s="170"/>
      <c r="AQ45" s="170"/>
      <c r="AR45" s="170"/>
      <c r="AS45" s="170"/>
      <c r="AT45" s="129"/>
      <c r="AU45" s="169" t="s">
        <v>58</v>
      </c>
      <c r="AV45" s="169"/>
      <c r="AW45" s="169"/>
      <c r="AX45" s="146">
        <v>0</v>
      </c>
      <c r="AY45" s="170" t="s">
        <v>54</v>
      </c>
      <c r="AZ45" s="129"/>
      <c r="BA45" s="129"/>
      <c r="BB45" s="166" t="s">
        <v>59</v>
      </c>
      <c r="BC45" s="145">
        <f>BC44-BC37-BD37</f>
        <v>-2403524.9090909064</v>
      </c>
      <c r="BD45" s="145"/>
      <c r="BE45" s="171">
        <f>BD37/BD44</f>
        <v>1.0661764705882351</v>
      </c>
      <c r="BF45" s="49">
        <v>5</v>
      </c>
      <c r="BG45" s="164">
        <v>637682</v>
      </c>
      <c r="BH45" s="164"/>
      <c r="BI45" s="165">
        <f t="shared" si="40"/>
        <v>0</v>
      </c>
      <c r="BJ45" s="79" t="s">
        <v>60</v>
      </c>
      <c r="BN45" s="49"/>
    </row>
    <row r="46" spans="2:67" ht="21" customHeight="1">
      <c r="H46" s="168"/>
      <c r="I46" s="168" t="s">
        <v>59</v>
      </c>
      <c r="J46" s="145">
        <f>J45-J37</f>
        <v>-606200</v>
      </c>
      <c r="K46" s="172">
        <f>C38-G38</f>
        <v>0</v>
      </c>
      <c r="L46" s="129"/>
      <c r="M46" s="129"/>
      <c r="N46" s="129"/>
      <c r="O46" s="129"/>
      <c r="P46" s="129"/>
      <c r="Q46" s="168" t="s">
        <v>59</v>
      </c>
      <c r="R46" s="145">
        <f>R45-R37</f>
        <v>-1104099.9999999981</v>
      </c>
      <c r="S46" s="129">
        <f>K46</f>
        <v>0</v>
      </c>
      <c r="T46" s="129"/>
      <c r="U46" s="129"/>
      <c r="V46" s="168" t="s">
        <v>59</v>
      </c>
      <c r="W46" s="145">
        <f>W45-W37</f>
        <v>-1710300</v>
      </c>
      <c r="X46" s="129">
        <f>S46</f>
        <v>0</v>
      </c>
      <c r="Y46" s="129"/>
      <c r="Z46" s="129"/>
      <c r="AA46" s="129"/>
      <c r="AB46" s="129"/>
      <c r="AC46" s="129"/>
      <c r="AD46" s="129"/>
      <c r="AE46" s="168" t="s">
        <v>59</v>
      </c>
      <c r="AF46" s="145">
        <f>AF45-AF37</f>
        <v>127900.00000000003</v>
      </c>
      <c r="AG46" s="129">
        <f>K46</f>
        <v>0</v>
      </c>
      <c r="AH46" s="129"/>
      <c r="AI46" s="129"/>
      <c r="AJ46" s="129"/>
      <c r="AK46" s="129"/>
      <c r="AL46" s="129"/>
      <c r="AM46" s="168" t="s">
        <v>59</v>
      </c>
      <c r="AN46" s="145">
        <f>AN45-AN37</f>
        <v>-807546.72727272706</v>
      </c>
      <c r="AO46" s="129">
        <f>AG46</f>
        <v>0</v>
      </c>
      <c r="AP46" s="129"/>
      <c r="AQ46" s="129"/>
      <c r="AR46" s="129"/>
      <c r="AS46" s="129"/>
      <c r="AT46" s="129"/>
      <c r="AU46" s="168" t="s">
        <v>59</v>
      </c>
      <c r="AV46" s="168"/>
      <c r="AW46" s="173"/>
      <c r="AX46" s="145">
        <f>AX45-AX37</f>
        <v>0</v>
      </c>
      <c r="AY46" s="129">
        <f>AO46</f>
        <v>0</v>
      </c>
      <c r="AZ46" s="129"/>
      <c r="BA46" s="174"/>
      <c r="BB46" s="175" t="s">
        <v>61</v>
      </c>
      <c r="BC46" s="176" t="e">
        <f>BC45/K46</f>
        <v>#DIV/0!</v>
      </c>
      <c r="BD46" s="177">
        <f>(BC37+BD37)/BC44</f>
        <v>1.1291950551026335</v>
      </c>
      <c r="BE46" s="174"/>
      <c r="BF46" s="178"/>
      <c r="BG46" s="179">
        <f>SUM(BG41:BG45)</f>
        <v>23601045.36363636</v>
      </c>
      <c r="BH46" s="180">
        <f>BL71</f>
        <v>9138052</v>
      </c>
      <c r="BI46" s="181">
        <f>BH46/BG46</f>
        <v>0.38718844268142383</v>
      </c>
      <c r="BJ46" s="182">
        <f>BG46-BH46</f>
        <v>14462993.36363636</v>
      </c>
      <c r="BN46" s="49"/>
    </row>
    <row r="47" spans="2:67" s="178" customFormat="1" ht="26" customHeight="1">
      <c r="B47" s="183"/>
      <c r="H47" s="184"/>
      <c r="I47" s="175" t="s">
        <v>61</v>
      </c>
      <c r="J47" s="185" t="e">
        <f>J46/K46</f>
        <v>#DIV/0!</v>
      </c>
      <c r="K47" s="186">
        <f>J37/J45</f>
        <v>1.1448506571087216</v>
      </c>
      <c r="L47" s="174"/>
      <c r="M47" s="174"/>
      <c r="N47" s="174"/>
      <c r="O47" s="174"/>
      <c r="P47" s="174"/>
      <c r="Q47" s="175" t="s">
        <v>61</v>
      </c>
      <c r="R47" s="176" t="e">
        <f>R46/S46</f>
        <v>#DIV/0!</v>
      </c>
      <c r="S47" s="186">
        <f>R37/R45</f>
        <v>1.096520674884168</v>
      </c>
      <c r="T47" s="174"/>
      <c r="U47" s="174"/>
      <c r="V47" s="175" t="s">
        <v>61</v>
      </c>
      <c r="W47" s="176" t="e">
        <f>W46/X46</f>
        <v>#DIV/0!</v>
      </c>
      <c r="X47" s="186">
        <f>W37/W45</f>
        <v>1.1094662058371736</v>
      </c>
      <c r="Y47" s="174"/>
      <c r="Z47" s="174"/>
      <c r="AA47" s="174"/>
      <c r="AB47" s="174"/>
      <c r="AC47" s="174"/>
      <c r="AD47" s="174"/>
      <c r="AE47" s="175" t="s">
        <v>61</v>
      </c>
      <c r="AF47" s="185" t="e">
        <f>AF46/AG46</f>
        <v>#DIV/0!</v>
      </c>
      <c r="AG47" s="186">
        <f>AF37/AF45</f>
        <v>0.62970469021424424</v>
      </c>
      <c r="AH47" s="186"/>
      <c r="AI47" s="186"/>
      <c r="AJ47" s="186"/>
      <c r="AK47" s="186"/>
      <c r="AL47" s="174"/>
      <c r="AM47" s="175" t="s">
        <v>61</v>
      </c>
      <c r="AN47" s="176" t="e">
        <f>AN46/AO46</f>
        <v>#DIV/0!</v>
      </c>
      <c r="AO47" s="186">
        <f>AN37/AN45</f>
        <v>1.3519571727871247</v>
      </c>
      <c r="AP47" s="186"/>
      <c r="AQ47" s="186"/>
      <c r="AR47" s="186"/>
      <c r="AS47" s="186"/>
      <c r="AT47" s="174"/>
      <c r="AU47" s="175" t="s">
        <v>61</v>
      </c>
      <c r="AV47" s="175"/>
      <c r="AW47" s="175" t="e">
        <f>AW46/AY46</f>
        <v>#DIV/0!</v>
      </c>
      <c r="AX47" s="176" t="e">
        <f>AX46/AY46</f>
        <v>#DIV/0!</v>
      </c>
      <c r="AY47" s="186" t="e">
        <f>AX37/AX45</f>
        <v>#DIV/0!</v>
      </c>
      <c r="AZ47" s="174"/>
      <c r="BA47" s="49"/>
      <c r="BB47" s="49"/>
      <c r="BC47" s="85"/>
      <c r="BD47" s="49"/>
      <c r="BE47" s="49"/>
      <c r="BF47" s="49"/>
      <c r="BJ47" s="187"/>
      <c r="BL47" s="187"/>
    </row>
    <row r="48" spans="2:67">
      <c r="E48" s="49" t="s">
        <v>111</v>
      </c>
      <c r="H48" s="49">
        <v>931</v>
      </c>
      <c r="I48" s="49">
        <f>H48/31</f>
        <v>30.032258064516128</v>
      </c>
      <c r="K48" s="49">
        <f>J45/31</f>
        <v>135000</v>
      </c>
      <c r="M48" s="49" t="s">
        <v>112</v>
      </c>
      <c r="P48" s="49">
        <v>557</v>
      </c>
      <c r="Q48" s="49">
        <f>P48/31</f>
        <v>17.967741935483872</v>
      </c>
      <c r="S48" s="49">
        <f>R45/31</f>
        <v>369000</v>
      </c>
      <c r="AY48" s="49" t="e">
        <f>AX37/AW45</f>
        <v>#DIV/0!</v>
      </c>
      <c r="BA48" s="188"/>
      <c r="BB48" s="188"/>
      <c r="BC48" s="188"/>
      <c r="BD48" s="188"/>
      <c r="BE48" s="188"/>
      <c r="BF48" s="188"/>
      <c r="BJ48" s="79"/>
      <c r="BN48" s="49"/>
    </row>
    <row r="49" spans="2:64" s="188" customFormat="1" ht="24" customHeight="1">
      <c r="B49" s="189"/>
      <c r="E49" s="49" t="s">
        <v>113</v>
      </c>
      <c r="F49" s="49" t="s">
        <v>114</v>
      </c>
      <c r="G49" s="49" t="s">
        <v>115</v>
      </c>
      <c r="J49" s="190"/>
      <c r="L49" s="191"/>
      <c r="M49" s="49" t="s">
        <v>113</v>
      </c>
      <c r="N49" s="49" t="s">
        <v>114</v>
      </c>
      <c r="O49" s="49" t="s">
        <v>115</v>
      </c>
      <c r="P49" s="49"/>
      <c r="Q49" s="49"/>
      <c r="R49" s="191">
        <v>400000</v>
      </c>
      <c r="AF49" s="188">
        <f>AF45/30</f>
        <v>11513.333333333334</v>
      </c>
      <c r="AR49" s="192">
        <f>AQ14+AQ21</f>
        <v>0</v>
      </c>
      <c r="AS49" s="193" t="e">
        <f>AS14+AS21</f>
        <v>#DIV/0!</v>
      </c>
      <c r="AT49" s="193" t="e">
        <f>AU14+AU21</f>
        <v>#DIV/0!</v>
      </c>
      <c r="AX49" s="188">
        <f>AX45/30</f>
        <v>0</v>
      </c>
      <c r="BA49" s="1"/>
      <c r="BB49" s="1"/>
      <c r="BC49" s="1"/>
      <c r="BD49" s="1"/>
      <c r="BE49" s="194" t="s">
        <v>63</v>
      </c>
      <c r="BF49" s="1" t="s">
        <v>64</v>
      </c>
      <c r="BG49" s="1" t="s">
        <v>65</v>
      </c>
      <c r="BH49" s="1" t="s">
        <v>66</v>
      </c>
      <c r="BI49" s="1" t="s">
        <v>67</v>
      </c>
      <c r="BJ49" s="195" t="s">
        <v>68</v>
      </c>
      <c r="BK49" s="195" t="s">
        <v>69</v>
      </c>
      <c r="BL49" s="195" t="s">
        <v>70</v>
      </c>
    </row>
    <row r="50" spans="2:64" s="1" customFormat="1" ht="24" customHeight="1">
      <c r="B50" s="189"/>
      <c r="D50" s="188" t="s">
        <v>116</v>
      </c>
      <c r="E50" s="222">
        <f>E7+E14+E28+E21</f>
        <v>130</v>
      </c>
      <c r="F50" s="1">
        <f>F7+F14+F28+F21</f>
        <v>556370</v>
      </c>
      <c r="G50" s="190">
        <f>H7+H14+H21+H28</f>
        <v>94390</v>
      </c>
      <c r="J50" s="190"/>
      <c r="L50" s="188" t="s">
        <v>116</v>
      </c>
      <c r="M50" s="49">
        <f>M7+M14+M21+M28</f>
        <v>112</v>
      </c>
      <c r="N50" s="49">
        <f>N7+N14+N21+N28</f>
        <v>1267490</v>
      </c>
      <c r="O50" s="49">
        <f>P7+P14+P21+P28</f>
        <v>261320</v>
      </c>
      <c r="P50" s="49"/>
      <c r="Q50" s="49"/>
      <c r="R50" s="196"/>
      <c r="S50" s="196"/>
      <c r="Z50" s="197"/>
      <c r="AA50" s="197"/>
      <c r="AR50" s="1">
        <f>AR49/2</f>
        <v>0</v>
      </c>
      <c r="AS50" s="198" t="e">
        <f t="shared" ref="AS50:AT50" si="41">AS49/2</f>
        <v>#DIV/0!</v>
      </c>
      <c r="AT50" s="198" t="e">
        <f t="shared" si="41"/>
        <v>#DIV/0!</v>
      </c>
      <c r="AX50" s="1">
        <v>54000000</v>
      </c>
      <c r="AY50" s="199">
        <f>AX50-AX37</f>
        <v>54000000</v>
      </c>
      <c r="BA50" s="188"/>
      <c r="BB50" s="188"/>
      <c r="BC50" s="188"/>
      <c r="BD50" s="188"/>
      <c r="BE50" s="194" t="s">
        <v>72</v>
      </c>
      <c r="BF50" s="200">
        <v>1800</v>
      </c>
      <c r="BG50" s="200">
        <v>21</v>
      </c>
      <c r="BH50" s="201">
        <v>0</v>
      </c>
      <c r="BI50" s="200"/>
      <c r="BJ50" s="202">
        <f>BG50*BF50</f>
        <v>37800</v>
      </c>
      <c r="BK50" s="202">
        <f>BF50*BH50</f>
        <v>0</v>
      </c>
      <c r="BL50" s="202">
        <f>BJ50-BK50</f>
        <v>37800</v>
      </c>
    </row>
    <row r="51" spans="2:64" s="188" customFormat="1" ht="24" customHeight="1">
      <c r="B51" s="189"/>
      <c r="D51" s="188" t="s">
        <v>107</v>
      </c>
      <c r="E51" s="222">
        <f>E8+E15+E29+E22</f>
        <v>130</v>
      </c>
      <c r="F51" s="1">
        <f t="shared" ref="F51:F54" si="42">F8+F15+F29+F22</f>
        <v>549010</v>
      </c>
      <c r="G51" s="190">
        <f t="shared" ref="G51:G54" si="43">H8+H15+H22+H29</f>
        <v>88300</v>
      </c>
      <c r="K51" s="1"/>
      <c r="L51" s="188" t="s">
        <v>107</v>
      </c>
      <c r="M51" s="49">
        <f t="shared" ref="M51:N54" si="44">M8+M15+M22+M29</f>
        <v>128</v>
      </c>
      <c r="N51" s="49">
        <f t="shared" si="44"/>
        <v>1527600</v>
      </c>
      <c r="O51" s="49">
        <f t="shared" ref="O51:O54" si="45">P8+P15+P22+P29</f>
        <v>299060</v>
      </c>
      <c r="P51" s="49"/>
      <c r="Q51" s="49"/>
      <c r="R51" s="203"/>
      <c r="S51" s="204"/>
      <c r="T51" s="204"/>
      <c r="U51" s="204" t="s">
        <v>73</v>
      </c>
      <c r="V51" s="204"/>
      <c r="W51" s="205"/>
      <c r="X51" s="206"/>
      <c r="Y51" s="194"/>
      <c r="Z51" s="202"/>
      <c r="AA51" s="202"/>
      <c r="AY51" s="188" t="e">
        <f>AY50/AY46</f>
        <v>#DIV/0!</v>
      </c>
      <c r="BE51" s="194" t="s">
        <v>74</v>
      </c>
      <c r="BF51" s="200">
        <v>10800</v>
      </c>
      <c r="BG51" s="200">
        <v>640</v>
      </c>
      <c r="BH51" s="200">
        <v>20</v>
      </c>
      <c r="BI51" s="200"/>
      <c r="BJ51" s="202">
        <f t="shared" ref="BJ51:BJ70" si="46">BF51*BG51</f>
        <v>6912000</v>
      </c>
      <c r="BK51" s="202">
        <f t="shared" ref="BK51:BK70" si="47">BF51*BH51</f>
        <v>216000</v>
      </c>
      <c r="BL51" s="202">
        <f t="shared" ref="BL51:BL70" si="48">BJ51-BK51</f>
        <v>6696000</v>
      </c>
    </row>
    <row r="52" spans="2:64" s="188" customFormat="1" ht="24" customHeight="1">
      <c r="B52" s="189"/>
      <c r="D52" s="188" t="s">
        <v>108</v>
      </c>
      <c r="E52" s="1">
        <f>E9+E16+E30+E23</f>
        <v>121</v>
      </c>
      <c r="F52" s="1">
        <f t="shared" si="42"/>
        <v>524000</v>
      </c>
      <c r="G52" s="190">
        <f t="shared" si="43"/>
        <v>71240</v>
      </c>
      <c r="K52" s="1"/>
      <c r="L52" s="188" t="s">
        <v>108</v>
      </c>
      <c r="M52" s="49">
        <f t="shared" si="44"/>
        <v>141</v>
      </c>
      <c r="N52" s="49">
        <f t="shared" si="44"/>
        <v>1407120</v>
      </c>
      <c r="O52" s="49">
        <f t="shared" si="45"/>
        <v>314320</v>
      </c>
      <c r="P52" s="49"/>
      <c r="Q52" s="49"/>
      <c r="R52" s="205"/>
      <c r="S52" s="204"/>
      <c r="T52" s="204"/>
      <c r="U52" s="207" t="s">
        <v>75</v>
      </c>
      <c r="V52" s="208" t="s">
        <v>76</v>
      </c>
      <c r="W52" s="209"/>
      <c r="X52" s="210" t="e">
        <f>W52/Y52</f>
        <v>#DIV/0!</v>
      </c>
      <c r="Y52" s="211">
        <f>W52+W53</f>
        <v>0</v>
      </c>
      <c r="Z52" s="212"/>
      <c r="AA52" s="212"/>
      <c r="AB52" s="212"/>
      <c r="BE52" s="194" t="s">
        <v>77</v>
      </c>
      <c r="BF52" s="200">
        <v>6120</v>
      </c>
      <c r="BG52" s="200">
        <v>40</v>
      </c>
      <c r="BH52" s="200">
        <v>4</v>
      </c>
      <c r="BI52" s="200"/>
      <c r="BJ52" s="202">
        <f t="shared" si="46"/>
        <v>244800</v>
      </c>
      <c r="BK52" s="202">
        <f t="shared" si="47"/>
        <v>24480</v>
      </c>
      <c r="BL52" s="202">
        <f t="shared" si="48"/>
        <v>220320</v>
      </c>
    </row>
    <row r="53" spans="2:64" s="188" customFormat="1" ht="24" customHeight="1">
      <c r="B53" s="189"/>
      <c r="D53" s="188" t="s">
        <v>109</v>
      </c>
      <c r="E53" s="1">
        <f>E10+E17+E31+E24</f>
        <v>139</v>
      </c>
      <c r="F53" s="1">
        <f t="shared" si="42"/>
        <v>646680</v>
      </c>
      <c r="G53" s="190">
        <f t="shared" si="43"/>
        <v>118140</v>
      </c>
      <c r="K53" s="1"/>
      <c r="L53" s="188" t="s">
        <v>109</v>
      </c>
      <c r="M53" s="49">
        <f t="shared" si="44"/>
        <v>141</v>
      </c>
      <c r="N53" s="49">
        <f t="shared" si="44"/>
        <v>1632520</v>
      </c>
      <c r="O53" s="49">
        <f t="shared" si="45"/>
        <v>470510</v>
      </c>
      <c r="P53" s="49"/>
      <c r="Q53" s="49"/>
      <c r="R53" s="205"/>
      <c r="S53" s="204"/>
      <c r="T53" s="204"/>
      <c r="U53" s="207"/>
      <c r="V53" s="208" t="s">
        <v>78</v>
      </c>
      <c r="W53" s="209"/>
      <c r="X53" s="210" t="e">
        <f>W53/Y52</f>
        <v>#DIV/0!</v>
      </c>
      <c r="Y53" s="212"/>
      <c r="Z53" s="212"/>
      <c r="AA53" s="212"/>
      <c r="AB53" s="212"/>
      <c r="AV53" s="188">
        <v>4670600</v>
      </c>
      <c r="AW53" s="188">
        <v>19016645.454545453</v>
      </c>
      <c r="AX53" s="188">
        <v>16482254.545454545</v>
      </c>
      <c r="AY53" s="188">
        <v>6958118.1818181816</v>
      </c>
      <c r="BC53" s="188" t="s">
        <v>79</v>
      </c>
      <c r="BE53" s="194" t="s">
        <v>80</v>
      </c>
      <c r="BF53" s="200">
        <v>1780</v>
      </c>
      <c r="BG53" s="200">
        <v>24</v>
      </c>
      <c r="BH53" s="200">
        <v>4</v>
      </c>
      <c r="BI53" s="200"/>
      <c r="BJ53" s="202">
        <f t="shared" si="46"/>
        <v>42720</v>
      </c>
      <c r="BK53" s="202">
        <f t="shared" si="47"/>
        <v>7120</v>
      </c>
      <c r="BL53" s="202">
        <f t="shared" si="48"/>
        <v>35600</v>
      </c>
    </row>
    <row r="54" spans="2:64" s="188" customFormat="1" ht="24" customHeight="1">
      <c r="B54" s="189"/>
      <c r="D54" s="188" t="s">
        <v>110</v>
      </c>
      <c r="E54" s="1">
        <f t="shared" ref="E54" si="49">E11+E18+E32+E25</f>
        <v>129</v>
      </c>
      <c r="F54" s="1">
        <f t="shared" si="42"/>
        <v>607420</v>
      </c>
      <c r="G54" s="190">
        <f t="shared" si="43"/>
        <v>138490</v>
      </c>
      <c r="K54" s="1"/>
      <c r="L54" s="188" t="s">
        <v>110</v>
      </c>
      <c r="M54" s="49">
        <f t="shared" si="44"/>
        <v>129</v>
      </c>
      <c r="N54" s="49">
        <f t="shared" si="44"/>
        <v>1612370</v>
      </c>
      <c r="O54" s="49">
        <f t="shared" si="45"/>
        <v>302250</v>
      </c>
      <c r="P54" s="49"/>
      <c r="Q54" s="49"/>
      <c r="R54" s="205"/>
      <c r="S54" s="204"/>
      <c r="T54" s="204"/>
      <c r="U54" s="213" t="s">
        <v>81</v>
      </c>
      <c r="V54" s="208" t="s">
        <v>76</v>
      </c>
      <c r="W54" s="209"/>
      <c r="X54" s="210" t="e">
        <f t="shared" ref="X54" si="50">W54/Y54</f>
        <v>#DIV/0!</v>
      </c>
      <c r="Y54" s="211">
        <f t="shared" ref="Y54" si="51">W54+W55</f>
        <v>0</v>
      </c>
      <c r="Z54" s="212"/>
      <c r="AA54" s="212"/>
      <c r="AB54" s="212"/>
      <c r="BE54" s="194" t="s">
        <v>82</v>
      </c>
      <c r="BF54" s="200">
        <v>1780</v>
      </c>
      <c r="BG54" s="200">
        <v>24</v>
      </c>
      <c r="BH54" s="200">
        <v>20</v>
      </c>
      <c r="BI54" s="200"/>
      <c r="BJ54" s="202">
        <f t="shared" si="46"/>
        <v>42720</v>
      </c>
      <c r="BK54" s="202">
        <f t="shared" si="47"/>
        <v>35600</v>
      </c>
      <c r="BL54" s="202">
        <f t="shared" si="48"/>
        <v>7120</v>
      </c>
    </row>
    <row r="55" spans="2:64" s="188" customFormat="1" ht="24" customHeight="1">
      <c r="B55" s="189"/>
      <c r="D55" s="188" t="s">
        <v>117</v>
      </c>
      <c r="E55" s="222">
        <f>E12+E19+E33+E26+E5</f>
        <v>164</v>
      </c>
      <c r="F55" s="190">
        <f>F12+F19+F33+F26+F5</f>
        <v>720940</v>
      </c>
      <c r="G55" s="190">
        <f>H12+H19+H26+H33+H5</f>
        <v>140480</v>
      </c>
      <c r="L55" s="188" t="s">
        <v>117</v>
      </c>
      <c r="M55" s="155">
        <f>M12+M19+M26+M33+M5</f>
        <v>128</v>
      </c>
      <c r="N55" s="49">
        <f>N12+N19+N26+N33+N5</f>
        <v>1420970</v>
      </c>
      <c r="O55" s="85">
        <f>P12+P19+P26+P33+P5</f>
        <v>365610</v>
      </c>
      <c r="P55" s="49"/>
      <c r="Q55" s="49"/>
      <c r="R55" s="214"/>
      <c r="S55" s="204"/>
      <c r="T55" s="204"/>
      <c r="U55" s="213"/>
      <c r="V55" s="208" t="s">
        <v>78</v>
      </c>
      <c r="W55" s="209"/>
      <c r="X55" s="210" t="e">
        <f t="shared" ref="X55" si="52">W55/Y54</f>
        <v>#DIV/0!</v>
      </c>
      <c r="Y55" s="212"/>
      <c r="Z55" s="212"/>
      <c r="AA55" s="212"/>
      <c r="AB55" s="212"/>
      <c r="AX55" s="200">
        <f>AX36 +1000</f>
        <v>1000</v>
      </c>
      <c r="AY55" s="190">
        <f>'[1]2025(5)'!AX34+'[1]2025(5)'!AX35</f>
        <v>2847290</v>
      </c>
      <c r="BA55" s="85">
        <f>AX55+AY55</f>
        <v>2848290</v>
      </c>
      <c r="BB55" s="49"/>
      <c r="BC55" s="49"/>
      <c r="BD55" s="49"/>
      <c r="BE55" s="194" t="s">
        <v>83</v>
      </c>
      <c r="BF55" s="215">
        <v>8190</v>
      </c>
      <c r="BG55" s="200">
        <v>13</v>
      </c>
      <c r="BH55" s="200">
        <v>4</v>
      </c>
      <c r="BI55" s="200"/>
      <c r="BJ55" s="202">
        <f t="shared" si="46"/>
        <v>106470</v>
      </c>
      <c r="BK55" s="202">
        <f t="shared" si="47"/>
        <v>32760</v>
      </c>
      <c r="BL55" s="202">
        <f t="shared" si="48"/>
        <v>73710</v>
      </c>
    </row>
    <row r="56" spans="2:64" ht="24" customHeight="1">
      <c r="D56" s="188" t="s">
        <v>105</v>
      </c>
      <c r="E56" s="222">
        <f>E13+E20+E34+E27+E6</f>
        <v>166</v>
      </c>
      <c r="F56" s="190">
        <f>F13+F20+F34+F27+F6</f>
        <v>701360</v>
      </c>
      <c r="G56" s="190">
        <f>H13+H20+H27+H34+H6</f>
        <v>104320</v>
      </c>
      <c r="L56" s="188" t="s">
        <v>105</v>
      </c>
      <c r="M56" s="155">
        <f>M13+M20+M27+M34+M6</f>
        <v>174</v>
      </c>
      <c r="N56" s="49">
        <f>N13+N20+N27+N34+N6</f>
        <v>2009730</v>
      </c>
      <c r="O56" s="85">
        <f>P13+P20+P27+P34+P6</f>
        <v>456300</v>
      </c>
      <c r="U56" s="216" t="s">
        <v>2</v>
      </c>
      <c r="V56" s="217" t="s">
        <v>76</v>
      </c>
      <c r="W56" s="209"/>
      <c r="X56" s="210" t="e">
        <f t="shared" ref="X56:X58" si="53">W56/Y56</f>
        <v>#DIV/0!</v>
      </c>
      <c r="Y56" s="211">
        <f t="shared" ref="Y56" si="54">W56+W57</f>
        <v>0</v>
      </c>
      <c r="Z56" s="212"/>
      <c r="AA56" s="212"/>
      <c r="AB56" s="212"/>
      <c r="AX56" s="215"/>
      <c r="AY56" s="163"/>
      <c r="BA56" s="85">
        <f>BA55-BA57</f>
        <v>-8193350</v>
      </c>
      <c r="BE56" s="194" t="s">
        <v>84</v>
      </c>
      <c r="BF56" s="215">
        <v>5784</v>
      </c>
      <c r="BG56" s="215">
        <v>36</v>
      </c>
      <c r="BH56" s="215">
        <v>28</v>
      </c>
      <c r="BI56" s="215"/>
      <c r="BJ56" s="202">
        <f t="shared" si="46"/>
        <v>208224</v>
      </c>
      <c r="BK56" s="202">
        <f t="shared" si="47"/>
        <v>161952</v>
      </c>
      <c r="BL56" s="202">
        <f t="shared" si="48"/>
        <v>46272</v>
      </c>
    </row>
    <row r="57" spans="2:64" ht="24" customHeight="1">
      <c r="U57" s="216"/>
      <c r="V57" s="217" t="s">
        <v>78</v>
      </c>
      <c r="W57" s="209"/>
      <c r="X57" s="210" t="e">
        <f t="shared" ref="X57:X59" si="55">W57/Y56</f>
        <v>#DIV/0!</v>
      </c>
      <c r="Y57" s="212"/>
      <c r="Z57" s="212"/>
      <c r="AA57" s="212"/>
      <c r="AB57" s="212"/>
      <c r="AX57" s="215">
        <v>10513690</v>
      </c>
      <c r="AY57" s="163">
        <v>527950</v>
      </c>
      <c r="BA57" s="85">
        <f t="shared" ref="BA57" si="56">AX57+AY57</f>
        <v>11041640</v>
      </c>
      <c r="BE57" s="194" t="s">
        <v>85</v>
      </c>
      <c r="BF57" s="215">
        <v>6775</v>
      </c>
      <c r="BG57" s="215">
        <v>12</v>
      </c>
      <c r="BH57" s="215">
        <v>11</v>
      </c>
      <c r="BI57" s="215"/>
      <c r="BJ57" s="202">
        <f t="shared" si="46"/>
        <v>81300</v>
      </c>
      <c r="BK57" s="202">
        <f t="shared" si="47"/>
        <v>74525</v>
      </c>
      <c r="BL57" s="202">
        <f t="shared" si="48"/>
        <v>6775</v>
      </c>
    </row>
    <row r="58" spans="2:64" ht="24" customHeight="1">
      <c r="U58" s="218" t="s">
        <v>86</v>
      </c>
      <c r="V58" s="217" t="s">
        <v>76</v>
      </c>
      <c r="W58" s="209"/>
      <c r="X58" s="210" t="e">
        <f t="shared" si="53"/>
        <v>#DIV/0!</v>
      </c>
      <c r="Y58" s="219">
        <f>SUM(Y52:AB56)</f>
        <v>0</v>
      </c>
      <c r="Z58" s="220"/>
      <c r="AA58" s="220"/>
      <c r="AB58" s="220"/>
      <c r="AX58" s="215"/>
      <c r="BA58" s="49">
        <f>BA55/BA57</f>
        <v>0.25795896261787199</v>
      </c>
      <c r="BE58" s="194" t="s">
        <v>87</v>
      </c>
      <c r="BF58" s="215">
        <v>1755</v>
      </c>
      <c r="BG58" s="215">
        <v>14</v>
      </c>
      <c r="BH58" s="215">
        <v>2</v>
      </c>
      <c r="BI58" s="215"/>
      <c r="BJ58" s="202">
        <f t="shared" si="46"/>
        <v>24570</v>
      </c>
      <c r="BK58" s="202">
        <f t="shared" si="47"/>
        <v>3510</v>
      </c>
      <c r="BL58" s="202">
        <f t="shared" si="48"/>
        <v>21060</v>
      </c>
    </row>
    <row r="59" spans="2:64" ht="24" customHeight="1">
      <c r="F59" s="49">
        <v>346.60869565217394</v>
      </c>
      <c r="G59" s="49">
        <v>301.36363636363637</v>
      </c>
      <c r="H59" s="49">
        <v>801.17391304347825</v>
      </c>
      <c r="I59" s="49">
        <v>591.75</v>
      </c>
      <c r="N59" s="49">
        <v>2473.9333333333334</v>
      </c>
      <c r="O59" s="49">
        <v>6122.2222222222226</v>
      </c>
      <c r="P59" s="49">
        <v>3277</v>
      </c>
      <c r="Q59" s="49">
        <v>507.14285714285717</v>
      </c>
      <c r="U59" s="218"/>
      <c r="V59" s="217" t="s">
        <v>78</v>
      </c>
      <c r="W59" s="209"/>
      <c r="X59" s="210" t="e">
        <f t="shared" si="55"/>
        <v>#DIV/0!</v>
      </c>
      <c r="Y59" s="220"/>
      <c r="Z59" s="220"/>
      <c r="AA59" s="220"/>
      <c r="AB59" s="220"/>
      <c r="AX59" s="215"/>
      <c r="BE59" s="194" t="s">
        <v>88</v>
      </c>
      <c r="BF59" s="215">
        <v>1755</v>
      </c>
      <c r="BG59" s="215">
        <v>10</v>
      </c>
      <c r="BH59" s="215">
        <v>0</v>
      </c>
      <c r="BI59" s="215"/>
      <c r="BJ59" s="202">
        <f t="shared" si="46"/>
        <v>17550</v>
      </c>
      <c r="BK59" s="202">
        <f t="shared" si="47"/>
        <v>0</v>
      </c>
      <c r="BL59" s="202">
        <f t="shared" si="48"/>
        <v>17550</v>
      </c>
    </row>
    <row r="60" spans="2:64" ht="24" customHeight="1">
      <c r="F60" s="49">
        <v>313.11111111111109</v>
      </c>
      <c r="G60" s="49">
        <v>301.125</v>
      </c>
      <c r="H60" s="49">
        <v>991.89189189189187</v>
      </c>
      <c r="I60" s="49">
        <v>595.73333333333335</v>
      </c>
      <c r="N60" s="49">
        <v>1887.1176470588234</v>
      </c>
      <c r="O60" s="49">
        <v>2474.4615384615386</v>
      </c>
      <c r="P60" s="49">
        <v>1210.7142857142858</v>
      </c>
      <c r="Q60" s="49">
        <v>1056.9666666666667</v>
      </c>
      <c r="BE60" s="194" t="s">
        <v>89</v>
      </c>
      <c r="BF60" s="215">
        <v>1075</v>
      </c>
      <c r="BG60" s="215">
        <v>96</v>
      </c>
      <c r="BH60" s="215">
        <v>38</v>
      </c>
      <c r="BI60" s="215"/>
      <c r="BJ60" s="202">
        <f t="shared" si="46"/>
        <v>103200</v>
      </c>
      <c r="BK60" s="202">
        <f t="shared" si="47"/>
        <v>40850</v>
      </c>
      <c r="BL60" s="202">
        <f t="shared" si="48"/>
        <v>62350</v>
      </c>
    </row>
    <row r="61" spans="2:64" ht="24" customHeight="1">
      <c r="F61" s="49">
        <v>603.85</v>
      </c>
      <c r="G61" s="49">
        <v>457.44</v>
      </c>
      <c r="H61" s="49">
        <v>1139.4827586206898</v>
      </c>
      <c r="I61" s="49">
        <v>847.56666666666672</v>
      </c>
      <c r="N61" s="49">
        <v>1504.7619047619048</v>
      </c>
      <c r="O61" s="49">
        <v>1838.3333333333333</v>
      </c>
      <c r="P61" s="49">
        <v>1940.7241379310344</v>
      </c>
      <c r="Q61" s="49">
        <v>1493</v>
      </c>
      <c r="BE61" s="194" t="s">
        <v>90</v>
      </c>
      <c r="BF61" s="215">
        <v>3860</v>
      </c>
      <c r="BG61" s="215">
        <v>166</v>
      </c>
      <c r="BH61" s="215">
        <v>13</v>
      </c>
      <c r="BI61" s="215"/>
      <c r="BJ61" s="202">
        <f t="shared" si="46"/>
        <v>640760</v>
      </c>
      <c r="BK61" s="202">
        <f t="shared" si="47"/>
        <v>50180</v>
      </c>
      <c r="BL61" s="202">
        <f t="shared" si="48"/>
        <v>590580</v>
      </c>
    </row>
    <row r="62" spans="2:64" ht="24" customHeight="1">
      <c r="F62" s="49">
        <v>343.40740740740739</v>
      </c>
      <c r="G62" s="49">
        <v>387.26666666666665</v>
      </c>
      <c r="H62" s="49">
        <v>2381.804347826087</v>
      </c>
      <c r="I62" s="49">
        <v>694.28571428571433</v>
      </c>
      <c r="N62" s="49">
        <v>1742.5625</v>
      </c>
      <c r="O62" s="49">
        <v>1967.25</v>
      </c>
      <c r="P62" s="49">
        <v>1330.2962962962963</v>
      </c>
      <c r="Q62" s="49">
        <v>1470.4166666666667</v>
      </c>
      <c r="BE62" s="194" t="s">
        <v>91</v>
      </c>
      <c r="BF62" s="215">
        <v>6450</v>
      </c>
      <c r="BG62" s="215">
        <v>137</v>
      </c>
      <c r="BH62" s="215">
        <v>12</v>
      </c>
      <c r="BI62" s="215"/>
      <c r="BJ62" s="202">
        <f t="shared" si="46"/>
        <v>883650</v>
      </c>
      <c r="BK62" s="202">
        <f t="shared" si="47"/>
        <v>77400</v>
      </c>
      <c r="BL62" s="202">
        <f t="shared" si="48"/>
        <v>806250</v>
      </c>
    </row>
    <row r="63" spans="2:64" ht="24" customHeight="1">
      <c r="F63" s="49">
        <v>208.22727272727272</v>
      </c>
      <c r="G63" s="49">
        <v>257.91666666666669</v>
      </c>
      <c r="H63" s="49">
        <v>560.46153846153845</v>
      </c>
      <c r="I63" s="49">
        <v>858.42857142857144</v>
      </c>
      <c r="N63" s="49">
        <v>2161.5555555555557</v>
      </c>
      <c r="O63" s="49">
        <v>2455.9230769230771</v>
      </c>
      <c r="P63" s="49">
        <v>2270</v>
      </c>
      <c r="Q63" s="49">
        <v>1696.9666666666667</v>
      </c>
      <c r="BE63" s="194" t="s">
        <v>92</v>
      </c>
      <c r="BF63" s="215">
        <v>1380</v>
      </c>
      <c r="BG63" s="215">
        <v>35</v>
      </c>
      <c r="BH63" s="215">
        <v>5</v>
      </c>
      <c r="BI63" s="215"/>
      <c r="BJ63" s="202">
        <f t="shared" si="46"/>
        <v>48300</v>
      </c>
      <c r="BK63" s="202">
        <f t="shared" si="47"/>
        <v>6900</v>
      </c>
      <c r="BL63" s="202">
        <f t="shared" si="48"/>
        <v>41400</v>
      </c>
    </row>
    <row r="64" spans="2:64" ht="24" customHeight="1">
      <c r="F64" s="49">
        <v>1347.6206896551723</v>
      </c>
      <c r="G64" s="49">
        <v>382.63636363636363</v>
      </c>
      <c r="H64" s="49">
        <v>791.6</v>
      </c>
      <c r="I64" s="49">
        <v>821.5</v>
      </c>
      <c r="N64" s="49">
        <v>3109.0731707317073</v>
      </c>
      <c r="O64" s="49">
        <v>2867.5</v>
      </c>
      <c r="P64" s="49">
        <v>1673.8333333333333</v>
      </c>
      <c r="Q64" s="49">
        <v>1269</v>
      </c>
      <c r="BE64" s="194" t="s">
        <v>93</v>
      </c>
      <c r="BF64" s="215">
        <v>1380</v>
      </c>
      <c r="BG64" s="215">
        <v>39</v>
      </c>
      <c r="BH64" s="215">
        <v>6</v>
      </c>
      <c r="BI64" s="215"/>
      <c r="BJ64" s="202">
        <f t="shared" si="46"/>
        <v>53820</v>
      </c>
      <c r="BK64" s="202">
        <f t="shared" si="47"/>
        <v>8280</v>
      </c>
      <c r="BL64" s="202">
        <f t="shared" si="48"/>
        <v>45540</v>
      </c>
    </row>
    <row r="65" spans="6:64" ht="24" customHeight="1">
      <c r="F65" s="49">
        <v>547.19354838709683</v>
      </c>
      <c r="G65" s="49">
        <v>174.07407407407408</v>
      </c>
      <c r="H65" s="49">
        <v>791.66666666666663</v>
      </c>
      <c r="I65" s="49">
        <v>1078.7878787878788</v>
      </c>
      <c r="N65" s="49">
        <v>2510.9</v>
      </c>
      <c r="O65" s="49">
        <v>4228.2222222222226</v>
      </c>
      <c r="P65" s="49">
        <v>2237.6999999999998</v>
      </c>
      <c r="Q65" s="49">
        <v>1475</v>
      </c>
      <c r="BE65" s="194" t="s">
        <v>94</v>
      </c>
      <c r="BF65" s="215">
        <v>160</v>
      </c>
      <c r="BG65" s="215">
        <v>594</v>
      </c>
      <c r="BH65" s="215">
        <v>53</v>
      </c>
      <c r="BI65" s="215"/>
      <c r="BJ65" s="202">
        <f t="shared" si="46"/>
        <v>95040</v>
      </c>
      <c r="BK65" s="202">
        <f t="shared" si="47"/>
        <v>8480</v>
      </c>
      <c r="BL65" s="202">
        <f t="shared" si="48"/>
        <v>86560</v>
      </c>
    </row>
    <row r="66" spans="6:64" ht="24" customHeight="1">
      <c r="F66" s="49">
        <v>517.64705882352939</v>
      </c>
      <c r="G66" s="49">
        <v>457.8</v>
      </c>
      <c r="I66" s="49">
        <v>796.08571428571429</v>
      </c>
      <c r="N66" s="49">
        <v>2083.0952380952381</v>
      </c>
      <c r="O66" s="49">
        <v>596.20000000000005</v>
      </c>
      <c r="Q66" s="49">
        <v>1050.8148148148148</v>
      </c>
      <c r="BE66" s="194" t="s">
        <v>95</v>
      </c>
      <c r="BF66" s="215">
        <v>160</v>
      </c>
      <c r="BG66" s="215">
        <v>300</v>
      </c>
      <c r="BH66" s="215">
        <v>47</v>
      </c>
      <c r="BI66" s="215"/>
      <c r="BJ66" s="202">
        <f t="shared" si="46"/>
        <v>48000</v>
      </c>
      <c r="BK66" s="202">
        <f t="shared" si="47"/>
        <v>7520</v>
      </c>
      <c r="BL66" s="202">
        <f t="shared" si="48"/>
        <v>40480</v>
      </c>
    </row>
    <row r="67" spans="6:64" ht="24" customHeight="1">
      <c r="F67" s="49">
        <v>558.35483870967744</v>
      </c>
      <c r="G67" s="49">
        <v>370</v>
      </c>
      <c r="N67" s="49">
        <v>1328.1290322580646</v>
      </c>
      <c r="O67" s="49">
        <v>1228.2142857142858</v>
      </c>
      <c r="BE67" s="194" t="s">
        <v>96</v>
      </c>
      <c r="BF67" s="215">
        <v>205</v>
      </c>
      <c r="BG67" s="215">
        <v>366</v>
      </c>
      <c r="BH67" s="215">
        <v>49</v>
      </c>
      <c r="BI67" s="215"/>
      <c r="BJ67" s="202">
        <f t="shared" si="46"/>
        <v>75030</v>
      </c>
      <c r="BK67" s="202">
        <f t="shared" si="47"/>
        <v>10045</v>
      </c>
      <c r="BL67" s="202">
        <f t="shared" si="48"/>
        <v>64985</v>
      </c>
    </row>
    <row r="68" spans="6:64" ht="24" customHeight="1">
      <c r="F68" s="49">
        <v>522.70000000000005</v>
      </c>
      <c r="G68" s="49">
        <v>100</v>
      </c>
      <c r="N68" s="49">
        <v>2040.8333333333333</v>
      </c>
      <c r="O68" s="49">
        <v>3688.1</v>
      </c>
      <c r="BE68" s="194" t="s">
        <v>97</v>
      </c>
      <c r="BF68" s="215">
        <v>295</v>
      </c>
      <c r="BG68" s="215">
        <v>612</v>
      </c>
      <c r="BH68" s="215">
        <v>86</v>
      </c>
      <c r="BI68" s="215"/>
      <c r="BJ68" s="202">
        <f t="shared" si="46"/>
        <v>180540</v>
      </c>
      <c r="BK68" s="202">
        <f t="shared" si="47"/>
        <v>25370</v>
      </c>
      <c r="BL68" s="202">
        <f t="shared" si="48"/>
        <v>155170</v>
      </c>
    </row>
    <row r="69" spans="6:64" ht="24" customHeight="1">
      <c r="F69" s="49">
        <v>406</v>
      </c>
      <c r="G69" s="49">
        <v>201.25</v>
      </c>
      <c r="N69" s="49">
        <v>4227.2222222222226</v>
      </c>
      <c r="O69" s="49">
        <v>1802.7</v>
      </c>
      <c r="BE69" s="194" t="s">
        <v>98</v>
      </c>
      <c r="BF69" s="215">
        <v>70</v>
      </c>
      <c r="BG69" s="215">
        <v>480</v>
      </c>
      <c r="BH69" s="215">
        <v>71</v>
      </c>
      <c r="BI69" s="215"/>
      <c r="BJ69" s="202">
        <f t="shared" si="46"/>
        <v>33600</v>
      </c>
      <c r="BK69" s="202">
        <f t="shared" si="47"/>
        <v>4970</v>
      </c>
      <c r="BL69" s="202">
        <f t="shared" si="48"/>
        <v>28630</v>
      </c>
    </row>
    <row r="70" spans="6:64" ht="24" customHeight="1">
      <c r="F70" s="49">
        <v>500</v>
      </c>
      <c r="G70" s="49">
        <v>572.21621621621625</v>
      </c>
      <c r="N70" s="49">
        <v>2111.25</v>
      </c>
      <c r="O70" s="49">
        <v>1473.1578947368421</v>
      </c>
      <c r="BE70" s="194" t="s">
        <v>99</v>
      </c>
      <c r="BF70" s="215">
        <v>2450</v>
      </c>
      <c r="BG70" s="215">
        <v>31</v>
      </c>
      <c r="BH70" s="215">
        <v>9</v>
      </c>
      <c r="BI70" s="215"/>
      <c r="BJ70" s="202">
        <f t="shared" si="46"/>
        <v>75950</v>
      </c>
      <c r="BK70" s="202">
        <f t="shared" si="47"/>
        <v>22050</v>
      </c>
      <c r="BL70" s="202">
        <f t="shared" si="48"/>
        <v>53900</v>
      </c>
    </row>
    <row r="71" spans="6:64" ht="24" customHeight="1">
      <c r="F71" s="49">
        <v>671.68571428571431</v>
      </c>
      <c r="G71" s="49">
        <v>475.84615384615387</v>
      </c>
      <c r="N71" s="49">
        <v>1641.0322580645161</v>
      </c>
      <c r="O71" s="49">
        <v>2539.5294117647059</v>
      </c>
      <c r="BE71" s="194"/>
      <c r="BJ71" s="221">
        <f>SUM(BJ50:BJ70)</f>
        <v>9956044</v>
      </c>
      <c r="BK71" s="221">
        <f t="shared" ref="BK71:BL71" si="57">SUM(BK50:BK70)</f>
        <v>817992</v>
      </c>
      <c r="BL71" s="221">
        <f t="shared" si="57"/>
        <v>9138052</v>
      </c>
    </row>
    <row r="72" spans="6:64" ht="24" customHeight="1">
      <c r="F72" s="49">
        <v>333.33333333333331</v>
      </c>
      <c r="G72" s="49">
        <v>439.60714285714283</v>
      </c>
      <c r="N72" s="49">
        <v>5737.5714285714284</v>
      </c>
      <c r="O72" s="49">
        <v>1814.2333333333333</v>
      </c>
      <c r="BE72" s="194"/>
    </row>
    <row r="73" spans="6:64" ht="24" customHeight="1">
      <c r="F73" s="49">
        <v>424.20833333333331</v>
      </c>
      <c r="G73" s="49">
        <v>253.18518518518519</v>
      </c>
      <c r="N73" s="49">
        <v>2000</v>
      </c>
      <c r="O73" s="49">
        <v>920</v>
      </c>
      <c r="BE73" s="194"/>
    </row>
    <row r="74" spans="6:64" ht="24" customHeight="1">
      <c r="F74" s="49">
        <v>316.66666666666669</v>
      </c>
      <c r="G74" s="49">
        <v>497.22222222222223</v>
      </c>
      <c r="N74" s="49">
        <v>1563.1111111111111</v>
      </c>
      <c r="O74" s="49">
        <v>1221.4545454545455</v>
      </c>
      <c r="BE74" s="194"/>
    </row>
    <row r="75" spans="6:64" ht="24" customHeight="1">
      <c r="F75" s="49">
        <v>625.79999999999995</v>
      </c>
      <c r="N75" s="49">
        <v>1707.5</v>
      </c>
      <c r="BE75" s="194"/>
    </row>
    <row r="76" spans="6:64" ht="24" customHeight="1">
      <c r="F76" s="49">
        <f>SUM(F59:F75)</f>
        <v>8586.4146700924884</v>
      </c>
      <c r="G76" s="49">
        <f>SUM(G59:G75)</f>
        <v>5628.949327734329</v>
      </c>
      <c r="H76" s="49">
        <f>SUM(H59:H66)</f>
        <v>7458.0811165103523</v>
      </c>
      <c r="I76" s="49">
        <f>SUM(I59:I68)</f>
        <v>6284.1378787878784</v>
      </c>
      <c r="N76" s="49">
        <f>SUM(N59:N75)</f>
        <v>39829.648735097238</v>
      </c>
      <c r="O76" s="49">
        <f>SUM(O59:O75)</f>
        <v>37237.501864166101</v>
      </c>
      <c r="P76" s="49">
        <f>SUM(P59:P68)</f>
        <v>13940.268053274951</v>
      </c>
      <c r="Q76" s="49">
        <f>SUM(Q59:Q66)</f>
        <v>10019.307671957671</v>
      </c>
      <c r="BE76" s="194"/>
    </row>
    <row r="77" spans="6:64" ht="24" customHeight="1">
      <c r="F77" s="49">
        <f>F76/17</f>
        <v>505.08321588779341</v>
      </c>
      <c r="G77" s="49">
        <f>G76/16</f>
        <v>351.80933298339556</v>
      </c>
      <c r="H77" s="49">
        <f>H76/7</f>
        <v>1065.440159501479</v>
      </c>
      <c r="I77" s="49">
        <f>I76/8</f>
        <v>785.5172348484848</v>
      </c>
      <c r="N77" s="49">
        <f>N76/17</f>
        <v>2342.9205138292491</v>
      </c>
      <c r="O77" s="49">
        <f>O76/16</f>
        <v>2327.3438665103813</v>
      </c>
      <c r="P77" s="49">
        <f>P76/7</f>
        <v>1991.4668647535643</v>
      </c>
      <c r="Q77" s="49">
        <f>Q76/8</f>
        <v>1252.4134589947089</v>
      </c>
      <c r="BE77" s="194"/>
    </row>
    <row r="78" spans="6:64" ht="24" customHeight="1">
      <c r="BE78" s="194"/>
    </row>
    <row r="79" spans="6:64" ht="24" customHeight="1">
      <c r="BE79" s="194"/>
    </row>
    <row r="80" spans="6:64" ht="24" customHeight="1">
      <c r="BE80" s="194"/>
    </row>
    <row r="81" spans="57:57" ht="24" customHeight="1">
      <c r="BE81" s="194"/>
    </row>
    <row r="82" spans="57:57" ht="24" customHeight="1">
      <c r="BE82" s="194"/>
    </row>
    <row r="83" spans="57:57" ht="24" customHeight="1">
      <c r="BE83" s="194"/>
    </row>
    <row r="84" spans="57:57" ht="24" customHeight="1">
      <c r="BE84" s="194"/>
    </row>
    <row r="85" spans="57:57" ht="24" customHeight="1">
      <c r="BE85" s="194"/>
    </row>
    <row r="86" spans="57:57" ht="24" customHeight="1">
      <c r="BE86" s="194"/>
    </row>
    <row r="87" spans="57:57" ht="24" customHeight="1">
      <c r="BE87" s="194"/>
    </row>
    <row r="88" spans="57:57" ht="24" customHeight="1">
      <c r="BE88" s="194"/>
    </row>
    <row r="89" spans="57:57" ht="24" customHeight="1">
      <c r="BE89" s="194"/>
    </row>
    <row r="90" spans="57:57" ht="24" customHeight="1">
      <c r="BE90" s="194"/>
    </row>
    <row r="91" spans="57:57" ht="24" customHeight="1">
      <c r="BE91" s="194"/>
    </row>
    <row r="92" spans="57:57" ht="24" customHeight="1">
      <c r="BE92" s="194"/>
    </row>
    <row r="93" spans="57:57" ht="24" customHeight="1">
      <c r="BE93" s="194"/>
    </row>
    <row r="94" spans="57:57" ht="24" customHeight="1">
      <c r="BE94" s="194"/>
    </row>
    <row r="95" spans="57:57" ht="24" customHeight="1">
      <c r="BE95" s="194"/>
    </row>
    <row r="96" spans="57:57" ht="24" customHeight="1">
      <c r="BE96" s="194"/>
    </row>
    <row r="97" spans="57:57" ht="24" customHeight="1">
      <c r="BE97" s="194"/>
    </row>
    <row r="98" spans="57:57" ht="24" customHeight="1">
      <c r="BE98" s="194"/>
    </row>
    <row r="99" spans="57:57" ht="24" customHeight="1">
      <c r="BE99" s="194"/>
    </row>
    <row r="100" spans="57:57" ht="24" customHeight="1">
      <c r="BE100" s="194"/>
    </row>
    <row r="101" spans="57:57" ht="24" customHeight="1">
      <c r="BE101" s="194"/>
    </row>
    <row r="102" spans="57:57" ht="24" customHeight="1">
      <c r="BE102" s="194"/>
    </row>
    <row r="103" spans="57:57" ht="24" customHeight="1">
      <c r="BE103" s="194"/>
    </row>
    <row r="104" spans="57:57" ht="24" customHeight="1">
      <c r="BE104" s="194"/>
    </row>
    <row r="105" spans="57:57" ht="24" customHeight="1">
      <c r="BE105" s="194"/>
    </row>
    <row r="106" spans="57:57" ht="24" customHeight="1">
      <c r="BE106" s="194"/>
    </row>
    <row r="107" spans="57:57" ht="24" customHeight="1">
      <c r="BE107" s="194"/>
    </row>
    <row r="108" spans="57:57" ht="24" customHeight="1">
      <c r="BE108" s="194"/>
    </row>
    <row r="109" spans="57:57" ht="24" customHeight="1">
      <c r="BE109" s="194"/>
    </row>
    <row r="110" spans="57:57" ht="24" customHeight="1">
      <c r="BE110" s="194"/>
    </row>
    <row r="111" spans="57:57" ht="24" customHeight="1">
      <c r="BE111" s="194"/>
    </row>
    <row r="112" spans="57:57" ht="24" customHeight="1">
      <c r="BE112" s="194"/>
    </row>
    <row r="113" spans="57:57" ht="24" customHeight="1">
      <c r="BE113" s="194"/>
    </row>
    <row r="114" spans="57:57" ht="24" customHeight="1">
      <c r="BE114" s="194"/>
    </row>
    <row r="115" spans="57:57" ht="24" customHeight="1">
      <c r="BE115" s="194"/>
    </row>
    <row r="116" spans="57:57" ht="24" customHeight="1">
      <c r="BE116" s="194"/>
    </row>
    <row r="117" spans="57:57" ht="24" customHeight="1">
      <c r="BE117" s="194"/>
    </row>
    <row r="118" spans="57:57" ht="24" customHeight="1">
      <c r="BE118" s="194"/>
    </row>
    <row r="119" spans="57:57" ht="24" customHeight="1">
      <c r="BE119" s="194"/>
    </row>
    <row r="120" spans="57:57" ht="24" customHeight="1">
      <c r="BE120" s="194"/>
    </row>
    <row r="121" spans="57:57" ht="24" customHeight="1">
      <c r="BE121" s="194"/>
    </row>
    <row r="122" spans="57:57" ht="24" customHeight="1">
      <c r="BE122" s="194"/>
    </row>
    <row r="123" spans="57:57" ht="24" customHeight="1">
      <c r="BE123" s="194"/>
    </row>
    <row r="124" spans="57:57" ht="24" customHeight="1">
      <c r="BE124" s="194"/>
    </row>
    <row r="125" spans="57:57" ht="24" customHeight="1">
      <c r="BE125" s="194"/>
    </row>
    <row r="126" spans="57:57" ht="24" customHeight="1">
      <c r="BE126" s="194"/>
    </row>
    <row r="127" spans="57:57" ht="24" customHeight="1">
      <c r="BE127" s="194"/>
    </row>
    <row r="128" spans="57:57" ht="24" customHeight="1">
      <c r="BE128" s="194"/>
    </row>
    <row r="129" spans="57:57" ht="24" customHeight="1">
      <c r="BE129" s="194"/>
    </row>
    <row r="130" spans="57:57" ht="24" customHeight="1">
      <c r="BE130" s="194"/>
    </row>
    <row r="131" spans="57:57" ht="24" customHeight="1">
      <c r="BE131" s="194"/>
    </row>
    <row r="132" spans="57:57" ht="24" customHeight="1">
      <c r="BE132" s="194"/>
    </row>
    <row r="133" spans="57:57" ht="24" customHeight="1">
      <c r="BE133" s="194"/>
    </row>
    <row r="134" spans="57:57" ht="24" customHeight="1">
      <c r="BE134" s="194"/>
    </row>
    <row r="135" spans="57:57" ht="24" customHeight="1">
      <c r="BE135" s="194"/>
    </row>
    <row r="136" spans="57:57" ht="24" customHeight="1">
      <c r="BE136" s="194"/>
    </row>
    <row r="137" spans="57:57" ht="24" customHeight="1">
      <c r="BE137" s="194"/>
    </row>
    <row r="138" spans="57:57" ht="24" customHeight="1">
      <c r="BE138" s="194"/>
    </row>
    <row r="139" spans="57:57" ht="24" customHeight="1">
      <c r="BE139" s="194"/>
    </row>
    <row r="140" spans="57:57" ht="24" customHeight="1">
      <c r="BE140" s="194"/>
    </row>
    <row r="141" spans="57:57" ht="24" customHeight="1">
      <c r="BE141" s="194"/>
    </row>
    <row r="142" spans="57:57" ht="24" customHeight="1">
      <c r="BE142" s="194"/>
    </row>
    <row r="143" spans="57:57" ht="24" customHeight="1">
      <c r="BE143" s="194"/>
    </row>
    <row r="144" spans="57:57" ht="24" customHeight="1">
      <c r="BE144" s="194"/>
    </row>
    <row r="145" spans="57:57" ht="24" customHeight="1">
      <c r="BE145" s="194"/>
    </row>
    <row r="146" spans="57:57" ht="24" customHeight="1">
      <c r="BE146" s="194"/>
    </row>
    <row r="147" spans="57:57" ht="24" customHeight="1">
      <c r="BE147" s="194"/>
    </row>
    <row r="148" spans="57:57" ht="24" customHeight="1">
      <c r="BE148" s="194"/>
    </row>
    <row r="149" spans="57:57" ht="24" customHeight="1">
      <c r="BE149" s="194"/>
    </row>
    <row r="150" spans="57:57" ht="24" customHeight="1">
      <c r="BE150" s="194"/>
    </row>
    <row r="151" spans="57:57" ht="24" customHeight="1">
      <c r="BE151" s="194"/>
    </row>
    <row r="152" spans="57:57" ht="24" customHeight="1">
      <c r="BE152" s="194"/>
    </row>
    <row r="153" spans="57:57" ht="24" customHeight="1">
      <c r="BE153" s="194"/>
    </row>
    <row r="154" spans="57:57" ht="24" customHeight="1">
      <c r="BE154" s="194"/>
    </row>
    <row r="155" spans="57:57" ht="24" customHeight="1">
      <c r="BE155" s="194"/>
    </row>
    <row r="156" spans="57:57" ht="24" customHeight="1">
      <c r="BE156" s="194"/>
    </row>
    <row r="157" spans="57:57" ht="24" customHeight="1">
      <c r="BE157" s="194"/>
    </row>
    <row r="158" spans="57:57" ht="24" customHeight="1">
      <c r="BE158" s="194"/>
    </row>
    <row r="159" spans="57:57" ht="24" customHeight="1">
      <c r="BE159" s="194"/>
    </row>
    <row r="160" spans="57:57" ht="24" customHeight="1">
      <c r="BE160" s="194"/>
    </row>
    <row r="161" spans="57:57" ht="24" customHeight="1">
      <c r="BE161" s="194"/>
    </row>
    <row r="162" spans="57:57" ht="24" customHeight="1">
      <c r="BE162" s="194"/>
    </row>
    <row r="163" spans="57:57" ht="24" customHeight="1">
      <c r="BE163" s="194"/>
    </row>
    <row r="164" spans="57:57" ht="24" customHeight="1">
      <c r="BE164" s="194"/>
    </row>
    <row r="165" spans="57:57" ht="24" customHeight="1">
      <c r="BE165" s="194"/>
    </row>
    <row r="166" spans="57:57" ht="24" customHeight="1">
      <c r="BE166" s="194"/>
    </row>
    <row r="167" spans="57:57" ht="24" customHeight="1">
      <c r="BE167" s="194"/>
    </row>
    <row r="168" spans="57:57" ht="24" customHeight="1">
      <c r="BE168" s="194"/>
    </row>
    <row r="169" spans="57:57" ht="24" customHeight="1">
      <c r="BE169" s="194"/>
    </row>
    <row r="170" spans="57:57" ht="24" customHeight="1">
      <c r="BE170" s="194"/>
    </row>
    <row r="171" spans="57:57" ht="24" customHeight="1">
      <c r="BE171" s="194"/>
    </row>
    <row r="172" spans="57:57" ht="24" customHeight="1">
      <c r="BE172" s="194"/>
    </row>
    <row r="173" spans="57:57" ht="24" customHeight="1">
      <c r="BE173" s="194"/>
    </row>
    <row r="174" spans="57:57" ht="24" customHeight="1">
      <c r="BE174" s="194"/>
    </row>
    <row r="175" spans="57:57" ht="24" customHeight="1">
      <c r="BE175" s="194"/>
    </row>
    <row r="176" spans="57:57" ht="24" customHeight="1">
      <c r="BE176" s="194"/>
    </row>
    <row r="177" spans="57:57" ht="24" customHeight="1">
      <c r="BE177" s="194"/>
    </row>
    <row r="178" spans="57:57" ht="24" customHeight="1">
      <c r="BE178" s="194"/>
    </row>
    <row r="179" spans="57:57" ht="24" customHeight="1">
      <c r="BE179" s="194"/>
    </row>
    <row r="180" spans="57:57" ht="24" customHeight="1">
      <c r="BE180" s="194"/>
    </row>
    <row r="181" spans="57:57" ht="24" customHeight="1">
      <c r="BE181" s="194"/>
    </row>
    <row r="182" spans="57:57" ht="24" customHeight="1">
      <c r="BE182" s="194"/>
    </row>
    <row r="183" spans="57:57" ht="24" customHeight="1">
      <c r="BE183" s="194"/>
    </row>
    <row r="184" spans="57:57">
      <c r="BE184" s="194"/>
    </row>
    <row r="185" spans="57:57">
      <c r="BE185" s="194"/>
    </row>
    <row r="186" spans="57:57">
      <c r="BE186" s="194"/>
    </row>
    <row r="187" spans="57:57">
      <c r="BE187" s="194"/>
    </row>
    <row r="188" spans="57:57">
      <c r="BE188" s="194"/>
    </row>
    <row r="189" spans="57:57">
      <c r="BE189" s="194"/>
    </row>
    <row r="190" spans="57:57">
      <c r="BE190" s="194"/>
    </row>
    <row r="191" spans="57:57">
      <c r="BE191" s="194"/>
    </row>
    <row r="192" spans="57:57">
      <c r="BE192" s="194"/>
    </row>
    <row r="193" spans="57:57">
      <c r="BE193" s="194"/>
    </row>
    <row r="194" spans="57:57">
      <c r="BE194" s="194"/>
    </row>
    <row r="195" spans="57:57">
      <c r="BE195" s="194"/>
    </row>
    <row r="196" spans="57:57">
      <c r="BE196" s="194"/>
    </row>
    <row r="197" spans="57:57">
      <c r="BE197" s="194"/>
    </row>
    <row r="198" spans="57:57">
      <c r="BE198" s="194"/>
    </row>
    <row r="199" spans="57:57">
      <c r="BE199" s="194"/>
    </row>
    <row r="200" spans="57:57">
      <c r="BE200" s="194"/>
    </row>
    <row r="201" spans="57:57">
      <c r="BE201" s="194"/>
    </row>
    <row r="202" spans="57:57">
      <c r="BE202" s="194"/>
    </row>
    <row r="203" spans="57:57">
      <c r="BE203" s="194"/>
    </row>
    <row r="204" spans="57:57">
      <c r="BE204" s="194"/>
    </row>
    <row r="205" spans="57:57">
      <c r="BE205" s="194"/>
    </row>
    <row r="206" spans="57:57">
      <c r="BE206" s="194"/>
    </row>
    <row r="207" spans="57:57">
      <c r="BE207" s="194"/>
    </row>
    <row r="208" spans="57:57">
      <c r="BE208" s="194"/>
    </row>
    <row r="209" spans="57:57">
      <c r="BE209" s="194"/>
    </row>
    <row r="210" spans="57:57">
      <c r="BE210" s="194"/>
    </row>
    <row r="211" spans="57:57">
      <c r="BE211" s="194"/>
    </row>
    <row r="212" spans="57:57">
      <c r="BE212" s="194"/>
    </row>
    <row r="213" spans="57:57">
      <c r="BE213" s="194"/>
    </row>
    <row r="214" spans="57:57">
      <c r="BE214" s="194"/>
    </row>
    <row r="215" spans="57:57">
      <c r="BE215" s="194"/>
    </row>
    <row r="216" spans="57:57">
      <c r="BE216" s="194"/>
    </row>
    <row r="217" spans="57:57">
      <c r="BE217" s="194"/>
    </row>
    <row r="218" spans="57:57">
      <c r="BE218" s="194"/>
    </row>
    <row r="219" spans="57:57">
      <c r="BE219" s="194"/>
    </row>
    <row r="220" spans="57:57">
      <c r="BE220" s="194"/>
    </row>
    <row r="221" spans="57:57">
      <c r="BE221" s="194"/>
    </row>
    <row r="222" spans="57:57">
      <c r="BE222" s="194"/>
    </row>
    <row r="223" spans="57:57">
      <c r="BE223" s="194"/>
    </row>
    <row r="224" spans="57:57">
      <c r="BE224" s="194"/>
    </row>
  </sheetData>
  <mergeCells count="22">
    <mergeCell ref="U58:U59"/>
    <mergeCell ref="Y58:AB59"/>
    <mergeCell ref="U52:U53"/>
    <mergeCell ref="Y52:AB53"/>
    <mergeCell ref="U54:U55"/>
    <mergeCell ref="Y54:AB55"/>
    <mergeCell ref="U56:U57"/>
    <mergeCell ref="Y56:AB57"/>
    <mergeCell ref="AP3:AY3"/>
    <mergeCell ref="AZ3:BD3"/>
    <mergeCell ref="BE3:BL3"/>
    <mergeCell ref="D40:K44"/>
    <mergeCell ref="L40:S44"/>
    <mergeCell ref="Y40:AG44"/>
    <mergeCell ref="AH40:AO44"/>
    <mergeCell ref="AP40:AY44"/>
    <mergeCell ref="B3:B4"/>
    <mergeCell ref="D3:K3"/>
    <mergeCell ref="L3:S3"/>
    <mergeCell ref="T3:X3"/>
    <mergeCell ref="Y3:AG3"/>
    <mergeCell ref="AH3:AO3"/>
  </mergeCells>
  <phoneticPr fontId="4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2025.１０</vt:lpstr>
      <vt:lpstr>2025.１１</vt:lpstr>
      <vt:lpstr>2025.１２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2026-02-11T11:17:29Z</dcterms:created>
  <dcterms:modified xsi:type="dcterms:W3CDTF">2026-02-11T11:25:00Z</dcterms:modified>
</cp:coreProperties>
</file>