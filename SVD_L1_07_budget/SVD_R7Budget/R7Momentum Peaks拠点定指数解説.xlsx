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satoshiiga/Desktop/"/>
    </mc:Choice>
  </mc:AlternateContent>
  <xr:revisionPtr revIDLastSave="0" documentId="13_ncr:1_{D8B635E0-8B1D-FF49-8168-02B334ACB6A7}" xr6:coauthVersionLast="47" xr6:coauthVersionMax="47" xr10:uidLastSave="{00000000-0000-0000-0000-000000000000}"/>
  <bookViews>
    <workbookView xWindow="2000" yWindow="760" windowWidth="23000" windowHeight="17400" activeTab="2" xr2:uid="{7F65B250-EFF0-F046-B678-5926220ED587}"/>
  </bookViews>
  <sheets>
    <sheet name="藻岩山" sheetId="1" r:id="rId1"/>
    <sheet name="大倉山" sheetId="2" r:id="rId2"/>
    <sheet name="テレビ塔"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1" l="1"/>
  <c r="K5" i="1"/>
  <c r="AF10" i="3"/>
  <c r="AF8" i="3"/>
  <c r="AF16" i="3"/>
  <c r="AF13" i="3"/>
  <c r="AF12" i="3"/>
  <c r="AF11" i="3"/>
  <c r="AF7" i="3"/>
  <c r="AF6" i="3"/>
  <c r="AF14" i="3"/>
  <c r="AF5" i="3"/>
  <c r="K5" i="3"/>
  <c r="T5" i="3"/>
  <c r="AF14" i="1"/>
  <c r="AF15" i="1"/>
  <c r="AF8" i="1"/>
  <c r="AF16" i="1"/>
  <c r="AF13" i="1"/>
  <c r="AF12" i="1"/>
  <c r="AF7" i="1"/>
  <c r="AF6" i="1"/>
  <c r="AF5" i="1"/>
  <c r="K6" i="1"/>
  <c r="K7" i="1"/>
  <c r="K8" i="1"/>
  <c r="K9" i="1"/>
  <c r="K10" i="1"/>
  <c r="K11" i="1"/>
  <c r="K12" i="1"/>
  <c r="K13" i="1"/>
  <c r="K14" i="1"/>
  <c r="K15" i="1"/>
  <c r="K16" i="1"/>
  <c r="U16" i="3"/>
  <c r="U15" i="3"/>
  <c r="U14" i="3"/>
  <c r="U13" i="3"/>
  <c r="AJ88" i="3" l="1"/>
  <c r="AG88" i="3"/>
  <c r="AD88" i="3"/>
  <c r="AA88" i="3"/>
  <c r="X88" i="3"/>
  <c r="U88" i="3"/>
  <c r="AJ55" i="3"/>
  <c r="AG55" i="3"/>
  <c r="AD55" i="3"/>
  <c r="AA55" i="3"/>
  <c r="X55" i="3"/>
  <c r="U55" i="3"/>
  <c r="Y17" i="3"/>
  <c r="W17" i="3" s="1"/>
  <c r="X17" i="3"/>
  <c r="V17" i="3"/>
  <c r="U17" i="3"/>
  <c r="L16" i="3"/>
  <c r="Q16" i="3" s="1"/>
  <c r="W16" i="3"/>
  <c r="T16" i="3"/>
  <c r="K16" i="3"/>
  <c r="I16" i="3"/>
  <c r="W15" i="3"/>
  <c r="T15" i="3"/>
  <c r="K15" i="3"/>
  <c r="L15" i="3" s="1"/>
  <c r="Q15" i="3" s="1"/>
  <c r="I15" i="3"/>
  <c r="W14" i="3"/>
  <c r="T14" i="3"/>
  <c r="K14" i="3"/>
  <c r="L14" i="3" s="1"/>
  <c r="Q14" i="3" s="1"/>
  <c r="I14" i="3"/>
  <c r="W13" i="3"/>
  <c r="T13" i="3"/>
  <c r="K13" i="3"/>
  <c r="L13" i="3" s="1"/>
  <c r="Q13" i="3" s="1"/>
  <c r="I13" i="3"/>
  <c r="W12" i="3"/>
  <c r="T12" i="3"/>
  <c r="K12" i="3"/>
  <c r="L12" i="3" s="1"/>
  <c r="Q12" i="3" s="1"/>
  <c r="I12" i="3"/>
  <c r="W11" i="3"/>
  <c r="T11" i="3"/>
  <c r="K11" i="3"/>
  <c r="L11" i="3" s="1"/>
  <c r="Q11" i="3" s="1"/>
  <c r="I11" i="3"/>
  <c r="W10" i="3"/>
  <c r="T10" i="3"/>
  <c r="K10" i="3"/>
  <c r="L10" i="3" s="1"/>
  <c r="I10" i="3"/>
  <c r="W9" i="3"/>
  <c r="T9" i="3"/>
  <c r="L9" i="3"/>
  <c r="Q9" i="3" s="1"/>
  <c r="K9" i="3"/>
  <c r="I9" i="3"/>
  <c r="W8" i="3"/>
  <c r="T8" i="3"/>
  <c r="K8" i="3"/>
  <c r="L8" i="3" s="1"/>
  <c r="I8" i="3"/>
  <c r="L7" i="3"/>
  <c r="Q7" i="3" s="1"/>
  <c r="W7" i="3"/>
  <c r="T7" i="3"/>
  <c r="K7" i="3"/>
  <c r="I7" i="3"/>
  <c r="W6" i="3"/>
  <c r="T6" i="3"/>
  <c r="K6" i="3"/>
  <c r="L6" i="3" s="1"/>
  <c r="I6" i="3"/>
  <c r="W5" i="3"/>
  <c r="L5" i="3"/>
  <c r="I5" i="3"/>
  <c r="L6" i="1"/>
  <c r="Q6" i="1" s="1"/>
  <c r="L9" i="1"/>
  <c r="L10" i="1"/>
  <c r="L11" i="1"/>
  <c r="L13" i="1"/>
  <c r="L15" i="1"/>
  <c r="L16" i="1"/>
  <c r="L5" i="1"/>
  <c r="L14" i="1"/>
  <c r="L12" i="1"/>
  <c r="Q12" i="1" s="1"/>
  <c r="L8" i="1"/>
  <c r="Q8" i="1" s="1"/>
  <c r="L7" i="1"/>
  <c r="Q7" i="1" s="1"/>
  <c r="Q11" i="2"/>
  <c r="Q5" i="2"/>
  <c r="L6" i="2"/>
  <c r="L7" i="2"/>
  <c r="L8" i="2"/>
  <c r="L9" i="2"/>
  <c r="L10" i="2"/>
  <c r="L11" i="2"/>
  <c r="L12" i="2"/>
  <c r="L13" i="2"/>
  <c r="L14" i="2"/>
  <c r="L15" i="2"/>
  <c r="L16" i="2"/>
  <c r="L5" i="2"/>
  <c r="AF15" i="2"/>
  <c r="AF14" i="2"/>
  <c r="AF16" i="2"/>
  <c r="AF13" i="2"/>
  <c r="AF12" i="2"/>
  <c r="AF11" i="2"/>
  <c r="AF10" i="2"/>
  <c r="AF8" i="2"/>
  <c r="AF7" i="2"/>
  <c r="AF6" i="2"/>
  <c r="AF5" i="2"/>
  <c r="AJ88" i="2"/>
  <c r="AG88" i="2"/>
  <c r="AD88" i="2"/>
  <c r="AA88" i="2"/>
  <c r="X88" i="2"/>
  <c r="U88" i="2"/>
  <c r="I11" i="2" s="1"/>
  <c r="AJ55" i="2"/>
  <c r="AG55" i="2"/>
  <c r="I9" i="2" s="1"/>
  <c r="Q9" i="2" s="1"/>
  <c r="AD55" i="2"/>
  <c r="AA55" i="2"/>
  <c r="I7" i="2" s="1"/>
  <c r="Q7" i="2" s="1"/>
  <c r="X55" i="2"/>
  <c r="U55" i="2"/>
  <c r="I5" i="2" s="1"/>
  <c r="Y17" i="2"/>
  <c r="X17" i="2"/>
  <c r="V17" i="2"/>
  <c r="U17" i="2"/>
  <c r="T17" i="2"/>
  <c r="W16" i="2"/>
  <c r="T16" i="2"/>
  <c r="K16" i="2"/>
  <c r="I16" i="2"/>
  <c r="W15" i="2"/>
  <c r="T15" i="2"/>
  <c r="K15" i="2"/>
  <c r="I15" i="2"/>
  <c r="W14" i="2"/>
  <c r="T14" i="2"/>
  <c r="K14" i="2"/>
  <c r="I14" i="2"/>
  <c r="W13" i="2"/>
  <c r="T13" i="2"/>
  <c r="K13" i="2"/>
  <c r="I13" i="2"/>
  <c r="Q13" i="2" s="1"/>
  <c r="W12" i="2"/>
  <c r="T12" i="2"/>
  <c r="K12" i="2"/>
  <c r="I12" i="2"/>
  <c r="W11" i="2"/>
  <c r="T11" i="2"/>
  <c r="K11" i="2"/>
  <c r="W10" i="2"/>
  <c r="T10" i="2"/>
  <c r="K10" i="2"/>
  <c r="I10" i="2"/>
  <c r="Q10" i="2" s="1"/>
  <c r="W9" i="2"/>
  <c r="T9" i="2"/>
  <c r="K9" i="2"/>
  <c r="W8" i="2"/>
  <c r="T8" i="2"/>
  <c r="K8" i="2"/>
  <c r="I8" i="2"/>
  <c r="Q8" i="2" s="1"/>
  <c r="W7" i="2"/>
  <c r="T7" i="2"/>
  <c r="K7" i="2"/>
  <c r="W6" i="2"/>
  <c r="T6" i="2"/>
  <c r="K6" i="2"/>
  <c r="I6" i="2"/>
  <c r="Q6" i="2" s="1"/>
  <c r="W5" i="2"/>
  <c r="T5" i="2"/>
  <c r="K5" i="2"/>
  <c r="AG88" i="1"/>
  <c r="I15" i="1" s="1"/>
  <c r="AD88" i="1"/>
  <c r="I14" i="1" s="1"/>
  <c r="AJ88" i="1"/>
  <c r="I16" i="1" s="1"/>
  <c r="AA88" i="1"/>
  <c r="Q9" i="1"/>
  <c r="Q10" i="1"/>
  <c r="Q11" i="1"/>
  <c r="I12" i="1"/>
  <c r="I11" i="1"/>
  <c r="X88" i="1"/>
  <c r="I13" i="1"/>
  <c r="U88" i="1"/>
  <c r="AG55" i="1"/>
  <c r="I9" i="1" s="1"/>
  <c r="I8" i="1"/>
  <c r="I7" i="1"/>
  <c r="I6" i="1"/>
  <c r="I5" i="1"/>
  <c r="AD55" i="1"/>
  <c r="X55" i="1"/>
  <c r="AA55" i="1"/>
  <c r="AJ55" i="1"/>
  <c r="I10" i="1" s="1"/>
  <c r="U55" i="1"/>
  <c r="V17" i="1"/>
  <c r="U17" i="1"/>
  <c r="T17" i="1"/>
  <c r="T17" i="3" l="1"/>
  <c r="Q6" i="3"/>
  <c r="Q10" i="3"/>
  <c r="Q8" i="3"/>
  <c r="Q5" i="3"/>
  <c r="Q14" i="1"/>
  <c r="Q15" i="1"/>
  <c r="Q13" i="1"/>
  <c r="Q16" i="1"/>
  <c r="Q16" i="2"/>
  <c r="Q14" i="2"/>
  <c r="Q12" i="2"/>
  <c r="Q15" i="2"/>
  <c r="W17" i="2"/>
  <c r="W17" i="1"/>
  <c r="Y17" i="1"/>
  <c r="X17" i="1"/>
  <c r="Z6" i="1"/>
  <c r="Z7" i="1"/>
  <c r="Z8" i="1"/>
  <c r="Z9" i="1"/>
  <c r="Z10" i="1"/>
  <c r="Z11" i="1"/>
  <c r="Z12" i="1"/>
  <c r="Z13" i="1"/>
  <c r="Z14" i="1"/>
  <c r="Z15" i="1"/>
  <c r="Z16" i="1"/>
  <c r="T6" i="1"/>
  <c r="T7" i="1"/>
  <c r="T8" i="1"/>
  <c r="T9" i="1"/>
  <c r="T10" i="1"/>
  <c r="T11" i="1"/>
  <c r="T12" i="1"/>
  <c r="T13" i="1"/>
  <c r="T14" i="1"/>
  <c r="T15" i="1"/>
  <c r="T16" i="1"/>
  <c r="W6" i="1"/>
  <c r="W7" i="1"/>
  <c r="W8" i="1"/>
  <c r="W9" i="1"/>
  <c r="W10" i="1"/>
  <c r="W11" i="1"/>
  <c r="W12" i="1"/>
  <c r="W13" i="1"/>
  <c r="W14" i="1"/>
  <c r="W15" i="1"/>
  <c r="W16" i="1"/>
  <c r="Z5" i="1"/>
  <c r="T5" i="1"/>
  <c r="W5" i="1"/>
</calcChain>
</file>

<file path=xl/sharedStrings.xml><?xml version="1.0" encoding="utf-8"?>
<sst xmlns="http://schemas.openxmlformats.org/spreadsheetml/2006/main" count="1320" uniqueCount="89">
  <si>
    <t>日</t>
    <rPh sb="0" eb="1">
      <t xml:space="preserve">ニチ </t>
    </rPh>
    <phoneticPr fontId="1"/>
  </si>
  <si>
    <t>月</t>
    <rPh sb="0" eb="1">
      <t xml:space="preserve">ゲツ </t>
    </rPh>
    <phoneticPr fontId="1"/>
  </si>
  <si>
    <t>火</t>
    <rPh sb="0" eb="1">
      <t xml:space="preserve">カ </t>
    </rPh>
    <phoneticPr fontId="1"/>
  </si>
  <si>
    <t>水</t>
    <rPh sb="0" eb="1">
      <t xml:space="preserve">スイ </t>
    </rPh>
    <phoneticPr fontId="1"/>
  </si>
  <si>
    <t>木</t>
  </si>
  <si>
    <t>金</t>
  </si>
  <si>
    <t>土</t>
  </si>
  <si>
    <t>祝休</t>
    <rPh sb="0" eb="1">
      <t xml:space="preserve">シュクジツ </t>
    </rPh>
    <rPh sb="1" eb="2">
      <t xml:space="preserve">キュウ </t>
    </rPh>
    <phoneticPr fontId="1"/>
  </si>
  <si>
    <t>春 ・GW ・ もいわ山の日</t>
    <rPh sb="0" eb="1">
      <t xml:space="preserve">ハル </t>
    </rPh>
    <rPh sb="3" eb="5">
      <t>GW/</t>
    </rPh>
    <rPh sb="11" eb="12">
      <t xml:space="preserve">ヤマ </t>
    </rPh>
    <rPh sb="13" eb="14">
      <t xml:space="preserve">ヒ </t>
    </rPh>
    <phoneticPr fontId="1"/>
  </si>
  <si>
    <t>&lt; ポジティブ / positive&gt;</t>
    <phoneticPr fontId="1"/>
  </si>
  <si>
    <t xml:space="preserve"> &lt;ネガティブ /  negative&gt;</t>
    <phoneticPr fontId="1"/>
  </si>
  <si>
    <t xml:space="preserve">春 ・ GW </t>
    <rPh sb="0" eb="1">
      <t xml:space="preserve">ハル </t>
    </rPh>
    <phoneticPr fontId="1"/>
  </si>
  <si>
    <t>運休</t>
    <rPh sb="0" eb="2">
      <t xml:space="preserve">ウンキュウ </t>
    </rPh>
    <phoneticPr fontId="1"/>
  </si>
  <si>
    <t>GW明け反動</t>
    <rPh sb="2" eb="3">
      <t xml:space="preserve">アケ </t>
    </rPh>
    <rPh sb="4" eb="6">
      <t xml:space="preserve">ハンドウ </t>
    </rPh>
    <phoneticPr fontId="1"/>
  </si>
  <si>
    <t>年次要因</t>
    <rPh sb="0" eb="2">
      <t xml:space="preserve">ネンジ </t>
    </rPh>
    <rPh sb="2" eb="4">
      <t xml:space="preserve">ヨウイン </t>
    </rPh>
    <phoneticPr fontId="1"/>
  </si>
  <si>
    <t>冬季オリンピック</t>
    <rPh sb="0" eb="2">
      <t xml:space="preserve">トウキ </t>
    </rPh>
    <phoneticPr fontId="1"/>
  </si>
  <si>
    <t>インターコンチネンタル札幌開業</t>
    <rPh sb="11" eb="13">
      <t xml:space="preserve">サッポロ </t>
    </rPh>
    <rPh sb="13" eb="15">
      <t xml:space="preserve">カイギョウ </t>
    </rPh>
    <phoneticPr fontId="1"/>
  </si>
  <si>
    <t>夏・ビアガーデン・夏まつり</t>
    <rPh sb="0" eb="1">
      <t xml:space="preserve">ナツ </t>
    </rPh>
    <rPh sb="9" eb="10">
      <t xml:space="preserve">ナツ </t>
    </rPh>
    <phoneticPr fontId="1"/>
  </si>
  <si>
    <t>夏休み</t>
    <rPh sb="0" eb="1">
      <t xml:space="preserve">ナツ </t>
    </rPh>
    <rPh sb="1" eb="2">
      <t>🎌</t>
    </rPh>
    <phoneticPr fontId="1"/>
  </si>
  <si>
    <t>オータムフェスト</t>
    <phoneticPr fontId="1"/>
  </si>
  <si>
    <t>秋・紅葉</t>
    <rPh sb="0" eb="1">
      <t xml:space="preserve">アキ </t>
    </rPh>
    <rPh sb="2" eb="4">
      <t xml:space="preserve">コウヨウ </t>
    </rPh>
    <phoneticPr fontId="1"/>
  </si>
  <si>
    <t>端境期</t>
    <rPh sb="0" eb="3">
      <t xml:space="preserve">ハザカイキ </t>
    </rPh>
    <phoneticPr fontId="1"/>
  </si>
  <si>
    <t>ホワイトイルミネーション</t>
    <phoneticPr fontId="1"/>
  </si>
  <si>
    <t>クリスマス・ホワイトイルミネーション</t>
    <phoneticPr fontId="1"/>
  </si>
  <si>
    <t>お正月</t>
    <rPh sb="0" eb="1">
      <t>ータムフェスト</t>
    </rPh>
    <phoneticPr fontId="1"/>
  </si>
  <si>
    <t>雪まつり</t>
    <rPh sb="0" eb="1">
      <t xml:space="preserve">ユキマツリ </t>
    </rPh>
    <phoneticPr fontId="1"/>
  </si>
  <si>
    <t>冬の出控え</t>
    <rPh sb="0" eb="1">
      <t xml:space="preserve">フユ </t>
    </rPh>
    <rPh sb="2" eb="3">
      <t xml:space="preserve">デル </t>
    </rPh>
    <phoneticPr fontId="1"/>
  </si>
  <si>
    <t>お正月明け反動　冬の出控え</t>
    <rPh sb="0" eb="1">
      <t>ータムフェスト</t>
    </rPh>
    <rPh sb="5" eb="7">
      <t xml:space="preserve">ハンドウ </t>
    </rPh>
    <rPh sb="8" eb="9">
      <t xml:space="preserve">フユノ </t>
    </rPh>
    <rPh sb="10" eb="12">
      <t xml:space="preserve">デビカエ </t>
    </rPh>
    <phoneticPr fontId="1"/>
  </si>
  <si>
    <t>冬の出控え</t>
    <rPh sb="0" eb="2">
      <t xml:space="preserve">フユノ </t>
    </rPh>
    <rPh sb="2" eb="3">
      <t xml:space="preserve">デビカエ </t>
    </rPh>
    <phoneticPr fontId="1"/>
  </si>
  <si>
    <t>春・雪解け</t>
    <rPh sb="0" eb="1">
      <t xml:space="preserve">ハル </t>
    </rPh>
    <rPh sb="2" eb="4">
      <t xml:space="preserve">ユキドケ </t>
    </rPh>
    <phoneticPr fontId="1"/>
  </si>
  <si>
    <t>ビアガーデン</t>
    <phoneticPr fontId="1"/>
  </si>
  <si>
    <t>初夏 ・ 新緑 ・ 気温上昇 ・ライラックまつり</t>
    <rPh sb="0" eb="2">
      <t xml:space="preserve">ショカ </t>
    </rPh>
    <rPh sb="5" eb="7">
      <t xml:space="preserve">シンリョク </t>
    </rPh>
    <rPh sb="10" eb="14">
      <t xml:space="preserve">キオンジョウショウ </t>
    </rPh>
    <phoneticPr fontId="1"/>
  </si>
  <si>
    <t>&lt;ニュートラル / Neutral&gt;</t>
    <phoneticPr fontId="1"/>
  </si>
  <si>
    <t>一般的指標</t>
    <rPh sb="0" eb="3">
      <t xml:space="preserve">イッパンテキ </t>
    </rPh>
    <rPh sb="3" eb="5">
      <t xml:space="preserve">シヒョウ </t>
    </rPh>
    <phoneticPr fontId="1"/>
  </si>
  <si>
    <t>イベント要件</t>
    <rPh sb="4" eb="6">
      <t xml:space="preserve">キョクチヨウケン </t>
    </rPh>
    <phoneticPr fontId="1"/>
  </si>
  <si>
    <t>札幌4丁目プレイス（4PLA）OPEN</t>
    <rPh sb="0" eb="2">
      <t xml:space="preserve">サッポロ </t>
    </rPh>
    <rPh sb="3" eb="5">
      <t xml:space="preserve">チョウメ </t>
    </rPh>
    <phoneticPr fontId="1"/>
  </si>
  <si>
    <t>ミクロ指標（各店舗・拠点毎に設定）</t>
    <rPh sb="3" eb="5">
      <t xml:space="preserve">シヒョウ </t>
    </rPh>
    <rPh sb="6" eb="9">
      <t xml:space="preserve">カクテンポ </t>
    </rPh>
    <rPh sb="10" eb="12">
      <t xml:space="preserve">キョテン </t>
    </rPh>
    <rPh sb="12" eb="13">
      <t xml:space="preserve">マイニ </t>
    </rPh>
    <rPh sb="14" eb="16">
      <t xml:space="preserve">セッテイ </t>
    </rPh>
    <phoneticPr fontId="1"/>
  </si>
  <si>
    <t>月</t>
  </si>
  <si>
    <t>季節要因  / 通年イベント / 各種要素</t>
  </si>
  <si>
    <t>R6</t>
    <phoneticPr fontId="1"/>
  </si>
  <si>
    <t>R5</t>
    <phoneticPr fontId="1"/>
  </si>
  <si>
    <t>R4</t>
  </si>
  <si>
    <t>TOTAL</t>
    <phoneticPr fontId="1"/>
  </si>
  <si>
    <t>以下</t>
    <rPh sb="0" eb="2">
      <t xml:space="preserve">イカ </t>
    </rPh>
    <phoneticPr fontId="1"/>
  </si>
  <si>
    <t>火</t>
  </si>
  <si>
    <t>火</t>
    <rPh sb="0" eb="1">
      <t xml:space="preserve">カヨウ </t>
    </rPh>
    <phoneticPr fontId="1"/>
  </si>
  <si>
    <t>水</t>
  </si>
  <si>
    <t>日</t>
  </si>
  <si>
    <t>木</t>
    <rPh sb="0" eb="1">
      <t xml:space="preserve">モク </t>
    </rPh>
    <phoneticPr fontId="1"/>
  </si>
  <si>
    <t>冬連休明け</t>
    <rPh sb="0" eb="1">
      <t xml:space="preserve">フユ </t>
    </rPh>
    <rPh sb="1" eb="4">
      <t xml:space="preserve">レンキュウアケ </t>
    </rPh>
    <phoneticPr fontId="1"/>
  </si>
  <si>
    <t>夏連休中日</t>
    <rPh sb="0" eb="1">
      <t xml:space="preserve">ナツ </t>
    </rPh>
    <rPh sb="1" eb="5">
      <t xml:space="preserve">レンキュウナカビ </t>
    </rPh>
    <phoneticPr fontId="1"/>
  </si>
  <si>
    <t>冬連休中日</t>
    <rPh sb="0" eb="1">
      <t xml:space="preserve">フユ </t>
    </rPh>
    <rPh sb="1" eb="3">
      <t xml:space="preserve">サンレンキュウ </t>
    </rPh>
    <rPh sb="3" eb="5">
      <t xml:space="preserve">ナカビ </t>
    </rPh>
    <phoneticPr fontId="1"/>
  </si>
  <si>
    <t>夏連休明け</t>
    <rPh sb="0" eb="1">
      <t xml:space="preserve">ナツ </t>
    </rPh>
    <rPh sb="1" eb="4">
      <t xml:space="preserve">レンキュウアケ </t>
    </rPh>
    <phoneticPr fontId="1"/>
  </si>
  <si>
    <t>2025.10月</t>
    <rPh sb="7" eb="8">
      <t xml:space="preserve">ガツ </t>
    </rPh>
    <phoneticPr fontId="1"/>
  </si>
  <si>
    <t>2025.11月</t>
    <rPh sb="7" eb="8">
      <t xml:space="preserve">ガツ </t>
    </rPh>
    <phoneticPr fontId="1"/>
  </si>
  <si>
    <t>2025.12月</t>
    <rPh sb="7" eb="8">
      <t xml:space="preserve">ガツ </t>
    </rPh>
    <phoneticPr fontId="1"/>
  </si>
  <si>
    <t>2026.1月</t>
    <rPh sb="6" eb="7">
      <t xml:space="preserve">ガツ </t>
    </rPh>
    <phoneticPr fontId="1"/>
  </si>
  <si>
    <t>2026.2月</t>
    <rPh sb="6" eb="7">
      <t xml:space="preserve">ガツ </t>
    </rPh>
    <phoneticPr fontId="1"/>
  </si>
  <si>
    <t>2026.3月</t>
    <rPh sb="6" eb="7">
      <t xml:space="preserve">ガツ </t>
    </rPh>
    <phoneticPr fontId="1"/>
  </si>
  <si>
    <t>局地要件（気候/夜景等）</t>
    <rPh sb="0" eb="2">
      <t xml:space="preserve">キョクチ </t>
    </rPh>
    <rPh sb="2" eb="4">
      <t xml:space="preserve">ヨウケン </t>
    </rPh>
    <rPh sb="5" eb="7">
      <t xml:space="preserve">キコウ </t>
    </rPh>
    <rPh sb="8" eb="10">
      <t xml:space="preserve">ヤケイ </t>
    </rPh>
    <rPh sb="10" eb="11">
      <t xml:space="preserve">トウ </t>
    </rPh>
    <phoneticPr fontId="1"/>
  </si>
  <si>
    <t>藻岩山2025　　　　　　　　</t>
    <rPh sb="0" eb="3">
      <t xml:space="preserve">モイワヤマス </t>
    </rPh>
    <phoneticPr fontId="1"/>
  </si>
  <si>
    <t>大倉山2025　　　　　　　　</t>
    <rPh sb="0" eb="2">
      <t xml:space="preserve">オオクラ </t>
    </rPh>
    <rPh sb="2" eb="3">
      <t xml:space="preserve">モイワヤマス </t>
    </rPh>
    <phoneticPr fontId="1"/>
  </si>
  <si>
    <t>スキージャンプ大会</t>
    <rPh sb="7" eb="9">
      <t xml:space="preserve">タイカイ </t>
    </rPh>
    <phoneticPr fontId="1"/>
  </si>
  <si>
    <t>W杯スキージャンプ / 冬季オリンピック</t>
    <rPh sb="12" eb="14">
      <t xml:space="preserve">トウキ </t>
    </rPh>
    <phoneticPr fontId="1"/>
  </si>
  <si>
    <t>サマージャンプ/インターコンチネンタル札幌開業</t>
    <rPh sb="19" eb="21">
      <t xml:space="preserve">サッポロ </t>
    </rPh>
    <rPh sb="21" eb="23">
      <t xml:space="preserve">カイギョウ </t>
    </rPh>
    <phoneticPr fontId="1"/>
  </si>
  <si>
    <t>大倉山来場者数</t>
    <rPh sb="0" eb="3">
      <t xml:space="preserve">オオクラヤマ </t>
    </rPh>
    <rPh sb="3" eb="6">
      <t xml:space="preserve">ライジョウシャ </t>
    </rPh>
    <rPh sb="6" eb="7">
      <t xml:space="preserve">スウ </t>
    </rPh>
    <phoneticPr fontId="1"/>
  </si>
  <si>
    <t>テレビ塔2025　　　　　　　　</t>
    <rPh sb="3" eb="4">
      <t xml:space="preserve">トウ </t>
    </rPh>
    <phoneticPr fontId="1"/>
  </si>
  <si>
    <t>※もいわ山ケーブルカー輸送人員 /2</t>
    <rPh sb="4" eb="5">
      <t xml:space="preserve">ヤマ </t>
    </rPh>
    <rPh sb="11" eb="15">
      <t xml:space="preserve">ユソウジンイン </t>
    </rPh>
    <phoneticPr fontId="1"/>
  </si>
  <si>
    <t>テレビ塔展望台入場者数</t>
    <rPh sb="4" eb="7">
      <t xml:space="preserve">テンボウダイ </t>
    </rPh>
    <rPh sb="7" eb="10">
      <t xml:space="preserve">ニュウジョウシャ </t>
    </rPh>
    <rPh sb="10" eb="11">
      <t xml:space="preserve">スウ </t>
    </rPh>
    <phoneticPr fontId="1"/>
  </si>
  <si>
    <t>1日平均の来場者数</t>
    <rPh sb="5" eb="9">
      <t xml:space="preserve">ライジョウシャスウ </t>
    </rPh>
    <phoneticPr fontId="1"/>
  </si>
  <si>
    <t>※セレステに関してはリフト利用者数を数値に反映させる</t>
    <rPh sb="6" eb="7">
      <t xml:space="preserve">カンシテハ </t>
    </rPh>
    <rPh sb="13" eb="17">
      <t xml:space="preserve">リヨウシャスウ </t>
    </rPh>
    <rPh sb="18" eb="20">
      <t xml:space="preserve">スウチニ </t>
    </rPh>
    <rPh sb="21" eb="23">
      <t xml:space="preserve">ハンエイサセル </t>
    </rPh>
    <phoneticPr fontId="1"/>
  </si>
  <si>
    <t>②月別曜日指数</t>
    <rPh sb="1" eb="3">
      <t xml:space="preserve">ツキベツ </t>
    </rPh>
    <rPh sb="3" eb="7">
      <t xml:space="preserve">ヨウビシスウ </t>
    </rPh>
    <phoneticPr fontId="1"/>
  </si>
  <si>
    <t>③月別来場者指数</t>
    <rPh sb="1" eb="3">
      <t xml:space="preserve">ツキベツ </t>
    </rPh>
    <rPh sb="3" eb="6">
      <t xml:space="preserve">ライジョウシャスウ </t>
    </rPh>
    <rPh sb="6" eb="8">
      <t xml:space="preserve">シスウ </t>
    </rPh>
    <phoneticPr fontId="1"/>
  </si>
  <si>
    <t>④TOTAL拠点指数</t>
    <rPh sb="6" eb="8">
      <t xml:space="preserve">キョテン </t>
    </rPh>
    <rPh sb="8" eb="10">
      <t xml:space="preserve">シスウ </t>
    </rPh>
    <phoneticPr fontId="1"/>
  </si>
  <si>
    <t>①拠点（施設）毎の季節指数として月別に5段階にてポイント付けを行う（①月別季節指数）</t>
    <rPh sb="1" eb="3">
      <t xml:space="preserve">キョテン </t>
    </rPh>
    <rPh sb="4" eb="6">
      <t xml:space="preserve">シセツ </t>
    </rPh>
    <rPh sb="7" eb="8">
      <t xml:space="preserve">ゴトノ </t>
    </rPh>
    <rPh sb="9" eb="11">
      <t xml:space="preserve">キセツ </t>
    </rPh>
    <rPh sb="11" eb="13">
      <t xml:space="preserve">シスウ </t>
    </rPh>
    <rPh sb="16" eb="18">
      <t xml:space="preserve">ツキベツニ </t>
    </rPh>
    <rPh sb="20" eb="22">
      <t xml:space="preserve">ダンカイ </t>
    </rPh>
    <rPh sb="28" eb="29">
      <t xml:space="preserve">ヅケ </t>
    </rPh>
    <rPh sb="31" eb="32">
      <t xml:space="preserve">オコナウ </t>
    </rPh>
    <rPh sb="35" eb="37">
      <t xml:space="preserve">ツキベツ </t>
    </rPh>
    <rPh sb="37" eb="39">
      <t xml:space="preserve">キセツ </t>
    </rPh>
    <rPh sb="39" eb="41">
      <t xml:space="preserve">シスウ </t>
    </rPh>
    <phoneticPr fontId="1"/>
  </si>
  <si>
    <t>②曜日別に5段階のポイント付けを行い、月別にその曜日回数の平均値を算出する（②月別曜日指数）</t>
    <rPh sb="1" eb="3">
      <t xml:space="preserve">ヨウビ </t>
    </rPh>
    <rPh sb="3" eb="4">
      <t xml:space="preserve">ベツニ </t>
    </rPh>
    <rPh sb="6" eb="8">
      <t xml:space="preserve">ダンカイノ </t>
    </rPh>
    <rPh sb="13" eb="14">
      <t xml:space="preserve">ツケ </t>
    </rPh>
    <rPh sb="16" eb="17">
      <t xml:space="preserve">オコナイ </t>
    </rPh>
    <rPh sb="19" eb="21">
      <t xml:space="preserve">ツキベツニ </t>
    </rPh>
    <rPh sb="24" eb="26">
      <t xml:space="preserve">ヨウビシイスウトシテノ </t>
    </rPh>
    <rPh sb="26" eb="28">
      <t xml:space="preserve">カイスウ </t>
    </rPh>
    <rPh sb="29" eb="31">
      <t xml:space="preserve">ヘイキン </t>
    </rPh>
    <rPh sb="31" eb="32">
      <t xml:space="preserve">チ </t>
    </rPh>
    <rPh sb="33" eb="35">
      <t xml:space="preserve">サンシュツ </t>
    </rPh>
    <rPh sb="39" eb="41">
      <t xml:space="preserve">ツキベツ </t>
    </rPh>
    <rPh sb="41" eb="43">
      <t xml:space="preserve">ヨウビ </t>
    </rPh>
    <rPh sb="43" eb="45">
      <t xml:space="preserve">シスウ </t>
    </rPh>
    <phoneticPr fontId="1"/>
  </si>
  <si>
    <t>③直近2ヵ年（コロナ禍は外したため、今後は積み上げ）の拠点毎の関係来場者数等を根拠とした（③月別来場者指数）を算出</t>
    <rPh sb="1" eb="3">
      <t xml:space="preserve">チョッキン </t>
    </rPh>
    <rPh sb="12" eb="13">
      <t xml:space="preserve">ハズシタ </t>
    </rPh>
    <rPh sb="18" eb="20">
      <t xml:space="preserve">コンゴハ </t>
    </rPh>
    <rPh sb="21" eb="22">
      <t xml:space="preserve">ツミアゲ </t>
    </rPh>
    <rPh sb="27" eb="29">
      <t xml:space="preserve">キョテン </t>
    </rPh>
    <rPh sb="29" eb="30">
      <t xml:space="preserve">ゴトノ </t>
    </rPh>
    <rPh sb="31" eb="33">
      <t xml:space="preserve">カンケイ </t>
    </rPh>
    <rPh sb="33" eb="37">
      <t xml:space="preserve">ライジョウシャスウ </t>
    </rPh>
    <rPh sb="37" eb="38">
      <t xml:space="preserve">トウ </t>
    </rPh>
    <rPh sb="39" eb="41">
      <t xml:space="preserve">コンキョ </t>
    </rPh>
    <rPh sb="46" eb="48">
      <t xml:space="preserve">ツキベツ </t>
    </rPh>
    <rPh sb="48" eb="51">
      <t xml:space="preserve">ライジョウシャ </t>
    </rPh>
    <rPh sb="51" eb="53">
      <t xml:space="preserve">シスウ </t>
    </rPh>
    <rPh sb="55" eb="57">
      <t xml:space="preserve">サンシュツ </t>
    </rPh>
    <phoneticPr fontId="1"/>
  </si>
  <si>
    <t>①月別季節指数</t>
    <rPh sb="1" eb="3">
      <t xml:space="preserve">ツキベツ </t>
    </rPh>
    <rPh sb="3" eb="5">
      <t xml:space="preserve">キセツ </t>
    </rPh>
    <rPh sb="5" eb="7">
      <t xml:space="preserve">ヨウビシスウ </t>
    </rPh>
    <phoneticPr fontId="1"/>
  </si>
  <si>
    <t>Momentum Peaks （モメンタムピークス）指標とは！？　〜私たちSAPPORO VIEWTIFUL DININGは観光×レストランの事業特性が強みです。それぞれに観光地としての大きな認知とバックグラウンドを持っていますが、繁閑の差は拠点ごとに季節、イベントやロケーションによって違っています。そうした違いをマクロ視点（拠点の影響度）とミクロ視点（各レストラン実績）を織り交ぜて数値化したものがこのモメンタムピークス指標です。その指標化の手順は以下のとおりです。</t>
    <rPh sb="26" eb="28">
      <t xml:space="preserve">シヒョウ </t>
    </rPh>
    <rPh sb="34" eb="35">
      <t xml:space="preserve">ワタシタチ </t>
    </rPh>
    <rPh sb="62" eb="64">
      <t xml:space="preserve">カンコウ </t>
    </rPh>
    <rPh sb="71" eb="73">
      <t xml:space="preserve">ジギョウ </t>
    </rPh>
    <rPh sb="73" eb="75">
      <t xml:space="preserve">トクセイ </t>
    </rPh>
    <rPh sb="76" eb="77">
      <t xml:space="preserve">ツヨミデス </t>
    </rPh>
    <rPh sb="86" eb="89">
      <t xml:space="preserve">カンコウチトシテ </t>
    </rPh>
    <rPh sb="93" eb="94">
      <t xml:space="preserve">オオキナ </t>
    </rPh>
    <rPh sb="96" eb="98">
      <t xml:space="preserve">ニンチト </t>
    </rPh>
    <rPh sb="108" eb="109">
      <t xml:space="preserve">モッテイマスガ </t>
    </rPh>
    <rPh sb="116" eb="118">
      <t xml:space="preserve">ハンカン </t>
    </rPh>
    <rPh sb="119" eb="120">
      <t xml:space="preserve">サ </t>
    </rPh>
    <rPh sb="121" eb="123">
      <t xml:space="preserve">キョテン </t>
    </rPh>
    <rPh sb="126" eb="128">
      <t xml:space="preserve">キセツ </t>
    </rPh>
    <rPh sb="144" eb="145">
      <t xml:space="preserve">チガッテ </t>
    </rPh>
    <rPh sb="155" eb="156">
      <t xml:space="preserve">チガイヲ </t>
    </rPh>
    <rPh sb="161" eb="163">
      <t xml:space="preserve">シテント </t>
    </rPh>
    <rPh sb="164" eb="166">
      <t xml:space="preserve">キョテン </t>
    </rPh>
    <rPh sb="167" eb="170">
      <t xml:space="preserve">エイキョウド </t>
    </rPh>
    <rPh sb="178" eb="179">
      <t xml:space="preserve">カクレストラン </t>
    </rPh>
    <rPh sb="184" eb="186">
      <t xml:space="preserve">ジッセキ </t>
    </rPh>
    <rPh sb="188" eb="189">
      <t xml:space="preserve">オリマゼテ </t>
    </rPh>
    <rPh sb="193" eb="196">
      <t xml:space="preserve">スウチカシタ </t>
    </rPh>
    <rPh sb="212" eb="214">
      <t xml:space="preserve">シヒョウデス </t>
    </rPh>
    <rPh sb="219" eb="221">
      <t xml:space="preserve">シヒョウカ </t>
    </rPh>
    <rPh sb="221" eb="222">
      <t xml:space="preserve">カ </t>
    </rPh>
    <rPh sb="223" eb="225">
      <t xml:space="preserve">テジュンハ </t>
    </rPh>
    <rPh sb="226" eb="228">
      <t xml:space="preserve">イカノ </t>
    </rPh>
    <phoneticPr fontId="1"/>
  </si>
  <si>
    <t>拠点</t>
    <rPh sb="0" eb="2">
      <t xml:space="preserve">キョテン </t>
    </rPh>
    <phoneticPr fontId="1"/>
  </si>
  <si>
    <t>各店</t>
    <rPh sb="0" eb="2">
      <t xml:space="preserve">カクテン </t>
    </rPh>
    <phoneticPr fontId="1"/>
  </si>
  <si>
    <t>⑥過去の月別来客者数平均値をキーファクター③に設定</t>
    <rPh sb="1" eb="3">
      <t xml:space="preserve">カコノ </t>
    </rPh>
    <rPh sb="4" eb="6">
      <t xml:space="preserve">ツキベツ </t>
    </rPh>
    <rPh sb="6" eb="10">
      <t xml:space="preserve">ライキャクシャスウ </t>
    </rPh>
    <rPh sb="10" eb="13">
      <t xml:space="preserve">ヘイキンチ </t>
    </rPh>
    <rPh sb="23" eb="25">
      <t xml:space="preserve">セッテイ </t>
    </rPh>
    <phoneticPr fontId="1"/>
  </si>
  <si>
    <t>⑤過去の月別売上実績平均値をキーファクター②に設定</t>
    <rPh sb="1" eb="3">
      <t xml:space="preserve">カコ </t>
    </rPh>
    <rPh sb="4" eb="6">
      <t xml:space="preserve">ツキベツ </t>
    </rPh>
    <rPh sb="6" eb="10">
      <t xml:space="preserve">ウリアゲジッセキ </t>
    </rPh>
    <rPh sb="10" eb="13">
      <t xml:space="preserve">ヘイキンチ </t>
    </rPh>
    <rPh sb="23" eb="25">
      <t xml:space="preserve">セッテイ </t>
    </rPh>
    <phoneticPr fontId="1"/>
  </si>
  <si>
    <r>
      <t>④以上の3点（①月別季節指数+②月別曜日指数＋月別来場者指数）/3 にて　（④月別TOTAL拠点指数 ）　を算出しこれを</t>
    </r>
    <r>
      <rPr>
        <b/>
        <sz val="20"/>
        <color rgb="FFFF0000"/>
        <rFont val="游ゴシック"/>
        <family val="3"/>
        <charset val="128"/>
      </rPr>
      <t>拠点別定指数</t>
    </r>
    <r>
      <rPr>
        <b/>
        <sz val="20"/>
        <color theme="1"/>
        <rFont val="游ゴシック"/>
        <family val="3"/>
        <charset val="128"/>
        <scheme val="minor"/>
      </rPr>
      <t>としてキーファクター①とする</t>
    </r>
    <rPh sb="1" eb="3">
      <t xml:space="preserve">イジョウノ </t>
    </rPh>
    <rPh sb="5" eb="6">
      <t xml:space="preserve">テン </t>
    </rPh>
    <rPh sb="8" eb="9">
      <t xml:space="preserve">ツキネツ </t>
    </rPh>
    <rPh sb="9" eb="10">
      <t xml:space="preserve">ベツ </t>
    </rPh>
    <rPh sb="10" eb="14">
      <t xml:space="preserve">キセツシスウ </t>
    </rPh>
    <rPh sb="16" eb="18">
      <t xml:space="preserve">ツキベツ </t>
    </rPh>
    <rPh sb="18" eb="20">
      <t xml:space="preserve">ヨウビ </t>
    </rPh>
    <rPh sb="20" eb="22">
      <t xml:space="preserve">シスウ </t>
    </rPh>
    <rPh sb="23" eb="25">
      <t xml:space="preserve">ツキベツ </t>
    </rPh>
    <rPh sb="25" eb="28">
      <t xml:space="preserve">ライジョウシャ </t>
    </rPh>
    <rPh sb="28" eb="30">
      <t xml:space="preserve">シスウ </t>
    </rPh>
    <rPh sb="39" eb="41">
      <t xml:space="preserve">ツキベツ </t>
    </rPh>
    <rPh sb="46" eb="48">
      <t xml:space="preserve">キョテン </t>
    </rPh>
    <rPh sb="48" eb="50">
      <t xml:space="preserve">シスウ </t>
    </rPh>
    <rPh sb="54" eb="56">
      <t xml:space="preserve">サンシュツ </t>
    </rPh>
    <rPh sb="60" eb="63">
      <t xml:space="preserve">キョテンベツ </t>
    </rPh>
    <rPh sb="63" eb="66">
      <t xml:space="preserve">テイシスウ </t>
    </rPh>
    <phoneticPr fontId="1"/>
  </si>
  <si>
    <t>⑦キーファクター①.②.③の平均ポイントを求めて月別のモメンタムピークスポイントを算出</t>
    <rPh sb="14" eb="16">
      <t xml:space="preserve">ヘイキン </t>
    </rPh>
    <rPh sb="21" eb="22">
      <t xml:space="preserve">モトメテ </t>
    </rPh>
    <rPh sb="24" eb="26">
      <t xml:space="preserve">ツキベツ </t>
    </rPh>
    <rPh sb="41" eb="43">
      <t xml:space="preserve">サンシュツ </t>
    </rPh>
    <phoneticPr fontId="1"/>
  </si>
  <si>
    <t>⑧年度売上予算数値を客観視するための店舗別年間モメンタムピークスポイントを算出する</t>
    <rPh sb="1" eb="3">
      <t xml:space="preserve">ネンド </t>
    </rPh>
    <rPh sb="3" eb="5">
      <t xml:space="preserve">ウリアゲ </t>
    </rPh>
    <rPh sb="5" eb="7">
      <t xml:space="preserve">ヨサン </t>
    </rPh>
    <rPh sb="7" eb="9">
      <t xml:space="preserve">スウチヲ </t>
    </rPh>
    <rPh sb="10" eb="13">
      <t xml:space="preserve">キャッカンシ </t>
    </rPh>
    <rPh sb="18" eb="21">
      <t xml:space="preserve">テンポベツ </t>
    </rPh>
    <rPh sb="21" eb="23">
      <t xml:space="preserve">ネンカン </t>
    </rPh>
    <rPh sb="37" eb="39">
      <t xml:space="preserve">サンシュツ </t>
    </rPh>
    <phoneticPr fontId="1"/>
  </si>
  <si>
    <t>【Momentum Peaks モメンタムピークス　藻岩山定指数まとめ】</t>
    <rPh sb="26" eb="29">
      <t xml:space="preserve">モイワヤマ </t>
    </rPh>
    <rPh sb="29" eb="30">
      <t xml:space="preserve">テイスウ </t>
    </rPh>
    <rPh sb="30" eb="31">
      <t xml:space="preserve">シヒョウマトメ </t>
    </rPh>
    <rPh sb="31" eb="32">
      <t xml:space="preserve">カズ </t>
    </rPh>
    <phoneticPr fontId="1"/>
  </si>
  <si>
    <t>【Momentum Peaks モメンタムピークス　大倉山定指数まとめ】</t>
    <rPh sb="26" eb="29">
      <t xml:space="preserve">オオクラヤマ </t>
    </rPh>
    <rPh sb="29" eb="30">
      <t xml:space="preserve">テイスウ </t>
    </rPh>
    <rPh sb="30" eb="31">
      <t xml:space="preserve">シヒョウマトメ </t>
    </rPh>
    <rPh sb="31" eb="32">
      <t xml:space="preserve">カズ </t>
    </rPh>
    <phoneticPr fontId="1"/>
  </si>
  <si>
    <t>【Momentum Peaks モメンタムピークス　テレビ塔定指数まとめ】</t>
    <rPh sb="30" eb="31">
      <t xml:space="preserve">テイスウ </t>
    </rPh>
    <rPh sb="31" eb="32">
      <t xml:space="preserve">シヒョウマトメ </t>
    </rPh>
    <rPh sb="32" eb="33">
      <t xml:space="preserve">カズ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</si>
</sst>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Red]\-#,##0.0"/>
    <numFmt numFmtId="177" formatCode="0.0000"/>
    <numFmt numFmtId="178" formatCode="0.000"/>
  </numFmts>
  <fonts count="20">
    <font>
      <sz val="12"/>
      <color theme="1"/>
      <name val="游ゴシック"/>
      <family val="2"/>
      <charset val="128"/>
      <scheme val="minor"/>
    </font>
    <font>
      <sz val="6"/>
      <name val="游ゴシック"/>
      <family val="2"/>
      <charset val="128"/>
      <scheme val="minor"/>
    </font>
    <font>
      <sz val="12"/>
      <color theme="1"/>
      <name val="游ゴシック"/>
      <family val="2"/>
      <charset val="128"/>
      <scheme val="minor"/>
    </font>
    <font>
      <sz val="12"/>
      <color rgb="FFFF0000"/>
      <name val="游ゴシック"/>
      <family val="2"/>
      <charset val="128"/>
      <scheme val="minor"/>
    </font>
    <font>
      <b/>
      <sz val="10"/>
      <color theme="1"/>
      <name val="游ゴシック"/>
      <family val="3"/>
      <charset val="128"/>
      <scheme val="minor"/>
    </font>
    <font>
      <sz val="10"/>
      <color theme="1"/>
      <name val="ヒラギノ角ゴ Std W8"/>
      <family val="3"/>
      <charset val="128"/>
    </font>
    <font>
      <sz val="10"/>
      <color theme="1"/>
      <name val="ヒラギノ角ゴ Std W8"/>
      <charset val="128"/>
    </font>
    <font>
      <b/>
      <sz val="11"/>
      <color theme="1"/>
      <name val="游ゴシック"/>
      <family val="3"/>
      <charset val="128"/>
      <scheme val="minor"/>
    </font>
    <font>
      <b/>
      <sz val="16"/>
      <color theme="1"/>
      <name val="游ゴシック"/>
      <family val="3"/>
      <charset val="128"/>
      <scheme val="minor"/>
    </font>
    <font>
      <b/>
      <sz val="14"/>
      <color theme="1"/>
      <name val="游ゴシック"/>
      <family val="3"/>
      <charset val="128"/>
      <scheme val="minor"/>
    </font>
    <font>
      <sz val="12"/>
      <color theme="1"/>
      <name val="ヒラギノ角ゴ Std W8"/>
      <charset val="128"/>
    </font>
    <font>
      <sz val="12"/>
      <color theme="3" tint="0.249977111117893"/>
      <name val="游ゴシック"/>
      <family val="2"/>
      <charset val="128"/>
      <scheme val="minor"/>
    </font>
    <font>
      <sz val="12"/>
      <name val="游ゴシック"/>
      <family val="2"/>
      <charset val="128"/>
      <scheme val="minor"/>
    </font>
    <font>
      <sz val="11"/>
      <color theme="1"/>
      <name val="ヒラギノ角ゴ Std W8"/>
      <charset val="128"/>
    </font>
    <font>
      <b/>
      <sz val="18"/>
      <color theme="1"/>
      <name val="游ゴシック"/>
      <family val="3"/>
      <charset val="128"/>
      <scheme val="minor"/>
    </font>
    <font>
      <b/>
      <sz val="9"/>
      <color theme="1"/>
      <name val="游ゴシック"/>
      <family val="3"/>
      <charset val="128"/>
      <scheme val="minor"/>
    </font>
    <font>
      <b/>
      <sz val="12"/>
      <color theme="1"/>
      <name val="游ゴシック"/>
      <family val="3"/>
      <charset val="128"/>
      <scheme val="minor"/>
    </font>
    <font>
      <b/>
      <sz val="20"/>
      <color theme="1"/>
      <name val="游ゴシック"/>
      <family val="3"/>
      <charset val="128"/>
      <scheme val="minor"/>
    </font>
    <font>
      <b/>
      <sz val="20"/>
      <color rgb="FFFF0000"/>
      <name val="游ゴシック"/>
      <family val="3"/>
      <charset val="128"/>
    </font>
    <font>
      <sz val="18"/>
      <color theme="1"/>
      <name val="游ゴシック"/>
      <family val="2"/>
      <charset val="128"/>
      <scheme val="minor"/>
    </font>
  </fonts>
  <fills count="1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39997558519241921"/>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s>
  <cellStyleXfs count="2">
    <xf numFmtId="0" fontId="0" fillId="0" borderId="0">
      <alignment vertical="center"/>
    </xf>
    <xf numFmtId="38" fontId="2" fillId="0" borderId="0" applyFont="0" applyFill="0" applyBorder="0" applyAlignment="0" applyProtection="0">
      <alignment vertical="center"/>
    </xf>
  </cellStyleXfs>
  <cellXfs count="91">
    <xf numFmtId="0" fontId="0" fillId="0" borderId="0" xfId="0">
      <alignment vertical="center"/>
    </xf>
    <xf numFmtId="0" fontId="0" fillId="0" borderId="0" xfId="0" applyAlignment="1">
      <alignment horizontal="center" vertical="center"/>
    </xf>
    <xf numFmtId="0" fontId="4" fillId="0" borderId="1" xfId="0" applyFont="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0" fillId="0" borderId="1" xfId="0" applyBorder="1">
      <alignment vertical="center"/>
    </xf>
    <xf numFmtId="0" fontId="7" fillId="3" borderId="1" xfId="0" applyFont="1" applyFill="1" applyBorder="1" applyAlignment="1">
      <alignment horizontal="center" vertical="center"/>
    </xf>
    <xf numFmtId="0" fontId="8" fillId="0" borderId="0" xfId="0" applyFont="1">
      <alignment vertical="center"/>
    </xf>
    <xf numFmtId="38" fontId="0" fillId="0" borderId="0" xfId="1" applyFont="1">
      <alignment vertical="center"/>
    </xf>
    <xf numFmtId="38" fontId="0" fillId="0" borderId="0" xfId="0" applyNumberFormat="1">
      <alignment vertical="center"/>
    </xf>
    <xf numFmtId="176" fontId="9" fillId="0" borderId="1" xfId="1" applyNumberFormat="1" applyFont="1" applyBorder="1">
      <alignment vertical="center"/>
    </xf>
    <xf numFmtId="0" fontId="10" fillId="0" borderId="0" xfId="0" applyFont="1" applyAlignment="1">
      <alignment horizontal="center" vertical="center"/>
    </xf>
    <xf numFmtId="0" fontId="6" fillId="5" borderId="1" xfId="0" applyFont="1" applyFill="1" applyBorder="1" applyAlignment="1">
      <alignment horizontal="center" vertical="center"/>
    </xf>
    <xf numFmtId="0" fontId="6"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6" borderId="1" xfId="0" applyFont="1" applyFill="1" applyBorder="1" applyAlignment="1">
      <alignment horizontal="center" vertical="center"/>
    </xf>
    <xf numFmtId="0" fontId="4" fillId="0" borderId="1" xfId="0" applyFont="1" applyBorder="1" applyAlignment="1">
      <alignment horizontal="center" vertical="center" wrapText="1"/>
    </xf>
    <xf numFmtId="0" fontId="0" fillId="0" borderId="8" xfId="0" applyBorder="1">
      <alignment vertical="center"/>
    </xf>
    <xf numFmtId="0" fontId="0" fillId="0" borderId="9" xfId="0" applyBorder="1">
      <alignment vertical="center"/>
    </xf>
    <xf numFmtId="0" fontId="11" fillId="0" borderId="0" xfId="0" applyFont="1" applyAlignment="1">
      <alignment horizontal="center" vertical="center"/>
    </xf>
    <xf numFmtId="0" fontId="3" fillId="0" borderId="0" xfId="0" applyFont="1" applyAlignment="1">
      <alignment horizontal="center" vertical="center"/>
    </xf>
    <xf numFmtId="0" fontId="0" fillId="0" borderId="10" xfId="0" applyBorder="1">
      <alignment vertical="center"/>
    </xf>
    <xf numFmtId="0" fontId="0" fillId="0" borderId="11" xfId="0" applyBorder="1">
      <alignment vertical="center"/>
    </xf>
    <xf numFmtId="2" fontId="0" fillId="0" borderId="12" xfId="0" applyNumberFormat="1" applyBorder="1">
      <alignment vertical="center"/>
    </xf>
    <xf numFmtId="0" fontId="12" fillId="0" borderId="0" xfId="0" applyFont="1" applyAlignment="1">
      <alignment horizontal="center" vertical="center"/>
    </xf>
    <xf numFmtId="2" fontId="13" fillId="2" borderId="1" xfId="0" applyNumberFormat="1" applyFont="1" applyFill="1" applyBorder="1" applyAlignment="1">
      <alignment horizontal="center" vertical="center"/>
    </xf>
    <xf numFmtId="0" fontId="15" fillId="0" borderId="1" xfId="0" applyFont="1" applyBorder="1" applyAlignment="1">
      <alignment horizontal="center" vertical="center"/>
    </xf>
    <xf numFmtId="38" fontId="0" fillId="8" borderId="0" xfId="1" applyFont="1" applyFill="1">
      <alignment vertical="center"/>
    </xf>
    <xf numFmtId="177" fontId="0" fillId="0" borderId="0" xfId="0" applyNumberFormat="1">
      <alignment vertical="center"/>
    </xf>
    <xf numFmtId="178" fontId="0" fillId="0" borderId="0" xfId="0" applyNumberFormat="1">
      <alignment vertical="center"/>
    </xf>
    <xf numFmtId="2" fontId="0" fillId="0" borderId="0" xfId="0" applyNumberFormat="1">
      <alignment vertical="center"/>
    </xf>
    <xf numFmtId="2" fontId="10" fillId="2" borderId="1" xfId="0" applyNumberFormat="1" applyFont="1" applyFill="1" applyBorder="1" applyAlignment="1">
      <alignment horizontal="center" vertical="center"/>
    </xf>
    <xf numFmtId="38" fontId="0" fillId="9" borderId="0" xfId="1" applyFont="1" applyFill="1">
      <alignment vertical="center"/>
    </xf>
    <xf numFmtId="0" fontId="16" fillId="0" borderId="0" xfId="0" applyFont="1">
      <alignment vertical="center"/>
    </xf>
    <xf numFmtId="0" fontId="8" fillId="0" borderId="0" xfId="0" applyFont="1" applyAlignment="1">
      <alignment horizontal="right" vertical="center"/>
    </xf>
    <xf numFmtId="0" fontId="9" fillId="0" borderId="0" xfId="0" applyFont="1">
      <alignment vertical="center"/>
    </xf>
    <xf numFmtId="0" fontId="17" fillId="0" borderId="0" xfId="0" applyFont="1" applyAlignment="1">
      <alignment vertical="top" wrapText="1"/>
    </xf>
    <xf numFmtId="0" fontId="14" fillId="0" borderId="0" xfId="0" applyFont="1">
      <alignment vertical="center"/>
    </xf>
    <xf numFmtId="0" fontId="4" fillId="10" borderId="1" xfId="0" applyFont="1" applyFill="1" applyBorder="1" applyAlignment="1">
      <alignment horizontal="center" vertical="center"/>
    </xf>
    <xf numFmtId="0" fontId="19" fillId="0" borderId="0" xfId="0" applyFont="1">
      <alignment vertical="center"/>
    </xf>
    <xf numFmtId="0" fontId="0" fillId="0" borderId="0" xfId="0" applyAlignment="1">
      <alignment horizontal="center" vertical="center"/>
    </xf>
    <xf numFmtId="2" fontId="14" fillId="0" borderId="2" xfId="0" applyNumberFormat="1" applyFont="1" applyBorder="1" applyAlignment="1">
      <alignment horizontal="center" vertical="center"/>
    </xf>
    <xf numFmtId="2" fontId="14" fillId="0" borderId="3" xfId="0" applyNumberFormat="1" applyFont="1" applyBorder="1" applyAlignment="1">
      <alignment horizontal="center" vertical="center"/>
    </xf>
    <xf numFmtId="0" fontId="9" fillId="3" borderId="2" xfId="0" applyFont="1" applyFill="1" applyBorder="1" applyAlignment="1">
      <alignment horizontal="left" vertical="center"/>
    </xf>
    <xf numFmtId="0" fontId="9" fillId="3" borderId="3" xfId="0" applyFont="1" applyFill="1" applyBorder="1" applyAlignment="1">
      <alignment horizontal="left" vertical="center"/>
    </xf>
    <xf numFmtId="0" fontId="4" fillId="10"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7" fillId="0" borderId="13" xfId="0" applyFont="1" applyBorder="1" applyAlignment="1">
      <alignment horizontal="left" vertical="top" wrapText="1"/>
    </xf>
    <xf numFmtId="0" fontId="17" fillId="0" borderId="14" xfId="0" applyFont="1" applyBorder="1" applyAlignment="1">
      <alignment horizontal="left" vertical="top" wrapText="1"/>
    </xf>
    <xf numFmtId="0" fontId="17" fillId="0" borderId="15" xfId="0" applyFont="1" applyBorder="1" applyAlignment="1">
      <alignment horizontal="left" vertical="top" wrapText="1"/>
    </xf>
    <xf numFmtId="0" fontId="17" fillId="0" borderId="16" xfId="0" applyFont="1" applyBorder="1" applyAlignment="1">
      <alignment horizontal="left" vertical="top" wrapText="1"/>
    </xf>
    <xf numFmtId="0" fontId="17" fillId="0" borderId="0" xfId="0" applyFont="1" applyAlignment="1">
      <alignment horizontal="left" vertical="top" wrapText="1"/>
    </xf>
    <xf numFmtId="0" fontId="17" fillId="0" borderId="17" xfId="0" applyFont="1" applyBorder="1" applyAlignment="1">
      <alignment horizontal="left" vertical="top" wrapText="1"/>
    </xf>
    <xf numFmtId="0" fontId="17" fillId="0" borderId="18" xfId="0" applyFont="1" applyBorder="1" applyAlignment="1">
      <alignment horizontal="left" vertical="top" wrapText="1"/>
    </xf>
    <xf numFmtId="0" fontId="17" fillId="0" borderId="19" xfId="0" applyFont="1" applyBorder="1" applyAlignment="1">
      <alignment horizontal="left" vertical="top" wrapText="1"/>
    </xf>
    <xf numFmtId="0" fontId="17" fillId="0" borderId="20" xfId="0" applyFont="1" applyBorder="1" applyAlignment="1">
      <alignment horizontal="left" vertical="top" wrapText="1"/>
    </xf>
    <xf numFmtId="0" fontId="4" fillId="11" borderId="2" xfId="0" applyFont="1" applyFill="1" applyBorder="1" applyAlignment="1">
      <alignment horizontal="center" vertical="center"/>
    </xf>
    <xf numFmtId="0" fontId="4" fillId="11" borderId="4" xfId="0" applyFont="1" applyFill="1" applyBorder="1" applyAlignment="1">
      <alignment horizontal="center" vertical="center"/>
    </xf>
    <xf numFmtId="0" fontId="4" fillId="11" borderId="3" xfId="0" applyFont="1" applyFill="1" applyBorder="1" applyAlignment="1">
      <alignment horizontal="center" vertical="center"/>
    </xf>
    <xf numFmtId="0" fontId="4" fillId="13" borderId="5" xfId="0" applyFont="1" applyFill="1" applyBorder="1" applyAlignment="1">
      <alignment horizontal="center" vertical="center"/>
    </xf>
    <xf numFmtId="0" fontId="4" fillId="13" borderId="7" xfId="0" applyFont="1" applyFill="1" applyBorder="1" applyAlignment="1">
      <alignment horizontal="center" vertical="center"/>
    </xf>
    <xf numFmtId="0" fontId="4" fillId="13" borderId="10" xfId="0" applyFont="1" applyFill="1" applyBorder="1" applyAlignment="1">
      <alignment horizontal="center" vertical="center"/>
    </xf>
    <xf numFmtId="0" fontId="4" fillId="13" borderId="12" xfId="0" applyFont="1" applyFill="1" applyBorder="1" applyAlignment="1">
      <alignment horizontal="center" vertical="center"/>
    </xf>
    <xf numFmtId="0" fontId="4" fillId="3" borderId="1" xfId="0" applyFont="1" applyFill="1" applyBorder="1" applyAlignment="1">
      <alignment horizontal="center" vertical="center"/>
    </xf>
    <xf numFmtId="0" fontId="4" fillId="12" borderId="2" xfId="0" applyFont="1" applyFill="1" applyBorder="1" applyAlignment="1">
      <alignment horizontal="center" vertical="center"/>
    </xf>
    <xf numFmtId="0" fontId="4" fillId="12" borderId="4" xfId="0" applyFont="1" applyFill="1" applyBorder="1" applyAlignment="1">
      <alignment horizontal="center" vertical="center"/>
    </xf>
    <xf numFmtId="0" fontId="4" fillId="12"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1" xfId="0" applyFont="1" applyFill="1" applyBorder="1" applyAlignment="1">
      <alignment horizontal="center" vertical="center"/>
    </xf>
    <xf numFmtId="0" fontId="17" fillId="0" borderId="24"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1" xfId="0" applyFont="1" applyBorder="1" applyAlignment="1">
      <alignment horizontal="left" vertical="top" wrapText="1"/>
    </xf>
    <xf numFmtId="0" fontId="17" fillId="0" borderId="25" xfId="0" applyFont="1" applyBorder="1" applyAlignment="1">
      <alignment horizontal="left" vertical="top" wrapText="1"/>
    </xf>
    <xf numFmtId="0" fontId="17" fillId="0" borderId="27" xfId="0" applyFont="1" applyBorder="1" applyAlignment="1">
      <alignment horizontal="left" vertical="top" wrapText="1"/>
    </xf>
    <xf numFmtId="0" fontId="17" fillId="0" borderId="28" xfId="0" applyFont="1" applyBorder="1" applyAlignment="1">
      <alignment horizontal="left" vertical="top" wrapText="1"/>
    </xf>
    <xf numFmtId="0" fontId="17" fillId="0" borderId="22" xfId="0" applyFont="1" applyBorder="1" applyAlignment="1">
      <alignment horizontal="left" vertical="top" wrapText="1"/>
    </xf>
    <xf numFmtId="0" fontId="17" fillId="0" borderId="23" xfId="0" applyFont="1" applyBorder="1" applyAlignment="1">
      <alignment horizontal="left" vertical="top"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6" fillId="3" borderId="2" xfId="0" applyFont="1" applyFill="1" applyBorder="1" applyAlignment="1">
      <alignment horizontal="left" vertical="center"/>
    </xf>
    <xf numFmtId="0" fontId="16" fillId="3" borderId="3" xfId="0" applyFont="1" applyFill="1" applyBorder="1" applyAlignment="1">
      <alignment horizontal="left"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390B3-6A25-444C-A711-A64BF02BEB36}">
  <sheetPr>
    <pageSetUpPr fitToPage="1"/>
  </sheetPr>
  <dimension ref="A1:AJ96"/>
  <sheetViews>
    <sheetView topLeftCell="A6" zoomScale="50" workbookViewId="0">
      <selection activeCell="Y12" sqref="Y12"/>
    </sheetView>
  </sheetViews>
  <sheetFormatPr baseColWidth="10" defaultRowHeight="20"/>
  <cols>
    <col min="1" max="2" width="6.85546875" customWidth="1"/>
    <col min="3" max="5" width="33.42578125" customWidth="1"/>
    <col min="6" max="6" width="9.85546875" customWidth="1"/>
    <col min="7" max="7" width="11.7109375" customWidth="1"/>
    <col min="8" max="8" width="8.85546875" customWidth="1"/>
    <col min="9" max="9" width="11.7109375" customWidth="1"/>
    <col min="10" max="10" width="9.28515625" customWidth="1"/>
    <col min="11" max="11" width="17.85546875" customWidth="1"/>
    <col min="12" max="12" width="16.42578125" customWidth="1"/>
    <col min="13" max="13" width="16.140625" customWidth="1"/>
  </cols>
  <sheetData>
    <row r="1" spans="1:34" s="41" customFormat="1" ht="31">
      <c r="A1" s="41" t="s">
        <v>86</v>
      </c>
    </row>
    <row r="3" spans="1:34" ht="50" customHeight="1">
      <c r="A3" s="47" t="s">
        <v>60</v>
      </c>
      <c r="B3" s="48"/>
      <c r="C3" s="50" t="s">
        <v>38</v>
      </c>
      <c r="D3" s="51"/>
      <c r="E3" s="6" t="s">
        <v>14</v>
      </c>
      <c r="F3" s="76" t="s">
        <v>33</v>
      </c>
      <c r="G3" s="76"/>
      <c r="H3" s="50" t="s">
        <v>36</v>
      </c>
      <c r="I3" s="75"/>
      <c r="J3" s="75"/>
      <c r="K3" s="75"/>
      <c r="L3" s="75"/>
      <c r="M3" s="75"/>
      <c r="N3" s="75"/>
      <c r="O3" s="75"/>
      <c r="P3" s="51"/>
      <c r="Q3" s="67" t="s">
        <v>73</v>
      </c>
      <c r="R3" s="68"/>
      <c r="T3" s="39" t="s">
        <v>67</v>
      </c>
    </row>
    <row r="4" spans="1:34" ht="50" customHeight="1">
      <c r="A4" s="49" t="s">
        <v>77</v>
      </c>
      <c r="B4" s="49"/>
      <c r="C4" s="42" t="s">
        <v>9</v>
      </c>
      <c r="D4" s="42" t="s">
        <v>10</v>
      </c>
      <c r="E4" s="42" t="s">
        <v>32</v>
      </c>
      <c r="F4" s="64" t="s">
        <v>71</v>
      </c>
      <c r="G4" s="65"/>
      <c r="H4" s="65"/>
      <c r="I4" s="66"/>
      <c r="J4" s="72" t="s">
        <v>72</v>
      </c>
      <c r="K4" s="73"/>
      <c r="L4" s="74"/>
      <c r="M4" s="71" t="s">
        <v>59</v>
      </c>
      <c r="N4" s="71"/>
      <c r="O4" s="71" t="s">
        <v>34</v>
      </c>
      <c r="P4" s="71"/>
      <c r="Q4" s="69"/>
      <c r="R4" s="70"/>
      <c r="T4" s="44" t="s">
        <v>39</v>
      </c>
      <c r="U4" s="44"/>
      <c r="V4" s="44"/>
      <c r="W4" s="44" t="s">
        <v>40</v>
      </c>
      <c r="X4" s="44"/>
      <c r="Y4" s="44"/>
      <c r="Z4" s="44" t="s">
        <v>41</v>
      </c>
      <c r="AA4" s="44"/>
      <c r="AB4" s="44"/>
      <c r="AC4" s="44" t="s">
        <v>69</v>
      </c>
      <c r="AD4" s="44"/>
      <c r="AE4" s="44"/>
      <c r="AF4" s="44"/>
    </row>
    <row r="5" spans="1:34" ht="50" customHeight="1">
      <c r="A5" s="2">
        <v>4</v>
      </c>
      <c r="B5" s="16">
        <v>1</v>
      </c>
      <c r="C5" s="2" t="s">
        <v>11</v>
      </c>
      <c r="D5" s="2" t="s">
        <v>12</v>
      </c>
      <c r="E5" s="2" t="s">
        <v>35</v>
      </c>
      <c r="F5" s="2" t="s">
        <v>0</v>
      </c>
      <c r="G5" s="12">
        <v>4</v>
      </c>
      <c r="H5" s="2">
        <v>4</v>
      </c>
      <c r="I5" s="29">
        <f>U55</f>
        <v>3.2</v>
      </c>
      <c r="J5" s="2">
        <v>4</v>
      </c>
      <c r="K5" s="10">
        <f>(U5+X5)/(V5+Y5)/2</f>
        <v>1298.6111111111111</v>
      </c>
      <c r="L5" s="35">
        <f>AF5</f>
        <v>3.9953703703703702</v>
      </c>
      <c r="M5" s="5"/>
      <c r="N5" s="5"/>
      <c r="O5" s="5"/>
      <c r="P5" s="5"/>
      <c r="Q5" s="45">
        <f>(B5+I5+L5)/3</f>
        <v>2.7317901234567898</v>
      </c>
      <c r="R5" s="46"/>
      <c r="S5" s="1">
        <v>4</v>
      </c>
      <c r="T5" s="8">
        <f>U5/V5</f>
        <v>2811.2</v>
      </c>
      <c r="U5" s="8">
        <v>14056</v>
      </c>
      <c r="V5">
        <v>5</v>
      </c>
      <c r="W5" s="8">
        <f>X5/Y5</f>
        <v>2329.75</v>
      </c>
      <c r="X5" s="8">
        <v>9319</v>
      </c>
      <c r="Y5">
        <v>4</v>
      </c>
      <c r="Z5" s="8">
        <f>AA5/AB5</f>
        <v>2329.75</v>
      </c>
      <c r="AA5">
        <v>9319</v>
      </c>
      <c r="AB5">
        <v>4</v>
      </c>
      <c r="AC5" s="7">
        <v>1500</v>
      </c>
      <c r="AD5" s="43">
        <v>5</v>
      </c>
      <c r="AE5">
        <v>3</v>
      </c>
      <c r="AF5" s="32">
        <f>AE5+((K5-1300)/(1300-1000))+1</f>
        <v>3.9953703703703702</v>
      </c>
      <c r="AH5">
        <v>49</v>
      </c>
    </row>
    <row r="6" spans="1:34" ht="50" customHeight="1">
      <c r="A6" s="2">
        <v>5</v>
      </c>
      <c r="B6" s="3">
        <v>3</v>
      </c>
      <c r="C6" s="2" t="s">
        <v>8</v>
      </c>
      <c r="D6" s="2" t="s">
        <v>13</v>
      </c>
      <c r="E6" s="2"/>
      <c r="F6" s="2" t="s">
        <v>1</v>
      </c>
      <c r="G6" s="18">
        <v>2</v>
      </c>
      <c r="H6" s="2">
        <v>5</v>
      </c>
      <c r="I6" s="29">
        <f>X55</f>
        <v>3.3548387096774195</v>
      </c>
      <c r="J6" s="2">
        <v>5</v>
      </c>
      <c r="K6" s="10">
        <f t="shared" ref="K6:K16" si="0">(U6+X6)/(V6+Y6)/2</f>
        <v>1206.6048387096773</v>
      </c>
      <c r="L6" s="35">
        <f t="shared" ref="L6:L16" si="1">AF6</f>
        <v>3.6886827956989245</v>
      </c>
      <c r="M6" s="5"/>
      <c r="N6" s="5"/>
      <c r="O6" s="5"/>
      <c r="P6" s="5"/>
      <c r="Q6" s="45">
        <f t="shared" ref="Q6:Q16" si="2">(B6+I6+L6)/3</f>
        <v>3.3478405017921147</v>
      </c>
      <c r="R6" s="46"/>
      <c r="S6" s="1">
        <v>5</v>
      </c>
      <c r="T6" s="8">
        <f t="shared" ref="T6:T16" si="3">U6/V6</f>
        <v>2181.5483870967741</v>
      </c>
      <c r="U6" s="8">
        <v>67628</v>
      </c>
      <c r="V6">
        <v>31</v>
      </c>
      <c r="W6" s="8">
        <f t="shared" ref="W6:W16" si="4">X6/Y6</f>
        <v>2644.8709677419356</v>
      </c>
      <c r="X6" s="8">
        <v>81991</v>
      </c>
      <c r="Y6">
        <v>31</v>
      </c>
      <c r="Z6" s="8">
        <f t="shared" ref="Z6:Z16" si="5">AA6/AB6</f>
        <v>2329.75</v>
      </c>
      <c r="AA6">
        <v>9319</v>
      </c>
      <c r="AB6">
        <v>4</v>
      </c>
      <c r="AC6" s="7">
        <v>1300</v>
      </c>
      <c r="AD6" s="43">
        <v>4</v>
      </c>
      <c r="AE6">
        <v>3</v>
      </c>
      <c r="AF6" s="34">
        <f>AE6+((K6-1300)/(1300-1000))+1</f>
        <v>3.6886827956989245</v>
      </c>
      <c r="AH6">
        <v>81</v>
      </c>
    </row>
    <row r="7" spans="1:34" ht="50" customHeight="1">
      <c r="A7" s="2">
        <v>6</v>
      </c>
      <c r="B7" s="15">
        <v>4</v>
      </c>
      <c r="C7" s="20" t="s">
        <v>31</v>
      </c>
      <c r="D7" s="2"/>
      <c r="E7" s="2"/>
      <c r="F7" s="2" t="s">
        <v>2</v>
      </c>
      <c r="G7" s="18">
        <v>2</v>
      </c>
      <c r="H7" s="2">
        <v>6</v>
      </c>
      <c r="I7" s="29">
        <f>AA55</f>
        <v>3.1333333333333333</v>
      </c>
      <c r="J7" s="2">
        <v>6</v>
      </c>
      <c r="K7" s="10">
        <f t="shared" si="0"/>
        <v>1191.5833333333333</v>
      </c>
      <c r="L7" s="35">
        <f t="shared" si="1"/>
        <v>3.638611111111111</v>
      </c>
      <c r="M7" s="5"/>
      <c r="N7" s="5"/>
      <c r="O7" s="5"/>
      <c r="P7" s="5"/>
      <c r="Q7" s="45">
        <f t="shared" si="2"/>
        <v>3.5906481481481478</v>
      </c>
      <c r="R7" s="46"/>
      <c r="S7" s="1">
        <v>6</v>
      </c>
      <c r="T7" s="8">
        <f t="shared" si="3"/>
        <v>2673.0666666666666</v>
      </c>
      <c r="U7" s="8">
        <v>80192</v>
      </c>
      <c r="V7">
        <v>30</v>
      </c>
      <c r="W7" s="8">
        <f t="shared" si="4"/>
        <v>2093.2666666666669</v>
      </c>
      <c r="X7" s="8">
        <v>62798</v>
      </c>
      <c r="Y7">
        <v>30</v>
      </c>
      <c r="Z7" s="8">
        <f t="shared" si="5"/>
        <v>2329.75</v>
      </c>
      <c r="AA7">
        <v>9319</v>
      </c>
      <c r="AB7">
        <v>4</v>
      </c>
      <c r="AC7" s="7">
        <v>1000</v>
      </c>
      <c r="AD7" s="43">
        <v>3</v>
      </c>
      <c r="AE7">
        <v>3</v>
      </c>
      <c r="AF7" s="34">
        <f>AE7+((K7-1300)/(1300-1000))+1</f>
        <v>3.638611111111111</v>
      </c>
      <c r="AH7">
        <v>98</v>
      </c>
    </row>
    <row r="8" spans="1:34" ht="50" customHeight="1">
      <c r="A8" s="2">
        <v>7</v>
      </c>
      <c r="B8" s="14">
        <v>5</v>
      </c>
      <c r="C8" s="2" t="s">
        <v>17</v>
      </c>
      <c r="D8" s="2" t="s">
        <v>30</v>
      </c>
      <c r="E8" s="2"/>
      <c r="F8" s="2" t="s">
        <v>3</v>
      </c>
      <c r="G8" s="18">
        <v>2</v>
      </c>
      <c r="H8" s="2">
        <v>7</v>
      </c>
      <c r="I8" s="29">
        <f>AD55</f>
        <v>3.161290322580645</v>
      </c>
      <c r="J8" s="2">
        <v>7</v>
      </c>
      <c r="K8" s="10">
        <f t="shared" si="0"/>
        <v>1319.3951612903227</v>
      </c>
      <c r="L8" s="35">
        <f t="shared" si="1"/>
        <v>4.0969758064516135</v>
      </c>
      <c r="M8" s="5"/>
      <c r="N8" s="5"/>
      <c r="O8" s="5"/>
      <c r="P8" s="5"/>
      <c r="Q8" s="45">
        <f t="shared" si="2"/>
        <v>4.0860887096774192</v>
      </c>
      <c r="R8" s="46"/>
      <c r="S8" s="1">
        <v>7</v>
      </c>
      <c r="T8" s="8">
        <f t="shared" si="3"/>
        <v>2725.2258064516127</v>
      </c>
      <c r="U8" s="8">
        <v>84482</v>
      </c>
      <c r="V8">
        <v>31</v>
      </c>
      <c r="W8" s="8">
        <f t="shared" si="4"/>
        <v>2552.3548387096776</v>
      </c>
      <c r="X8" s="8">
        <v>79123</v>
      </c>
      <c r="Y8">
        <v>31</v>
      </c>
      <c r="Z8" s="8">
        <f t="shared" si="5"/>
        <v>2329.75</v>
      </c>
      <c r="AA8">
        <v>9319</v>
      </c>
      <c r="AB8">
        <v>4</v>
      </c>
      <c r="AC8" s="7">
        <v>700</v>
      </c>
      <c r="AD8" s="43">
        <v>2</v>
      </c>
      <c r="AE8">
        <v>4</v>
      </c>
      <c r="AF8" s="34">
        <f>AE8+((K8-1500)/(1500-1300))+1</f>
        <v>4.0969758064516135</v>
      </c>
      <c r="AH8">
        <v>86</v>
      </c>
    </row>
    <row r="9" spans="1:34" ht="50" customHeight="1">
      <c r="A9" s="2">
        <v>8</v>
      </c>
      <c r="B9" s="14">
        <v>5</v>
      </c>
      <c r="C9" s="2" t="s">
        <v>18</v>
      </c>
      <c r="D9" s="2"/>
      <c r="E9" s="2"/>
      <c r="F9" s="2" t="s">
        <v>4</v>
      </c>
      <c r="G9" s="4">
        <v>3</v>
      </c>
      <c r="H9" s="2">
        <v>8</v>
      </c>
      <c r="I9" s="29">
        <f>AG55</f>
        <v>3.2903225806451615</v>
      </c>
      <c r="J9" s="2">
        <v>8</v>
      </c>
      <c r="K9" s="10">
        <f t="shared" si="0"/>
        <v>1606.2413793103449</v>
      </c>
      <c r="L9" s="35">
        <f t="shared" si="1"/>
        <v>5</v>
      </c>
      <c r="M9" s="5"/>
      <c r="N9" s="5"/>
      <c r="O9" s="5"/>
      <c r="P9" s="5"/>
      <c r="Q9" s="45">
        <f t="shared" si="2"/>
        <v>4.4301075268817209</v>
      </c>
      <c r="R9" s="46"/>
      <c r="S9" s="1">
        <v>8</v>
      </c>
      <c r="T9" s="8">
        <f t="shared" si="3"/>
        <v>3519.9655172413795</v>
      </c>
      <c r="U9" s="8">
        <v>102079</v>
      </c>
      <c r="V9">
        <v>29</v>
      </c>
      <c r="W9" s="8">
        <f t="shared" si="4"/>
        <v>2905</v>
      </c>
      <c r="X9" s="8">
        <v>84245</v>
      </c>
      <c r="Y9">
        <v>29</v>
      </c>
      <c r="Z9" s="8">
        <f t="shared" si="5"/>
        <v>2329.75</v>
      </c>
      <c r="AA9">
        <v>9319</v>
      </c>
      <c r="AB9">
        <v>4</v>
      </c>
      <c r="AC9" s="38" t="s">
        <v>43</v>
      </c>
      <c r="AD9" s="43">
        <v>1</v>
      </c>
      <c r="AE9">
        <v>5</v>
      </c>
      <c r="AF9" s="34">
        <v>5</v>
      </c>
      <c r="AH9">
        <v>94</v>
      </c>
    </row>
    <row r="10" spans="1:34" ht="50" customHeight="1">
      <c r="A10" s="2">
        <v>9</v>
      </c>
      <c r="B10" s="14">
        <v>5</v>
      </c>
      <c r="C10" s="2" t="s">
        <v>19</v>
      </c>
      <c r="D10" s="2" t="s">
        <v>19</v>
      </c>
      <c r="E10" s="2"/>
      <c r="F10" s="2" t="s">
        <v>5</v>
      </c>
      <c r="G10" s="12">
        <v>4</v>
      </c>
      <c r="H10" s="2">
        <v>9</v>
      </c>
      <c r="I10" s="29">
        <f>AJ55</f>
        <v>3.2666666666666666</v>
      </c>
      <c r="J10" s="2">
        <v>9</v>
      </c>
      <c r="K10" s="10">
        <f t="shared" si="0"/>
        <v>1689.9310344827586</v>
      </c>
      <c r="L10" s="35">
        <f t="shared" si="1"/>
        <v>5</v>
      </c>
      <c r="M10" s="5"/>
      <c r="N10" s="5"/>
      <c r="O10" s="5"/>
      <c r="P10" s="5"/>
      <c r="Q10" s="45">
        <f t="shared" si="2"/>
        <v>4.4222222222222216</v>
      </c>
      <c r="R10" s="46"/>
      <c r="S10" s="1">
        <v>9</v>
      </c>
      <c r="T10" s="8">
        <f t="shared" si="3"/>
        <v>3694.1333333333332</v>
      </c>
      <c r="U10" s="8">
        <v>110824</v>
      </c>
      <c r="V10">
        <v>30</v>
      </c>
      <c r="W10" s="8">
        <f t="shared" si="4"/>
        <v>3043.1428571428573</v>
      </c>
      <c r="X10" s="8">
        <v>85208</v>
      </c>
      <c r="Y10">
        <v>28</v>
      </c>
      <c r="Z10" s="8">
        <f t="shared" si="5"/>
        <v>2329.75</v>
      </c>
      <c r="AA10">
        <v>9319</v>
      </c>
      <c r="AB10">
        <v>4</v>
      </c>
      <c r="AE10">
        <v>5</v>
      </c>
      <c r="AF10" s="34">
        <v>5</v>
      </c>
      <c r="AH10">
        <v>96</v>
      </c>
    </row>
    <row r="11" spans="1:34" ht="50" customHeight="1">
      <c r="A11" s="2">
        <v>10</v>
      </c>
      <c r="B11" s="14">
        <v>5</v>
      </c>
      <c r="C11" s="2" t="s">
        <v>20</v>
      </c>
      <c r="D11" s="2"/>
      <c r="E11" s="2" t="s">
        <v>16</v>
      </c>
      <c r="F11" s="2" t="s">
        <v>6</v>
      </c>
      <c r="G11" s="13">
        <v>5</v>
      </c>
      <c r="H11" s="2">
        <v>10</v>
      </c>
      <c r="I11" s="29">
        <f>U88</f>
        <v>3.193548387096774</v>
      </c>
      <c r="J11" s="2">
        <v>10</v>
      </c>
      <c r="K11" s="10">
        <f t="shared" si="0"/>
        <v>1730.5</v>
      </c>
      <c r="L11" s="35">
        <f t="shared" si="1"/>
        <v>5</v>
      </c>
      <c r="M11" s="5"/>
      <c r="N11" s="5"/>
      <c r="O11" s="5"/>
      <c r="P11" s="5"/>
      <c r="Q11" s="45">
        <f t="shared" si="2"/>
        <v>4.397849462365591</v>
      </c>
      <c r="R11" s="46"/>
      <c r="S11" s="1">
        <v>10</v>
      </c>
      <c r="T11" s="8">
        <f t="shared" si="3"/>
        <v>3828.8666666666668</v>
      </c>
      <c r="U11" s="8">
        <v>114866</v>
      </c>
      <c r="V11">
        <v>30</v>
      </c>
      <c r="W11" s="8">
        <f t="shared" si="4"/>
        <v>3105</v>
      </c>
      <c r="X11" s="8">
        <v>96255</v>
      </c>
      <c r="Y11">
        <v>31</v>
      </c>
      <c r="Z11" s="8">
        <f t="shared" si="5"/>
        <v>2329.75</v>
      </c>
      <c r="AA11">
        <v>9319</v>
      </c>
      <c r="AB11">
        <v>4</v>
      </c>
      <c r="AE11">
        <v>5</v>
      </c>
      <c r="AF11" s="34">
        <v>5</v>
      </c>
      <c r="AH11">
        <v>102</v>
      </c>
    </row>
    <row r="12" spans="1:34" ht="50" customHeight="1">
      <c r="A12" s="2">
        <v>11</v>
      </c>
      <c r="B12" s="3">
        <v>3</v>
      </c>
      <c r="C12" s="2" t="s">
        <v>22</v>
      </c>
      <c r="D12" s="2" t="s">
        <v>21</v>
      </c>
      <c r="E12" s="2"/>
      <c r="F12" s="2" t="s">
        <v>7</v>
      </c>
      <c r="G12" s="12">
        <v>4</v>
      </c>
      <c r="H12" s="2">
        <v>11</v>
      </c>
      <c r="I12" s="29">
        <f>X88</f>
        <v>3.3666666666666667</v>
      </c>
      <c r="J12" s="2">
        <v>11</v>
      </c>
      <c r="K12" s="10">
        <f t="shared" si="0"/>
        <v>1139.8660714285713</v>
      </c>
      <c r="L12" s="35">
        <f t="shared" si="1"/>
        <v>3.4662202380952376</v>
      </c>
      <c r="M12" s="5"/>
      <c r="N12" s="5"/>
      <c r="O12" s="5"/>
      <c r="P12" s="5"/>
      <c r="Q12" s="45">
        <f t="shared" si="2"/>
        <v>3.2776289682539681</v>
      </c>
      <c r="R12" s="46"/>
      <c r="S12" s="1">
        <v>11</v>
      </c>
      <c r="T12" s="8">
        <f t="shared" si="3"/>
        <v>2522.4444444444443</v>
      </c>
      <c r="U12" s="8">
        <v>68106</v>
      </c>
      <c r="V12">
        <v>27</v>
      </c>
      <c r="W12" s="8">
        <f t="shared" si="4"/>
        <v>2053.7586206896553</v>
      </c>
      <c r="X12" s="8">
        <v>59559</v>
      </c>
      <c r="Y12">
        <v>29</v>
      </c>
      <c r="Z12" s="8">
        <f t="shared" si="5"/>
        <v>2329.75</v>
      </c>
      <c r="AA12">
        <v>9319</v>
      </c>
      <c r="AB12">
        <v>4</v>
      </c>
      <c r="AE12">
        <v>3</v>
      </c>
      <c r="AF12" s="34">
        <f>AE12+((K12-1300)/(1300-1000))+1</f>
        <v>3.4662202380952376</v>
      </c>
      <c r="AH12">
        <v>69</v>
      </c>
    </row>
    <row r="13" spans="1:34" ht="50" customHeight="1">
      <c r="A13" s="2">
        <v>12</v>
      </c>
      <c r="B13" s="14">
        <v>5</v>
      </c>
      <c r="C13" s="2" t="s">
        <v>23</v>
      </c>
      <c r="D13" s="2" t="s">
        <v>26</v>
      </c>
      <c r="E13" s="2"/>
      <c r="F13" s="2" t="s">
        <v>52</v>
      </c>
      <c r="G13" s="18">
        <v>2</v>
      </c>
      <c r="H13" s="2">
        <v>12</v>
      </c>
      <c r="I13" s="29">
        <f>AA88</f>
        <v>3.0666666666666669</v>
      </c>
      <c r="J13" s="2">
        <v>12</v>
      </c>
      <c r="K13" s="10">
        <f t="shared" si="0"/>
        <v>1260.7719298245613</v>
      </c>
      <c r="L13" s="35">
        <f t="shared" si="1"/>
        <v>3.8692397660818711</v>
      </c>
      <c r="M13" s="5"/>
      <c r="N13" s="5"/>
      <c r="O13" s="5"/>
      <c r="P13" s="5"/>
      <c r="Q13" s="45">
        <f t="shared" si="2"/>
        <v>3.9786354775828463</v>
      </c>
      <c r="R13" s="46"/>
      <c r="S13" s="1">
        <v>12</v>
      </c>
      <c r="T13" s="8">
        <f t="shared" si="3"/>
        <v>2831.7586206896553</v>
      </c>
      <c r="U13" s="8">
        <v>82121</v>
      </c>
      <c r="V13">
        <v>29</v>
      </c>
      <c r="W13" s="8">
        <f t="shared" si="4"/>
        <v>2200.25</v>
      </c>
      <c r="X13" s="8">
        <v>61607</v>
      </c>
      <c r="Y13">
        <v>28</v>
      </c>
      <c r="Z13" s="8">
        <f t="shared" si="5"/>
        <v>2329.75</v>
      </c>
      <c r="AA13">
        <v>9319</v>
      </c>
      <c r="AB13">
        <v>4</v>
      </c>
      <c r="AE13">
        <v>3</v>
      </c>
      <c r="AF13" s="34">
        <f>AE13+((K13-1300)/(1300-1000))+1</f>
        <v>3.8692397660818711</v>
      </c>
      <c r="AH13">
        <v>143</v>
      </c>
    </row>
    <row r="14" spans="1:34" ht="50" customHeight="1">
      <c r="A14" s="2">
        <v>1</v>
      </c>
      <c r="B14" s="17">
        <v>2</v>
      </c>
      <c r="C14" s="2" t="s">
        <v>24</v>
      </c>
      <c r="D14" s="2" t="s">
        <v>27</v>
      </c>
      <c r="E14" s="2"/>
      <c r="F14" s="2" t="s">
        <v>49</v>
      </c>
      <c r="G14" s="19">
        <v>1</v>
      </c>
      <c r="H14" s="2">
        <v>1</v>
      </c>
      <c r="I14" s="29">
        <f>AD88</f>
        <v>3.2</v>
      </c>
      <c r="J14" s="2">
        <v>1</v>
      </c>
      <c r="K14" s="10">
        <f t="shared" si="0"/>
        <v>853.44444444444446</v>
      </c>
      <c r="L14" s="35">
        <f t="shared" si="1"/>
        <v>2.5114814814814816</v>
      </c>
      <c r="M14" s="5"/>
      <c r="N14" s="5"/>
      <c r="O14" s="5"/>
      <c r="P14" s="5"/>
      <c r="Q14" s="45">
        <f t="shared" si="2"/>
        <v>2.5704938271604938</v>
      </c>
      <c r="R14" s="46"/>
      <c r="S14" s="1">
        <v>1</v>
      </c>
      <c r="T14" s="8" t="e">
        <f t="shared" si="3"/>
        <v>#DIV/0!</v>
      </c>
      <c r="U14" s="8"/>
      <c r="W14" s="8">
        <f t="shared" si="4"/>
        <v>1706.8888888888889</v>
      </c>
      <c r="X14" s="8">
        <v>46086</v>
      </c>
      <c r="Y14">
        <v>27</v>
      </c>
      <c r="Z14" s="8">
        <f t="shared" si="5"/>
        <v>2329.75</v>
      </c>
      <c r="AA14">
        <v>9319</v>
      </c>
      <c r="AB14">
        <v>4</v>
      </c>
      <c r="AE14">
        <v>2</v>
      </c>
      <c r="AF14" s="34">
        <f>AE14+((K14-1000)/(1000-700))+1</f>
        <v>2.5114814814814816</v>
      </c>
      <c r="AH14">
        <v>69</v>
      </c>
    </row>
    <row r="15" spans="1:34" ht="50" customHeight="1">
      <c r="A15" s="2">
        <v>2</v>
      </c>
      <c r="B15" s="3">
        <v>3</v>
      </c>
      <c r="C15" s="2" t="s">
        <v>25</v>
      </c>
      <c r="D15" s="2" t="s">
        <v>28</v>
      </c>
      <c r="E15" s="2" t="s">
        <v>15</v>
      </c>
      <c r="F15" s="2" t="s">
        <v>50</v>
      </c>
      <c r="G15" s="13">
        <v>5</v>
      </c>
      <c r="H15" s="2">
        <v>2</v>
      </c>
      <c r="I15" s="29">
        <f>AG88</f>
        <v>3.2142857142857144</v>
      </c>
      <c r="J15" s="2">
        <v>2</v>
      </c>
      <c r="K15" s="10">
        <f t="shared" si="0"/>
        <v>1379.52</v>
      </c>
      <c r="L15" s="35">
        <f t="shared" si="1"/>
        <v>4.3975999999999997</v>
      </c>
      <c r="M15" s="5"/>
      <c r="N15" s="5"/>
      <c r="O15" s="5"/>
      <c r="P15" s="5"/>
      <c r="Q15" s="45">
        <f t="shared" si="2"/>
        <v>3.537295238095238</v>
      </c>
      <c r="R15" s="46"/>
      <c r="S15" s="1">
        <v>2</v>
      </c>
      <c r="T15" s="8" t="e">
        <f t="shared" si="3"/>
        <v>#DIV/0!</v>
      </c>
      <c r="U15" s="8"/>
      <c r="W15" s="8">
        <f t="shared" si="4"/>
        <v>2759.04</v>
      </c>
      <c r="X15" s="8">
        <v>68976</v>
      </c>
      <c r="Y15">
        <v>25</v>
      </c>
      <c r="Z15" s="8">
        <f t="shared" si="5"/>
        <v>2329.75</v>
      </c>
      <c r="AA15">
        <v>9319</v>
      </c>
      <c r="AB15">
        <v>4</v>
      </c>
      <c r="AE15">
        <v>4</v>
      </c>
      <c r="AF15" s="34">
        <f>AE15+((K15-1500)/(1500-1300))+1</f>
        <v>4.3975999999999997</v>
      </c>
      <c r="AH15">
        <v>96</v>
      </c>
    </row>
    <row r="16" spans="1:34" ht="50" customHeight="1">
      <c r="A16" s="2">
        <v>3</v>
      </c>
      <c r="B16" s="3">
        <v>3</v>
      </c>
      <c r="C16" s="2" t="s">
        <v>29</v>
      </c>
      <c r="D16" s="2"/>
      <c r="E16" s="2"/>
      <c r="F16" s="2" t="s">
        <v>51</v>
      </c>
      <c r="G16" s="4">
        <v>3</v>
      </c>
      <c r="H16" s="2">
        <v>3</v>
      </c>
      <c r="I16" s="29">
        <f>AJ88</f>
        <v>3.032258064516129</v>
      </c>
      <c r="J16" s="2">
        <v>3</v>
      </c>
      <c r="K16" s="10">
        <f t="shared" si="0"/>
        <v>1245.1052631578948</v>
      </c>
      <c r="L16" s="35">
        <f t="shared" si="1"/>
        <v>3.8170175438596492</v>
      </c>
      <c r="M16" s="5"/>
      <c r="N16" s="5"/>
      <c r="O16" s="5"/>
      <c r="P16" s="5"/>
      <c r="Q16" s="45">
        <f t="shared" si="2"/>
        <v>3.2830918694585929</v>
      </c>
      <c r="R16" s="46"/>
      <c r="S16" s="1">
        <v>3</v>
      </c>
      <c r="T16" s="8" t="e">
        <f t="shared" si="3"/>
        <v>#DIV/0!</v>
      </c>
      <c r="U16" s="8"/>
      <c r="W16" s="8">
        <f t="shared" si="4"/>
        <v>2490.2105263157896</v>
      </c>
      <c r="X16" s="8">
        <v>47314</v>
      </c>
      <c r="Y16">
        <v>19</v>
      </c>
      <c r="Z16" s="8">
        <f t="shared" si="5"/>
        <v>2329.75</v>
      </c>
      <c r="AA16">
        <v>9319</v>
      </c>
      <c r="AB16">
        <v>4</v>
      </c>
      <c r="AE16">
        <v>3</v>
      </c>
      <c r="AF16" s="34">
        <f>AE16+((K16-1300)/(1300-1000))+1</f>
        <v>3.8170175438596492</v>
      </c>
      <c r="AH16">
        <v>60</v>
      </c>
    </row>
    <row r="17" spans="1:36" ht="28" customHeight="1">
      <c r="A17" s="1"/>
      <c r="L17" s="11"/>
      <c r="S17" s="1" t="s">
        <v>42</v>
      </c>
      <c r="T17" s="8">
        <f>U17/V17</f>
        <v>2993.1983471074382</v>
      </c>
      <c r="U17" s="9">
        <f>SUM(U5:U16)</f>
        <v>724354</v>
      </c>
      <c r="V17">
        <f>SUM(V5:V16)</f>
        <v>242</v>
      </c>
      <c r="W17" s="8">
        <f>X17/Y17</f>
        <v>2507.9519230769229</v>
      </c>
      <c r="X17" s="9">
        <f>SUM(X5:X16)</f>
        <v>782481</v>
      </c>
      <c r="Y17">
        <f>SUM(Y5:Y16)</f>
        <v>312</v>
      </c>
    </row>
    <row r="19" spans="1:36" ht="20" hidden="1" customHeight="1">
      <c r="A19" s="40"/>
      <c r="B19" s="40"/>
      <c r="C19" s="40"/>
      <c r="D19" s="40"/>
      <c r="E19" s="40"/>
      <c r="F19" s="40"/>
      <c r="G19" s="40"/>
      <c r="H19" s="40"/>
      <c r="I19" s="40"/>
      <c r="J19" s="40"/>
      <c r="K19" s="40"/>
      <c r="L19" s="40"/>
      <c r="M19" s="40"/>
      <c r="N19" s="40"/>
      <c r="O19" s="40"/>
      <c r="P19" s="40"/>
      <c r="Q19" s="40"/>
    </row>
    <row r="20" spans="1:36" ht="6" hidden="1" customHeight="1">
      <c r="A20" s="40"/>
      <c r="B20" s="40"/>
      <c r="C20" s="40"/>
      <c r="D20" s="40"/>
      <c r="E20" s="40"/>
      <c r="F20" s="40"/>
      <c r="G20" s="40"/>
      <c r="H20" s="40"/>
      <c r="I20" s="40"/>
      <c r="J20" s="40"/>
      <c r="K20" s="40"/>
      <c r="L20" s="40"/>
      <c r="M20" s="40"/>
      <c r="N20" s="40"/>
      <c r="O20" s="40"/>
      <c r="P20" s="40"/>
      <c r="Q20" s="40"/>
    </row>
    <row r="21" spans="1:36" ht="1" hidden="1" customHeight="1">
      <c r="A21" s="40"/>
      <c r="B21" s="40"/>
      <c r="C21" s="40"/>
      <c r="D21" s="40"/>
      <c r="E21" s="40"/>
      <c r="F21" s="40"/>
      <c r="G21" s="40"/>
      <c r="H21" s="40"/>
      <c r="I21" s="40"/>
      <c r="J21" s="40"/>
      <c r="K21" s="40"/>
      <c r="L21" s="40"/>
      <c r="M21" s="40"/>
      <c r="N21" s="40"/>
      <c r="O21" s="40"/>
      <c r="P21" s="40"/>
      <c r="Q21" s="40"/>
    </row>
    <row r="22" spans="1:36" ht="20" customHeight="1" thickBot="1">
      <c r="A22" s="40"/>
      <c r="B22" s="40"/>
      <c r="C22" s="40"/>
      <c r="D22" s="40"/>
      <c r="E22" s="40"/>
      <c r="F22" s="40"/>
      <c r="G22" s="40"/>
      <c r="H22" s="40"/>
      <c r="I22" s="40"/>
      <c r="J22" s="40"/>
      <c r="K22" s="40"/>
      <c r="L22" s="40"/>
      <c r="M22" s="40"/>
      <c r="N22" s="40"/>
      <c r="O22" s="40"/>
      <c r="P22" s="40"/>
      <c r="Q22" s="40"/>
    </row>
    <row r="23" spans="1:36" ht="20" customHeight="1" thickTop="1">
      <c r="A23" s="55" t="s">
        <v>78</v>
      </c>
      <c r="B23" s="56"/>
      <c r="C23" s="56"/>
      <c r="D23" s="56"/>
      <c r="E23" s="56"/>
      <c r="F23" s="56"/>
      <c r="G23" s="56"/>
      <c r="H23" s="56"/>
      <c r="I23" s="56"/>
      <c r="J23" s="56"/>
      <c r="K23" s="56"/>
      <c r="L23" s="56"/>
      <c r="M23" s="56"/>
      <c r="N23" s="56"/>
      <c r="O23" s="56"/>
      <c r="P23" s="56"/>
      <c r="Q23" s="57"/>
      <c r="S23" s="52">
        <v>2025.4</v>
      </c>
      <c r="T23" s="53"/>
      <c r="U23" s="54"/>
      <c r="V23" s="52">
        <v>2025.5</v>
      </c>
      <c r="W23" s="53"/>
      <c r="X23" s="54"/>
      <c r="Y23" s="52">
        <v>2025.6</v>
      </c>
      <c r="Z23" s="53"/>
      <c r="AA23" s="54"/>
      <c r="AB23" s="52">
        <v>2025.7</v>
      </c>
      <c r="AC23" s="53"/>
      <c r="AD23" s="54"/>
      <c r="AE23" s="52">
        <v>2025.8</v>
      </c>
      <c r="AF23" s="53"/>
      <c r="AG23" s="54"/>
      <c r="AH23" s="52">
        <v>2025.9</v>
      </c>
      <c r="AI23" s="53"/>
      <c r="AJ23" s="54"/>
    </row>
    <row r="24" spans="1:36" ht="20" customHeight="1">
      <c r="A24" s="58"/>
      <c r="B24" s="59"/>
      <c r="C24" s="59"/>
      <c r="D24" s="59"/>
      <c r="E24" s="59"/>
      <c r="F24" s="59"/>
      <c r="G24" s="59"/>
      <c r="H24" s="59"/>
      <c r="I24" s="59"/>
      <c r="J24" s="59"/>
      <c r="K24" s="59"/>
      <c r="L24" s="59"/>
      <c r="M24" s="59"/>
      <c r="N24" s="59"/>
      <c r="O24" s="59"/>
      <c r="P24" s="59"/>
      <c r="Q24" s="60"/>
      <c r="S24" s="21">
        <v>1</v>
      </c>
      <c r="T24" s="1" t="s">
        <v>45</v>
      </c>
      <c r="U24" s="22">
        <v>2</v>
      </c>
      <c r="V24" s="21">
        <v>1</v>
      </c>
      <c r="W24" s="1" t="s">
        <v>4</v>
      </c>
      <c r="X24" s="22">
        <v>3</v>
      </c>
      <c r="Y24" s="21">
        <v>1</v>
      </c>
      <c r="Z24" s="24" t="s">
        <v>47</v>
      </c>
      <c r="AA24" s="22">
        <v>4</v>
      </c>
      <c r="AB24" s="21">
        <v>1</v>
      </c>
      <c r="AC24" s="1" t="s">
        <v>45</v>
      </c>
      <c r="AD24" s="22">
        <v>2</v>
      </c>
      <c r="AE24" s="21">
        <v>1</v>
      </c>
      <c r="AF24" s="1" t="s">
        <v>5</v>
      </c>
      <c r="AG24" s="22">
        <v>4</v>
      </c>
      <c r="AH24" s="21">
        <v>1</v>
      </c>
      <c r="AI24" s="1" t="s">
        <v>37</v>
      </c>
      <c r="AJ24" s="22">
        <v>2</v>
      </c>
    </row>
    <row r="25" spans="1:36" ht="20" customHeight="1">
      <c r="A25" s="58"/>
      <c r="B25" s="59"/>
      <c r="C25" s="59"/>
      <c r="D25" s="59"/>
      <c r="E25" s="59"/>
      <c r="F25" s="59"/>
      <c r="G25" s="59"/>
      <c r="H25" s="59"/>
      <c r="I25" s="59"/>
      <c r="J25" s="59"/>
      <c r="K25" s="59"/>
      <c r="L25" s="59"/>
      <c r="M25" s="59"/>
      <c r="N25" s="59"/>
      <c r="O25" s="59"/>
      <c r="P25" s="59"/>
      <c r="Q25" s="60"/>
      <c r="S25" s="21">
        <v>2</v>
      </c>
      <c r="T25" s="1" t="s">
        <v>3</v>
      </c>
      <c r="U25" s="22">
        <v>2</v>
      </c>
      <c r="V25" s="21">
        <v>2</v>
      </c>
      <c r="W25" s="1" t="s">
        <v>5</v>
      </c>
      <c r="X25" s="22">
        <v>4</v>
      </c>
      <c r="Y25" s="21">
        <v>2</v>
      </c>
      <c r="Z25" s="1" t="s">
        <v>37</v>
      </c>
      <c r="AA25" s="22">
        <v>2</v>
      </c>
      <c r="AB25" s="21">
        <v>2</v>
      </c>
      <c r="AC25" s="1" t="s">
        <v>3</v>
      </c>
      <c r="AD25" s="22">
        <v>2</v>
      </c>
      <c r="AE25" s="21">
        <v>2</v>
      </c>
      <c r="AF25" s="23" t="s">
        <v>6</v>
      </c>
      <c r="AG25" s="22">
        <v>5</v>
      </c>
      <c r="AH25" s="21">
        <v>2</v>
      </c>
      <c r="AI25" s="1" t="s">
        <v>44</v>
      </c>
      <c r="AJ25" s="22">
        <v>2</v>
      </c>
    </row>
    <row r="26" spans="1:36" ht="20" customHeight="1">
      <c r="A26" s="58"/>
      <c r="B26" s="59"/>
      <c r="C26" s="59"/>
      <c r="D26" s="59"/>
      <c r="E26" s="59"/>
      <c r="F26" s="59"/>
      <c r="G26" s="59"/>
      <c r="H26" s="59"/>
      <c r="I26" s="59"/>
      <c r="J26" s="59"/>
      <c r="K26" s="59"/>
      <c r="L26" s="59"/>
      <c r="M26" s="59"/>
      <c r="N26" s="59"/>
      <c r="O26" s="59"/>
      <c r="P26" s="59"/>
      <c r="Q26" s="60"/>
      <c r="S26" s="21">
        <v>3</v>
      </c>
      <c r="T26" s="1" t="s">
        <v>4</v>
      </c>
      <c r="U26" s="22">
        <v>3</v>
      </c>
      <c r="V26" s="21">
        <v>3</v>
      </c>
      <c r="W26" s="23" t="s">
        <v>6</v>
      </c>
      <c r="X26" s="22">
        <v>5</v>
      </c>
      <c r="Y26" s="21">
        <v>3</v>
      </c>
      <c r="Z26" s="1" t="s">
        <v>44</v>
      </c>
      <c r="AA26" s="22">
        <v>2</v>
      </c>
      <c r="AB26" s="21">
        <v>3</v>
      </c>
      <c r="AC26" s="1" t="s">
        <v>4</v>
      </c>
      <c r="AD26" s="22">
        <v>3</v>
      </c>
      <c r="AE26" s="21">
        <v>3</v>
      </c>
      <c r="AF26" s="24" t="s">
        <v>47</v>
      </c>
      <c r="AG26" s="22">
        <v>4</v>
      </c>
      <c r="AH26" s="21">
        <v>3</v>
      </c>
      <c r="AI26" s="1" t="s">
        <v>46</v>
      </c>
      <c r="AJ26" s="22">
        <v>2</v>
      </c>
    </row>
    <row r="27" spans="1:36" ht="20" customHeight="1">
      <c r="A27" s="58"/>
      <c r="B27" s="59"/>
      <c r="C27" s="59"/>
      <c r="D27" s="59"/>
      <c r="E27" s="59"/>
      <c r="F27" s="59"/>
      <c r="G27" s="59"/>
      <c r="H27" s="59"/>
      <c r="I27" s="59"/>
      <c r="J27" s="59"/>
      <c r="K27" s="59"/>
      <c r="L27" s="59"/>
      <c r="M27" s="59"/>
      <c r="N27" s="59"/>
      <c r="O27" s="59"/>
      <c r="P27" s="59"/>
      <c r="Q27" s="60"/>
      <c r="S27" s="21">
        <v>4</v>
      </c>
      <c r="T27" s="1" t="s">
        <v>5</v>
      </c>
      <c r="U27" s="22">
        <v>4</v>
      </c>
      <c r="V27" s="21">
        <v>4</v>
      </c>
      <c r="W27" s="24" t="s">
        <v>47</v>
      </c>
      <c r="X27" s="22">
        <v>5</v>
      </c>
      <c r="Y27" s="21">
        <v>4</v>
      </c>
      <c r="Z27" s="1" t="s">
        <v>46</v>
      </c>
      <c r="AA27" s="22">
        <v>2</v>
      </c>
      <c r="AB27" s="21">
        <v>4</v>
      </c>
      <c r="AC27" s="1" t="s">
        <v>5</v>
      </c>
      <c r="AD27" s="22">
        <v>4</v>
      </c>
      <c r="AE27" s="21">
        <v>4</v>
      </c>
      <c r="AF27" s="1" t="s">
        <v>37</v>
      </c>
      <c r="AG27" s="22">
        <v>2</v>
      </c>
      <c r="AH27" s="21">
        <v>4</v>
      </c>
      <c r="AI27" s="1" t="s">
        <v>4</v>
      </c>
      <c r="AJ27" s="22">
        <v>3</v>
      </c>
    </row>
    <row r="28" spans="1:36" ht="20" customHeight="1" thickBot="1">
      <c r="A28" s="61"/>
      <c r="B28" s="62"/>
      <c r="C28" s="62"/>
      <c r="D28" s="62"/>
      <c r="E28" s="62"/>
      <c r="F28" s="62"/>
      <c r="G28" s="62"/>
      <c r="H28" s="62"/>
      <c r="I28" s="62"/>
      <c r="J28" s="62"/>
      <c r="K28" s="62"/>
      <c r="L28" s="62"/>
      <c r="M28" s="62"/>
      <c r="N28" s="62"/>
      <c r="O28" s="62"/>
      <c r="P28" s="62"/>
      <c r="Q28" s="63"/>
      <c r="S28" s="21">
        <v>5</v>
      </c>
      <c r="T28" s="23" t="s">
        <v>6</v>
      </c>
      <c r="U28" s="22">
        <v>5</v>
      </c>
      <c r="V28" s="21">
        <v>5</v>
      </c>
      <c r="W28" s="24" t="s">
        <v>37</v>
      </c>
      <c r="X28" s="22">
        <v>5</v>
      </c>
      <c r="Y28" s="21">
        <v>5</v>
      </c>
      <c r="Z28" s="1" t="s">
        <v>4</v>
      </c>
      <c r="AA28" s="22">
        <v>3</v>
      </c>
      <c r="AB28" s="21">
        <v>5</v>
      </c>
      <c r="AC28" s="23" t="s">
        <v>6</v>
      </c>
      <c r="AD28" s="22">
        <v>5</v>
      </c>
      <c r="AE28" s="21">
        <v>5</v>
      </c>
      <c r="AF28" s="1" t="s">
        <v>44</v>
      </c>
      <c r="AG28" s="22">
        <v>2</v>
      </c>
      <c r="AH28" s="21">
        <v>5</v>
      </c>
      <c r="AI28" s="1" t="s">
        <v>5</v>
      </c>
      <c r="AJ28" s="22">
        <v>4</v>
      </c>
    </row>
    <row r="29" spans="1:36" ht="20" customHeight="1" thickTop="1" thickBot="1">
      <c r="A29" s="40"/>
      <c r="B29" s="40"/>
      <c r="C29" s="40"/>
      <c r="D29" s="40"/>
      <c r="E29" s="40"/>
      <c r="F29" s="40"/>
      <c r="G29" s="40"/>
      <c r="H29" s="40"/>
      <c r="I29" s="40"/>
      <c r="J29" s="40"/>
      <c r="K29" s="40"/>
      <c r="L29" s="40"/>
      <c r="M29" s="40"/>
      <c r="N29" s="40"/>
      <c r="O29" s="40"/>
      <c r="P29" s="40"/>
      <c r="Q29" s="40"/>
      <c r="S29" s="21">
        <v>6</v>
      </c>
      <c r="T29" s="24" t="s">
        <v>47</v>
      </c>
      <c r="U29" s="22">
        <v>4</v>
      </c>
      <c r="V29" s="21">
        <v>6</v>
      </c>
      <c r="W29" s="24" t="s">
        <v>44</v>
      </c>
      <c r="X29" s="22">
        <v>3</v>
      </c>
      <c r="Y29" s="21">
        <v>6</v>
      </c>
      <c r="Z29" s="1" t="s">
        <v>5</v>
      </c>
      <c r="AA29" s="22">
        <v>4</v>
      </c>
      <c r="AB29" s="21">
        <v>6</v>
      </c>
      <c r="AC29" s="24" t="s">
        <v>47</v>
      </c>
      <c r="AD29" s="22">
        <v>4</v>
      </c>
      <c r="AE29" s="21">
        <v>6</v>
      </c>
      <c r="AF29" s="1" t="s">
        <v>46</v>
      </c>
      <c r="AG29" s="22">
        <v>2</v>
      </c>
      <c r="AH29" s="21">
        <v>6</v>
      </c>
      <c r="AI29" s="23" t="s">
        <v>6</v>
      </c>
      <c r="AJ29" s="22">
        <v>5</v>
      </c>
    </row>
    <row r="30" spans="1:36" ht="20" customHeight="1" thickTop="1">
      <c r="A30" s="87" t="s">
        <v>79</v>
      </c>
      <c r="B30" s="88"/>
      <c r="C30" s="85" t="s">
        <v>74</v>
      </c>
      <c r="D30" s="85"/>
      <c r="E30" s="85"/>
      <c r="F30" s="85"/>
      <c r="G30" s="85"/>
      <c r="H30" s="85"/>
      <c r="I30" s="85"/>
      <c r="J30" s="85"/>
      <c r="K30" s="85"/>
      <c r="L30" s="85"/>
      <c r="M30" s="85"/>
      <c r="N30" s="85"/>
      <c r="O30" s="85"/>
      <c r="P30" s="85"/>
      <c r="Q30" s="86"/>
      <c r="S30" s="21">
        <v>7</v>
      </c>
      <c r="T30" s="1" t="s">
        <v>37</v>
      </c>
      <c r="U30" s="22">
        <v>2</v>
      </c>
      <c r="V30" s="21">
        <v>7</v>
      </c>
      <c r="W30" s="1" t="s">
        <v>46</v>
      </c>
      <c r="X30" s="22">
        <v>1</v>
      </c>
      <c r="Y30" s="21">
        <v>7</v>
      </c>
      <c r="Z30" s="23" t="s">
        <v>6</v>
      </c>
      <c r="AA30" s="22">
        <v>5</v>
      </c>
      <c r="AB30" s="21">
        <v>7</v>
      </c>
      <c r="AC30" s="1" t="s">
        <v>37</v>
      </c>
      <c r="AD30" s="22">
        <v>2</v>
      </c>
      <c r="AE30" s="21">
        <v>7</v>
      </c>
      <c r="AF30" s="1" t="s">
        <v>4</v>
      </c>
      <c r="AG30" s="22">
        <v>3</v>
      </c>
      <c r="AH30" s="21">
        <v>7</v>
      </c>
      <c r="AI30" s="24" t="s">
        <v>47</v>
      </c>
      <c r="AJ30" s="22">
        <v>4</v>
      </c>
    </row>
    <row r="31" spans="1:36" ht="20" customHeight="1">
      <c r="A31" s="77"/>
      <c r="B31" s="78"/>
      <c r="C31" s="81"/>
      <c r="D31" s="81"/>
      <c r="E31" s="81"/>
      <c r="F31" s="81"/>
      <c r="G31" s="81"/>
      <c r="H31" s="81"/>
      <c r="I31" s="81"/>
      <c r="J31" s="81"/>
      <c r="K31" s="81"/>
      <c r="L31" s="81"/>
      <c r="M31" s="81"/>
      <c r="N31" s="81"/>
      <c r="O31" s="81"/>
      <c r="P31" s="81"/>
      <c r="Q31" s="82"/>
      <c r="S31" s="21">
        <v>8</v>
      </c>
      <c r="T31" s="1" t="s">
        <v>44</v>
      </c>
      <c r="U31" s="22">
        <v>2</v>
      </c>
      <c r="V31" s="21">
        <v>8</v>
      </c>
      <c r="W31" s="1" t="s">
        <v>4</v>
      </c>
      <c r="X31" s="22">
        <v>3</v>
      </c>
      <c r="Y31" s="21">
        <v>8</v>
      </c>
      <c r="Z31" s="24" t="s">
        <v>47</v>
      </c>
      <c r="AA31" s="22">
        <v>4</v>
      </c>
      <c r="AB31" s="21">
        <v>8</v>
      </c>
      <c r="AC31" s="1" t="s">
        <v>44</v>
      </c>
      <c r="AD31" s="22">
        <v>2</v>
      </c>
      <c r="AE31" s="21">
        <v>8</v>
      </c>
      <c r="AF31" s="1" t="s">
        <v>5</v>
      </c>
      <c r="AG31" s="22">
        <v>4</v>
      </c>
      <c r="AH31" s="21">
        <v>8</v>
      </c>
      <c r="AI31" s="1" t="s">
        <v>37</v>
      </c>
      <c r="AJ31" s="22">
        <v>2</v>
      </c>
    </row>
    <row r="32" spans="1:36" ht="20" customHeight="1">
      <c r="A32" s="77"/>
      <c r="B32" s="78"/>
      <c r="C32" s="81" t="s">
        <v>75</v>
      </c>
      <c r="D32" s="81"/>
      <c r="E32" s="81"/>
      <c r="F32" s="81"/>
      <c r="G32" s="81"/>
      <c r="H32" s="81"/>
      <c r="I32" s="81"/>
      <c r="J32" s="81"/>
      <c r="K32" s="81"/>
      <c r="L32" s="81"/>
      <c r="M32" s="81"/>
      <c r="N32" s="81"/>
      <c r="O32" s="81"/>
      <c r="P32" s="81"/>
      <c r="Q32" s="82"/>
      <c r="S32" s="21">
        <v>9</v>
      </c>
      <c r="T32" s="1" t="s">
        <v>46</v>
      </c>
      <c r="U32" s="22">
        <v>2</v>
      </c>
      <c r="V32" s="21">
        <v>9</v>
      </c>
      <c r="W32" s="1" t="s">
        <v>5</v>
      </c>
      <c r="X32" s="22">
        <v>4</v>
      </c>
      <c r="Y32" s="21">
        <v>9</v>
      </c>
      <c r="Z32" s="1" t="s">
        <v>37</v>
      </c>
      <c r="AA32" s="22">
        <v>2</v>
      </c>
      <c r="AB32" s="21">
        <v>9</v>
      </c>
      <c r="AC32" s="1" t="s">
        <v>46</v>
      </c>
      <c r="AD32" s="22">
        <v>2</v>
      </c>
      <c r="AE32" s="21">
        <v>9</v>
      </c>
      <c r="AF32" s="23" t="s">
        <v>6</v>
      </c>
      <c r="AG32" s="22">
        <v>5</v>
      </c>
      <c r="AH32" s="21">
        <v>9</v>
      </c>
      <c r="AI32" s="1" t="s">
        <v>44</v>
      </c>
      <c r="AJ32" s="22">
        <v>2</v>
      </c>
    </row>
    <row r="33" spans="1:36" ht="20" customHeight="1">
      <c r="A33" s="77"/>
      <c r="B33" s="78"/>
      <c r="C33" s="81"/>
      <c r="D33" s="81"/>
      <c r="E33" s="81"/>
      <c r="F33" s="81"/>
      <c r="G33" s="81"/>
      <c r="H33" s="81"/>
      <c r="I33" s="81"/>
      <c r="J33" s="81"/>
      <c r="K33" s="81"/>
      <c r="L33" s="81"/>
      <c r="M33" s="81"/>
      <c r="N33" s="81"/>
      <c r="O33" s="81"/>
      <c r="P33" s="81"/>
      <c r="Q33" s="82"/>
      <c r="S33" s="21">
        <v>10</v>
      </c>
      <c r="T33" s="1" t="s">
        <v>4</v>
      </c>
      <c r="U33" s="22">
        <v>3</v>
      </c>
      <c r="V33" s="21">
        <v>10</v>
      </c>
      <c r="W33" s="23" t="s">
        <v>6</v>
      </c>
      <c r="X33" s="22">
        <v>5</v>
      </c>
      <c r="Y33" s="21">
        <v>10</v>
      </c>
      <c r="Z33" s="1" t="s">
        <v>44</v>
      </c>
      <c r="AA33" s="22">
        <v>2</v>
      </c>
      <c r="AB33" s="21">
        <v>10</v>
      </c>
      <c r="AC33" s="1" t="s">
        <v>4</v>
      </c>
      <c r="AD33" s="22">
        <v>3</v>
      </c>
      <c r="AE33" s="21">
        <v>10</v>
      </c>
      <c r="AF33" s="24" t="s">
        <v>47</v>
      </c>
      <c r="AG33" s="22">
        <v>5</v>
      </c>
      <c r="AH33" s="21">
        <v>10</v>
      </c>
      <c r="AI33" s="1" t="s">
        <v>46</v>
      </c>
      <c r="AJ33" s="22">
        <v>2</v>
      </c>
    </row>
    <row r="34" spans="1:36" ht="20" customHeight="1">
      <c r="A34" s="77"/>
      <c r="B34" s="78"/>
      <c r="C34" s="81" t="s">
        <v>76</v>
      </c>
      <c r="D34" s="81"/>
      <c r="E34" s="81"/>
      <c r="F34" s="81"/>
      <c r="G34" s="81"/>
      <c r="H34" s="81"/>
      <c r="I34" s="81"/>
      <c r="J34" s="81"/>
      <c r="K34" s="81"/>
      <c r="L34" s="81"/>
      <c r="M34" s="81"/>
      <c r="N34" s="81"/>
      <c r="O34" s="81"/>
      <c r="P34" s="81"/>
      <c r="Q34" s="82"/>
      <c r="S34" s="21">
        <v>11</v>
      </c>
      <c r="T34" s="1" t="s">
        <v>5</v>
      </c>
      <c r="U34" s="22">
        <v>4</v>
      </c>
      <c r="V34" s="21">
        <v>11</v>
      </c>
      <c r="W34" s="24" t="s">
        <v>47</v>
      </c>
      <c r="X34" s="22">
        <v>4</v>
      </c>
      <c r="Y34" s="21">
        <v>11</v>
      </c>
      <c r="Z34" s="1" t="s">
        <v>46</v>
      </c>
      <c r="AA34" s="22">
        <v>2</v>
      </c>
      <c r="AB34" s="21">
        <v>11</v>
      </c>
      <c r="AC34" s="1" t="s">
        <v>5</v>
      </c>
      <c r="AD34" s="22">
        <v>4</v>
      </c>
      <c r="AE34" s="21">
        <v>11</v>
      </c>
      <c r="AF34" s="24" t="s">
        <v>37</v>
      </c>
      <c r="AG34" s="22">
        <v>4</v>
      </c>
      <c r="AH34" s="21">
        <v>11</v>
      </c>
      <c r="AI34" s="1" t="s">
        <v>4</v>
      </c>
      <c r="AJ34" s="22">
        <v>3</v>
      </c>
    </row>
    <row r="35" spans="1:36" ht="20" customHeight="1">
      <c r="A35" s="77"/>
      <c r="B35" s="78"/>
      <c r="C35" s="81"/>
      <c r="D35" s="81"/>
      <c r="E35" s="81"/>
      <c r="F35" s="81"/>
      <c r="G35" s="81"/>
      <c r="H35" s="81"/>
      <c r="I35" s="81"/>
      <c r="J35" s="81"/>
      <c r="K35" s="81"/>
      <c r="L35" s="81"/>
      <c r="M35" s="81"/>
      <c r="N35" s="81"/>
      <c r="O35" s="81"/>
      <c r="P35" s="81"/>
      <c r="Q35" s="82"/>
      <c r="S35" s="21">
        <v>12</v>
      </c>
      <c r="T35" s="23" t="s">
        <v>6</v>
      </c>
      <c r="U35" s="22">
        <v>5</v>
      </c>
      <c r="V35" s="21">
        <v>12</v>
      </c>
      <c r="W35" s="1" t="s">
        <v>37</v>
      </c>
      <c r="X35" s="22">
        <v>2</v>
      </c>
      <c r="Y35" s="21">
        <v>12</v>
      </c>
      <c r="Z35" s="1" t="s">
        <v>4</v>
      </c>
      <c r="AA35" s="22">
        <v>3</v>
      </c>
      <c r="AB35" s="21">
        <v>12</v>
      </c>
      <c r="AC35" s="23" t="s">
        <v>6</v>
      </c>
      <c r="AD35" s="22">
        <v>5</v>
      </c>
      <c r="AE35" s="21">
        <v>12</v>
      </c>
      <c r="AF35" s="1" t="s">
        <v>44</v>
      </c>
      <c r="AG35" s="22">
        <v>2</v>
      </c>
      <c r="AH35" s="21">
        <v>12</v>
      </c>
      <c r="AI35" s="1" t="s">
        <v>5</v>
      </c>
      <c r="AJ35" s="22">
        <v>4</v>
      </c>
    </row>
    <row r="36" spans="1:36" ht="20" customHeight="1">
      <c r="A36" s="77"/>
      <c r="B36" s="78"/>
      <c r="C36" s="81" t="s">
        <v>83</v>
      </c>
      <c r="D36" s="81"/>
      <c r="E36" s="81"/>
      <c r="F36" s="81"/>
      <c r="G36" s="81"/>
      <c r="H36" s="81"/>
      <c r="I36" s="81"/>
      <c r="J36" s="81"/>
      <c r="K36" s="81"/>
      <c r="L36" s="81"/>
      <c r="M36" s="81"/>
      <c r="N36" s="81"/>
      <c r="O36" s="81"/>
      <c r="P36" s="81"/>
      <c r="Q36" s="82"/>
      <c r="S36" s="21">
        <v>13</v>
      </c>
      <c r="T36" s="24" t="s">
        <v>47</v>
      </c>
      <c r="U36" s="22">
        <v>4</v>
      </c>
      <c r="V36" s="21">
        <v>13</v>
      </c>
      <c r="W36" s="1" t="s">
        <v>44</v>
      </c>
      <c r="X36" s="22">
        <v>2</v>
      </c>
      <c r="Y36" s="21">
        <v>13</v>
      </c>
      <c r="Z36" s="1" t="s">
        <v>5</v>
      </c>
      <c r="AA36" s="22">
        <v>4</v>
      </c>
      <c r="AB36" s="21">
        <v>13</v>
      </c>
      <c r="AC36" s="24" t="s">
        <v>47</v>
      </c>
      <c r="AD36" s="22">
        <v>4</v>
      </c>
      <c r="AE36" s="21">
        <v>13</v>
      </c>
      <c r="AF36" s="1" t="s">
        <v>46</v>
      </c>
      <c r="AG36" s="22">
        <v>2</v>
      </c>
      <c r="AH36" s="21">
        <v>13</v>
      </c>
      <c r="AI36" s="23" t="s">
        <v>6</v>
      </c>
      <c r="AJ36" s="22">
        <v>5</v>
      </c>
    </row>
    <row r="37" spans="1:36" ht="20" customHeight="1">
      <c r="A37" s="77"/>
      <c r="B37" s="78"/>
      <c r="C37" s="81"/>
      <c r="D37" s="81"/>
      <c r="E37" s="81"/>
      <c r="F37" s="81"/>
      <c r="G37" s="81"/>
      <c r="H37" s="81"/>
      <c r="I37" s="81"/>
      <c r="J37" s="81"/>
      <c r="K37" s="81"/>
      <c r="L37" s="81"/>
      <c r="M37" s="81"/>
      <c r="N37" s="81"/>
      <c r="O37" s="81"/>
      <c r="P37" s="81"/>
      <c r="Q37" s="82"/>
      <c r="S37" s="21">
        <v>14</v>
      </c>
      <c r="T37" s="1" t="s">
        <v>37</v>
      </c>
      <c r="U37" s="22">
        <v>2</v>
      </c>
      <c r="V37" s="21">
        <v>14</v>
      </c>
      <c r="W37" s="1" t="s">
        <v>46</v>
      </c>
      <c r="X37" s="22">
        <v>2</v>
      </c>
      <c r="Y37" s="21">
        <v>14</v>
      </c>
      <c r="Z37" s="23" t="s">
        <v>6</v>
      </c>
      <c r="AA37" s="22">
        <v>5</v>
      </c>
      <c r="AB37" s="21">
        <v>14</v>
      </c>
      <c r="AC37" s="1" t="s">
        <v>37</v>
      </c>
      <c r="AD37" s="22">
        <v>2</v>
      </c>
      <c r="AE37" s="21">
        <v>14</v>
      </c>
      <c r="AF37" s="1" t="s">
        <v>4</v>
      </c>
      <c r="AG37" s="22">
        <v>3</v>
      </c>
      <c r="AH37" s="21">
        <v>14</v>
      </c>
      <c r="AI37" s="24" t="s">
        <v>47</v>
      </c>
      <c r="AJ37" s="22">
        <v>5</v>
      </c>
    </row>
    <row r="38" spans="1:36" ht="20" customHeight="1">
      <c r="A38" s="77" t="s">
        <v>80</v>
      </c>
      <c r="B38" s="78"/>
      <c r="C38" s="81" t="s">
        <v>82</v>
      </c>
      <c r="D38" s="81"/>
      <c r="E38" s="81"/>
      <c r="F38" s="81"/>
      <c r="G38" s="81"/>
      <c r="H38" s="81"/>
      <c r="I38" s="81"/>
      <c r="J38" s="81"/>
      <c r="K38" s="81"/>
      <c r="L38" s="81"/>
      <c r="M38" s="81"/>
      <c r="N38" s="81"/>
      <c r="O38" s="81"/>
      <c r="P38" s="81"/>
      <c r="Q38" s="82"/>
      <c r="S38" s="21">
        <v>15</v>
      </c>
      <c r="T38" s="1" t="s">
        <v>44</v>
      </c>
      <c r="U38" s="22">
        <v>2</v>
      </c>
      <c r="V38" s="21">
        <v>15</v>
      </c>
      <c r="W38" s="1" t="s">
        <v>4</v>
      </c>
      <c r="X38" s="22">
        <v>3</v>
      </c>
      <c r="Y38" s="21">
        <v>15</v>
      </c>
      <c r="Z38" s="24" t="s">
        <v>47</v>
      </c>
      <c r="AA38" s="22">
        <v>4</v>
      </c>
      <c r="AB38" s="21">
        <v>15</v>
      </c>
      <c r="AC38" s="1" t="s">
        <v>44</v>
      </c>
      <c r="AD38" s="22">
        <v>2</v>
      </c>
      <c r="AE38" s="21">
        <v>15</v>
      </c>
      <c r="AF38" s="1" t="s">
        <v>5</v>
      </c>
      <c r="AG38" s="22">
        <v>4</v>
      </c>
      <c r="AH38" s="21">
        <v>15</v>
      </c>
      <c r="AI38" s="24" t="s">
        <v>37</v>
      </c>
      <c r="AJ38" s="22">
        <v>4</v>
      </c>
    </row>
    <row r="39" spans="1:36" ht="20" customHeight="1">
      <c r="A39" s="77"/>
      <c r="B39" s="78"/>
      <c r="C39" s="81"/>
      <c r="D39" s="81"/>
      <c r="E39" s="81"/>
      <c r="F39" s="81"/>
      <c r="G39" s="81"/>
      <c r="H39" s="81"/>
      <c r="I39" s="81"/>
      <c r="J39" s="81"/>
      <c r="K39" s="81"/>
      <c r="L39" s="81"/>
      <c r="M39" s="81"/>
      <c r="N39" s="81"/>
      <c r="O39" s="81"/>
      <c r="P39" s="81"/>
      <c r="Q39" s="82"/>
      <c r="S39" s="21">
        <v>16</v>
      </c>
      <c r="T39" s="1" t="s">
        <v>46</v>
      </c>
      <c r="U39" s="22">
        <v>2</v>
      </c>
      <c r="V39" s="21">
        <v>16</v>
      </c>
      <c r="W39" s="1" t="s">
        <v>5</v>
      </c>
      <c r="X39" s="22">
        <v>4</v>
      </c>
      <c r="Y39" s="21">
        <v>16</v>
      </c>
      <c r="Z39" s="1" t="s">
        <v>37</v>
      </c>
      <c r="AA39" s="22">
        <v>2</v>
      </c>
      <c r="AB39" s="21">
        <v>16</v>
      </c>
      <c r="AC39" s="1" t="s">
        <v>46</v>
      </c>
      <c r="AD39" s="22">
        <v>2</v>
      </c>
      <c r="AE39" s="21">
        <v>16</v>
      </c>
      <c r="AF39" s="23" t="s">
        <v>6</v>
      </c>
      <c r="AG39" s="22">
        <v>5</v>
      </c>
      <c r="AH39" s="21">
        <v>16</v>
      </c>
      <c r="AI39" s="1" t="s">
        <v>44</v>
      </c>
      <c r="AJ39" s="22">
        <v>2</v>
      </c>
    </row>
    <row r="40" spans="1:36" ht="20" customHeight="1">
      <c r="A40" s="77"/>
      <c r="B40" s="78"/>
      <c r="C40" s="81" t="s">
        <v>81</v>
      </c>
      <c r="D40" s="81"/>
      <c r="E40" s="81"/>
      <c r="F40" s="81"/>
      <c r="G40" s="81"/>
      <c r="H40" s="81"/>
      <c r="I40" s="81"/>
      <c r="J40" s="81"/>
      <c r="K40" s="81"/>
      <c r="L40" s="81"/>
      <c r="M40" s="81"/>
      <c r="N40" s="81"/>
      <c r="O40" s="81"/>
      <c r="P40" s="81"/>
      <c r="Q40" s="82"/>
      <c r="S40" s="21">
        <v>17</v>
      </c>
      <c r="T40" s="1" t="s">
        <v>4</v>
      </c>
      <c r="U40" s="22">
        <v>3</v>
      </c>
      <c r="V40" s="21">
        <v>17</v>
      </c>
      <c r="W40" s="23" t="s">
        <v>6</v>
      </c>
      <c r="X40" s="22">
        <v>5</v>
      </c>
      <c r="Y40" s="21">
        <v>17</v>
      </c>
      <c r="Z40" s="1" t="s">
        <v>44</v>
      </c>
      <c r="AA40" s="22">
        <v>2</v>
      </c>
      <c r="AB40" s="21">
        <v>17</v>
      </c>
      <c r="AC40" s="1" t="s">
        <v>4</v>
      </c>
      <c r="AD40" s="22">
        <v>3</v>
      </c>
      <c r="AE40" s="21">
        <v>17</v>
      </c>
      <c r="AF40" s="24" t="s">
        <v>47</v>
      </c>
      <c r="AG40" s="22">
        <v>4</v>
      </c>
      <c r="AH40" s="21">
        <v>17</v>
      </c>
      <c r="AI40" s="1" t="s">
        <v>46</v>
      </c>
      <c r="AJ40" s="22">
        <v>2</v>
      </c>
    </row>
    <row r="41" spans="1:36" ht="20" customHeight="1">
      <c r="A41" s="77"/>
      <c r="B41" s="78"/>
      <c r="C41" s="81"/>
      <c r="D41" s="81"/>
      <c r="E41" s="81"/>
      <c r="F41" s="81"/>
      <c r="G41" s="81"/>
      <c r="H41" s="81"/>
      <c r="I41" s="81"/>
      <c r="J41" s="81"/>
      <c r="K41" s="81"/>
      <c r="L41" s="81"/>
      <c r="M41" s="81"/>
      <c r="N41" s="81"/>
      <c r="O41" s="81"/>
      <c r="P41" s="81"/>
      <c r="Q41" s="82"/>
      <c r="S41" s="21">
        <v>18</v>
      </c>
      <c r="T41" s="1" t="s">
        <v>5</v>
      </c>
      <c r="U41" s="22">
        <v>4</v>
      </c>
      <c r="V41" s="21">
        <v>18</v>
      </c>
      <c r="W41" s="24" t="s">
        <v>47</v>
      </c>
      <c r="X41" s="22">
        <v>4</v>
      </c>
      <c r="Y41" s="21">
        <v>18</v>
      </c>
      <c r="Z41" s="1" t="s">
        <v>46</v>
      </c>
      <c r="AA41" s="22">
        <v>2</v>
      </c>
      <c r="AB41" s="21">
        <v>18</v>
      </c>
      <c r="AC41" s="1" t="s">
        <v>5</v>
      </c>
      <c r="AD41" s="22">
        <v>4</v>
      </c>
      <c r="AE41" s="21">
        <v>18</v>
      </c>
      <c r="AF41" s="1" t="s">
        <v>37</v>
      </c>
      <c r="AG41" s="22">
        <v>2</v>
      </c>
      <c r="AH41" s="21">
        <v>18</v>
      </c>
      <c r="AI41" s="1" t="s">
        <v>4</v>
      </c>
      <c r="AJ41" s="22">
        <v>3</v>
      </c>
    </row>
    <row r="42" spans="1:36" ht="20" customHeight="1">
      <c r="A42" s="77"/>
      <c r="B42" s="78"/>
      <c r="C42" s="81" t="s">
        <v>84</v>
      </c>
      <c r="D42" s="81"/>
      <c r="E42" s="81"/>
      <c r="F42" s="81"/>
      <c r="G42" s="81"/>
      <c r="H42" s="81"/>
      <c r="I42" s="81"/>
      <c r="J42" s="81"/>
      <c r="K42" s="81"/>
      <c r="L42" s="81"/>
      <c r="M42" s="81"/>
      <c r="N42" s="81"/>
      <c r="O42" s="81"/>
      <c r="P42" s="81"/>
      <c r="Q42" s="82"/>
      <c r="S42" s="21">
        <v>19</v>
      </c>
      <c r="T42" s="23" t="s">
        <v>6</v>
      </c>
      <c r="U42" s="22">
        <v>5</v>
      </c>
      <c r="V42" s="21">
        <v>19</v>
      </c>
      <c r="W42" s="1" t="s">
        <v>37</v>
      </c>
      <c r="X42" s="22">
        <v>2</v>
      </c>
      <c r="Y42" s="21">
        <v>19</v>
      </c>
      <c r="Z42" s="1" t="s">
        <v>4</v>
      </c>
      <c r="AA42" s="22">
        <v>3</v>
      </c>
      <c r="AB42" s="21">
        <v>19</v>
      </c>
      <c r="AC42" s="23" t="s">
        <v>6</v>
      </c>
      <c r="AD42" s="22">
        <v>5</v>
      </c>
      <c r="AE42" s="21">
        <v>19</v>
      </c>
      <c r="AF42" s="1" t="s">
        <v>44</v>
      </c>
      <c r="AG42" s="22">
        <v>2</v>
      </c>
      <c r="AH42" s="21">
        <v>19</v>
      </c>
      <c r="AI42" s="1" t="s">
        <v>5</v>
      </c>
      <c r="AJ42" s="22">
        <v>4</v>
      </c>
    </row>
    <row r="43" spans="1:36" ht="20" customHeight="1">
      <c r="A43" s="77"/>
      <c r="B43" s="78"/>
      <c r="C43" s="81"/>
      <c r="D43" s="81"/>
      <c r="E43" s="81"/>
      <c r="F43" s="81"/>
      <c r="G43" s="81"/>
      <c r="H43" s="81"/>
      <c r="I43" s="81"/>
      <c r="J43" s="81"/>
      <c r="K43" s="81"/>
      <c r="L43" s="81"/>
      <c r="M43" s="81"/>
      <c r="N43" s="81"/>
      <c r="O43" s="81"/>
      <c r="P43" s="81"/>
      <c r="Q43" s="82"/>
      <c r="S43" s="21">
        <v>20</v>
      </c>
      <c r="T43" s="24" t="s">
        <v>47</v>
      </c>
      <c r="U43" s="22">
        <v>4</v>
      </c>
      <c r="V43" s="21">
        <v>20</v>
      </c>
      <c r="W43" s="1" t="s">
        <v>44</v>
      </c>
      <c r="X43" s="22">
        <v>2</v>
      </c>
      <c r="Y43" s="21">
        <v>20</v>
      </c>
      <c r="Z43" s="1" t="s">
        <v>5</v>
      </c>
      <c r="AA43" s="22">
        <v>4</v>
      </c>
      <c r="AB43" s="21">
        <v>20</v>
      </c>
      <c r="AC43" s="24" t="s">
        <v>47</v>
      </c>
      <c r="AD43" s="22">
        <v>5</v>
      </c>
      <c r="AE43" s="21">
        <v>20</v>
      </c>
      <c r="AF43" s="1" t="s">
        <v>46</v>
      </c>
      <c r="AG43" s="22">
        <v>2</v>
      </c>
      <c r="AH43" s="21">
        <v>20</v>
      </c>
      <c r="AI43" s="23" t="s">
        <v>6</v>
      </c>
      <c r="AJ43" s="22">
        <v>5</v>
      </c>
    </row>
    <row r="44" spans="1:36" ht="20" customHeight="1">
      <c r="A44" s="77"/>
      <c r="B44" s="78"/>
      <c r="C44" s="81" t="s">
        <v>85</v>
      </c>
      <c r="D44" s="81"/>
      <c r="E44" s="81"/>
      <c r="F44" s="81"/>
      <c r="G44" s="81"/>
      <c r="H44" s="81"/>
      <c r="I44" s="81"/>
      <c r="J44" s="81"/>
      <c r="K44" s="81"/>
      <c r="L44" s="81"/>
      <c r="M44" s="81"/>
      <c r="N44" s="81"/>
      <c r="O44" s="81"/>
      <c r="P44" s="81"/>
      <c r="Q44" s="82"/>
      <c r="S44" s="21">
        <v>21</v>
      </c>
      <c r="T44" s="1" t="s">
        <v>37</v>
      </c>
      <c r="U44" s="22">
        <v>2</v>
      </c>
      <c r="V44" s="21">
        <v>21</v>
      </c>
      <c r="W44" s="1" t="s">
        <v>46</v>
      </c>
      <c r="X44" s="22">
        <v>2</v>
      </c>
      <c r="Y44" s="21">
        <v>21</v>
      </c>
      <c r="Z44" s="23" t="s">
        <v>6</v>
      </c>
      <c r="AA44" s="22">
        <v>5</v>
      </c>
      <c r="AB44" s="21">
        <v>21</v>
      </c>
      <c r="AC44" s="24" t="s">
        <v>37</v>
      </c>
      <c r="AD44" s="22">
        <v>4</v>
      </c>
      <c r="AE44" s="21">
        <v>21</v>
      </c>
      <c r="AF44" s="1" t="s">
        <v>4</v>
      </c>
      <c r="AG44" s="22">
        <v>3</v>
      </c>
      <c r="AH44" s="21">
        <v>21</v>
      </c>
      <c r="AI44" s="24" t="s">
        <v>47</v>
      </c>
      <c r="AJ44" s="22">
        <v>4</v>
      </c>
    </row>
    <row r="45" spans="1:36" ht="20" customHeight="1" thickBot="1">
      <c r="A45" s="79"/>
      <c r="B45" s="80"/>
      <c r="C45" s="83"/>
      <c r="D45" s="83"/>
      <c r="E45" s="83"/>
      <c r="F45" s="83"/>
      <c r="G45" s="83"/>
      <c r="H45" s="83"/>
      <c r="I45" s="83"/>
      <c r="J45" s="83"/>
      <c r="K45" s="83"/>
      <c r="L45" s="83"/>
      <c r="M45" s="83"/>
      <c r="N45" s="83"/>
      <c r="O45" s="83"/>
      <c r="P45" s="83"/>
      <c r="Q45" s="84"/>
      <c r="S45" s="21">
        <v>22</v>
      </c>
      <c r="T45" s="1" t="s">
        <v>44</v>
      </c>
      <c r="U45" s="22">
        <v>2</v>
      </c>
      <c r="V45" s="21">
        <v>22</v>
      </c>
      <c r="W45" s="1" t="s">
        <v>4</v>
      </c>
      <c r="X45" s="22">
        <v>3</v>
      </c>
      <c r="Y45" s="21">
        <v>22</v>
      </c>
      <c r="Z45" s="24" t="s">
        <v>47</v>
      </c>
      <c r="AA45" s="22">
        <v>4</v>
      </c>
      <c r="AB45" s="21">
        <v>22</v>
      </c>
      <c r="AC45" s="1" t="s">
        <v>44</v>
      </c>
      <c r="AD45" s="22">
        <v>2</v>
      </c>
      <c r="AE45" s="21">
        <v>22</v>
      </c>
      <c r="AF45" s="1" t="s">
        <v>5</v>
      </c>
      <c r="AG45" s="22">
        <v>4</v>
      </c>
      <c r="AH45" s="21">
        <v>22</v>
      </c>
      <c r="AI45" s="1" t="s">
        <v>37</v>
      </c>
      <c r="AJ45" s="22">
        <v>3</v>
      </c>
    </row>
    <row r="46" spans="1:36" ht="20" customHeight="1" thickTop="1">
      <c r="A46" s="40"/>
      <c r="B46" s="40"/>
      <c r="C46" s="40"/>
      <c r="D46" s="40"/>
      <c r="E46" s="40"/>
      <c r="F46" s="40"/>
      <c r="G46" s="40"/>
      <c r="H46" s="40"/>
      <c r="I46" s="40"/>
      <c r="J46" s="40"/>
      <c r="K46" s="40"/>
      <c r="L46" s="40"/>
      <c r="M46" s="40"/>
      <c r="N46" s="40"/>
      <c r="O46" s="40"/>
      <c r="P46" s="40"/>
      <c r="Q46" s="40"/>
      <c r="S46" s="21">
        <v>23</v>
      </c>
      <c r="T46" s="1" t="s">
        <v>46</v>
      </c>
      <c r="U46" s="22">
        <v>2</v>
      </c>
      <c r="V46" s="21">
        <v>23</v>
      </c>
      <c r="W46" s="1" t="s">
        <v>5</v>
      </c>
      <c r="X46" s="22">
        <v>4</v>
      </c>
      <c r="Y46" s="21">
        <v>23</v>
      </c>
      <c r="Z46" s="1" t="s">
        <v>37</v>
      </c>
      <c r="AA46" s="22">
        <v>2</v>
      </c>
      <c r="AB46" s="21">
        <v>23</v>
      </c>
      <c r="AC46" s="1" t="s">
        <v>46</v>
      </c>
      <c r="AD46" s="22">
        <v>2</v>
      </c>
      <c r="AE46" s="21">
        <v>23</v>
      </c>
      <c r="AF46" s="23" t="s">
        <v>6</v>
      </c>
      <c r="AG46" s="22">
        <v>5</v>
      </c>
      <c r="AH46" s="21">
        <v>23</v>
      </c>
      <c r="AI46" s="24" t="s">
        <v>44</v>
      </c>
      <c r="AJ46" s="22">
        <v>4</v>
      </c>
    </row>
    <row r="47" spans="1:36" ht="20" customHeight="1">
      <c r="A47" s="40"/>
      <c r="B47" s="40"/>
      <c r="C47" s="40"/>
      <c r="D47" s="40"/>
      <c r="E47" s="40"/>
      <c r="F47" s="40"/>
      <c r="G47" s="40"/>
      <c r="H47" s="40"/>
      <c r="I47" s="40"/>
      <c r="J47" s="40"/>
      <c r="K47" s="40"/>
      <c r="L47" s="40"/>
      <c r="M47" s="40"/>
      <c r="N47" s="40"/>
      <c r="O47" s="40"/>
      <c r="P47" s="40"/>
      <c r="Q47" s="40"/>
      <c r="S47" s="21">
        <v>24</v>
      </c>
      <c r="T47" s="1" t="s">
        <v>4</v>
      </c>
      <c r="U47" s="22">
        <v>3</v>
      </c>
      <c r="V47" s="21">
        <v>24</v>
      </c>
      <c r="W47" s="23" t="s">
        <v>6</v>
      </c>
      <c r="X47" s="22">
        <v>5</v>
      </c>
      <c r="Y47" s="21">
        <v>24</v>
      </c>
      <c r="Z47" s="1" t="s">
        <v>44</v>
      </c>
      <c r="AA47" s="22">
        <v>2</v>
      </c>
      <c r="AB47" s="21">
        <v>24</v>
      </c>
      <c r="AC47" s="1" t="s">
        <v>4</v>
      </c>
      <c r="AD47" s="22">
        <v>3</v>
      </c>
      <c r="AE47" s="21">
        <v>24</v>
      </c>
      <c r="AF47" s="24" t="s">
        <v>47</v>
      </c>
      <c r="AG47" s="22">
        <v>4</v>
      </c>
      <c r="AH47" s="21">
        <v>24</v>
      </c>
      <c r="AI47" s="1" t="s">
        <v>46</v>
      </c>
      <c r="AJ47" s="22">
        <v>2</v>
      </c>
    </row>
    <row r="48" spans="1:36" ht="20" customHeight="1">
      <c r="A48" s="40"/>
      <c r="B48" s="40"/>
      <c r="C48" s="40"/>
      <c r="D48" s="40"/>
      <c r="E48" s="40"/>
      <c r="F48" s="40"/>
      <c r="G48" s="40"/>
      <c r="H48" s="40"/>
      <c r="I48" s="40"/>
      <c r="J48" s="40"/>
      <c r="K48" s="40"/>
      <c r="L48" s="40"/>
      <c r="M48" s="40"/>
      <c r="N48" s="40"/>
      <c r="O48" s="40"/>
      <c r="P48" s="40"/>
      <c r="Q48" s="40"/>
      <c r="S48" s="21">
        <v>25</v>
      </c>
      <c r="T48" s="1" t="s">
        <v>5</v>
      </c>
      <c r="U48" s="22">
        <v>4</v>
      </c>
      <c r="V48" s="21">
        <v>25</v>
      </c>
      <c r="W48" s="24" t="s">
        <v>47</v>
      </c>
      <c r="X48" s="22">
        <v>4</v>
      </c>
      <c r="Y48" s="21">
        <v>25</v>
      </c>
      <c r="Z48" s="1" t="s">
        <v>46</v>
      </c>
      <c r="AA48" s="22">
        <v>2</v>
      </c>
      <c r="AB48" s="21">
        <v>25</v>
      </c>
      <c r="AC48" s="1" t="s">
        <v>5</v>
      </c>
      <c r="AD48" s="22">
        <v>4</v>
      </c>
      <c r="AE48" s="21">
        <v>25</v>
      </c>
      <c r="AF48" s="1" t="s">
        <v>37</v>
      </c>
      <c r="AG48" s="22">
        <v>2</v>
      </c>
      <c r="AH48" s="21">
        <v>25</v>
      </c>
      <c r="AI48" s="1" t="s">
        <v>4</v>
      </c>
      <c r="AJ48" s="22">
        <v>3</v>
      </c>
    </row>
    <row r="49" spans="1:36" ht="20" customHeight="1">
      <c r="A49" s="40"/>
      <c r="B49" s="40"/>
      <c r="C49" s="40"/>
      <c r="D49" s="40"/>
      <c r="E49" s="40"/>
      <c r="F49" s="40"/>
      <c r="G49" s="40"/>
      <c r="H49" s="40"/>
      <c r="I49" s="40"/>
      <c r="J49" s="40"/>
      <c r="K49" s="40"/>
      <c r="L49" s="40"/>
      <c r="M49" s="40"/>
      <c r="N49" s="40"/>
      <c r="O49" s="40"/>
      <c r="P49" s="40"/>
      <c r="Q49" s="40"/>
      <c r="S49" s="21">
        <v>26</v>
      </c>
      <c r="T49" s="23" t="s">
        <v>6</v>
      </c>
      <c r="U49" s="22">
        <v>5</v>
      </c>
      <c r="V49" s="21">
        <v>26</v>
      </c>
      <c r="W49" s="1" t="s">
        <v>37</v>
      </c>
      <c r="X49" s="22">
        <v>2</v>
      </c>
      <c r="Y49" s="21">
        <v>26</v>
      </c>
      <c r="Z49" s="1" t="s">
        <v>4</v>
      </c>
      <c r="AA49" s="22">
        <v>3</v>
      </c>
      <c r="AB49" s="21">
        <v>26</v>
      </c>
      <c r="AC49" s="23" t="s">
        <v>6</v>
      </c>
      <c r="AD49" s="22">
        <v>5</v>
      </c>
      <c r="AE49" s="21">
        <v>26</v>
      </c>
      <c r="AF49" s="1" t="s">
        <v>44</v>
      </c>
      <c r="AG49" s="22">
        <v>2</v>
      </c>
      <c r="AH49" s="21">
        <v>26</v>
      </c>
      <c r="AI49" s="1" t="s">
        <v>5</v>
      </c>
      <c r="AJ49" s="22">
        <v>4</v>
      </c>
    </row>
    <row r="50" spans="1:36" ht="20" customHeight="1">
      <c r="A50" s="40"/>
      <c r="B50" s="40"/>
      <c r="C50" s="40"/>
      <c r="D50" s="40"/>
      <c r="E50" s="40"/>
      <c r="F50" s="40"/>
      <c r="G50" s="40"/>
      <c r="H50" s="40"/>
      <c r="I50" s="40"/>
      <c r="J50" s="40"/>
      <c r="K50" s="40"/>
      <c r="L50" s="40"/>
      <c r="M50" s="40"/>
      <c r="N50" s="40"/>
      <c r="O50" s="40"/>
      <c r="P50" s="40"/>
      <c r="Q50" s="40"/>
      <c r="S50" s="21">
        <v>27</v>
      </c>
      <c r="T50" s="24" t="s">
        <v>47</v>
      </c>
      <c r="U50" s="22">
        <v>4</v>
      </c>
      <c r="V50" s="21">
        <v>27</v>
      </c>
      <c r="W50" s="1" t="s">
        <v>44</v>
      </c>
      <c r="X50" s="22">
        <v>2</v>
      </c>
      <c r="Y50" s="21">
        <v>27</v>
      </c>
      <c r="Z50" s="1" t="s">
        <v>5</v>
      </c>
      <c r="AA50" s="22">
        <v>4</v>
      </c>
      <c r="AB50" s="21">
        <v>27</v>
      </c>
      <c r="AC50" s="24" t="s">
        <v>47</v>
      </c>
      <c r="AD50" s="22">
        <v>4</v>
      </c>
      <c r="AE50" s="21">
        <v>27</v>
      </c>
      <c r="AF50" s="1" t="s">
        <v>46</v>
      </c>
      <c r="AG50" s="22">
        <v>2</v>
      </c>
      <c r="AH50" s="21">
        <v>27</v>
      </c>
      <c r="AI50" s="23" t="s">
        <v>6</v>
      </c>
      <c r="AJ50" s="22">
        <v>5</v>
      </c>
    </row>
    <row r="51" spans="1:36" ht="20" customHeight="1">
      <c r="A51" s="40"/>
      <c r="B51" s="40"/>
      <c r="C51" s="40"/>
      <c r="D51" s="40"/>
      <c r="E51" s="40"/>
      <c r="F51" s="40"/>
      <c r="G51" s="40"/>
      <c r="H51" s="40"/>
      <c r="I51" s="40"/>
      <c r="J51" s="40"/>
      <c r="K51" s="40"/>
      <c r="L51" s="40"/>
      <c r="M51" s="40"/>
      <c r="N51" s="40"/>
      <c r="O51" s="40"/>
      <c r="P51" s="40"/>
      <c r="Q51" s="40"/>
      <c r="S51" s="21">
        <v>28</v>
      </c>
      <c r="T51" s="1" t="s">
        <v>37</v>
      </c>
      <c r="U51" s="22">
        <v>3</v>
      </c>
      <c r="V51" s="21">
        <v>28</v>
      </c>
      <c r="W51" s="1" t="s">
        <v>46</v>
      </c>
      <c r="X51" s="22">
        <v>2</v>
      </c>
      <c r="Y51" s="21">
        <v>28</v>
      </c>
      <c r="Z51" s="23" t="s">
        <v>6</v>
      </c>
      <c r="AA51" s="22">
        <v>5</v>
      </c>
      <c r="AB51" s="21">
        <v>28</v>
      </c>
      <c r="AC51" s="1" t="s">
        <v>37</v>
      </c>
      <c r="AD51" s="22">
        <v>2</v>
      </c>
      <c r="AE51" s="21">
        <v>28</v>
      </c>
      <c r="AF51" s="1" t="s">
        <v>4</v>
      </c>
      <c r="AG51" s="22">
        <v>3</v>
      </c>
      <c r="AH51" s="21">
        <v>28</v>
      </c>
      <c r="AI51" s="24" t="s">
        <v>47</v>
      </c>
      <c r="AJ51" s="22">
        <v>4</v>
      </c>
    </row>
    <row r="52" spans="1:36" ht="20" customHeight="1">
      <c r="A52" s="40"/>
      <c r="B52" s="40"/>
      <c r="C52" s="40"/>
      <c r="D52" s="40"/>
      <c r="E52" s="40"/>
      <c r="F52" s="40"/>
      <c r="G52" s="40"/>
      <c r="H52" s="40"/>
      <c r="I52" s="40"/>
      <c r="J52" s="40"/>
      <c r="K52" s="40"/>
      <c r="L52" s="40"/>
      <c r="M52" s="40"/>
      <c r="N52" s="40"/>
      <c r="O52" s="40"/>
      <c r="P52" s="40"/>
      <c r="Q52" s="40"/>
      <c r="S52" s="21">
        <v>29</v>
      </c>
      <c r="T52" s="24" t="s">
        <v>44</v>
      </c>
      <c r="U52" s="22">
        <v>4</v>
      </c>
      <c r="V52" s="21">
        <v>29</v>
      </c>
      <c r="W52" s="1" t="s">
        <v>4</v>
      </c>
      <c r="X52" s="22">
        <v>3</v>
      </c>
      <c r="Y52" s="21">
        <v>29</v>
      </c>
      <c r="Z52" s="24" t="s">
        <v>47</v>
      </c>
      <c r="AA52" s="22">
        <v>4</v>
      </c>
      <c r="AB52" s="21">
        <v>29</v>
      </c>
      <c r="AC52" s="28" t="s">
        <v>44</v>
      </c>
      <c r="AD52" s="22">
        <v>2</v>
      </c>
      <c r="AE52" s="21">
        <v>29</v>
      </c>
      <c r="AF52" s="1" t="s">
        <v>5</v>
      </c>
      <c r="AG52" s="22">
        <v>4</v>
      </c>
      <c r="AH52" s="21">
        <v>29</v>
      </c>
      <c r="AI52" s="1" t="s">
        <v>37</v>
      </c>
      <c r="AJ52" s="22">
        <v>2</v>
      </c>
    </row>
    <row r="53" spans="1:36" ht="20" customHeight="1">
      <c r="A53" s="40"/>
      <c r="B53" s="40"/>
      <c r="C53" s="40"/>
      <c r="D53" s="40"/>
      <c r="E53" s="40"/>
      <c r="F53" s="40"/>
      <c r="G53" s="40"/>
      <c r="H53" s="40"/>
      <c r="I53" s="40"/>
      <c r="J53" s="40"/>
      <c r="K53" s="40"/>
      <c r="L53" s="40"/>
      <c r="M53" s="40"/>
      <c r="N53" s="40"/>
      <c r="O53" s="40"/>
      <c r="P53" s="40"/>
      <c r="Q53" s="40"/>
      <c r="S53" s="21">
        <v>30</v>
      </c>
      <c r="T53" s="1" t="s">
        <v>46</v>
      </c>
      <c r="U53" s="22">
        <v>3</v>
      </c>
      <c r="V53" s="21">
        <v>30</v>
      </c>
      <c r="W53" s="1" t="s">
        <v>5</v>
      </c>
      <c r="X53" s="22">
        <v>4</v>
      </c>
      <c r="Y53" s="21">
        <v>30</v>
      </c>
      <c r="Z53" s="1" t="s">
        <v>37</v>
      </c>
      <c r="AA53" s="22">
        <v>2</v>
      </c>
      <c r="AB53" s="21">
        <v>30</v>
      </c>
      <c r="AC53" s="1" t="s">
        <v>46</v>
      </c>
      <c r="AD53" s="22">
        <v>2</v>
      </c>
      <c r="AE53" s="21">
        <v>30</v>
      </c>
      <c r="AF53" s="23" t="s">
        <v>6</v>
      </c>
      <c r="AG53" s="22">
        <v>3</v>
      </c>
      <c r="AH53" s="21">
        <v>30</v>
      </c>
      <c r="AI53" s="1" t="s">
        <v>44</v>
      </c>
      <c r="AJ53" s="22">
        <v>2</v>
      </c>
    </row>
    <row r="54" spans="1:36" ht="20" customHeight="1">
      <c r="A54" s="40"/>
      <c r="B54" s="40"/>
      <c r="C54" s="40"/>
      <c r="D54" s="40"/>
      <c r="E54" s="40"/>
      <c r="F54" s="40"/>
      <c r="G54" s="40"/>
      <c r="H54" s="40"/>
      <c r="I54" s="40"/>
      <c r="J54" s="40"/>
      <c r="K54" s="40"/>
      <c r="L54" s="40"/>
      <c r="M54" s="40"/>
      <c r="N54" s="40"/>
      <c r="O54" s="40"/>
      <c r="P54" s="40"/>
      <c r="Q54" s="40"/>
      <c r="S54" s="21"/>
      <c r="U54" s="22"/>
      <c r="V54" s="21">
        <v>31</v>
      </c>
      <c r="W54" s="23" t="s">
        <v>6</v>
      </c>
      <c r="X54" s="22">
        <v>5</v>
      </c>
      <c r="Y54" s="21"/>
      <c r="AA54" s="22"/>
      <c r="AB54" s="21">
        <v>31</v>
      </c>
      <c r="AC54" s="1" t="s">
        <v>48</v>
      </c>
      <c r="AD54" s="22">
        <v>3</v>
      </c>
      <c r="AE54" s="21">
        <v>31</v>
      </c>
      <c r="AF54" s="24" t="s">
        <v>47</v>
      </c>
      <c r="AG54" s="22">
        <v>4</v>
      </c>
      <c r="AH54" s="21"/>
      <c r="AJ54" s="22"/>
    </row>
    <row r="55" spans="1:36" ht="20" customHeight="1">
      <c r="A55" s="40"/>
      <c r="B55" s="40"/>
      <c r="C55" s="40"/>
      <c r="D55" s="40"/>
      <c r="E55" s="40"/>
      <c r="F55" s="40"/>
      <c r="G55" s="40"/>
      <c r="H55" s="40"/>
      <c r="I55" s="40"/>
      <c r="J55" s="40"/>
      <c r="K55" s="40"/>
      <c r="L55" s="40"/>
      <c r="M55" s="40"/>
      <c r="N55" s="40"/>
      <c r="O55" s="40"/>
      <c r="P55" s="40"/>
      <c r="Q55" s="40"/>
      <c r="S55" s="25"/>
      <c r="T55" s="26"/>
      <c r="U55" s="27">
        <f>SUM(U24:U54)/S53</f>
        <v>3.2</v>
      </c>
      <c r="V55" s="25"/>
      <c r="W55" s="26"/>
      <c r="X55" s="27">
        <f>SUM(X24:X54)/V54</f>
        <v>3.3548387096774195</v>
      </c>
      <c r="Y55" s="25"/>
      <c r="Z55" s="26"/>
      <c r="AA55" s="27">
        <f t="shared" ref="AA55" si="6">SUM(AA24:AA54)/Y53</f>
        <v>3.1333333333333333</v>
      </c>
      <c r="AB55" s="25"/>
      <c r="AC55" s="26"/>
      <c r="AD55" s="27">
        <f>SUM(AD24:AD54)/AB54</f>
        <v>3.161290322580645</v>
      </c>
      <c r="AE55" s="25"/>
      <c r="AF55" s="26"/>
      <c r="AG55" s="27">
        <f>SUM(AG24:AG54)/AE54</f>
        <v>3.2903225806451615</v>
      </c>
      <c r="AH55" s="25"/>
      <c r="AI55" s="26"/>
      <c r="AJ55" s="27">
        <f t="shared" ref="AJ55" si="7">SUM(AJ24:AJ54)/AH53</f>
        <v>3.2666666666666666</v>
      </c>
    </row>
    <row r="56" spans="1:36">
      <c r="S56" s="52" t="s">
        <v>53</v>
      </c>
      <c r="T56" s="53"/>
      <c r="U56" s="54"/>
      <c r="V56" s="52" t="s">
        <v>54</v>
      </c>
      <c r="W56" s="53"/>
      <c r="X56" s="54"/>
      <c r="Y56" s="52" t="s">
        <v>55</v>
      </c>
      <c r="Z56" s="53"/>
      <c r="AA56" s="54"/>
      <c r="AB56" s="52" t="s">
        <v>56</v>
      </c>
      <c r="AC56" s="53"/>
      <c r="AD56" s="54"/>
      <c r="AE56" s="52" t="s">
        <v>57</v>
      </c>
      <c r="AF56" s="53"/>
      <c r="AG56" s="54"/>
      <c r="AH56" s="52" t="s">
        <v>58</v>
      </c>
      <c r="AI56" s="53"/>
      <c r="AJ56" s="54"/>
    </row>
    <row r="57" spans="1:36">
      <c r="S57" s="21">
        <v>1</v>
      </c>
      <c r="T57" s="1" t="s">
        <v>3</v>
      </c>
      <c r="U57" s="22">
        <v>2</v>
      </c>
      <c r="V57" s="21">
        <v>1</v>
      </c>
      <c r="W57" s="23" t="s">
        <v>6</v>
      </c>
      <c r="X57" s="22">
        <v>5</v>
      </c>
      <c r="Y57" s="21">
        <v>1</v>
      </c>
      <c r="Z57" s="1" t="s">
        <v>37</v>
      </c>
      <c r="AA57" s="22">
        <v>2</v>
      </c>
      <c r="AB57" s="21">
        <v>1</v>
      </c>
      <c r="AC57" s="1" t="s">
        <v>4</v>
      </c>
      <c r="AD57" s="22"/>
      <c r="AE57" s="21">
        <v>1</v>
      </c>
      <c r="AF57" s="1" t="s">
        <v>37</v>
      </c>
      <c r="AG57" s="22">
        <v>2</v>
      </c>
      <c r="AH57" s="21">
        <v>1</v>
      </c>
      <c r="AI57" s="1" t="s">
        <v>37</v>
      </c>
      <c r="AJ57" s="22">
        <v>2</v>
      </c>
    </row>
    <row r="58" spans="1:36">
      <c r="S58" s="21">
        <v>2</v>
      </c>
      <c r="T58" s="1" t="s">
        <v>4</v>
      </c>
      <c r="U58" s="22">
        <v>3</v>
      </c>
      <c r="V58" s="21">
        <v>2</v>
      </c>
      <c r="W58" s="24" t="s">
        <v>47</v>
      </c>
      <c r="X58" s="22">
        <v>5</v>
      </c>
      <c r="Y58" s="21">
        <v>2</v>
      </c>
      <c r="Z58" s="1" t="s">
        <v>44</v>
      </c>
      <c r="AA58" s="22">
        <v>2</v>
      </c>
      <c r="AB58" s="21">
        <v>2</v>
      </c>
      <c r="AC58" s="1" t="s">
        <v>5</v>
      </c>
      <c r="AD58" s="22">
        <v>4</v>
      </c>
      <c r="AE58" s="21">
        <v>2</v>
      </c>
      <c r="AF58" s="1" t="s">
        <v>44</v>
      </c>
      <c r="AG58" s="22">
        <v>2</v>
      </c>
      <c r="AH58" s="21">
        <v>2</v>
      </c>
      <c r="AI58" s="1" t="s">
        <v>44</v>
      </c>
      <c r="AJ58" s="22">
        <v>2</v>
      </c>
    </row>
    <row r="59" spans="1:36">
      <c r="S59" s="21">
        <v>3</v>
      </c>
      <c r="T59" s="1" t="s">
        <v>5</v>
      </c>
      <c r="U59" s="22">
        <v>4</v>
      </c>
      <c r="V59" s="21">
        <v>3</v>
      </c>
      <c r="W59" s="24" t="s">
        <v>37</v>
      </c>
      <c r="X59" s="22">
        <v>4</v>
      </c>
      <c r="Y59" s="21">
        <v>3</v>
      </c>
      <c r="Z59" s="1" t="s">
        <v>46</v>
      </c>
      <c r="AA59" s="22">
        <v>2</v>
      </c>
      <c r="AB59" s="21">
        <v>3</v>
      </c>
      <c r="AC59" s="23" t="s">
        <v>6</v>
      </c>
      <c r="AD59" s="22">
        <v>5</v>
      </c>
      <c r="AE59" s="21">
        <v>3</v>
      </c>
      <c r="AF59" s="1" t="s">
        <v>46</v>
      </c>
      <c r="AG59" s="22">
        <v>2</v>
      </c>
      <c r="AH59" s="21">
        <v>3</v>
      </c>
      <c r="AI59" s="1" t="s">
        <v>46</v>
      </c>
      <c r="AJ59" s="22">
        <v>2</v>
      </c>
    </row>
    <row r="60" spans="1:36">
      <c r="S60" s="21">
        <v>4</v>
      </c>
      <c r="T60" s="23" t="s">
        <v>6</v>
      </c>
      <c r="U60" s="22">
        <v>5</v>
      </c>
      <c r="V60" s="21">
        <v>4</v>
      </c>
      <c r="W60" s="1" t="s">
        <v>44</v>
      </c>
      <c r="X60" s="22">
        <v>1</v>
      </c>
      <c r="Y60" s="21">
        <v>4</v>
      </c>
      <c r="Z60" s="1" t="s">
        <v>4</v>
      </c>
      <c r="AA60" s="22">
        <v>3</v>
      </c>
      <c r="AB60" s="21">
        <v>4</v>
      </c>
      <c r="AC60" s="24" t="s">
        <v>47</v>
      </c>
      <c r="AD60" s="22">
        <v>4</v>
      </c>
      <c r="AE60" s="21">
        <v>4</v>
      </c>
      <c r="AF60" s="1" t="s">
        <v>4</v>
      </c>
      <c r="AG60" s="22">
        <v>3</v>
      </c>
      <c r="AH60" s="21">
        <v>4</v>
      </c>
      <c r="AI60" s="1" t="s">
        <v>4</v>
      </c>
      <c r="AJ60" s="22">
        <v>3</v>
      </c>
    </row>
    <row r="61" spans="1:36">
      <c r="S61" s="21">
        <v>5</v>
      </c>
      <c r="T61" s="24" t="s">
        <v>47</v>
      </c>
      <c r="U61" s="22">
        <v>4</v>
      </c>
      <c r="V61" s="21">
        <v>5</v>
      </c>
      <c r="W61" s="1" t="s">
        <v>46</v>
      </c>
      <c r="X61" s="22">
        <v>2</v>
      </c>
      <c r="Y61" s="21">
        <v>5</v>
      </c>
      <c r="Z61" s="1" t="s">
        <v>5</v>
      </c>
      <c r="AA61" s="22">
        <v>4</v>
      </c>
      <c r="AB61" s="21">
        <v>5</v>
      </c>
      <c r="AC61" s="1" t="s">
        <v>37</v>
      </c>
      <c r="AD61" s="22">
        <v>1</v>
      </c>
      <c r="AE61" s="21">
        <v>5</v>
      </c>
      <c r="AF61" s="1" t="s">
        <v>5</v>
      </c>
      <c r="AG61" s="22">
        <v>4</v>
      </c>
      <c r="AH61" s="21">
        <v>5</v>
      </c>
      <c r="AI61" s="1" t="s">
        <v>5</v>
      </c>
      <c r="AJ61" s="22">
        <v>4</v>
      </c>
    </row>
    <row r="62" spans="1:36">
      <c r="S62" s="21">
        <v>6</v>
      </c>
      <c r="T62" s="1" t="s">
        <v>37</v>
      </c>
      <c r="U62" s="22">
        <v>2</v>
      </c>
      <c r="V62" s="21">
        <v>6</v>
      </c>
      <c r="W62" s="1" t="s">
        <v>4</v>
      </c>
      <c r="X62" s="22">
        <v>3</v>
      </c>
      <c r="Y62" s="21">
        <v>6</v>
      </c>
      <c r="Z62" s="23" t="s">
        <v>6</v>
      </c>
      <c r="AA62" s="22">
        <v>5</v>
      </c>
      <c r="AB62" s="21">
        <v>6</v>
      </c>
      <c r="AC62" s="1" t="s">
        <v>44</v>
      </c>
      <c r="AD62" s="22">
        <v>2</v>
      </c>
      <c r="AE62" s="21">
        <v>6</v>
      </c>
      <c r="AF62" s="23" t="s">
        <v>6</v>
      </c>
      <c r="AG62" s="22">
        <v>5</v>
      </c>
      <c r="AH62" s="21">
        <v>6</v>
      </c>
      <c r="AI62" s="23" t="s">
        <v>6</v>
      </c>
      <c r="AJ62" s="22">
        <v>5</v>
      </c>
    </row>
    <row r="63" spans="1:36">
      <c r="S63" s="21">
        <v>7</v>
      </c>
      <c r="T63" s="1" t="s">
        <v>44</v>
      </c>
      <c r="U63" s="22">
        <v>2</v>
      </c>
      <c r="V63" s="21">
        <v>7</v>
      </c>
      <c r="W63" s="1" t="s">
        <v>5</v>
      </c>
      <c r="X63" s="22">
        <v>4</v>
      </c>
      <c r="Y63" s="21">
        <v>7</v>
      </c>
      <c r="Z63" s="24" t="s">
        <v>47</v>
      </c>
      <c r="AA63" s="22">
        <v>4</v>
      </c>
      <c r="AB63" s="21">
        <v>7</v>
      </c>
      <c r="AC63" s="1" t="s">
        <v>46</v>
      </c>
      <c r="AD63" s="22">
        <v>2</v>
      </c>
      <c r="AE63" s="21">
        <v>7</v>
      </c>
      <c r="AF63" s="24" t="s">
        <v>47</v>
      </c>
      <c r="AG63" s="22">
        <v>4</v>
      </c>
      <c r="AH63" s="21">
        <v>7</v>
      </c>
      <c r="AI63" s="24" t="s">
        <v>47</v>
      </c>
      <c r="AJ63" s="22">
        <v>4</v>
      </c>
    </row>
    <row r="64" spans="1:36">
      <c r="S64" s="21">
        <v>8</v>
      </c>
      <c r="T64" s="1" t="s">
        <v>46</v>
      </c>
      <c r="U64" s="22">
        <v>2</v>
      </c>
      <c r="V64" s="21">
        <v>8</v>
      </c>
      <c r="W64" s="23" t="s">
        <v>6</v>
      </c>
      <c r="X64" s="22">
        <v>5</v>
      </c>
      <c r="Y64" s="21">
        <v>8</v>
      </c>
      <c r="Z64" s="1" t="s">
        <v>37</v>
      </c>
      <c r="AA64" s="22">
        <v>2</v>
      </c>
      <c r="AB64" s="21">
        <v>8</v>
      </c>
      <c r="AC64" s="1" t="s">
        <v>4</v>
      </c>
      <c r="AD64" s="22">
        <v>3</v>
      </c>
      <c r="AE64" s="21">
        <v>8</v>
      </c>
      <c r="AF64" s="24" t="s">
        <v>37</v>
      </c>
      <c r="AG64" s="22">
        <v>2</v>
      </c>
      <c r="AH64" s="21">
        <v>8</v>
      </c>
      <c r="AI64" s="1" t="s">
        <v>37</v>
      </c>
      <c r="AJ64" s="22">
        <v>2</v>
      </c>
    </row>
    <row r="65" spans="6:36">
      <c r="S65" s="21">
        <v>9</v>
      </c>
      <c r="T65" s="1" t="s">
        <v>4</v>
      </c>
      <c r="U65" s="22">
        <v>3</v>
      </c>
      <c r="V65" s="21">
        <v>9</v>
      </c>
      <c r="W65" s="24" t="s">
        <v>47</v>
      </c>
      <c r="X65" s="22">
        <v>4</v>
      </c>
      <c r="Y65" s="21">
        <v>9</v>
      </c>
      <c r="Z65" s="1" t="s">
        <v>44</v>
      </c>
      <c r="AA65" s="22">
        <v>2</v>
      </c>
      <c r="AB65" s="21">
        <v>9</v>
      </c>
      <c r="AC65" s="1" t="s">
        <v>5</v>
      </c>
      <c r="AD65" s="22">
        <v>4</v>
      </c>
      <c r="AE65" s="21">
        <v>9</v>
      </c>
      <c r="AF65" s="1" t="s">
        <v>44</v>
      </c>
      <c r="AG65" s="22">
        <v>2</v>
      </c>
      <c r="AH65" s="21">
        <v>9</v>
      </c>
      <c r="AI65" s="1" t="s">
        <v>44</v>
      </c>
      <c r="AJ65" s="22">
        <v>2</v>
      </c>
    </row>
    <row r="66" spans="6:36">
      <c r="F66" s="1">
        <v>4</v>
      </c>
      <c r="S66" s="21">
        <v>10</v>
      </c>
      <c r="T66" s="1" t="s">
        <v>5</v>
      </c>
      <c r="U66" s="22">
        <v>4</v>
      </c>
      <c r="V66" s="21">
        <v>10</v>
      </c>
      <c r="W66" s="1" t="s">
        <v>37</v>
      </c>
      <c r="X66" s="22">
        <v>2</v>
      </c>
      <c r="Y66" s="21">
        <v>10</v>
      </c>
      <c r="Z66" s="1" t="s">
        <v>46</v>
      </c>
      <c r="AA66" s="22">
        <v>2</v>
      </c>
      <c r="AB66" s="21">
        <v>10</v>
      </c>
      <c r="AC66" s="23" t="s">
        <v>6</v>
      </c>
      <c r="AD66" s="22">
        <v>5</v>
      </c>
      <c r="AE66" s="21">
        <v>10</v>
      </c>
      <c r="AF66" s="1" t="s">
        <v>46</v>
      </c>
      <c r="AG66" s="22">
        <v>3</v>
      </c>
      <c r="AH66" s="21">
        <v>10</v>
      </c>
      <c r="AI66" s="1" t="s">
        <v>46</v>
      </c>
      <c r="AJ66" s="22">
        <v>2</v>
      </c>
    </row>
    <row r="67" spans="6:36">
      <c r="F67">
        <v>1</v>
      </c>
      <c r="S67" s="21">
        <v>11</v>
      </c>
      <c r="T67" s="23" t="s">
        <v>6</v>
      </c>
      <c r="U67" s="22">
        <v>5</v>
      </c>
      <c r="V67" s="21">
        <v>11</v>
      </c>
      <c r="W67" s="1" t="s">
        <v>44</v>
      </c>
      <c r="X67" s="22">
        <v>2</v>
      </c>
      <c r="Y67" s="21">
        <v>11</v>
      </c>
      <c r="Z67" s="1" t="s">
        <v>4</v>
      </c>
      <c r="AA67" s="22">
        <v>3</v>
      </c>
      <c r="AB67" s="21">
        <v>11</v>
      </c>
      <c r="AC67" s="24" t="s">
        <v>47</v>
      </c>
      <c r="AD67" s="22">
        <v>4</v>
      </c>
      <c r="AE67" s="21">
        <v>11</v>
      </c>
      <c r="AF67" s="24" t="s">
        <v>4</v>
      </c>
      <c r="AG67" s="22">
        <v>4</v>
      </c>
      <c r="AH67" s="21">
        <v>11</v>
      </c>
      <c r="AI67" s="1" t="s">
        <v>4</v>
      </c>
      <c r="AJ67" s="22">
        <v>3</v>
      </c>
    </row>
    <row r="68" spans="6:36">
      <c r="F68">
        <v>2</v>
      </c>
      <c r="S68" s="21">
        <v>12</v>
      </c>
      <c r="T68" s="24" t="s">
        <v>47</v>
      </c>
      <c r="U68" s="22">
        <v>5</v>
      </c>
      <c r="V68" s="21">
        <v>12</v>
      </c>
      <c r="W68" s="1" t="s">
        <v>46</v>
      </c>
      <c r="X68" s="22">
        <v>2</v>
      </c>
      <c r="Y68" s="21">
        <v>12</v>
      </c>
      <c r="Z68" s="1" t="s">
        <v>5</v>
      </c>
      <c r="AA68" s="22">
        <v>4</v>
      </c>
      <c r="AB68" s="21">
        <v>12</v>
      </c>
      <c r="AC68" s="24" t="s">
        <v>37</v>
      </c>
      <c r="AD68" s="22">
        <v>4</v>
      </c>
      <c r="AE68" s="21">
        <v>12</v>
      </c>
      <c r="AF68" s="1" t="s">
        <v>5</v>
      </c>
      <c r="AG68" s="22">
        <v>4</v>
      </c>
      <c r="AH68" s="21">
        <v>12</v>
      </c>
      <c r="AI68" s="1" t="s">
        <v>5</v>
      </c>
      <c r="AJ68" s="22">
        <v>4</v>
      </c>
    </row>
    <row r="69" spans="6:36">
      <c r="F69">
        <v>3</v>
      </c>
      <c r="S69" s="21">
        <v>13</v>
      </c>
      <c r="T69" s="24" t="s">
        <v>37</v>
      </c>
      <c r="U69" s="22">
        <v>4</v>
      </c>
      <c r="V69" s="21">
        <v>13</v>
      </c>
      <c r="W69" s="1" t="s">
        <v>4</v>
      </c>
      <c r="X69" s="22">
        <v>3</v>
      </c>
      <c r="Y69" s="21">
        <v>13</v>
      </c>
      <c r="Z69" s="23" t="s">
        <v>6</v>
      </c>
      <c r="AA69" s="22">
        <v>5</v>
      </c>
      <c r="AB69" s="21">
        <v>13</v>
      </c>
      <c r="AC69" s="1" t="s">
        <v>44</v>
      </c>
      <c r="AD69" s="22">
        <v>1</v>
      </c>
      <c r="AE69" s="21">
        <v>13</v>
      </c>
      <c r="AF69" s="23" t="s">
        <v>6</v>
      </c>
      <c r="AG69" s="22">
        <v>5</v>
      </c>
      <c r="AH69" s="21">
        <v>13</v>
      </c>
      <c r="AI69" s="23" t="s">
        <v>6</v>
      </c>
      <c r="AJ69" s="22">
        <v>5</v>
      </c>
    </row>
    <row r="70" spans="6:36">
      <c r="F70">
        <v>4</v>
      </c>
      <c r="S70" s="21">
        <v>14</v>
      </c>
      <c r="T70" s="1" t="s">
        <v>44</v>
      </c>
      <c r="U70" s="22">
        <v>1</v>
      </c>
      <c r="V70" s="21">
        <v>14</v>
      </c>
      <c r="W70" s="1" t="s">
        <v>5</v>
      </c>
      <c r="X70" s="22">
        <v>4</v>
      </c>
      <c r="Y70" s="21">
        <v>14</v>
      </c>
      <c r="Z70" s="24" t="s">
        <v>47</v>
      </c>
      <c r="AA70" s="22">
        <v>4</v>
      </c>
      <c r="AB70" s="21">
        <v>14</v>
      </c>
      <c r="AC70" s="1" t="s">
        <v>46</v>
      </c>
      <c r="AD70" s="22">
        <v>2</v>
      </c>
      <c r="AE70" s="21">
        <v>14</v>
      </c>
      <c r="AF70" s="24" t="s">
        <v>47</v>
      </c>
      <c r="AG70" s="22">
        <v>4</v>
      </c>
      <c r="AH70" s="21">
        <v>14</v>
      </c>
      <c r="AI70" s="24" t="s">
        <v>47</v>
      </c>
      <c r="AJ70" s="22">
        <v>4</v>
      </c>
    </row>
    <row r="71" spans="6:36">
      <c r="F71">
        <v>5</v>
      </c>
      <c r="S71" s="21">
        <v>15</v>
      </c>
      <c r="T71" s="1" t="s">
        <v>46</v>
      </c>
      <c r="U71" s="22">
        <v>2</v>
      </c>
      <c r="V71" s="21">
        <v>15</v>
      </c>
      <c r="W71" s="23" t="s">
        <v>6</v>
      </c>
      <c r="X71" s="22">
        <v>5</v>
      </c>
      <c r="Y71" s="21">
        <v>15</v>
      </c>
      <c r="Z71" s="1" t="s">
        <v>37</v>
      </c>
      <c r="AA71" s="22">
        <v>2</v>
      </c>
      <c r="AB71" s="21">
        <v>15</v>
      </c>
      <c r="AC71" s="1" t="s">
        <v>4</v>
      </c>
      <c r="AD71" s="22">
        <v>3</v>
      </c>
      <c r="AE71" s="21">
        <v>15</v>
      </c>
      <c r="AF71" s="1" t="s">
        <v>37</v>
      </c>
      <c r="AG71" s="22">
        <v>2</v>
      </c>
      <c r="AH71" s="21">
        <v>15</v>
      </c>
      <c r="AI71" s="1" t="s">
        <v>37</v>
      </c>
      <c r="AJ71" s="22">
        <v>2</v>
      </c>
    </row>
    <row r="72" spans="6:36">
      <c r="F72">
        <v>6</v>
      </c>
      <c r="S72" s="21">
        <v>16</v>
      </c>
      <c r="T72" s="1" t="s">
        <v>4</v>
      </c>
      <c r="U72" s="22">
        <v>3</v>
      </c>
      <c r="V72" s="21">
        <v>16</v>
      </c>
      <c r="W72" s="24" t="s">
        <v>47</v>
      </c>
      <c r="X72" s="22">
        <v>4</v>
      </c>
      <c r="Y72" s="21">
        <v>16</v>
      </c>
      <c r="Z72" s="1" t="s">
        <v>44</v>
      </c>
      <c r="AA72" s="22">
        <v>2</v>
      </c>
      <c r="AB72" s="21">
        <v>16</v>
      </c>
      <c r="AC72" s="1" t="s">
        <v>5</v>
      </c>
      <c r="AD72" s="22">
        <v>4</v>
      </c>
      <c r="AE72" s="21">
        <v>16</v>
      </c>
      <c r="AF72" s="1" t="s">
        <v>44</v>
      </c>
      <c r="AG72" s="22">
        <v>2</v>
      </c>
      <c r="AH72" s="21">
        <v>16</v>
      </c>
      <c r="AI72" s="1" t="s">
        <v>44</v>
      </c>
      <c r="AJ72" s="22">
        <v>2</v>
      </c>
    </row>
    <row r="73" spans="6:36">
      <c r="F73">
        <v>7</v>
      </c>
      <c r="S73" s="21">
        <v>17</v>
      </c>
      <c r="T73" s="1" t="s">
        <v>5</v>
      </c>
      <c r="U73" s="22">
        <v>4</v>
      </c>
      <c r="V73" s="21">
        <v>17</v>
      </c>
      <c r="W73" s="1" t="s">
        <v>37</v>
      </c>
      <c r="X73" s="22">
        <v>2</v>
      </c>
      <c r="Y73" s="21">
        <v>17</v>
      </c>
      <c r="Z73" s="1" t="s">
        <v>46</v>
      </c>
      <c r="AA73" s="22">
        <v>2</v>
      </c>
      <c r="AB73" s="21">
        <v>17</v>
      </c>
      <c r="AC73" s="23" t="s">
        <v>6</v>
      </c>
      <c r="AD73" s="22">
        <v>5</v>
      </c>
      <c r="AE73" s="21">
        <v>17</v>
      </c>
      <c r="AF73" s="1" t="s">
        <v>46</v>
      </c>
      <c r="AG73" s="22">
        <v>2</v>
      </c>
      <c r="AH73" s="21">
        <v>17</v>
      </c>
      <c r="AI73" s="1" t="s">
        <v>46</v>
      </c>
      <c r="AJ73" s="22">
        <v>2</v>
      </c>
    </row>
    <row r="74" spans="6:36">
      <c r="F74">
        <v>8</v>
      </c>
      <c r="S74" s="21">
        <v>18</v>
      </c>
      <c r="T74" s="23" t="s">
        <v>6</v>
      </c>
      <c r="U74" s="22">
        <v>5</v>
      </c>
      <c r="V74" s="21">
        <v>18</v>
      </c>
      <c r="W74" s="1" t="s">
        <v>44</v>
      </c>
      <c r="X74" s="22">
        <v>2</v>
      </c>
      <c r="Y74" s="21">
        <v>18</v>
      </c>
      <c r="Z74" s="1" t="s">
        <v>4</v>
      </c>
      <c r="AA74" s="22">
        <v>3</v>
      </c>
      <c r="AB74" s="21">
        <v>18</v>
      </c>
      <c r="AC74" s="24" t="s">
        <v>47</v>
      </c>
      <c r="AD74" s="22">
        <v>4</v>
      </c>
      <c r="AE74" s="21">
        <v>18</v>
      </c>
      <c r="AF74" s="1" t="s">
        <v>4</v>
      </c>
      <c r="AG74" s="22">
        <v>3</v>
      </c>
      <c r="AH74" s="21">
        <v>18</v>
      </c>
      <c r="AI74" s="1" t="s">
        <v>4</v>
      </c>
      <c r="AJ74" s="22">
        <v>3</v>
      </c>
    </row>
    <row r="75" spans="6:36">
      <c r="F75">
        <v>9</v>
      </c>
      <c r="S75" s="21">
        <v>19</v>
      </c>
      <c r="T75" s="24" t="s">
        <v>47</v>
      </c>
      <c r="U75" s="22">
        <v>4</v>
      </c>
      <c r="V75" s="21">
        <v>19</v>
      </c>
      <c r="W75" s="1" t="s">
        <v>46</v>
      </c>
      <c r="X75" s="22">
        <v>2</v>
      </c>
      <c r="Y75" s="21">
        <v>19</v>
      </c>
      <c r="Z75" s="1" t="s">
        <v>5</v>
      </c>
      <c r="AA75" s="22">
        <v>4</v>
      </c>
      <c r="AB75" s="21">
        <v>19</v>
      </c>
      <c r="AC75" s="1" t="s">
        <v>37</v>
      </c>
      <c r="AD75" s="22">
        <v>2</v>
      </c>
      <c r="AE75" s="21">
        <v>19</v>
      </c>
      <c r="AF75" s="1" t="s">
        <v>5</v>
      </c>
      <c r="AG75" s="22">
        <v>4</v>
      </c>
      <c r="AH75" s="21">
        <v>19</v>
      </c>
      <c r="AI75" s="1" t="s">
        <v>5</v>
      </c>
      <c r="AJ75" s="22">
        <v>4</v>
      </c>
    </row>
    <row r="76" spans="6:36">
      <c r="F76">
        <v>10</v>
      </c>
      <c r="S76" s="21">
        <v>20</v>
      </c>
      <c r="T76" s="1" t="s">
        <v>37</v>
      </c>
      <c r="U76" s="22">
        <v>2</v>
      </c>
      <c r="V76" s="21">
        <v>20</v>
      </c>
      <c r="W76" s="1" t="s">
        <v>4</v>
      </c>
      <c r="X76" s="22">
        <v>3</v>
      </c>
      <c r="Y76" s="21">
        <v>20</v>
      </c>
      <c r="Z76" s="23" t="s">
        <v>6</v>
      </c>
      <c r="AA76" s="22">
        <v>5</v>
      </c>
      <c r="AB76" s="21">
        <v>20</v>
      </c>
      <c r="AC76" s="1" t="s">
        <v>44</v>
      </c>
      <c r="AD76" s="22">
        <v>2</v>
      </c>
      <c r="AE76" s="21">
        <v>20</v>
      </c>
      <c r="AF76" s="23" t="s">
        <v>6</v>
      </c>
      <c r="AG76" s="22">
        <v>5</v>
      </c>
      <c r="AH76" s="21">
        <v>20</v>
      </c>
      <c r="AI76" s="23" t="s">
        <v>6</v>
      </c>
      <c r="AJ76" s="22">
        <v>5</v>
      </c>
    </row>
    <row r="77" spans="6:36">
      <c r="F77">
        <v>11</v>
      </c>
      <c r="S77" s="21">
        <v>21</v>
      </c>
      <c r="T77" s="1" t="s">
        <v>44</v>
      </c>
      <c r="U77" s="22">
        <v>2</v>
      </c>
      <c r="V77" s="21">
        <v>21</v>
      </c>
      <c r="W77" s="1" t="s">
        <v>5</v>
      </c>
      <c r="X77" s="22">
        <v>4</v>
      </c>
      <c r="Y77" s="21">
        <v>21</v>
      </c>
      <c r="Z77" s="24" t="s">
        <v>47</v>
      </c>
      <c r="AA77" s="22">
        <v>4</v>
      </c>
      <c r="AB77" s="21">
        <v>21</v>
      </c>
      <c r="AC77" s="1" t="s">
        <v>46</v>
      </c>
      <c r="AD77" s="22">
        <v>2</v>
      </c>
      <c r="AE77" s="21">
        <v>21</v>
      </c>
      <c r="AF77" s="24" t="s">
        <v>47</v>
      </c>
      <c r="AG77" s="22">
        <v>4</v>
      </c>
      <c r="AH77" s="21">
        <v>21</v>
      </c>
      <c r="AI77" s="24" t="s">
        <v>47</v>
      </c>
      <c r="AJ77" s="22">
        <v>4</v>
      </c>
    </row>
    <row r="78" spans="6:36">
      <c r="F78">
        <v>12</v>
      </c>
      <c r="S78" s="21">
        <v>22</v>
      </c>
      <c r="T78" s="1" t="s">
        <v>46</v>
      </c>
      <c r="U78" s="22">
        <v>2</v>
      </c>
      <c r="V78" s="21">
        <v>22</v>
      </c>
      <c r="W78" s="23" t="s">
        <v>6</v>
      </c>
      <c r="X78" s="22">
        <v>5</v>
      </c>
      <c r="Y78" s="21">
        <v>22</v>
      </c>
      <c r="Z78" s="1" t="s">
        <v>37</v>
      </c>
      <c r="AA78" s="22">
        <v>2</v>
      </c>
      <c r="AB78" s="21">
        <v>22</v>
      </c>
      <c r="AC78" s="1" t="s">
        <v>4</v>
      </c>
      <c r="AD78" s="22">
        <v>3</v>
      </c>
      <c r="AE78" s="21">
        <v>22</v>
      </c>
      <c r="AF78" s="1" t="s">
        <v>37</v>
      </c>
      <c r="AG78" s="22">
        <v>2</v>
      </c>
      <c r="AH78" s="21">
        <v>22</v>
      </c>
      <c r="AI78" s="1" t="s">
        <v>37</v>
      </c>
      <c r="AJ78" s="22">
        <v>2</v>
      </c>
    </row>
    <row r="79" spans="6:36">
      <c r="F79">
        <v>13</v>
      </c>
      <c r="S79" s="21">
        <v>23</v>
      </c>
      <c r="T79" s="1" t="s">
        <v>4</v>
      </c>
      <c r="U79" s="22">
        <v>3</v>
      </c>
      <c r="V79" s="21">
        <v>23</v>
      </c>
      <c r="W79" s="24" t="s">
        <v>47</v>
      </c>
      <c r="X79" s="22">
        <v>5</v>
      </c>
      <c r="Y79" s="21">
        <v>23</v>
      </c>
      <c r="Z79" s="1" t="s">
        <v>44</v>
      </c>
      <c r="AA79" s="22">
        <v>2</v>
      </c>
      <c r="AB79" s="21">
        <v>23</v>
      </c>
      <c r="AC79" s="1" t="s">
        <v>5</v>
      </c>
      <c r="AD79" s="22">
        <v>4</v>
      </c>
      <c r="AE79" s="21">
        <v>23</v>
      </c>
      <c r="AF79" s="1" t="s">
        <v>44</v>
      </c>
      <c r="AG79" s="22">
        <v>2</v>
      </c>
      <c r="AH79" s="21">
        <v>23</v>
      </c>
      <c r="AI79" s="1" t="s">
        <v>44</v>
      </c>
      <c r="AJ79" s="22">
        <v>2</v>
      </c>
    </row>
    <row r="80" spans="6:36">
      <c r="F80">
        <v>14</v>
      </c>
      <c r="S80" s="21">
        <v>24</v>
      </c>
      <c r="T80" s="1" t="s">
        <v>5</v>
      </c>
      <c r="U80" s="22">
        <v>4</v>
      </c>
      <c r="V80" s="21">
        <v>24</v>
      </c>
      <c r="W80" s="24" t="s">
        <v>37</v>
      </c>
      <c r="X80" s="22">
        <v>4</v>
      </c>
      <c r="Y80" s="21">
        <v>24</v>
      </c>
      <c r="Z80" s="1" t="s">
        <v>46</v>
      </c>
      <c r="AA80" s="22">
        <v>2</v>
      </c>
      <c r="AB80" s="21">
        <v>24</v>
      </c>
      <c r="AC80" s="23" t="s">
        <v>6</v>
      </c>
      <c r="AD80" s="22">
        <v>5</v>
      </c>
      <c r="AE80" s="21">
        <v>24</v>
      </c>
      <c r="AF80" s="1" t="s">
        <v>46</v>
      </c>
      <c r="AG80" s="22">
        <v>2</v>
      </c>
      <c r="AH80" s="21">
        <v>24</v>
      </c>
      <c r="AI80" s="1" t="s">
        <v>46</v>
      </c>
      <c r="AJ80" s="22">
        <v>2</v>
      </c>
    </row>
    <row r="81" spans="6:36">
      <c r="F81">
        <v>15</v>
      </c>
      <c r="S81" s="21">
        <v>25</v>
      </c>
      <c r="T81" s="23" t="s">
        <v>6</v>
      </c>
      <c r="U81" s="22">
        <v>5</v>
      </c>
      <c r="V81" s="21">
        <v>25</v>
      </c>
      <c r="W81" s="1" t="s">
        <v>44</v>
      </c>
      <c r="X81" s="22">
        <v>1</v>
      </c>
      <c r="Y81" s="21">
        <v>25</v>
      </c>
      <c r="Z81" s="1" t="s">
        <v>4</v>
      </c>
      <c r="AA81" s="22">
        <v>3</v>
      </c>
      <c r="AB81" s="21">
        <v>25</v>
      </c>
      <c r="AC81" s="24" t="s">
        <v>47</v>
      </c>
      <c r="AD81" s="22">
        <v>4</v>
      </c>
      <c r="AE81" s="21">
        <v>25</v>
      </c>
      <c r="AF81" s="1" t="s">
        <v>4</v>
      </c>
      <c r="AG81" s="22">
        <v>3</v>
      </c>
      <c r="AH81" s="21">
        <v>25</v>
      </c>
      <c r="AI81" s="1" t="s">
        <v>4</v>
      </c>
      <c r="AJ81" s="22">
        <v>3</v>
      </c>
    </row>
    <row r="82" spans="6:36">
      <c r="F82">
        <v>16</v>
      </c>
      <c r="S82" s="21">
        <v>26</v>
      </c>
      <c r="T82" s="24" t="s">
        <v>47</v>
      </c>
      <c r="U82" s="22">
        <v>4</v>
      </c>
      <c r="V82" s="21">
        <v>26</v>
      </c>
      <c r="W82" s="1" t="s">
        <v>46</v>
      </c>
      <c r="X82" s="22">
        <v>2</v>
      </c>
      <c r="Y82" s="21">
        <v>26</v>
      </c>
      <c r="Z82" s="1" t="s">
        <v>5</v>
      </c>
      <c r="AA82" s="22">
        <v>4</v>
      </c>
      <c r="AB82" s="21">
        <v>26</v>
      </c>
      <c r="AC82" s="1" t="s">
        <v>37</v>
      </c>
      <c r="AD82" s="22">
        <v>2</v>
      </c>
      <c r="AE82" s="21">
        <v>26</v>
      </c>
      <c r="AF82" s="1" t="s">
        <v>5</v>
      </c>
      <c r="AG82" s="22">
        <v>4</v>
      </c>
      <c r="AH82" s="21">
        <v>26</v>
      </c>
      <c r="AI82" s="1" t="s">
        <v>5</v>
      </c>
      <c r="AJ82" s="22">
        <v>4</v>
      </c>
    </row>
    <row r="83" spans="6:36">
      <c r="F83">
        <v>17</v>
      </c>
      <c r="S83" s="21">
        <v>27</v>
      </c>
      <c r="T83" s="1" t="s">
        <v>37</v>
      </c>
      <c r="U83" s="22">
        <v>2</v>
      </c>
      <c r="V83" s="21">
        <v>27</v>
      </c>
      <c r="W83" s="1" t="s">
        <v>4</v>
      </c>
      <c r="X83" s="22">
        <v>3</v>
      </c>
      <c r="Y83" s="21">
        <v>27</v>
      </c>
      <c r="Z83" s="23" t="s">
        <v>6</v>
      </c>
      <c r="AA83" s="22">
        <v>5</v>
      </c>
      <c r="AB83" s="21">
        <v>27</v>
      </c>
      <c r="AC83" s="28" t="s">
        <v>44</v>
      </c>
      <c r="AD83" s="22">
        <v>2</v>
      </c>
      <c r="AE83" s="21">
        <v>27</v>
      </c>
      <c r="AF83" s="23" t="s">
        <v>6</v>
      </c>
      <c r="AG83" s="22">
        <v>5</v>
      </c>
      <c r="AH83" s="21">
        <v>27</v>
      </c>
      <c r="AI83" s="23" t="s">
        <v>6</v>
      </c>
      <c r="AJ83" s="22">
        <v>5</v>
      </c>
    </row>
    <row r="84" spans="6:36">
      <c r="F84">
        <v>18</v>
      </c>
      <c r="S84" s="21">
        <v>28</v>
      </c>
      <c r="T84" s="1" t="s">
        <v>44</v>
      </c>
      <c r="U84" s="22">
        <v>2</v>
      </c>
      <c r="V84" s="21">
        <v>28</v>
      </c>
      <c r="W84" s="1" t="s">
        <v>5</v>
      </c>
      <c r="X84" s="22">
        <v>4</v>
      </c>
      <c r="Y84" s="21">
        <v>28</v>
      </c>
      <c r="Z84" s="24" t="s">
        <v>47</v>
      </c>
      <c r="AA84" s="22">
        <v>4</v>
      </c>
      <c r="AB84" s="21">
        <v>28</v>
      </c>
      <c r="AC84" s="1" t="s">
        <v>46</v>
      </c>
      <c r="AD84" s="22">
        <v>2</v>
      </c>
      <c r="AE84" s="21">
        <v>28</v>
      </c>
      <c r="AF84" s="24" t="s">
        <v>47</v>
      </c>
      <c r="AG84" s="22">
        <v>4</v>
      </c>
      <c r="AH84" s="21">
        <v>28</v>
      </c>
      <c r="AI84" s="24" t="s">
        <v>47</v>
      </c>
      <c r="AJ84" s="22">
        <v>4</v>
      </c>
    </row>
    <row r="85" spans="6:36">
      <c r="F85">
        <v>19</v>
      </c>
      <c r="S85" s="21">
        <v>29</v>
      </c>
      <c r="T85" s="1" t="s">
        <v>46</v>
      </c>
      <c r="U85" s="22">
        <v>2</v>
      </c>
      <c r="V85" s="21">
        <v>29</v>
      </c>
      <c r="W85" s="23" t="s">
        <v>6</v>
      </c>
      <c r="X85" s="22">
        <v>5</v>
      </c>
      <c r="Y85" s="21">
        <v>29</v>
      </c>
      <c r="Z85" s="1" t="s">
        <v>37</v>
      </c>
      <c r="AA85" s="22">
        <v>2</v>
      </c>
      <c r="AB85" s="21">
        <v>29</v>
      </c>
      <c r="AC85" s="1" t="s">
        <v>48</v>
      </c>
      <c r="AD85" s="22">
        <v>2</v>
      </c>
      <c r="AE85" s="21"/>
      <c r="AF85" s="1"/>
      <c r="AG85" s="22"/>
      <c r="AH85" s="21">
        <v>29</v>
      </c>
      <c r="AI85" s="1" t="s">
        <v>37</v>
      </c>
      <c r="AJ85" s="22">
        <v>2</v>
      </c>
    </row>
    <row r="86" spans="6:36">
      <c r="F86">
        <v>20</v>
      </c>
      <c r="S86" s="21">
        <v>30</v>
      </c>
      <c r="T86" s="1" t="s">
        <v>4</v>
      </c>
      <c r="U86" s="22">
        <v>3</v>
      </c>
      <c r="V86" s="21">
        <v>30</v>
      </c>
      <c r="W86" s="24" t="s">
        <v>47</v>
      </c>
      <c r="X86" s="22">
        <v>4</v>
      </c>
      <c r="Y86" s="21">
        <v>30</v>
      </c>
      <c r="Z86" s="1" t="s">
        <v>44</v>
      </c>
      <c r="AA86" s="22">
        <v>2</v>
      </c>
      <c r="AB86" s="21">
        <v>30</v>
      </c>
      <c r="AC86" s="1" t="s">
        <v>5</v>
      </c>
      <c r="AD86" s="22">
        <v>4</v>
      </c>
      <c r="AE86" s="21"/>
      <c r="AF86" s="1"/>
      <c r="AG86" s="22"/>
      <c r="AH86" s="21">
        <v>30</v>
      </c>
      <c r="AI86" s="1" t="s">
        <v>44</v>
      </c>
      <c r="AJ86" s="22">
        <v>2</v>
      </c>
    </row>
    <row r="87" spans="6:36">
      <c r="F87">
        <v>21</v>
      </c>
      <c r="S87" s="21">
        <v>31</v>
      </c>
      <c r="T87" s="1" t="s">
        <v>5</v>
      </c>
      <c r="U87" s="22">
        <v>4</v>
      </c>
      <c r="V87" s="21"/>
      <c r="W87" s="23"/>
      <c r="X87" s="22"/>
      <c r="Y87" s="21">
        <v>31</v>
      </c>
      <c r="Z87" s="1" t="s">
        <v>46</v>
      </c>
      <c r="AA87" s="22"/>
      <c r="AB87" s="21">
        <v>31</v>
      </c>
      <c r="AC87" s="23" t="s">
        <v>6</v>
      </c>
      <c r="AD87" s="22">
        <v>5</v>
      </c>
      <c r="AE87" s="21"/>
      <c r="AF87" s="24"/>
      <c r="AG87" s="22"/>
      <c r="AH87" s="21">
        <v>31</v>
      </c>
      <c r="AI87" s="1" t="s">
        <v>3</v>
      </c>
      <c r="AJ87" s="22">
        <v>2</v>
      </c>
    </row>
    <row r="88" spans="6:36">
      <c r="F88">
        <v>22</v>
      </c>
      <c r="S88" s="25"/>
      <c r="T88" s="26"/>
      <c r="U88" s="27">
        <f>SUM(U57:U87)/S87</f>
        <v>3.193548387096774</v>
      </c>
      <c r="V88" s="25"/>
      <c r="W88" s="26"/>
      <c r="X88" s="27">
        <f>SUM(X57:X87)/V86</f>
        <v>3.3666666666666667</v>
      </c>
      <c r="Y88" s="25"/>
      <c r="Z88" s="26">
        <v>30</v>
      </c>
      <c r="AA88" s="27">
        <f>SUM(AA57:AA87)/Y86</f>
        <v>3.0666666666666669</v>
      </c>
      <c r="AB88" s="25"/>
      <c r="AC88" s="26">
        <v>30</v>
      </c>
      <c r="AD88" s="27">
        <f>SUM(AD58:AD87)/AB86</f>
        <v>3.2</v>
      </c>
      <c r="AE88" s="25"/>
      <c r="AF88" s="26"/>
      <c r="AG88" s="27">
        <f>SUM(AG57:AG87)/AE84</f>
        <v>3.2142857142857144</v>
      </c>
      <c r="AH88" s="25"/>
      <c r="AI88" s="26"/>
      <c r="AJ88" s="27">
        <f>SUM(AJ57:AJ87)/AH87</f>
        <v>3.032258064516129</v>
      </c>
    </row>
    <row r="89" spans="6:36">
      <c r="F89">
        <v>23</v>
      </c>
    </row>
    <row r="90" spans="6:36">
      <c r="F90">
        <v>24</v>
      </c>
    </row>
    <row r="91" spans="6:36">
      <c r="F91">
        <v>25</v>
      </c>
    </row>
    <row r="92" spans="6:36">
      <c r="F92">
        <v>26</v>
      </c>
    </row>
    <row r="93" spans="6:36">
      <c r="F93">
        <v>27</v>
      </c>
    </row>
    <row r="94" spans="6:36">
      <c r="F94">
        <v>28</v>
      </c>
    </row>
    <row r="95" spans="6:36">
      <c r="F95">
        <v>29</v>
      </c>
    </row>
    <row r="96" spans="6:36">
      <c r="F96">
        <v>30</v>
      </c>
    </row>
  </sheetData>
  <mergeCells count="49">
    <mergeCell ref="C30:Q31"/>
    <mergeCell ref="C32:Q33"/>
    <mergeCell ref="C34:Q35"/>
    <mergeCell ref="C36:Q37"/>
    <mergeCell ref="A30:B37"/>
    <mergeCell ref="A38:B45"/>
    <mergeCell ref="C38:Q39"/>
    <mergeCell ref="C40:Q41"/>
    <mergeCell ref="C42:Q43"/>
    <mergeCell ref="C44:Q45"/>
    <mergeCell ref="A23:Q28"/>
    <mergeCell ref="W4:Y4"/>
    <mergeCell ref="Z4:AB4"/>
    <mergeCell ref="F4:I4"/>
    <mergeCell ref="Q5:R5"/>
    <mergeCell ref="Q3:R4"/>
    <mergeCell ref="O4:P4"/>
    <mergeCell ref="J4:L4"/>
    <mergeCell ref="H3:P3"/>
    <mergeCell ref="F3:G3"/>
    <mergeCell ref="M4:N4"/>
    <mergeCell ref="AH23:AJ23"/>
    <mergeCell ref="S56:U56"/>
    <mergeCell ref="V56:X56"/>
    <mergeCell ref="Y56:AA56"/>
    <mergeCell ref="AB56:AD56"/>
    <mergeCell ref="AE56:AG56"/>
    <mergeCell ref="AH56:AJ56"/>
    <mergeCell ref="S23:U23"/>
    <mergeCell ref="V23:X23"/>
    <mergeCell ref="Y23:AA23"/>
    <mergeCell ref="AB23:AD23"/>
    <mergeCell ref="AE23:AG23"/>
    <mergeCell ref="AC4:AF4"/>
    <mergeCell ref="Q16:R16"/>
    <mergeCell ref="A3:B3"/>
    <mergeCell ref="Q11:R11"/>
    <mergeCell ref="Q12:R12"/>
    <mergeCell ref="Q13:R13"/>
    <mergeCell ref="Q14:R14"/>
    <mergeCell ref="Q15:R15"/>
    <mergeCell ref="Q6:R6"/>
    <mergeCell ref="Q7:R7"/>
    <mergeCell ref="Q8:R8"/>
    <mergeCell ref="Q9:R9"/>
    <mergeCell ref="Q10:R10"/>
    <mergeCell ref="A4:B4"/>
    <mergeCell ref="C3:D3"/>
    <mergeCell ref="T4:V4"/>
  </mergeCells>
  <phoneticPr fontId="1"/>
  <pageMargins left="0.7" right="0.7" top="0.75" bottom="0.75" header="0.3" footer="0.3"/>
  <pageSetup paperSize="8" scale="31"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79763-0DBF-1C40-A0D4-563C841BC805}">
  <sheetPr>
    <pageSetUpPr fitToPage="1"/>
  </sheetPr>
  <dimension ref="A1:AJ96"/>
  <sheetViews>
    <sheetView zoomScale="39" workbookViewId="0">
      <selection activeCell="D7" sqref="D7"/>
    </sheetView>
  </sheetViews>
  <sheetFormatPr baseColWidth="10" defaultRowHeight="20"/>
  <cols>
    <col min="1" max="2" width="6.85546875" customWidth="1"/>
    <col min="3" max="5" width="33.42578125" customWidth="1"/>
    <col min="6" max="6" width="9.85546875" customWidth="1"/>
    <col min="7" max="7" width="11.7109375" customWidth="1"/>
    <col min="8" max="8" width="8.85546875" customWidth="1"/>
    <col min="9" max="9" width="11.7109375" customWidth="1"/>
    <col min="10" max="10" width="9.28515625" customWidth="1"/>
    <col min="11" max="11" width="17.85546875" customWidth="1"/>
    <col min="12" max="12" width="14.28515625" customWidth="1"/>
    <col min="13" max="13" width="16.140625" customWidth="1"/>
  </cols>
  <sheetData>
    <row r="1" spans="1:32" s="41" customFormat="1" ht="31">
      <c r="A1" s="41" t="s">
        <v>87</v>
      </c>
    </row>
    <row r="3" spans="1:32" ht="50" customHeight="1">
      <c r="A3" s="47" t="s">
        <v>61</v>
      </c>
      <c r="B3" s="48"/>
      <c r="C3" s="50" t="s">
        <v>38</v>
      </c>
      <c r="D3" s="51"/>
      <c r="E3" s="6" t="s">
        <v>14</v>
      </c>
      <c r="F3" s="76" t="s">
        <v>33</v>
      </c>
      <c r="G3" s="76"/>
      <c r="H3" s="50" t="s">
        <v>36</v>
      </c>
      <c r="I3" s="75"/>
      <c r="J3" s="75"/>
      <c r="K3" s="75"/>
      <c r="L3" s="75"/>
      <c r="M3" s="75"/>
      <c r="N3" s="75"/>
      <c r="O3" s="75"/>
      <c r="P3" s="51"/>
      <c r="Q3" s="67" t="s">
        <v>73</v>
      </c>
      <c r="R3" s="68"/>
      <c r="T3" s="7" t="s">
        <v>65</v>
      </c>
      <c r="U3" s="37"/>
    </row>
    <row r="4" spans="1:32" ht="50" customHeight="1">
      <c r="A4" s="49" t="s">
        <v>77</v>
      </c>
      <c r="B4" s="49"/>
      <c r="C4" s="42" t="s">
        <v>9</v>
      </c>
      <c r="D4" s="42" t="s">
        <v>10</v>
      </c>
      <c r="E4" s="42" t="s">
        <v>32</v>
      </c>
      <c r="F4" s="64" t="s">
        <v>71</v>
      </c>
      <c r="G4" s="65"/>
      <c r="H4" s="65"/>
      <c r="I4" s="66"/>
      <c r="J4" s="72" t="s">
        <v>72</v>
      </c>
      <c r="K4" s="73"/>
      <c r="L4" s="74"/>
      <c r="M4" s="71" t="s">
        <v>59</v>
      </c>
      <c r="N4" s="71"/>
      <c r="O4" s="71" t="s">
        <v>34</v>
      </c>
      <c r="P4" s="71"/>
      <c r="Q4" s="69"/>
      <c r="R4" s="70"/>
      <c r="T4" s="44" t="s">
        <v>39</v>
      </c>
      <c r="U4" s="44"/>
      <c r="V4" s="44"/>
      <c r="W4" s="44" t="s">
        <v>40</v>
      </c>
      <c r="X4" s="44"/>
      <c r="Y4" s="44"/>
      <c r="Z4" s="44" t="s">
        <v>41</v>
      </c>
      <c r="AA4" s="44"/>
      <c r="AB4" s="44"/>
      <c r="AC4" s="44" t="s">
        <v>69</v>
      </c>
      <c r="AD4" s="44"/>
      <c r="AE4" s="44"/>
      <c r="AF4" s="44"/>
    </row>
    <row r="5" spans="1:32" ht="50" customHeight="1">
      <c r="A5" s="2">
        <v>4</v>
      </c>
      <c r="B5" s="16">
        <v>1</v>
      </c>
      <c r="C5" s="2" t="s">
        <v>11</v>
      </c>
      <c r="D5" s="2" t="s">
        <v>12</v>
      </c>
      <c r="E5" s="2" t="s">
        <v>35</v>
      </c>
      <c r="F5" s="2" t="s">
        <v>0</v>
      </c>
      <c r="G5" s="12">
        <v>4</v>
      </c>
      <c r="H5" s="2">
        <v>4</v>
      </c>
      <c r="I5" s="29">
        <f>U55</f>
        <v>3.2</v>
      </c>
      <c r="J5" s="2">
        <v>4</v>
      </c>
      <c r="K5" s="10">
        <f>(U5+X5)/(V5+Y5)</f>
        <v>499.78333333333336</v>
      </c>
      <c r="L5" s="35">
        <f>AF5</f>
        <v>1.9995657982631931</v>
      </c>
      <c r="M5" s="5"/>
      <c r="N5" s="5"/>
      <c r="O5" s="5"/>
      <c r="P5" s="5"/>
      <c r="Q5" s="45">
        <f>(B5+I5+L5)/3</f>
        <v>2.0665219327543976</v>
      </c>
      <c r="R5" s="46"/>
      <c r="S5" s="1">
        <v>4</v>
      </c>
      <c r="T5" s="8">
        <f>U5/V5</f>
        <v>548.26666666666665</v>
      </c>
      <c r="U5" s="8">
        <v>16448</v>
      </c>
      <c r="V5">
        <v>30</v>
      </c>
      <c r="W5" s="8">
        <f>X5/Y5</f>
        <v>451.3</v>
      </c>
      <c r="X5" s="8">
        <v>13539</v>
      </c>
      <c r="Y5">
        <v>30</v>
      </c>
      <c r="Z5" s="8"/>
      <c r="AC5" s="7">
        <v>1500</v>
      </c>
      <c r="AD5">
        <v>5</v>
      </c>
      <c r="AE5" s="7">
        <v>1</v>
      </c>
      <c r="AF5" s="32">
        <f>AE5+((K5-500)/(500-1))+1</f>
        <v>1.9995657982631931</v>
      </c>
    </row>
    <row r="6" spans="1:32" ht="50" customHeight="1">
      <c r="A6" s="2">
        <v>5</v>
      </c>
      <c r="B6" s="3">
        <v>3</v>
      </c>
      <c r="C6" s="2" t="s">
        <v>8</v>
      </c>
      <c r="D6" s="2" t="s">
        <v>13</v>
      </c>
      <c r="E6" s="2"/>
      <c r="F6" s="2" t="s">
        <v>1</v>
      </c>
      <c r="G6" s="18">
        <v>2</v>
      </c>
      <c r="H6" s="2">
        <v>5</v>
      </c>
      <c r="I6" s="29">
        <f>X55</f>
        <v>3.3548387096774195</v>
      </c>
      <c r="J6" s="2">
        <v>5</v>
      </c>
      <c r="K6" s="10">
        <f t="shared" ref="K6:K16" si="0">(U6+X6)/(V6+Y6)</f>
        <v>876.30645161290317</v>
      </c>
      <c r="L6" s="35">
        <f>AF6</f>
        <v>3.5876881720430105</v>
      </c>
      <c r="M6" s="5"/>
      <c r="N6" s="5"/>
      <c r="O6" s="5"/>
      <c r="P6" s="5"/>
      <c r="Q6" s="45">
        <f t="shared" ref="Q6:Q16" si="1">(B6+I6+L6)/3</f>
        <v>3.3141756272401435</v>
      </c>
      <c r="R6" s="46"/>
      <c r="S6" s="1">
        <v>5</v>
      </c>
      <c r="T6" s="8">
        <f t="shared" ref="T6:T16" si="2">U6/V6</f>
        <v>886.67741935483866</v>
      </c>
      <c r="U6" s="8">
        <v>27487</v>
      </c>
      <c r="V6">
        <v>31</v>
      </c>
      <c r="W6" s="8">
        <f t="shared" ref="W6:W16" si="3">X6/Y6</f>
        <v>865.93548387096769</v>
      </c>
      <c r="X6" s="8">
        <v>26844</v>
      </c>
      <c r="Y6">
        <v>31</v>
      </c>
      <c r="Z6" s="8"/>
      <c r="AC6" s="7">
        <v>1300</v>
      </c>
      <c r="AD6">
        <v>4</v>
      </c>
      <c r="AE6" s="7">
        <v>3</v>
      </c>
      <c r="AF6" s="34">
        <f>AE6+((K6-1000)/(1000-700))+1</f>
        <v>3.5876881720430105</v>
      </c>
    </row>
    <row r="7" spans="1:32" ht="50" customHeight="1">
      <c r="A7" s="2">
        <v>6</v>
      </c>
      <c r="B7" s="15">
        <v>4</v>
      </c>
      <c r="C7" s="20" t="s">
        <v>31</v>
      </c>
      <c r="D7" s="2"/>
      <c r="E7" s="2"/>
      <c r="F7" s="2" t="s">
        <v>2</v>
      </c>
      <c r="G7" s="18">
        <v>2</v>
      </c>
      <c r="H7" s="2">
        <v>6</v>
      </c>
      <c r="I7" s="29">
        <f>AA55</f>
        <v>3.1333333333333333</v>
      </c>
      <c r="J7" s="2">
        <v>6</v>
      </c>
      <c r="K7" s="10">
        <f t="shared" si="0"/>
        <v>957.26666666666665</v>
      </c>
      <c r="L7" s="35">
        <f t="shared" ref="L7:L16" si="4">AF7</f>
        <v>3.8575555555555554</v>
      </c>
      <c r="M7" s="5"/>
      <c r="N7" s="5"/>
      <c r="O7" s="5"/>
      <c r="P7" s="5"/>
      <c r="Q7" s="45">
        <f t="shared" si="1"/>
        <v>3.6636296296296291</v>
      </c>
      <c r="R7" s="46"/>
      <c r="S7" s="1">
        <v>6</v>
      </c>
      <c r="T7" s="8">
        <f t="shared" si="2"/>
        <v>969.9</v>
      </c>
      <c r="U7" s="8">
        <v>29097</v>
      </c>
      <c r="V7">
        <v>30</v>
      </c>
      <c r="W7" s="8">
        <f t="shared" si="3"/>
        <v>944.63333333333333</v>
      </c>
      <c r="X7" s="8">
        <v>28339</v>
      </c>
      <c r="Y7">
        <v>30</v>
      </c>
      <c r="Z7" s="8"/>
      <c r="AC7" s="7">
        <v>1000</v>
      </c>
      <c r="AD7">
        <v>3</v>
      </c>
      <c r="AE7" s="7">
        <v>3</v>
      </c>
      <c r="AF7" s="34">
        <f>AE7+((K7-1000)/(1000-700))+1</f>
        <v>3.8575555555555554</v>
      </c>
    </row>
    <row r="8" spans="1:32" ht="50" customHeight="1">
      <c r="A8" s="2">
        <v>7</v>
      </c>
      <c r="B8" s="14">
        <v>5</v>
      </c>
      <c r="C8" s="2" t="s">
        <v>17</v>
      </c>
      <c r="D8" s="2" t="s">
        <v>30</v>
      </c>
      <c r="E8" s="2"/>
      <c r="F8" s="2" t="s">
        <v>3</v>
      </c>
      <c r="G8" s="18">
        <v>2</v>
      </c>
      <c r="H8" s="2">
        <v>7</v>
      </c>
      <c r="I8" s="29">
        <f>AD55</f>
        <v>3.161290322580645</v>
      </c>
      <c r="J8" s="2">
        <v>7</v>
      </c>
      <c r="K8" s="10">
        <f t="shared" si="0"/>
        <v>1063.0967741935483</v>
      </c>
      <c r="L8" s="35">
        <f t="shared" si="4"/>
        <v>4.315483870967741</v>
      </c>
      <c r="M8" s="5"/>
      <c r="N8" s="5"/>
      <c r="O8" s="5"/>
      <c r="P8" s="5"/>
      <c r="Q8" s="45">
        <f t="shared" si="1"/>
        <v>4.158924731182795</v>
      </c>
      <c r="R8" s="46"/>
      <c r="S8" s="1">
        <v>7</v>
      </c>
      <c r="T8" s="8">
        <f t="shared" si="2"/>
        <v>1004.8387096774194</v>
      </c>
      <c r="U8" s="8">
        <v>31150</v>
      </c>
      <c r="V8">
        <v>31</v>
      </c>
      <c r="W8" s="8">
        <f t="shared" si="3"/>
        <v>1121.3548387096773</v>
      </c>
      <c r="X8" s="8">
        <v>34762</v>
      </c>
      <c r="Y8">
        <v>31</v>
      </c>
      <c r="Z8" s="8"/>
      <c r="AC8" s="7">
        <v>700</v>
      </c>
      <c r="AD8">
        <v>2</v>
      </c>
      <c r="AE8" s="7">
        <v>4</v>
      </c>
      <c r="AF8" s="34">
        <f>AE8+((K8-1200)/(1200-1000))+1</f>
        <v>4.315483870967741</v>
      </c>
    </row>
    <row r="9" spans="1:32" ht="50" customHeight="1">
      <c r="A9" s="2">
        <v>8</v>
      </c>
      <c r="B9" s="14">
        <v>5</v>
      </c>
      <c r="C9" s="2" t="s">
        <v>18</v>
      </c>
      <c r="D9" s="2"/>
      <c r="E9" s="2"/>
      <c r="F9" s="2" t="s">
        <v>4</v>
      </c>
      <c r="G9" s="4">
        <v>3</v>
      </c>
      <c r="H9" s="2">
        <v>8</v>
      </c>
      <c r="I9" s="29">
        <f>AG55</f>
        <v>3.2903225806451615</v>
      </c>
      <c r="J9" s="2">
        <v>8</v>
      </c>
      <c r="K9" s="10">
        <f t="shared" si="0"/>
        <v>1637.3870967741937</v>
      </c>
      <c r="L9" s="35">
        <f t="shared" si="4"/>
        <v>5</v>
      </c>
      <c r="M9" s="5"/>
      <c r="N9" s="5"/>
      <c r="O9" s="5"/>
      <c r="P9" s="5"/>
      <c r="Q9" s="45">
        <f t="shared" si="1"/>
        <v>4.4301075268817209</v>
      </c>
      <c r="R9" s="46"/>
      <c r="S9" s="1">
        <v>8</v>
      </c>
      <c r="T9" s="8">
        <f t="shared" si="2"/>
        <v>1646.0322580645161</v>
      </c>
      <c r="U9" s="8">
        <v>51027</v>
      </c>
      <c r="V9">
        <v>31</v>
      </c>
      <c r="W9" s="8">
        <f t="shared" si="3"/>
        <v>1628.741935483871</v>
      </c>
      <c r="X9" s="8">
        <v>50491</v>
      </c>
      <c r="Y9">
        <v>31</v>
      </c>
      <c r="Z9" s="8"/>
      <c r="AC9" s="38" t="s">
        <v>43</v>
      </c>
      <c r="AD9">
        <v>1</v>
      </c>
      <c r="AE9" s="7">
        <v>5</v>
      </c>
      <c r="AF9" s="34">
        <v>5</v>
      </c>
    </row>
    <row r="10" spans="1:32" ht="50" customHeight="1">
      <c r="A10" s="2">
        <v>9</v>
      </c>
      <c r="B10" s="14">
        <v>5</v>
      </c>
      <c r="C10" s="2" t="s">
        <v>19</v>
      </c>
      <c r="D10" s="2" t="s">
        <v>19</v>
      </c>
      <c r="E10" s="2"/>
      <c r="F10" s="2" t="s">
        <v>5</v>
      </c>
      <c r="G10" s="12">
        <v>4</v>
      </c>
      <c r="H10" s="2">
        <v>9</v>
      </c>
      <c r="I10" s="29">
        <f>AJ55</f>
        <v>3.2666666666666666</v>
      </c>
      <c r="J10" s="2">
        <v>9</v>
      </c>
      <c r="K10" s="10">
        <f t="shared" si="0"/>
        <v>1070.1666666666667</v>
      </c>
      <c r="L10" s="35">
        <f t="shared" si="4"/>
        <v>4.350833333333334</v>
      </c>
      <c r="M10" s="5"/>
      <c r="N10" s="5"/>
      <c r="O10" s="5"/>
      <c r="P10" s="5"/>
      <c r="Q10" s="45">
        <f t="shared" si="1"/>
        <v>4.2058333333333335</v>
      </c>
      <c r="R10" s="46"/>
      <c r="S10" s="1">
        <v>9</v>
      </c>
      <c r="T10" s="8">
        <f t="shared" si="2"/>
        <v>1069.9666666666667</v>
      </c>
      <c r="U10" s="8">
        <v>32099</v>
      </c>
      <c r="V10">
        <v>30</v>
      </c>
      <c r="W10" s="8">
        <f t="shared" si="3"/>
        <v>1070.3666666666666</v>
      </c>
      <c r="X10" s="8">
        <v>32111</v>
      </c>
      <c r="Y10">
        <v>30</v>
      </c>
      <c r="Z10" s="8"/>
      <c r="AE10" s="7">
        <v>4</v>
      </c>
      <c r="AF10" s="34">
        <f>AE10+((K10-1200)/(1200-1000))+1</f>
        <v>4.350833333333334</v>
      </c>
    </row>
    <row r="11" spans="1:32" ht="50" customHeight="1">
      <c r="A11" s="2">
        <v>10</v>
      </c>
      <c r="B11" s="14">
        <v>5</v>
      </c>
      <c r="C11" s="2" t="s">
        <v>20</v>
      </c>
      <c r="D11" s="2"/>
      <c r="E11" s="2" t="s">
        <v>64</v>
      </c>
      <c r="F11" s="2" t="s">
        <v>6</v>
      </c>
      <c r="G11" s="13">
        <v>5</v>
      </c>
      <c r="H11" s="2">
        <v>10</v>
      </c>
      <c r="I11" s="29">
        <f>U88</f>
        <v>3.193548387096774</v>
      </c>
      <c r="J11" s="2">
        <v>10</v>
      </c>
      <c r="K11" s="10">
        <f t="shared" si="0"/>
        <v>939.54838709677415</v>
      </c>
      <c r="L11" s="35">
        <f t="shared" si="4"/>
        <v>3.7984946236559138</v>
      </c>
      <c r="M11" s="5"/>
      <c r="N11" s="5"/>
      <c r="O11" s="5"/>
      <c r="P11" s="5"/>
      <c r="Q11" s="45">
        <f>(B11+I11+L11)/3</f>
        <v>3.9973476702508961</v>
      </c>
      <c r="R11" s="46"/>
      <c r="S11" s="1">
        <v>10</v>
      </c>
      <c r="T11" s="8">
        <f t="shared" si="2"/>
        <v>966.25806451612902</v>
      </c>
      <c r="U11" s="8">
        <v>29954</v>
      </c>
      <c r="V11">
        <v>31</v>
      </c>
      <c r="W11" s="8">
        <f t="shared" si="3"/>
        <v>912.83870967741939</v>
      </c>
      <c r="X11" s="8">
        <v>28298</v>
      </c>
      <c r="Y11">
        <v>31</v>
      </c>
      <c r="Z11" s="8"/>
      <c r="AE11" s="7">
        <v>3</v>
      </c>
      <c r="AF11" s="34">
        <f>AE11+((K11-1000)/(1000-700))+1</f>
        <v>3.7984946236559138</v>
      </c>
    </row>
    <row r="12" spans="1:32" ht="50" customHeight="1">
      <c r="A12" s="2">
        <v>11</v>
      </c>
      <c r="B12" s="3">
        <v>3</v>
      </c>
      <c r="C12" s="2" t="s">
        <v>22</v>
      </c>
      <c r="D12" s="2" t="s">
        <v>21</v>
      </c>
      <c r="E12" s="30"/>
      <c r="F12" s="2" t="s">
        <v>7</v>
      </c>
      <c r="G12" s="12">
        <v>4</v>
      </c>
      <c r="H12" s="2">
        <v>11</v>
      </c>
      <c r="I12" s="29">
        <f>X88</f>
        <v>3.3666666666666667</v>
      </c>
      <c r="J12" s="2">
        <v>11</v>
      </c>
      <c r="K12" s="10">
        <f t="shared" si="0"/>
        <v>586.88333333333333</v>
      </c>
      <c r="L12" s="35">
        <f t="shared" si="4"/>
        <v>2.4344166666666665</v>
      </c>
      <c r="M12" s="5"/>
      <c r="N12" s="5"/>
      <c r="O12" s="5"/>
      <c r="P12" s="5"/>
      <c r="Q12" s="45">
        <f t="shared" si="1"/>
        <v>2.9336944444444448</v>
      </c>
      <c r="R12" s="46"/>
      <c r="S12" s="1">
        <v>11</v>
      </c>
      <c r="T12" s="8">
        <f t="shared" si="2"/>
        <v>597.20000000000005</v>
      </c>
      <c r="U12" s="8">
        <v>17916</v>
      </c>
      <c r="V12">
        <v>30</v>
      </c>
      <c r="W12" s="8">
        <f t="shared" si="3"/>
        <v>576.56666666666672</v>
      </c>
      <c r="X12" s="8">
        <v>17297</v>
      </c>
      <c r="Y12">
        <v>30</v>
      </c>
      <c r="Z12" s="8"/>
      <c r="AE12" s="7">
        <v>2</v>
      </c>
      <c r="AF12" s="34">
        <f>AE12+((K12-700)/(700-500))+1</f>
        <v>2.4344166666666665</v>
      </c>
    </row>
    <row r="13" spans="1:32" ht="50" customHeight="1">
      <c r="A13" s="2">
        <v>12</v>
      </c>
      <c r="B13" s="14">
        <v>5</v>
      </c>
      <c r="C13" s="2" t="s">
        <v>23</v>
      </c>
      <c r="D13" s="2" t="s">
        <v>26</v>
      </c>
      <c r="E13" s="2"/>
      <c r="F13" s="2" t="s">
        <v>52</v>
      </c>
      <c r="G13" s="18">
        <v>2</v>
      </c>
      <c r="H13" s="2">
        <v>12</v>
      </c>
      <c r="I13" s="29">
        <f>AA88</f>
        <v>3.0666666666666669</v>
      </c>
      <c r="J13" s="2">
        <v>12</v>
      </c>
      <c r="K13" s="10">
        <f t="shared" si="0"/>
        <v>498.93333333333334</v>
      </c>
      <c r="L13" s="35">
        <f t="shared" si="4"/>
        <v>1.9978623914495657</v>
      </c>
      <c r="M13" s="5"/>
      <c r="N13" s="5"/>
      <c r="O13" s="5"/>
      <c r="P13" s="5"/>
      <c r="Q13" s="45">
        <f t="shared" si="1"/>
        <v>3.3548430193720775</v>
      </c>
      <c r="R13" s="46"/>
      <c r="S13" s="1">
        <v>12</v>
      </c>
      <c r="T13" s="8">
        <f t="shared" si="2"/>
        <v>498.93333333333334</v>
      </c>
      <c r="U13" s="8">
        <v>14968</v>
      </c>
      <c r="V13">
        <v>30</v>
      </c>
      <c r="W13" s="8">
        <f t="shared" si="3"/>
        <v>498.93333333333334</v>
      </c>
      <c r="X13" s="8">
        <v>14968</v>
      </c>
      <c r="Y13">
        <v>30</v>
      </c>
      <c r="Z13" s="8"/>
      <c r="AE13" s="7">
        <v>1</v>
      </c>
      <c r="AF13" s="32">
        <f>AE13+((K13-500)/(500-1))+1</f>
        <v>1.9978623914495657</v>
      </c>
    </row>
    <row r="14" spans="1:32" ht="50" customHeight="1">
      <c r="A14" s="2">
        <v>1</v>
      </c>
      <c r="B14" s="17">
        <v>2</v>
      </c>
      <c r="C14" s="2" t="s">
        <v>24</v>
      </c>
      <c r="D14" s="2" t="s">
        <v>27</v>
      </c>
      <c r="E14" s="2" t="s">
        <v>62</v>
      </c>
      <c r="F14" s="2" t="s">
        <v>49</v>
      </c>
      <c r="G14" s="19">
        <v>1</v>
      </c>
      <c r="H14" s="2">
        <v>1</v>
      </c>
      <c r="I14" s="29">
        <f>AD88</f>
        <v>3.2</v>
      </c>
      <c r="J14" s="2">
        <v>1</v>
      </c>
      <c r="K14" s="10">
        <f t="shared" si="0"/>
        <v>511.75</v>
      </c>
      <c r="L14" s="35">
        <f t="shared" si="4"/>
        <v>2.0587499999999999</v>
      </c>
      <c r="M14" s="5"/>
      <c r="N14" s="5"/>
      <c r="O14" s="5"/>
      <c r="P14" s="5"/>
      <c r="Q14" s="45">
        <f t="shared" si="1"/>
        <v>2.4195833333333332</v>
      </c>
      <c r="R14" s="46"/>
      <c r="S14" s="1">
        <v>1</v>
      </c>
      <c r="T14" s="8">
        <f t="shared" si="2"/>
        <v>511.75</v>
      </c>
      <c r="U14" s="31">
        <v>14329</v>
      </c>
      <c r="V14">
        <v>28</v>
      </c>
      <c r="W14" s="8">
        <f t="shared" si="3"/>
        <v>511.75</v>
      </c>
      <c r="X14" s="8">
        <v>14329</v>
      </c>
      <c r="Y14">
        <v>28</v>
      </c>
      <c r="Z14" s="8"/>
      <c r="AE14" s="7">
        <v>2</v>
      </c>
      <c r="AF14" s="34">
        <f>AE14+((K14-700)/(700-500))+1</f>
        <v>2.0587499999999999</v>
      </c>
    </row>
    <row r="15" spans="1:32" ht="50" customHeight="1">
      <c r="A15" s="2">
        <v>2</v>
      </c>
      <c r="B15" s="3">
        <v>3</v>
      </c>
      <c r="C15" s="2" t="s">
        <v>25</v>
      </c>
      <c r="D15" s="2" t="s">
        <v>28</v>
      </c>
      <c r="E15" s="2" t="s">
        <v>63</v>
      </c>
      <c r="F15" s="2" t="s">
        <v>50</v>
      </c>
      <c r="G15" s="13">
        <v>5</v>
      </c>
      <c r="H15" s="2">
        <v>2</v>
      </c>
      <c r="I15" s="29">
        <f>AG88</f>
        <v>3.2142857142857144</v>
      </c>
      <c r="J15" s="2">
        <v>2</v>
      </c>
      <c r="K15" s="10">
        <f t="shared" si="0"/>
        <v>690.5</v>
      </c>
      <c r="L15" s="35">
        <f t="shared" si="4"/>
        <v>2.9524999999999997</v>
      </c>
      <c r="M15" s="5"/>
      <c r="N15" s="5"/>
      <c r="O15" s="5"/>
      <c r="P15" s="5"/>
      <c r="Q15" s="45">
        <f t="shared" si="1"/>
        <v>3.055595238095238</v>
      </c>
      <c r="R15" s="46"/>
      <c r="S15" s="1">
        <v>2</v>
      </c>
      <c r="T15" s="8">
        <f t="shared" si="2"/>
        <v>690.5</v>
      </c>
      <c r="U15" s="31">
        <v>19334</v>
      </c>
      <c r="V15">
        <v>28</v>
      </c>
      <c r="W15" s="8">
        <f t="shared" si="3"/>
        <v>690.5</v>
      </c>
      <c r="X15" s="8">
        <v>19334</v>
      </c>
      <c r="Y15">
        <v>28</v>
      </c>
      <c r="Z15" s="8"/>
      <c r="AE15" s="7">
        <v>2</v>
      </c>
      <c r="AF15" s="34">
        <f>AE15+((K15-700)/(700-500))+1</f>
        <v>2.9524999999999997</v>
      </c>
    </row>
    <row r="16" spans="1:32" ht="50" customHeight="1">
      <c r="A16" s="2">
        <v>3</v>
      </c>
      <c r="B16" s="3">
        <v>3</v>
      </c>
      <c r="C16" s="2" t="s">
        <v>29</v>
      </c>
      <c r="D16" s="2"/>
      <c r="E16" s="2"/>
      <c r="F16" s="2" t="s">
        <v>51</v>
      </c>
      <c r="G16" s="4">
        <v>3</v>
      </c>
      <c r="H16" s="2">
        <v>3</v>
      </c>
      <c r="I16" s="29">
        <f>AJ88</f>
        <v>3.032258064516129</v>
      </c>
      <c r="J16" s="2">
        <v>3</v>
      </c>
      <c r="K16" s="10">
        <f t="shared" si="0"/>
        <v>491.41935483870969</v>
      </c>
      <c r="L16" s="35">
        <f t="shared" si="4"/>
        <v>1.9828043183140474</v>
      </c>
      <c r="M16" s="5"/>
      <c r="N16" s="5"/>
      <c r="O16" s="5"/>
      <c r="P16" s="5"/>
      <c r="Q16" s="45">
        <f t="shared" si="1"/>
        <v>2.6716874609433923</v>
      </c>
      <c r="R16" s="46"/>
      <c r="S16" s="1">
        <v>3</v>
      </c>
      <c r="T16" s="8">
        <f t="shared" si="2"/>
        <v>491.41935483870969</v>
      </c>
      <c r="U16" s="31">
        <v>15234</v>
      </c>
      <c r="V16">
        <v>31</v>
      </c>
      <c r="W16" s="8">
        <f t="shared" si="3"/>
        <v>491.41935483870969</v>
      </c>
      <c r="X16" s="8">
        <v>15234</v>
      </c>
      <c r="Y16">
        <v>31</v>
      </c>
      <c r="Z16" s="8"/>
      <c r="AE16" s="7">
        <v>1</v>
      </c>
      <c r="AF16" s="33">
        <f>AE16+((K16-500)/(500-1))+1</f>
        <v>1.9828043183140474</v>
      </c>
    </row>
    <row r="17" spans="1:36" ht="30" customHeight="1">
      <c r="A17" s="1"/>
      <c r="L17" s="11"/>
      <c r="S17" s="1" t="s">
        <v>42</v>
      </c>
      <c r="T17" s="8">
        <f>U17/V17</f>
        <v>828.3739612188366</v>
      </c>
      <c r="U17" s="9">
        <f>SUM(U5:U16)</f>
        <v>299043</v>
      </c>
      <c r="V17">
        <f>SUM(V5:V16)</f>
        <v>361</v>
      </c>
      <c r="W17" s="8">
        <f>X17/Y17</f>
        <v>818.68698060941824</v>
      </c>
      <c r="X17" s="9">
        <f>SUM(X5:X16)</f>
        <v>295546</v>
      </c>
      <c r="Y17">
        <f>SUM(Y5:Y16)</f>
        <v>361</v>
      </c>
    </row>
    <row r="19" spans="1:36" ht="41" customHeight="1">
      <c r="A19" t="s">
        <v>70</v>
      </c>
    </row>
    <row r="22" spans="1:36" ht="21" thickBot="1"/>
    <row r="23" spans="1:36" ht="21" thickTop="1">
      <c r="A23" s="55" t="s">
        <v>78</v>
      </c>
      <c r="B23" s="56"/>
      <c r="C23" s="56"/>
      <c r="D23" s="56"/>
      <c r="E23" s="56"/>
      <c r="F23" s="56"/>
      <c r="G23" s="56"/>
      <c r="H23" s="56"/>
      <c r="I23" s="56"/>
      <c r="J23" s="56"/>
      <c r="K23" s="56"/>
      <c r="L23" s="56"/>
      <c r="M23" s="56"/>
      <c r="N23" s="56"/>
      <c r="O23" s="56"/>
      <c r="P23" s="56"/>
      <c r="Q23" s="57"/>
      <c r="S23" s="52">
        <v>2025.4</v>
      </c>
      <c r="T23" s="53"/>
      <c r="U23" s="54"/>
      <c r="V23" s="52">
        <v>2025.5</v>
      </c>
      <c r="W23" s="53"/>
      <c r="X23" s="54"/>
      <c r="Y23" s="52">
        <v>2025.6</v>
      </c>
      <c r="Z23" s="53"/>
      <c r="AA23" s="54"/>
      <c r="AB23" s="52">
        <v>2025.7</v>
      </c>
      <c r="AC23" s="53"/>
      <c r="AD23" s="54"/>
      <c r="AE23" s="52">
        <v>2025.8</v>
      </c>
      <c r="AF23" s="53"/>
      <c r="AG23" s="54"/>
      <c r="AH23" s="52">
        <v>2025.9</v>
      </c>
      <c r="AI23" s="53"/>
      <c r="AJ23" s="54"/>
    </row>
    <row r="24" spans="1:36">
      <c r="A24" s="58"/>
      <c r="B24" s="59"/>
      <c r="C24" s="59"/>
      <c r="D24" s="59"/>
      <c r="E24" s="59"/>
      <c r="F24" s="59"/>
      <c r="G24" s="59"/>
      <c r="H24" s="59"/>
      <c r="I24" s="59"/>
      <c r="J24" s="59"/>
      <c r="K24" s="59"/>
      <c r="L24" s="59"/>
      <c r="M24" s="59"/>
      <c r="N24" s="59"/>
      <c r="O24" s="59"/>
      <c r="P24" s="59"/>
      <c r="Q24" s="60"/>
      <c r="S24" s="21">
        <v>1</v>
      </c>
      <c r="T24" s="1" t="s">
        <v>45</v>
      </c>
      <c r="U24" s="22">
        <v>2</v>
      </c>
      <c r="V24" s="21">
        <v>1</v>
      </c>
      <c r="W24" s="1" t="s">
        <v>4</v>
      </c>
      <c r="X24" s="22">
        <v>3</v>
      </c>
      <c r="Y24" s="21">
        <v>1</v>
      </c>
      <c r="Z24" s="24" t="s">
        <v>47</v>
      </c>
      <c r="AA24" s="22">
        <v>4</v>
      </c>
      <c r="AB24" s="21">
        <v>1</v>
      </c>
      <c r="AC24" s="1" t="s">
        <v>45</v>
      </c>
      <c r="AD24" s="22">
        <v>2</v>
      </c>
      <c r="AE24" s="21">
        <v>1</v>
      </c>
      <c r="AF24" s="1" t="s">
        <v>5</v>
      </c>
      <c r="AG24" s="22">
        <v>4</v>
      </c>
      <c r="AH24" s="21">
        <v>1</v>
      </c>
      <c r="AI24" s="1" t="s">
        <v>37</v>
      </c>
      <c r="AJ24" s="22">
        <v>2</v>
      </c>
    </row>
    <row r="25" spans="1:36">
      <c r="A25" s="58"/>
      <c r="B25" s="59"/>
      <c r="C25" s="59"/>
      <c r="D25" s="59"/>
      <c r="E25" s="59"/>
      <c r="F25" s="59"/>
      <c r="G25" s="59"/>
      <c r="H25" s="59"/>
      <c r="I25" s="59"/>
      <c r="J25" s="59"/>
      <c r="K25" s="59"/>
      <c r="L25" s="59"/>
      <c r="M25" s="59"/>
      <c r="N25" s="59"/>
      <c r="O25" s="59"/>
      <c r="P25" s="59"/>
      <c r="Q25" s="60"/>
      <c r="S25" s="21">
        <v>2</v>
      </c>
      <c r="T25" s="1" t="s">
        <v>3</v>
      </c>
      <c r="U25" s="22">
        <v>2</v>
      </c>
      <c r="V25" s="21">
        <v>2</v>
      </c>
      <c r="W25" s="1" t="s">
        <v>5</v>
      </c>
      <c r="X25" s="22">
        <v>4</v>
      </c>
      <c r="Y25" s="21">
        <v>2</v>
      </c>
      <c r="Z25" s="1" t="s">
        <v>37</v>
      </c>
      <c r="AA25" s="22">
        <v>2</v>
      </c>
      <c r="AB25" s="21">
        <v>2</v>
      </c>
      <c r="AC25" s="1" t="s">
        <v>3</v>
      </c>
      <c r="AD25" s="22">
        <v>2</v>
      </c>
      <c r="AE25" s="21">
        <v>2</v>
      </c>
      <c r="AF25" s="23" t="s">
        <v>6</v>
      </c>
      <c r="AG25" s="22">
        <v>5</v>
      </c>
      <c r="AH25" s="21">
        <v>2</v>
      </c>
      <c r="AI25" s="1" t="s">
        <v>44</v>
      </c>
      <c r="AJ25" s="22">
        <v>2</v>
      </c>
    </row>
    <row r="26" spans="1:36">
      <c r="A26" s="58"/>
      <c r="B26" s="59"/>
      <c r="C26" s="59"/>
      <c r="D26" s="59"/>
      <c r="E26" s="59"/>
      <c r="F26" s="59"/>
      <c r="G26" s="59"/>
      <c r="H26" s="59"/>
      <c r="I26" s="59"/>
      <c r="J26" s="59"/>
      <c r="K26" s="59"/>
      <c r="L26" s="59"/>
      <c r="M26" s="59"/>
      <c r="N26" s="59"/>
      <c r="O26" s="59"/>
      <c r="P26" s="59"/>
      <c r="Q26" s="60"/>
      <c r="S26" s="21">
        <v>3</v>
      </c>
      <c r="T26" s="1" t="s">
        <v>4</v>
      </c>
      <c r="U26" s="22">
        <v>3</v>
      </c>
      <c r="V26" s="21">
        <v>3</v>
      </c>
      <c r="W26" s="23" t="s">
        <v>6</v>
      </c>
      <c r="X26" s="22">
        <v>5</v>
      </c>
      <c r="Y26" s="21">
        <v>3</v>
      </c>
      <c r="Z26" s="1" t="s">
        <v>44</v>
      </c>
      <c r="AA26" s="22">
        <v>2</v>
      </c>
      <c r="AB26" s="21">
        <v>3</v>
      </c>
      <c r="AC26" s="1" t="s">
        <v>4</v>
      </c>
      <c r="AD26" s="22">
        <v>3</v>
      </c>
      <c r="AE26" s="21">
        <v>3</v>
      </c>
      <c r="AF26" s="24" t="s">
        <v>47</v>
      </c>
      <c r="AG26" s="22">
        <v>4</v>
      </c>
      <c r="AH26" s="21">
        <v>3</v>
      </c>
      <c r="AI26" s="1" t="s">
        <v>46</v>
      </c>
      <c r="AJ26" s="22">
        <v>2</v>
      </c>
    </row>
    <row r="27" spans="1:36">
      <c r="A27" s="58"/>
      <c r="B27" s="59"/>
      <c r="C27" s="59"/>
      <c r="D27" s="59"/>
      <c r="E27" s="59"/>
      <c r="F27" s="59"/>
      <c r="G27" s="59"/>
      <c r="H27" s="59"/>
      <c r="I27" s="59"/>
      <c r="J27" s="59"/>
      <c r="K27" s="59"/>
      <c r="L27" s="59"/>
      <c r="M27" s="59"/>
      <c r="N27" s="59"/>
      <c r="O27" s="59"/>
      <c r="P27" s="59"/>
      <c r="Q27" s="60"/>
      <c r="S27" s="21">
        <v>4</v>
      </c>
      <c r="T27" s="1" t="s">
        <v>5</v>
      </c>
      <c r="U27" s="22">
        <v>4</v>
      </c>
      <c r="V27" s="21">
        <v>4</v>
      </c>
      <c r="W27" s="24" t="s">
        <v>47</v>
      </c>
      <c r="X27" s="22">
        <v>5</v>
      </c>
      <c r="Y27" s="21">
        <v>4</v>
      </c>
      <c r="Z27" s="1" t="s">
        <v>46</v>
      </c>
      <c r="AA27" s="22">
        <v>2</v>
      </c>
      <c r="AB27" s="21">
        <v>4</v>
      </c>
      <c r="AC27" s="1" t="s">
        <v>5</v>
      </c>
      <c r="AD27" s="22">
        <v>4</v>
      </c>
      <c r="AE27" s="21">
        <v>4</v>
      </c>
      <c r="AF27" s="1" t="s">
        <v>37</v>
      </c>
      <c r="AG27" s="22">
        <v>2</v>
      </c>
      <c r="AH27" s="21">
        <v>4</v>
      </c>
      <c r="AI27" s="1" t="s">
        <v>4</v>
      </c>
      <c r="AJ27" s="22">
        <v>3</v>
      </c>
    </row>
    <row r="28" spans="1:36" ht="21" thickBot="1">
      <c r="A28" s="61"/>
      <c r="B28" s="62"/>
      <c r="C28" s="62"/>
      <c r="D28" s="62"/>
      <c r="E28" s="62"/>
      <c r="F28" s="62"/>
      <c r="G28" s="62"/>
      <c r="H28" s="62"/>
      <c r="I28" s="62"/>
      <c r="J28" s="62"/>
      <c r="K28" s="62"/>
      <c r="L28" s="62"/>
      <c r="M28" s="62"/>
      <c r="N28" s="62"/>
      <c r="O28" s="62"/>
      <c r="P28" s="62"/>
      <c r="Q28" s="63"/>
      <c r="S28" s="21">
        <v>5</v>
      </c>
      <c r="T28" s="23" t="s">
        <v>6</v>
      </c>
      <c r="U28" s="22">
        <v>5</v>
      </c>
      <c r="V28" s="21">
        <v>5</v>
      </c>
      <c r="W28" s="24" t="s">
        <v>37</v>
      </c>
      <c r="X28" s="22">
        <v>5</v>
      </c>
      <c r="Y28" s="21">
        <v>5</v>
      </c>
      <c r="Z28" s="1" t="s">
        <v>4</v>
      </c>
      <c r="AA28" s="22">
        <v>3</v>
      </c>
      <c r="AB28" s="21">
        <v>5</v>
      </c>
      <c r="AC28" s="23" t="s">
        <v>6</v>
      </c>
      <c r="AD28" s="22">
        <v>5</v>
      </c>
      <c r="AE28" s="21">
        <v>5</v>
      </c>
      <c r="AF28" s="1" t="s">
        <v>44</v>
      </c>
      <c r="AG28" s="22">
        <v>2</v>
      </c>
      <c r="AH28" s="21">
        <v>5</v>
      </c>
      <c r="AI28" s="1" t="s">
        <v>5</v>
      </c>
      <c r="AJ28" s="22">
        <v>4</v>
      </c>
    </row>
    <row r="29" spans="1:36" ht="35" thickTop="1" thickBot="1">
      <c r="A29" s="40"/>
      <c r="B29" s="40"/>
      <c r="C29" s="40"/>
      <c r="D29" s="40"/>
      <c r="E29" s="40"/>
      <c r="F29" s="40"/>
      <c r="G29" s="40"/>
      <c r="H29" s="40"/>
      <c r="I29" s="40"/>
      <c r="J29" s="40"/>
      <c r="K29" s="40"/>
      <c r="L29" s="40"/>
      <c r="M29" s="40"/>
      <c r="N29" s="40"/>
      <c r="O29" s="40"/>
      <c r="P29" s="40"/>
      <c r="Q29" s="40"/>
      <c r="S29" s="21">
        <v>6</v>
      </c>
      <c r="T29" s="24" t="s">
        <v>47</v>
      </c>
      <c r="U29" s="22">
        <v>4</v>
      </c>
      <c r="V29" s="21">
        <v>6</v>
      </c>
      <c r="W29" s="24" t="s">
        <v>44</v>
      </c>
      <c r="X29" s="22">
        <v>3</v>
      </c>
      <c r="Y29" s="21">
        <v>6</v>
      </c>
      <c r="Z29" s="1" t="s">
        <v>5</v>
      </c>
      <c r="AA29" s="22">
        <v>4</v>
      </c>
      <c r="AB29" s="21">
        <v>6</v>
      </c>
      <c r="AC29" s="24" t="s">
        <v>47</v>
      </c>
      <c r="AD29" s="22">
        <v>4</v>
      </c>
      <c r="AE29" s="21">
        <v>6</v>
      </c>
      <c r="AF29" s="1" t="s">
        <v>46</v>
      </c>
      <c r="AG29" s="22">
        <v>2</v>
      </c>
      <c r="AH29" s="21">
        <v>6</v>
      </c>
      <c r="AI29" s="23" t="s">
        <v>6</v>
      </c>
      <c r="AJ29" s="22">
        <v>5</v>
      </c>
    </row>
    <row r="30" spans="1:36" ht="21" thickTop="1">
      <c r="A30" s="87" t="s">
        <v>79</v>
      </c>
      <c r="B30" s="88"/>
      <c r="C30" s="85" t="s">
        <v>74</v>
      </c>
      <c r="D30" s="85"/>
      <c r="E30" s="85"/>
      <c r="F30" s="85"/>
      <c r="G30" s="85"/>
      <c r="H30" s="85"/>
      <c r="I30" s="85"/>
      <c r="J30" s="85"/>
      <c r="K30" s="85"/>
      <c r="L30" s="85"/>
      <c r="M30" s="85"/>
      <c r="N30" s="85"/>
      <c r="O30" s="85"/>
      <c r="P30" s="85"/>
      <c r="Q30" s="86"/>
      <c r="S30" s="21">
        <v>7</v>
      </c>
      <c r="T30" s="1" t="s">
        <v>37</v>
      </c>
      <c r="U30" s="22">
        <v>2</v>
      </c>
      <c r="V30" s="21">
        <v>7</v>
      </c>
      <c r="W30" s="1" t="s">
        <v>46</v>
      </c>
      <c r="X30" s="22">
        <v>1</v>
      </c>
      <c r="Y30" s="21">
        <v>7</v>
      </c>
      <c r="Z30" s="23" t="s">
        <v>6</v>
      </c>
      <c r="AA30" s="22">
        <v>5</v>
      </c>
      <c r="AB30" s="21">
        <v>7</v>
      </c>
      <c r="AC30" s="1" t="s">
        <v>37</v>
      </c>
      <c r="AD30" s="22">
        <v>2</v>
      </c>
      <c r="AE30" s="21">
        <v>7</v>
      </c>
      <c r="AF30" s="1" t="s">
        <v>4</v>
      </c>
      <c r="AG30" s="22">
        <v>3</v>
      </c>
      <c r="AH30" s="21">
        <v>7</v>
      </c>
      <c r="AI30" s="24" t="s">
        <v>47</v>
      </c>
      <c r="AJ30" s="22">
        <v>4</v>
      </c>
    </row>
    <row r="31" spans="1:36">
      <c r="A31" s="77"/>
      <c r="B31" s="78"/>
      <c r="C31" s="81"/>
      <c r="D31" s="81"/>
      <c r="E31" s="81"/>
      <c r="F31" s="81"/>
      <c r="G31" s="81"/>
      <c r="H31" s="81"/>
      <c r="I31" s="81"/>
      <c r="J31" s="81"/>
      <c r="K31" s="81"/>
      <c r="L31" s="81"/>
      <c r="M31" s="81"/>
      <c r="N31" s="81"/>
      <c r="O31" s="81"/>
      <c r="P31" s="81"/>
      <c r="Q31" s="82"/>
      <c r="S31" s="21">
        <v>8</v>
      </c>
      <c r="T31" s="1" t="s">
        <v>44</v>
      </c>
      <c r="U31" s="22">
        <v>2</v>
      </c>
      <c r="V31" s="21">
        <v>8</v>
      </c>
      <c r="W31" s="1" t="s">
        <v>4</v>
      </c>
      <c r="X31" s="22">
        <v>3</v>
      </c>
      <c r="Y31" s="21">
        <v>8</v>
      </c>
      <c r="Z31" s="24" t="s">
        <v>47</v>
      </c>
      <c r="AA31" s="22">
        <v>4</v>
      </c>
      <c r="AB31" s="21">
        <v>8</v>
      </c>
      <c r="AC31" s="1" t="s">
        <v>44</v>
      </c>
      <c r="AD31" s="22">
        <v>2</v>
      </c>
      <c r="AE31" s="21">
        <v>8</v>
      </c>
      <c r="AF31" s="1" t="s">
        <v>5</v>
      </c>
      <c r="AG31" s="22">
        <v>4</v>
      </c>
      <c r="AH31" s="21">
        <v>8</v>
      </c>
      <c r="AI31" s="1" t="s">
        <v>37</v>
      </c>
      <c r="AJ31" s="22">
        <v>2</v>
      </c>
    </row>
    <row r="32" spans="1:36">
      <c r="A32" s="77"/>
      <c r="B32" s="78"/>
      <c r="C32" s="81" t="s">
        <v>75</v>
      </c>
      <c r="D32" s="81"/>
      <c r="E32" s="81"/>
      <c r="F32" s="81"/>
      <c r="G32" s="81"/>
      <c r="H32" s="81"/>
      <c r="I32" s="81"/>
      <c r="J32" s="81"/>
      <c r="K32" s="81"/>
      <c r="L32" s="81"/>
      <c r="M32" s="81"/>
      <c r="N32" s="81"/>
      <c r="O32" s="81"/>
      <c r="P32" s="81"/>
      <c r="Q32" s="82"/>
      <c r="S32" s="21">
        <v>9</v>
      </c>
      <c r="T32" s="1" t="s">
        <v>46</v>
      </c>
      <c r="U32" s="22">
        <v>2</v>
      </c>
      <c r="V32" s="21">
        <v>9</v>
      </c>
      <c r="W32" s="1" t="s">
        <v>5</v>
      </c>
      <c r="X32" s="22">
        <v>4</v>
      </c>
      <c r="Y32" s="21">
        <v>9</v>
      </c>
      <c r="Z32" s="1" t="s">
        <v>37</v>
      </c>
      <c r="AA32" s="22">
        <v>2</v>
      </c>
      <c r="AB32" s="21">
        <v>9</v>
      </c>
      <c r="AC32" s="1" t="s">
        <v>46</v>
      </c>
      <c r="AD32" s="22">
        <v>2</v>
      </c>
      <c r="AE32" s="21">
        <v>9</v>
      </c>
      <c r="AF32" s="23" t="s">
        <v>6</v>
      </c>
      <c r="AG32" s="22">
        <v>5</v>
      </c>
      <c r="AH32" s="21">
        <v>9</v>
      </c>
      <c r="AI32" s="1" t="s">
        <v>44</v>
      </c>
      <c r="AJ32" s="22">
        <v>2</v>
      </c>
    </row>
    <row r="33" spans="1:36">
      <c r="A33" s="77"/>
      <c r="B33" s="78"/>
      <c r="C33" s="81"/>
      <c r="D33" s="81"/>
      <c r="E33" s="81"/>
      <c r="F33" s="81"/>
      <c r="G33" s="81"/>
      <c r="H33" s="81"/>
      <c r="I33" s="81"/>
      <c r="J33" s="81"/>
      <c r="K33" s="81"/>
      <c r="L33" s="81"/>
      <c r="M33" s="81"/>
      <c r="N33" s="81"/>
      <c r="O33" s="81"/>
      <c r="P33" s="81"/>
      <c r="Q33" s="82"/>
      <c r="S33" s="21">
        <v>10</v>
      </c>
      <c r="T33" s="1" t="s">
        <v>4</v>
      </c>
      <c r="U33" s="22">
        <v>3</v>
      </c>
      <c r="V33" s="21">
        <v>10</v>
      </c>
      <c r="W33" s="23" t="s">
        <v>6</v>
      </c>
      <c r="X33" s="22">
        <v>5</v>
      </c>
      <c r="Y33" s="21">
        <v>10</v>
      </c>
      <c r="Z33" s="1" t="s">
        <v>44</v>
      </c>
      <c r="AA33" s="22">
        <v>2</v>
      </c>
      <c r="AB33" s="21">
        <v>10</v>
      </c>
      <c r="AC33" s="1" t="s">
        <v>4</v>
      </c>
      <c r="AD33" s="22">
        <v>3</v>
      </c>
      <c r="AE33" s="21">
        <v>10</v>
      </c>
      <c r="AF33" s="24" t="s">
        <v>47</v>
      </c>
      <c r="AG33" s="22">
        <v>5</v>
      </c>
      <c r="AH33" s="21">
        <v>10</v>
      </c>
      <c r="AI33" s="1" t="s">
        <v>46</v>
      </c>
      <c r="AJ33" s="22">
        <v>2</v>
      </c>
    </row>
    <row r="34" spans="1:36">
      <c r="A34" s="77"/>
      <c r="B34" s="78"/>
      <c r="C34" s="81" t="s">
        <v>76</v>
      </c>
      <c r="D34" s="81"/>
      <c r="E34" s="81"/>
      <c r="F34" s="81"/>
      <c r="G34" s="81"/>
      <c r="H34" s="81"/>
      <c r="I34" s="81"/>
      <c r="J34" s="81"/>
      <c r="K34" s="81"/>
      <c r="L34" s="81"/>
      <c r="M34" s="81"/>
      <c r="N34" s="81"/>
      <c r="O34" s="81"/>
      <c r="P34" s="81"/>
      <c r="Q34" s="82"/>
      <c r="S34" s="21">
        <v>11</v>
      </c>
      <c r="T34" s="1" t="s">
        <v>5</v>
      </c>
      <c r="U34" s="22">
        <v>4</v>
      </c>
      <c r="V34" s="21">
        <v>11</v>
      </c>
      <c r="W34" s="24" t="s">
        <v>47</v>
      </c>
      <c r="X34" s="22">
        <v>4</v>
      </c>
      <c r="Y34" s="21">
        <v>11</v>
      </c>
      <c r="Z34" s="1" t="s">
        <v>46</v>
      </c>
      <c r="AA34" s="22">
        <v>2</v>
      </c>
      <c r="AB34" s="21">
        <v>11</v>
      </c>
      <c r="AC34" s="1" t="s">
        <v>5</v>
      </c>
      <c r="AD34" s="22">
        <v>4</v>
      </c>
      <c r="AE34" s="21">
        <v>11</v>
      </c>
      <c r="AF34" s="24" t="s">
        <v>37</v>
      </c>
      <c r="AG34" s="22">
        <v>4</v>
      </c>
      <c r="AH34" s="21">
        <v>11</v>
      </c>
      <c r="AI34" s="1" t="s">
        <v>4</v>
      </c>
      <c r="AJ34" s="22">
        <v>3</v>
      </c>
    </row>
    <row r="35" spans="1:36">
      <c r="A35" s="77"/>
      <c r="B35" s="78"/>
      <c r="C35" s="81"/>
      <c r="D35" s="81"/>
      <c r="E35" s="81"/>
      <c r="F35" s="81"/>
      <c r="G35" s="81"/>
      <c r="H35" s="81"/>
      <c r="I35" s="81"/>
      <c r="J35" s="81"/>
      <c r="K35" s="81"/>
      <c r="L35" s="81"/>
      <c r="M35" s="81"/>
      <c r="N35" s="81"/>
      <c r="O35" s="81"/>
      <c r="P35" s="81"/>
      <c r="Q35" s="82"/>
      <c r="S35" s="21">
        <v>12</v>
      </c>
      <c r="T35" s="23" t="s">
        <v>6</v>
      </c>
      <c r="U35" s="22">
        <v>5</v>
      </c>
      <c r="V35" s="21">
        <v>12</v>
      </c>
      <c r="W35" s="1" t="s">
        <v>37</v>
      </c>
      <c r="X35" s="22">
        <v>2</v>
      </c>
      <c r="Y35" s="21">
        <v>12</v>
      </c>
      <c r="Z35" s="1" t="s">
        <v>4</v>
      </c>
      <c r="AA35" s="22">
        <v>3</v>
      </c>
      <c r="AB35" s="21">
        <v>12</v>
      </c>
      <c r="AC35" s="23" t="s">
        <v>6</v>
      </c>
      <c r="AD35" s="22">
        <v>5</v>
      </c>
      <c r="AE35" s="21">
        <v>12</v>
      </c>
      <c r="AF35" s="1" t="s">
        <v>44</v>
      </c>
      <c r="AG35" s="22">
        <v>2</v>
      </c>
      <c r="AH35" s="21">
        <v>12</v>
      </c>
      <c r="AI35" s="1" t="s">
        <v>5</v>
      </c>
      <c r="AJ35" s="22">
        <v>4</v>
      </c>
    </row>
    <row r="36" spans="1:36">
      <c r="A36" s="77"/>
      <c r="B36" s="78"/>
      <c r="C36" s="81" t="s">
        <v>83</v>
      </c>
      <c r="D36" s="81"/>
      <c r="E36" s="81"/>
      <c r="F36" s="81"/>
      <c r="G36" s="81"/>
      <c r="H36" s="81"/>
      <c r="I36" s="81"/>
      <c r="J36" s="81"/>
      <c r="K36" s="81"/>
      <c r="L36" s="81"/>
      <c r="M36" s="81"/>
      <c r="N36" s="81"/>
      <c r="O36" s="81"/>
      <c r="P36" s="81"/>
      <c r="Q36" s="82"/>
      <c r="S36" s="21">
        <v>13</v>
      </c>
      <c r="T36" s="24" t="s">
        <v>47</v>
      </c>
      <c r="U36" s="22">
        <v>4</v>
      </c>
      <c r="V36" s="21">
        <v>13</v>
      </c>
      <c r="W36" s="1" t="s">
        <v>44</v>
      </c>
      <c r="X36" s="22">
        <v>2</v>
      </c>
      <c r="Y36" s="21">
        <v>13</v>
      </c>
      <c r="Z36" s="1" t="s">
        <v>5</v>
      </c>
      <c r="AA36" s="22">
        <v>4</v>
      </c>
      <c r="AB36" s="21">
        <v>13</v>
      </c>
      <c r="AC36" s="24" t="s">
        <v>47</v>
      </c>
      <c r="AD36" s="22">
        <v>4</v>
      </c>
      <c r="AE36" s="21">
        <v>13</v>
      </c>
      <c r="AF36" s="1" t="s">
        <v>46</v>
      </c>
      <c r="AG36" s="22">
        <v>2</v>
      </c>
      <c r="AH36" s="21">
        <v>13</v>
      </c>
      <c r="AI36" s="23" t="s">
        <v>6</v>
      </c>
      <c r="AJ36" s="22">
        <v>5</v>
      </c>
    </row>
    <row r="37" spans="1:36">
      <c r="A37" s="77"/>
      <c r="B37" s="78"/>
      <c r="C37" s="81"/>
      <c r="D37" s="81"/>
      <c r="E37" s="81"/>
      <c r="F37" s="81"/>
      <c r="G37" s="81"/>
      <c r="H37" s="81"/>
      <c r="I37" s="81"/>
      <c r="J37" s="81"/>
      <c r="K37" s="81"/>
      <c r="L37" s="81"/>
      <c r="M37" s="81"/>
      <c r="N37" s="81"/>
      <c r="O37" s="81"/>
      <c r="P37" s="81"/>
      <c r="Q37" s="82"/>
      <c r="S37" s="21">
        <v>14</v>
      </c>
      <c r="T37" s="1" t="s">
        <v>37</v>
      </c>
      <c r="U37" s="22">
        <v>2</v>
      </c>
      <c r="V37" s="21">
        <v>14</v>
      </c>
      <c r="W37" s="1" t="s">
        <v>46</v>
      </c>
      <c r="X37" s="22">
        <v>2</v>
      </c>
      <c r="Y37" s="21">
        <v>14</v>
      </c>
      <c r="Z37" s="23" t="s">
        <v>6</v>
      </c>
      <c r="AA37" s="22">
        <v>5</v>
      </c>
      <c r="AB37" s="21">
        <v>14</v>
      </c>
      <c r="AC37" s="1" t="s">
        <v>37</v>
      </c>
      <c r="AD37" s="22">
        <v>2</v>
      </c>
      <c r="AE37" s="21">
        <v>14</v>
      </c>
      <c r="AF37" s="1" t="s">
        <v>4</v>
      </c>
      <c r="AG37" s="22">
        <v>3</v>
      </c>
      <c r="AH37" s="21">
        <v>14</v>
      </c>
      <c r="AI37" s="24" t="s">
        <v>47</v>
      </c>
      <c r="AJ37" s="22">
        <v>5</v>
      </c>
    </row>
    <row r="38" spans="1:36">
      <c r="A38" s="77" t="s">
        <v>80</v>
      </c>
      <c r="B38" s="78"/>
      <c r="C38" s="81" t="s">
        <v>82</v>
      </c>
      <c r="D38" s="81"/>
      <c r="E38" s="81"/>
      <c r="F38" s="81"/>
      <c r="G38" s="81"/>
      <c r="H38" s="81"/>
      <c r="I38" s="81"/>
      <c r="J38" s="81"/>
      <c r="K38" s="81"/>
      <c r="L38" s="81"/>
      <c r="M38" s="81"/>
      <c r="N38" s="81"/>
      <c r="O38" s="81"/>
      <c r="P38" s="81"/>
      <c r="Q38" s="82"/>
      <c r="S38" s="21">
        <v>15</v>
      </c>
      <c r="T38" s="1" t="s">
        <v>44</v>
      </c>
      <c r="U38" s="22">
        <v>2</v>
      </c>
      <c r="V38" s="21">
        <v>15</v>
      </c>
      <c r="W38" s="1" t="s">
        <v>4</v>
      </c>
      <c r="X38" s="22">
        <v>3</v>
      </c>
      <c r="Y38" s="21">
        <v>15</v>
      </c>
      <c r="Z38" s="24" t="s">
        <v>47</v>
      </c>
      <c r="AA38" s="22">
        <v>4</v>
      </c>
      <c r="AB38" s="21">
        <v>15</v>
      </c>
      <c r="AC38" s="1" t="s">
        <v>44</v>
      </c>
      <c r="AD38" s="22">
        <v>2</v>
      </c>
      <c r="AE38" s="21">
        <v>15</v>
      </c>
      <c r="AF38" s="1" t="s">
        <v>5</v>
      </c>
      <c r="AG38" s="22">
        <v>4</v>
      </c>
      <c r="AH38" s="21">
        <v>15</v>
      </c>
      <c r="AI38" s="24" t="s">
        <v>37</v>
      </c>
      <c r="AJ38" s="22">
        <v>4</v>
      </c>
    </row>
    <row r="39" spans="1:36">
      <c r="A39" s="77"/>
      <c r="B39" s="78"/>
      <c r="C39" s="81"/>
      <c r="D39" s="81"/>
      <c r="E39" s="81"/>
      <c r="F39" s="81"/>
      <c r="G39" s="81"/>
      <c r="H39" s="81"/>
      <c r="I39" s="81"/>
      <c r="J39" s="81"/>
      <c r="K39" s="81"/>
      <c r="L39" s="81"/>
      <c r="M39" s="81"/>
      <c r="N39" s="81"/>
      <c r="O39" s="81"/>
      <c r="P39" s="81"/>
      <c r="Q39" s="82"/>
      <c r="S39" s="21">
        <v>16</v>
      </c>
      <c r="T39" s="1" t="s">
        <v>46</v>
      </c>
      <c r="U39" s="22">
        <v>2</v>
      </c>
      <c r="V39" s="21">
        <v>16</v>
      </c>
      <c r="W39" s="1" t="s">
        <v>5</v>
      </c>
      <c r="X39" s="22">
        <v>4</v>
      </c>
      <c r="Y39" s="21">
        <v>16</v>
      </c>
      <c r="Z39" s="1" t="s">
        <v>37</v>
      </c>
      <c r="AA39" s="22">
        <v>2</v>
      </c>
      <c r="AB39" s="21">
        <v>16</v>
      </c>
      <c r="AC39" s="1" t="s">
        <v>46</v>
      </c>
      <c r="AD39" s="22">
        <v>2</v>
      </c>
      <c r="AE39" s="21">
        <v>16</v>
      </c>
      <c r="AF39" s="23" t="s">
        <v>6</v>
      </c>
      <c r="AG39" s="22">
        <v>5</v>
      </c>
      <c r="AH39" s="21">
        <v>16</v>
      </c>
      <c r="AI39" s="1" t="s">
        <v>44</v>
      </c>
      <c r="AJ39" s="22">
        <v>2</v>
      </c>
    </row>
    <row r="40" spans="1:36">
      <c r="A40" s="77"/>
      <c r="B40" s="78"/>
      <c r="C40" s="81" t="s">
        <v>81</v>
      </c>
      <c r="D40" s="81"/>
      <c r="E40" s="81"/>
      <c r="F40" s="81"/>
      <c r="G40" s="81"/>
      <c r="H40" s="81"/>
      <c r="I40" s="81"/>
      <c r="J40" s="81"/>
      <c r="K40" s="81"/>
      <c r="L40" s="81"/>
      <c r="M40" s="81"/>
      <c r="N40" s="81"/>
      <c r="O40" s="81"/>
      <c r="P40" s="81"/>
      <c r="Q40" s="82"/>
      <c r="S40" s="21">
        <v>17</v>
      </c>
      <c r="T40" s="1" t="s">
        <v>4</v>
      </c>
      <c r="U40" s="22">
        <v>3</v>
      </c>
      <c r="V40" s="21">
        <v>17</v>
      </c>
      <c r="W40" s="23" t="s">
        <v>6</v>
      </c>
      <c r="X40" s="22">
        <v>5</v>
      </c>
      <c r="Y40" s="21">
        <v>17</v>
      </c>
      <c r="Z40" s="1" t="s">
        <v>44</v>
      </c>
      <c r="AA40" s="22">
        <v>2</v>
      </c>
      <c r="AB40" s="21">
        <v>17</v>
      </c>
      <c r="AC40" s="1" t="s">
        <v>4</v>
      </c>
      <c r="AD40" s="22">
        <v>3</v>
      </c>
      <c r="AE40" s="21">
        <v>17</v>
      </c>
      <c r="AF40" s="24" t="s">
        <v>47</v>
      </c>
      <c r="AG40" s="22">
        <v>4</v>
      </c>
      <c r="AH40" s="21">
        <v>17</v>
      </c>
      <c r="AI40" s="1" t="s">
        <v>46</v>
      </c>
      <c r="AJ40" s="22">
        <v>2</v>
      </c>
    </row>
    <row r="41" spans="1:36">
      <c r="A41" s="77"/>
      <c r="B41" s="78"/>
      <c r="C41" s="81"/>
      <c r="D41" s="81"/>
      <c r="E41" s="81"/>
      <c r="F41" s="81"/>
      <c r="G41" s="81"/>
      <c r="H41" s="81"/>
      <c r="I41" s="81"/>
      <c r="J41" s="81"/>
      <c r="K41" s="81"/>
      <c r="L41" s="81"/>
      <c r="M41" s="81"/>
      <c r="N41" s="81"/>
      <c r="O41" s="81"/>
      <c r="P41" s="81"/>
      <c r="Q41" s="82"/>
      <c r="S41" s="21">
        <v>18</v>
      </c>
      <c r="T41" s="1" t="s">
        <v>5</v>
      </c>
      <c r="U41" s="22">
        <v>4</v>
      </c>
      <c r="V41" s="21">
        <v>18</v>
      </c>
      <c r="W41" s="24" t="s">
        <v>47</v>
      </c>
      <c r="X41" s="22">
        <v>4</v>
      </c>
      <c r="Y41" s="21">
        <v>18</v>
      </c>
      <c r="Z41" s="1" t="s">
        <v>46</v>
      </c>
      <c r="AA41" s="22">
        <v>2</v>
      </c>
      <c r="AB41" s="21">
        <v>18</v>
      </c>
      <c r="AC41" s="1" t="s">
        <v>5</v>
      </c>
      <c r="AD41" s="22">
        <v>4</v>
      </c>
      <c r="AE41" s="21">
        <v>18</v>
      </c>
      <c r="AF41" s="1" t="s">
        <v>37</v>
      </c>
      <c r="AG41" s="22">
        <v>2</v>
      </c>
      <c r="AH41" s="21">
        <v>18</v>
      </c>
      <c r="AI41" s="1" t="s">
        <v>4</v>
      </c>
      <c r="AJ41" s="22">
        <v>3</v>
      </c>
    </row>
    <row r="42" spans="1:36">
      <c r="A42" s="77"/>
      <c r="B42" s="78"/>
      <c r="C42" s="81" t="s">
        <v>84</v>
      </c>
      <c r="D42" s="81"/>
      <c r="E42" s="81"/>
      <c r="F42" s="81"/>
      <c r="G42" s="81"/>
      <c r="H42" s="81"/>
      <c r="I42" s="81"/>
      <c r="J42" s="81"/>
      <c r="K42" s="81"/>
      <c r="L42" s="81"/>
      <c r="M42" s="81"/>
      <c r="N42" s="81"/>
      <c r="O42" s="81"/>
      <c r="P42" s="81"/>
      <c r="Q42" s="82"/>
      <c r="S42" s="21">
        <v>19</v>
      </c>
      <c r="T42" s="23" t="s">
        <v>6</v>
      </c>
      <c r="U42" s="22">
        <v>5</v>
      </c>
      <c r="V42" s="21">
        <v>19</v>
      </c>
      <c r="W42" s="1" t="s">
        <v>37</v>
      </c>
      <c r="X42" s="22">
        <v>2</v>
      </c>
      <c r="Y42" s="21">
        <v>19</v>
      </c>
      <c r="Z42" s="1" t="s">
        <v>4</v>
      </c>
      <c r="AA42" s="22">
        <v>3</v>
      </c>
      <c r="AB42" s="21">
        <v>19</v>
      </c>
      <c r="AC42" s="23" t="s">
        <v>6</v>
      </c>
      <c r="AD42" s="22">
        <v>5</v>
      </c>
      <c r="AE42" s="21">
        <v>19</v>
      </c>
      <c r="AF42" s="1" t="s">
        <v>44</v>
      </c>
      <c r="AG42" s="22">
        <v>2</v>
      </c>
      <c r="AH42" s="21">
        <v>19</v>
      </c>
      <c r="AI42" s="1" t="s">
        <v>5</v>
      </c>
      <c r="AJ42" s="22">
        <v>4</v>
      </c>
    </row>
    <row r="43" spans="1:36">
      <c r="A43" s="77"/>
      <c r="B43" s="78"/>
      <c r="C43" s="81"/>
      <c r="D43" s="81"/>
      <c r="E43" s="81"/>
      <c r="F43" s="81"/>
      <c r="G43" s="81"/>
      <c r="H43" s="81"/>
      <c r="I43" s="81"/>
      <c r="J43" s="81"/>
      <c r="K43" s="81"/>
      <c r="L43" s="81"/>
      <c r="M43" s="81"/>
      <c r="N43" s="81"/>
      <c r="O43" s="81"/>
      <c r="P43" s="81"/>
      <c r="Q43" s="82"/>
      <c r="S43" s="21">
        <v>20</v>
      </c>
      <c r="T43" s="24" t="s">
        <v>47</v>
      </c>
      <c r="U43" s="22">
        <v>4</v>
      </c>
      <c r="V43" s="21">
        <v>20</v>
      </c>
      <c r="W43" s="1" t="s">
        <v>44</v>
      </c>
      <c r="X43" s="22">
        <v>2</v>
      </c>
      <c r="Y43" s="21">
        <v>20</v>
      </c>
      <c r="Z43" s="1" t="s">
        <v>5</v>
      </c>
      <c r="AA43" s="22">
        <v>4</v>
      </c>
      <c r="AB43" s="21">
        <v>20</v>
      </c>
      <c r="AC43" s="24" t="s">
        <v>47</v>
      </c>
      <c r="AD43" s="22">
        <v>5</v>
      </c>
      <c r="AE43" s="21">
        <v>20</v>
      </c>
      <c r="AF43" s="1" t="s">
        <v>46</v>
      </c>
      <c r="AG43" s="22">
        <v>2</v>
      </c>
      <c r="AH43" s="21">
        <v>20</v>
      </c>
      <c r="AI43" s="23" t="s">
        <v>6</v>
      </c>
      <c r="AJ43" s="22">
        <v>5</v>
      </c>
    </row>
    <row r="44" spans="1:36">
      <c r="A44" s="77"/>
      <c r="B44" s="78"/>
      <c r="C44" s="81" t="s">
        <v>85</v>
      </c>
      <c r="D44" s="81"/>
      <c r="E44" s="81"/>
      <c r="F44" s="81"/>
      <c r="G44" s="81"/>
      <c r="H44" s="81"/>
      <c r="I44" s="81"/>
      <c r="J44" s="81"/>
      <c r="K44" s="81"/>
      <c r="L44" s="81"/>
      <c r="M44" s="81"/>
      <c r="N44" s="81"/>
      <c r="O44" s="81"/>
      <c r="P44" s="81"/>
      <c r="Q44" s="82"/>
      <c r="S44" s="21">
        <v>21</v>
      </c>
      <c r="T44" s="1" t="s">
        <v>37</v>
      </c>
      <c r="U44" s="22">
        <v>2</v>
      </c>
      <c r="V44" s="21">
        <v>21</v>
      </c>
      <c r="W44" s="1" t="s">
        <v>46</v>
      </c>
      <c r="X44" s="22">
        <v>2</v>
      </c>
      <c r="Y44" s="21">
        <v>21</v>
      </c>
      <c r="Z44" s="23" t="s">
        <v>6</v>
      </c>
      <c r="AA44" s="22">
        <v>5</v>
      </c>
      <c r="AB44" s="21">
        <v>21</v>
      </c>
      <c r="AC44" s="24" t="s">
        <v>37</v>
      </c>
      <c r="AD44" s="22">
        <v>4</v>
      </c>
      <c r="AE44" s="21">
        <v>21</v>
      </c>
      <c r="AF44" s="1" t="s">
        <v>4</v>
      </c>
      <c r="AG44" s="22">
        <v>3</v>
      </c>
      <c r="AH44" s="21">
        <v>21</v>
      </c>
      <c r="AI44" s="24" t="s">
        <v>47</v>
      </c>
      <c r="AJ44" s="22">
        <v>4</v>
      </c>
    </row>
    <row r="45" spans="1:36" ht="21" thickBot="1">
      <c r="A45" s="79"/>
      <c r="B45" s="80"/>
      <c r="C45" s="83"/>
      <c r="D45" s="83"/>
      <c r="E45" s="83"/>
      <c r="F45" s="83"/>
      <c r="G45" s="83"/>
      <c r="H45" s="83"/>
      <c r="I45" s="83"/>
      <c r="J45" s="83"/>
      <c r="K45" s="83"/>
      <c r="L45" s="83"/>
      <c r="M45" s="83"/>
      <c r="N45" s="83"/>
      <c r="O45" s="83"/>
      <c r="P45" s="83"/>
      <c r="Q45" s="84"/>
      <c r="S45" s="21">
        <v>22</v>
      </c>
      <c r="T45" s="1" t="s">
        <v>44</v>
      </c>
      <c r="U45" s="22">
        <v>2</v>
      </c>
      <c r="V45" s="21">
        <v>22</v>
      </c>
      <c r="W45" s="1" t="s">
        <v>4</v>
      </c>
      <c r="X45" s="22">
        <v>3</v>
      </c>
      <c r="Y45" s="21">
        <v>22</v>
      </c>
      <c r="Z45" s="24" t="s">
        <v>47</v>
      </c>
      <c r="AA45" s="22">
        <v>4</v>
      </c>
      <c r="AB45" s="21">
        <v>22</v>
      </c>
      <c r="AC45" s="1" t="s">
        <v>44</v>
      </c>
      <c r="AD45" s="22">
        <v>2</v>
      </c>
      <c r="AE45" s="21">
        <v>22</v>
      </c>
      <c r="AF45" s="1" t="s">
        <v>5</v>
      </c>
      <c r="AG45" s="22">
        <v>4</v>
      </c>
      <c r="AH45" s="21">
        <v>22</v>
      </c>
      <c r="AI45" s="1" t="s">
        <v>37</v>
      </c>
      <c r="AJ45" s="22">
        <v>3</v>
      </c>
    </row>
    <row r="46" spans="1:36" ht="21" thickTop="1">
      <c r="S46" s="21">
        <v>23</v>
      </c>
      <c r="T46" s="1" t="s">
        <v>46</v>
      </c>
      <c r="U46" s="22">
        <v>2</v>
      </c>
      <c r="V46" s="21">
        <v>23</v>
      </c>
      <c r="W46" s="1" t="s">
        <v>5</v>
      </c>
      <c r="X46" s="22">
        <v>4</v>
      </c>
      <c r="Y46" s="21">
        <v>23</v>
      </c>
      <c r="Z46" s="1" t="s">
        <v>37</v>
      </c>
      <c r="AA46" s="22">
        <v>2</v>
      </c>
      <c r="AB46" s="21">
        <v>23</v>
      </c>
      <c r="AC46" s="1" t="s">
        <v>46</v>
      </c>
      <c r="AD46" s="22">
        <v>2</v>
      </c>
      <c r="AE46" s="21">
        <v>23</v>
      </c>
      <c r="AF46" s="23" t="s">
        <v>6</v>
      </c>
      <c r="AG46" s="22">
        <v>5</v>
      </c>
      <c r="AH46" s="21">
        <v>23</v>
      </c>
      <c r="AI46" s="24" t="s">
        <v>44</v>
      </c>
      <c r="AJ46" s="22">
        <v>4</v>
      </c>
    </row>
    <row r="47" spans="1:36">
      <c r="S47" s="21">
        <v>24</v>
      </c>
      <c r="T47" s="1" t="s">
        <v>4</v>
      </c>
      <c r="U47" s="22">
        <v>3</v>
      </c>
      <c r="V47" s="21">
        <v>24</v>
      </c>
      <c r="W47" s="23" t="s">
        <v>6</v>
      </c>
      <c r="X47" s="22">
        <v>5</v>
      </c>
      <c r="Y47" s="21">
        <v>24</v>
      </c>
      <c r="Z47" s="1" t="s">
        <v>44</v>
      </c>
      <c r="AA47" s="22">
        <v>2</v>
      </c>
      <c r="AB47" s="21">
        <v>24</v>
      </c>
      <c r="AC47" s="1" t="s">
        <v>4</v>
      </c>
      <c r="AD47" s="22">
        <v>3</v>
      </c>
      <c r="AE47" s="21">
        <v>24</v>
      </c>
      <c r="AF47" s="24" t="s">
        <v>47</v>
      </c>
      <c r="AG47" s="22">
        <v>4</v>
      </c>
      <c r="AH47" s="21">
        <v>24</v>
      </c>
      <c r="AI47" s="1" t="s">
        <v>46</v>
      </c>
      <c r="AJ47" s="22">
        <v>2</v>
      </c>
    </row>
    <row r="48" spans="1:36">
      <c r="S48" s="21">
        <v>25</v>
      </c>
      <c r="T48" s="1" t="s">
        <v>5</v>
      </c>
      <c r="U48" s="22">
        <v>4</v>
      </c>
      <c r="V48" s="21">
        <v>25</v>
      </c>
      <c r="W48" s="24" t="s">
        <v>47</v>
      </c>
      <c r="X48" s="22">
        <v>4</v>
      </c>
      <c r="Y48" s="21">
        <v>25</v>
      </c>
      <c r="Z48" s="1" t="s">
        <v>46</v>
      </c>
      <c r="AA48" s="22">
        <v>2</v>
      </c>
      <c r="AB48" s="21">
        <v>25</v>
      </c>
      <c r="AC48" s="1" t="s">
        <v>5</v>
      </c>
      <c r="AD48" s="22">
        <v>4</v>
      </c>
      <c r="AE48" s="21">
        <v>25</v>
      </c>
      <c r="AF48" s="1" t="s">
        <v>37</v>
      </c>
      <c r="AG48" s="22">
        <v>2</v>
      </c>
      <c r="AH48" s="21">
        <v>25</v>
      </c>
      <c r="AI48" s="1" t="s">
        <v>4</v>
      </c>
      <c r="AJ48" s="22">
        <v>3</v>
      </c>
    </row>
    <row r="49" spans="19:36">
      <c r="S49" s="21">
        <v>26</v>
      </c>
      <c r="T49" s="23" t="s">
        <v>6</v>
      </c>
      <c r="U49" s="22">
        <v>5</v>
      </c>
      <c r="V49" s="21">
        <v>26</v>
      </c>
      <c r="W49" s="1" t="s">
        <v>37</v>
      </c>
      <c r="X49" s="22">
        <v>2</v>
      </c>
      <c r="Y49" s="21">
        <v>26</v>
      </c>
      <c r="Z49" s="1" t="s">
        <v>4</v>
      </c>
      <c r="AA49" s="22">
        <v>3</v>
      </c>
      <c r="AB49" s="21">
        <v>26</v>
      </c>
      <c r="AC49" s="23" t="s">
        <v>6</v>
      </c>
      <c r="AD49" s="22">
        <v>5</v>
      </c>
      <c r="AE49" s="21">
        <v>26</v>
      </c>
      <c r="AF49" s="1" t="s">
        <v>44</v>
      </c>
      <c r="AG49" s="22">
        <v>2</v>
      </c>
      <c r="AH49" s="21">
        <v>26</v>
      </c>
      <c r="AI49" s="1" t="s">
        <v>5</v>
      </c>
      <c r="AJ49" s="22">
        <v>4</v>
      </c>
    </row>
    <row r="50" spans="19:36">
      <c r="S50" s="21">
        <v>27</v>
      </c>
      <c r="T50" s="24" t="s">
        <v>47</v>
      </c>
      <c r="U50" s="22">
        <v>4</v>
      </c>
      <c r="V50" s="21">
        <v>27</v>
      </c>
      <c r="W50" s="1" t="s">
        <v>44</v>
      </c>
      <c r="X50" s="22">
        <v>2</v>
      </c>
      <c r="Y50" s="21">
        <v>27</v>
      </c>
      <c r="Z50" s="1" t="s">
        <v>5</v>
      </c>
      <c r="AA50" s="22">
        <v>4</v>
      </c>
      <c r="AB50" s="21">
        <v>27</v>
      </c>
      <c r="AC50" s="24" t="s">
        <v>47</v>
      </c>
      <c r="AD50" s="22">
        <v>4</v>
      </c>
      <c r="AE50" s="21">
        <v>27</v>
      </c>
      <c r="AF50" s="1" t="s">
        <v>46</v>
      </c>
      <c r="AG50" s="22">
        <v>2</v>
      </c>
      <c r="AH50" s="21">
        <v>27</v>
      </c>
      <c r="AI50" s="23" t="s">
        <v>6</v>
      </c>
      <c r="AJ50" s="22">
        <v>5</v>
      </c>
    </row>
    <row r="51" spans="19:36">
      <c r="S51" s="21">
        <v>28</v>
      </c>
      <c r="T51" s="1" t="s">
        <v>37</v>
      </c>
      <c r="U51" s="22">
        <v>3</v>
      </c>
      <c r="V51" s="21">
        <v>28</v>
      </c>
      <c r="W51" s="1" t="s">
        <v>46</v>
      </c>
      <c r="X51" s="22">
        <v>2</v>
      </c>
      <c r="Y51" s="21">
        <v>28</v>
      </c>
      <c r="Z51" s="23" t="s">
        <v>6</v>
      </c>
      <c r="AA51" s="22">
        <v>5</v>
      </c>
      <c r="AB51" s="21">
        <v>28</v>
      </c>
      <c r="AC51" s="1" t="s">
        <v>37</v>
      </c>
      <c r="AD51" s="22">
        <v>2</v>
      </c>
      <c r="AE51" s="21">
        <v>28</v>
      </c>
      <c r="AF51" s="1" t="s">
        <v>4</v>
      </c>
      <c r="AG51" s="22">
        <v>3</v>
      </c>
      <c r="AH51" s="21">
        <v>28</v>
      </c>
      <c r="AI51" s="24" t="s">
        <v>47</v>
      </c>
      <c r="AJ51" s="22">
        <v>4</v>
      </c>
    </row>
    <row r="52" spans="19:36">
      <c r="S52" s="21">
        <v>29</v>
      </c>
      <c r="T52" s="24" t="s">
        <v>44</v>
      </c>
      <c r="U52" s="22">
        <v>4</v>
      </c>
      <c r="V52" s="21">
        <v>29</v>
      </c>
      <c r="W52" s="1" t="s">
        <v>4</v>
      </c>
      <c r="X52" s="22">
        <v>3</v>
      </c>
      <c r="Y52" s="21">
        <v>29</v>
      </c>
      <c r="Z52" s="24" t="s">
        <v>47</v>
      </c>
      <c r="AA52" s="22">
        <v>4</v>
      </c>
      <c r="AB52" s="21">
        <v>29</v>
      </c>
      <c r="AC52" s="28" t="s">
        <v>44</v>
      </c>
      <c r="AD52" s="22">
        <v>2</v>
      </c>
      <c r="AE52" s="21">
        <v>29</v>
      </c>
      <c r="AF52" s="1" t="s">
        <v>5</v>
      </c>
      <c r="AG52" s="22">
        <v>4</v>
      </c>
      <c r="AH52" s="21">
        <v>29</v>
      </c>
      <c r="AI52" s="1" t="s">
        <v>37</v>
      </c>
      <c r="AJ52" s="22">
        <v>2</v>
      </c>
    </row>
    <row r="53" spans="19:36">
      <c r="S53" s="21">
        <v>30</v>
      </c>
      <c r="T53" s="1" t="s">
        <v>46</v>
      </c>
      <c r="U53" s="22">
        <v>3</v>
      </c>
      <c r="V53" s="21">
        <v>30</v>
      </c>
      <c r="W53" s="1" t="s">
        <v>5</v>
      </c>
      <c r="X53" s="22">
        <v>4</v>
      </c>
      <c r="Y53" s="21">
        <v>30</v>
      </c>
      <c r="Z53" s="1" t="s">
        <v>37</v>
      </c>
      <c r="AA53" s="22">
        <v>2</v>
      </c>
      <c r="AB53" s="21">
        <v>30</v>
      </c>
      <c r="AC53" s="1" t="s">
        <v>46</v>
      </c>
      <c r="AD53" s="22">
        <v>2</v>
      </c>
      <c r="AE53" s="21">
        <v>30</v>
      </c>
      <c r="AF53" s="23" t="s">
        <v>6</v>
      </c>
      <c r="AG53" s="22">
        <v>3</v>
      </c>
      <c r="AH53" s="21">
        <v>30</v>
      </c>
      <c r="AI53" s="1" t="s">
        <v>44</v>
      </c>
      <c r="AJ53" s="22">
        <v>2</v>
      </c>
    </row>
    <row r="54" spans="19:36">
      <c r="S54" s="21"/>
      <c r="U54" s="22"/>
      <c r="V54" s="21">
        <v>31</v>
      </c>
      <c r="W54" s="23" t="s">
        <v>6</v>
      </c>
      <c r="X54" s="22">
        <v>5</v>
      </c>
      <c r="Y54" s="21"/>
      <c r="AA54" s="22"/>
      <c r="AB54" s="21">
        <v>31</v>
      </c>
      <c r="AC54" s="1" t="s">
        <v>48</v>
      </c>
      <c r="AD54" s="22">
        <v>3</v>
      </c>
      <c r="AE54" s="21">
        <v>31</v>
      </c>
      <c r="AF54" s="24" t="s">
        <v>47</v>
      </c>
      <c r="AG54" s="22">
        <v>4</v>
      </c>
      <c r="AH54" s="21"/>
      <c r="AJ54" s="22"/>
    </row>
    <row r="55" spans="19:36">
      <c r="S55" s="25"/>
      <c r="T55" s="26"/>
      <c r="U55" s="27">
        <f>SUM(U24:U54)/S53</f>
        <v>3.2</v>
      </c>
      <c r="V55" s="25"/>
      <c r="W55" s="26"/>
      <c r="X55" s="27">
        <f>SUM(X24:X54)/V54</f>
        <v>3.3548387096774195</v>
      </c>
      <c r="Y55" s="25"/>
      <c r="Z55" s="26"/>
      <c r="AA55" s="27">
        <f t="shared" ref="AA55" si="5">SUM(AA24:AA54)/Y53</f>
        <v>3.1333333333333333</v>
      </c>
      <c r="AB55" s="25"/>
      <c r="AC55" s="26"/>
      <c r="AD55" s="27">
        <f>SUM(AD24:AD54)/AB54</f>
        <v>3.161290322580645</v>
      </c>
      <c r="AE55" s="25"/>
      <c r="AF55" s="26"/>
      <c r="AG55" s="27">
        <f>SUM(AG24:AG54)/AE54</f>
        <v>3.2903225806451615</v>
      </c>
      <c r="AH55" s="25"/>
      <c r="AI55" s="26"/>
      <c r="AJ55" s="27">
        <f t="shared" ref="AJ55" si="6">SUM(AJ24:AJ54)/AH53</f>
        <v>3.2666666666666666</v>
      </c>
    </row>
    <row r="56" spans="19:36">
      <c r="S56" s="52" t="s">
        <v>53</v>
      </c>
      <c r="T56" s="53"/>
      <c r="U56" s="54"/>
      <c r="V56" s="52" t="s">
        <v>54</v>
      </c>
      <c r="W56" s="53"/>
      <c r="X56" s="54"/>
      <c r="Y56" s="52" t="s">
        <v>55</v>
      </c>
      <c r="Z56" s="53"/>
      <c r="AA56" s="54"/>
      <c r="AB56" s="52" t="s">
        <v>56</v>
      </c>
      <c r="AC56" s="53"/>
      <c r="AD56" s="54"/>
      <c r="AE56" s="52" t="s">
        <v>57</v>
      </c>
      <c r="AF56" s="53"/>
      <c r="AG56" s="54"/>
      <c r="AH56" s="52" t="s">
        <v>58</v>
      </c>
      <c r="AI56" s="53"/>
      <c r="AJ56" s="54"/>
    </row>
    <row r="57" spans="19:36">
      <c r="S57" s="21">
        <v>1</v>
      </c>
      <c r="T57" s="1" t="s">
        <v>3</v>
      </c>
      <c r="U57" s="22">
        <v>2</v>
      </c>
      <c r="V57" s="21">
        <v>1</v>
      </c>
      <c r="W57" s="23" t="s">
        <v>6</v>
      </c>
      <c r="X57" s="22">
        <v>5</v>
      </c>
      <c r="Y57" s="21">
        <v>1</v>
      </c>
      <c r="Z57" s="1" t="s">
        <v>37</v>
      </c>
      <c r="AA57" s="22">
        <v>2</v>
      </c>
      <c r="AB57" s="21">
        <v>1</v>
      </c>
      <c r="AC57" s="1" t="s">
        <v>4</v>
      </c>
      <c r="AD57" s="22"/>
      <c r="AE57" s="21">
        <v>1</v>
      </c>
      <c r="AF57" s="1" t="s">
        <v>37</v>
      </c>
      <c r="AG57" s="22">
        <v>2</v>
      </c>
      <c r="AH57" s="21">
        <v>1</v>
      </c>
      <c r="AI57" s="1" t="s">
        <v>37</v>
      </c>
      <c r="AJ57" s="22">
        <v>2</v>
      </c>
    </row>
    <row r="58" spans="19:36">
      <c r="S58" s="21">
        <v>2</v>
      </c>
      <c r="T58" s="1" t="s">
        <v>4</v>
      </c>
      <c r="U58" s="22">
        <v>3</v>
      </c>
      <c r="V58" s="21">
        <v>2</v>
      </c>
      <c r="W58" s="24" t="s">
        <v>47</v>
      </c>
      <c r="X58" s="22">
        <v>5</v>
      </c>
      <c r="Y58" s="21">
        <v>2</v>
      </c>
      <c r="Z58" s="1" t="s">
        <v>44</v>
      </c>
      <c r="AA58" s="22">
        <v>2</v>
      </c>
      <c r="AB58" s="21">
        <v>2</v>
      </c>
      <c r="AC58" s="1" t="s">
        <v>5</v>
      </c>
      <c r="AD58" s="22">
        <v>4</v>
      </c>
      <c r="AE58" s="21">
        <v>2</v>
      </c>
      <c r="AF58" s="1" t="s">
        <v>44</v>
      </c>
      <c r="AG58" s="22">
        <v>2</v>
      </c>
      <c r="AH58" s="21">
        <v>2</v>
      </c>
      <c r="AI58" s="1" t="s">
        <v>44</v>
      </c>
      <c r="AJ58" s="22">
        <v>2</v>
      </c>
    </row>
    <row r="59" spans="19:36">
      <c r="S59" s="21">
        <v>3</v>
      </c>
      <c r="T59" s="1" t="s">
        <v>5</v>
      </c>
      <c r="U59" s="22">
        <v>4</v>
      </c>
      <c r="V59" s="21">
        <v>3</v>
      </c>
      <c r="W59" s="24" t="s">
        <v>37</v>
      </c>
      <c r="X59" s="22">
        <v>4</v>
      </c>
      <c r="Y59" s="21">
        <v>3</v>
      </c>
      <c r="Z59" s="1" t="s">
        <v>46</v>
      </c>
      <c r="AA59" s="22">
        <v>2</v>
      </c>
      <c r="AB59" s="21">
        <v>3</v>
      </c>
      <c r="AC59" s="23" t="s">
        <v>6</v>
      </c>
      <c r="AD59" s="22">
        <v>5</v>
      </c>
      <c r="AE59" s="21">
        <v>3</v>
      </c>
      <c r="AF59" s="1" t="s">
        <v>46</v>
      </c>
      <c r="AG59" s="22">
        <v>2</v>
      </c>
      <c r="AH59" s="21">
        <v>3</v>
      </c>
      <c r="AI59" s="1" t="s">
        <v>46</v>
      </c>
      <c r="AJ59" s="22">
        <v>2</v>
      </c>
    </row>
    <row r="60" spans="19:36">
      <c r="S60" s="21">
        <v>4</v>
      </c>
      <c r="T60" s="23" t="s">
        <v>6</v>
      </c>
      <c r="U60" s="22">
        <v>5</v>
      </c>
      <c r="V60" s="21">
        <v>4</v>
      </c>
      <c r="W60" s="1" t="s">
        <v>44</v>
      </c>
      <c r="X60" s="22">
        <v>1</v>
      </c>
      <c r="Y60" s="21">
        <v>4</v>
      </c>
      <c r="Z60" s="1" t="s">
        <v>4</v>
      </c>
      <c r="AA60" s="22">
        <v>3</v>
      </c>
      <c r="AB60" s="21">
        <v>4</v>
      </c>
      <c r="AC60" s="24" t="s">
        <v>47</v>
      </c>
      <c r="AD60" s="22">
        <v>4</v>
      </c>
      <c r="AE60" s="21">
        <v>4</v>
      </c>
      <c r="AF60" s="1" t="s">
        <v>4</v>
      </c>
      <c r="AG60" s="22">
        <v>3</v>
      </c>
      <c r="AH60" s="21">
        <v>4</v>
      </c>
      <c r="AI60" s="1" t="s">
        <v>4</v>
      </c>
      <c r="AJ60" s="22">
        <v>3</v>
      </c>
    </row>
    <row r="61" spans="19:36">
      <c r="S61" s="21">
        <v>5</v>
      </c>
      <c r="T61" s="24" t="s">
        <v>47</v>
      </c>
      <c r="U61" s="22">
        <v>4</v>
      </c>
      <c r="V61" s="21">
        <v>5</v>
      </c>
      <c r="W61" s="1" t="s">
        <v>46</v>
      </c>
      <c r="X61" s="22">
        <v>2</v>
      </c>
      <c r="Y61" s="21">
        <v>5</v>
      </c>
      <c r="Z61" s="1" t="s">
        <v>5</v>
      </c>
      <c r="AA61" s="22">
        <v>4</v>
      </c>
      <c r="AB61" s="21">
        <v>5</v>
      </c>
      <c r="AC61" s="1" t="s">
        <v>37</v>
      </c>
      <c r="AD61" s="22">
        <v>1</v>
      </c>
      <c r="AE61" s="21">
        <v>5</v>
      </c>
      <c r="AF61" s="1" t="s">
        <v>5</v>
      </c>
      <c r="AG61" s="22">
        <v>4</v>
      </c>
      <c r="AH61" s="21">
        <v>5</v>
      </c>
      <c r="AI61" s="1" t="s">
        <v>5</v>
      </c>
      <c r="AJ61" s="22">
        <v>4</v>
      </c>
    </row>
    <row r="62" spans="19:36">
      <c r="S62" s="21">
        <v>6</v>
      </c>
      <c r="T62" s="1" t="s">
        <v>37</v>
      </c>
      <c r="U62" s="22">
        <v>2</v>
      </c>
      <c r="V62" s="21">
        <v>6</v>
      </c>
      <c r="W62" s="1" t="s">
        <v>4</v>
      </c>
      <c r="X62" s="22">
        <v>3</v>
      </c>
      <c r="Y62" s="21">
        <v>6</v>
      </c>
      <c r="Z62" s="23" t="s">
        <v>6</v>
      </c>
      <c r="AA62" s="22">
        <v>5</v>
      </c>
      <c r="AB62" s="21">
        <v>6</v>
      </c>
      <c r="AC62" s="1" t="s">
        <v>44</v>
      </c>
      <c r="AD62" s="22">
        <v>2</v>
      </c>
      <c r="AE62" s="21">
        <v>6</v>
      </c>
      <c r="AF62" s="23" t="s">
        <v>6</v>
      </c>
      <c r="AG62" s="22">
        <v>5</v>
      </c>
      <c r="AH62" s="21">
        <v>6</v>
      </c>
      <c r="AI62" s="23" t="s">
        <v>6</v>
      </c>
      <c r="AJ62" s="22">
        <v>5</v>
      </c>
    </row>
    <row r="63" spans="19:36">
      <c r="S63" s="21">
        <v>7</v>
      </c>
      <c r="T63" s="1" t="s">
        <v>44</v>
      </c>
      <c r="U63" s="22">
        <v>2</v>
      </c>
      <c r="V63" s="21">
        <v>7</v>
      </c>
      <c r="W63" s="1" t="s">
        <v>5</v>
      </c>
      <c r="X63" s="22">
        <v>4</v>
      </c>
      <c r="Y63" s="21">
        <v>7</v>
      </c>
      <c r="Z63" s="24" t="s">
        <v>47</v>
      </c>
      <c r="AA63" s="22">
        <v>4</v>
      </c>
      <c r="AB63" s="21">
        <v>7</v>
      </c>
      <c r="AC63" s="1" t="s">
        <v>46</v>
      </c>
      <c r="AD63" s="22">
        <v>2</v>
      </c>
      <c r="AE63" s="21">
        <v>7</v>
      </c>
      <c r="AF63" s="24" t="s">
        <v>47</v>
      </c>
      <c r="AG63" s="22">
        <v>4</v>
      </c>
      <c r="AH63" s="21">
        <v>7</v>
      </c>
      <c r="AI63" s="24" t="s">
        <v>47</v>
      </c>
      <c r="AJ63" s="22">
        <v>4</v>
      </c>
    </row>
    <row r="64" spans="19:36">
      <c r="S64" s="21">
        <v>8</v>
      </c>
      <c r="T64" s="1" t="s">
        <v>46</v>
      </c>
      <c r="U64" s="22">
        <v>2</v>
      </c>
      <c r="V64" s="21">
        <v>8</v>
      </c>
      <c r="W64" s="23" t="s">
        <v>6</v>
      </c>
      <c r="X64" s="22">
        <v>5</v>
      </c>
      <c r="Y64" s="21">
        <v>8</v>
      </c>
      <c r="Z64" s="1" t="s">
        <v>37</v>
      </c>
      <c r="AA64" s="22">
        <v>2</v>
      </c>
      <c r="AB64" s="21">
        <v>8</v>
      </c>
      <c r="AC64" s="1" t="s">
        <v>4</v>
      </c>
      <c r="AD64" s="22">
        <v>3</v>
      </c>
      <c r="AE64" s="21">
        <v>8</v>
      </c>
      <c r="AF64" s="24" t="s">
        <v>37</v>
      </c>
      <c r="AG64" s="22">
        <v>2</v>
      </c>
      <c r="AH64" s="21">
        <v>8</v>
      </c>
      <c r="AI64" s="1" t="s">
        <v>37</v>
      </c>
      <c r="AJ64" s="22">
        <v>2</v>
      </c>
    </row>
    <row r="65" spans="6:36">
      <c r="S65" s="21">
        <v>9</v>
      </c>
      <c r="T65" s="1" t="s">
        <v>4</v>
      </c>
      <c r="U65" s="22">
        <v>3</v>
      </c>
      <c r="V65" s="21">
        <v>9</v>
      </c>
      <c r="W65" s="24" t="s">
        <v>47</v>
      </c>
      <c r="X65" s="22">
        <v>4</v>
      </c>
      <c r="Y65" s="21">
        <v>9</v>
      </c>
      <c r="Z65" s="1" t="s">
        <v>44</v>
      </c>
      <c r="AA65" s="22">
        <v>2</v>
      </c>
      <c r="AB65" s="21">
        <v>9</v>
      </c>
      <c r="AC65" s="1" t="s">
        <v>5</v>
      </c>
      <c r="AD65" s="22">
        <v>4</v>
      </c>
      <c r="AE65" s="21">
        <v>9</v>
      </c>
      <c r="AF65" s="1" t="s">
        <v>44</v>
      </c>
      <c r="AG65" s="22">
        <v>2</v>
      </c>
      <c r="AH65" s="21">
        <v>9</v>
      </c>
      <c r="AI65" s="1" t="s">
        <v>44</v>
      </c>
      <c r="AJ65" s="22">
        <v>2</v>
      </c>
    </row>
    <row r="66" spans="6:36">
      <c r="F66" s="1">
        <v>4</v>
      </c>
      <c r="S66" s="21">
        <v>10</v>
      </c>
      <c r="T66" s="1" t="s">
        <v>5</v>
      </c>
      <c r="U66" s="22">
        <v>4</v>
      </c>
      <c r="V66" s="21">
        <v>10</v>
      </c>
      <c r="W66" s="1" t="s">
        <v>37</v>
      </c>
      <c r="X66" s="22">
        <v>2</v>
      </c>
      <c r="Y66" s="21">
        <v>10</v>
      </c>
      <c r="Z66" s="1" t="s">
        <v>46</v>
      </c>
      <c r="AA66" s="22">
        <v>2</v>
      </c>
      <c r="AB66" s="21">
        <v>10</v>
      </c>
      <c r="AC66" s="23" t="s">
        <v>6</v>
      </c>
      <c r="AD66" s="22">
        <v>5</v>
      </c>
      <c r="AE66" s="21">
        <v>10</v>
      </c>
      <c r="AF66" s="1" t="s">
        <v>46</v>
      </c>
      <c r="AG66" s="22">
        <v>3</v>
      </c>
      <c r="AH66" s="21">
        <v>10</v>
      </c>
      <c r="AI66" s="1" t="s">
        <v>46</v>
      </c>
      <c r="AJ66" s="22">
        <v>2</v>
      </c>
    </row>
    <row r="67" spans="6:36">
      <c r="F67">
        <v>1</v>
      </c>
      <c r="S67" s="21">
        <v>11</v>
      </c>
      <c r="T67" s="23" t="s">
        <v>6</v>
      </c>
      <c r="U67" s="22">
        <v>5</v>
      </c>
      <c r="V67" s="21">
        <v>11</v>
      </c>
      <c r="W67" s="1" t="s">
        <v>44</v>
      </c>
      <c r="X67" s="22">
        <v>2</v>
      </c>
      <c r="Y67" s="21">
        <v>11</v>
      </c>
      <c r="Z67" s="1" t="s">
        <v>4</v>
      </c>
      <c r="AA67" s="22">
        <v>3</v>
      </c>
      <c r="AB67" s="21">
        <v>11</v>
      </c>
      <c r="AC67" s="24" t="s">
        <v>47</v>
      </c>
      <c r="AD67" s="22">
        <v>4</v>
      </c>
      <c r="AE67" s="21">
        <v>11</v>
      </c>
      <c r="AF67" s="24" t="s">
        <v>4</v>
      </c>
      <c r="AG67" s="22">
        <v>4</v>
      </c>
      <c r="AH67" s="21">
        <v>11</v>
      </c>
      <c r="AI67" s="1" t="s">
        <v>4</v>
      </c>
      <c r="AJ67" s="22">
        <v>3</v>
      </c>
    </row>
    <row r="68" spans="6:36">
      <c r="F68">
        <v>2</v>
      </c>
      <c r="S68" s="21">
        <v>12</v>
      </c>
      <c r="T68" s="24" t="s">
        <v>47</v>
      </c>
      <c r="U68" s="22">
        <v>5</v>
      </c>
      <c r="V68" s="21">
        <v>12</v>
      </c>
      <c r="W68" s="1" t="s">
        <v>46</v>
      </c>
      <c r="X68" s="22">
        <v>2</v>
      </c>
      <c r="Y68" s="21">
        <v>12</v>
      </c>
      <c r="Z68" s="1" t="s">
        <v>5</v>
      </c>
      <c r="AA68" s="22">
        <v>4</v>
      </c>
      <c r="AB68" s="21">
        <v>12</v>
      </c>
      <c r="AC68" s="24" t="s">
        <v>37</v>
      </c>
      <c r="AD68" s="22">
        <v>4</v>
      </c>
      <c r="AE68" s="21">
        <v>12</v>
      </c>
      <c r="AF68" s="1" t="s">
        <v>5</v>
      </c>
      <c r="AG68" s="22">
        <v>4</v>
      </c>
      <c r="AH68" s="21">
        <v>12</v>
      </c>
      <c r="AI68" s="1" t="s">
        <v>5</v>
      </c>
      <c r="AJ68" s="22">
        <v>4</v>
      </c>
    </row>
    <row r="69" spans="6:36">
      <c r="F69">
        <v>3</v>
      </c>
      <c r="S69" s="21">
        <v>13</v>
      </c>
      <c r="T69" s="24" t="s">
        <v>37</v>
      </c>
      <c r="U69" s="22">
        <v>4</v>
      </c>
      <c r="V69" s="21">
        <v>13</v>
      </c>
      <c r="W69" s="1" t="s">
        <v>4</v>
      </c>
      <c r="X69" s="22">
        <v>3</v>
      </c>
      <c r="Y69" s="21">
        <v>13</v>
      </c>
      <c r="Z69" s="23" t="s">
        <v>6</v>
      </c>
      <c r="AA69" s="22">
        <v>5</v>
      </c>
      <c r="AB69" s="21">
        <v>13</v>
      </c>
      <c r="AC69" s="1" t="s">
        <v>44</v>
      </c>
      <c r="AD69" s="22">
        <v>1</v>
      </c>
      <c r="AE69" s="21">
        <v>13</v>
      </c>
      <c r="AF69" s="23" t="s">
        <v>6</v>
      </c>
      <c r="AG69" s="22">
        <v>5</v>
      </c>
      <c r="AH69" s="21">
        <v>13</v>
      </c>
      <c r="AI69" s="23" t="s">
        <v>6</v>
      </c>
      <c r="AJ69" s="22">
        <v>5</v>
      </c>
    </row>
    <row r="70" spans="6:36">
      <c r="F70">
        <v>4</v>
      </c>
      <c r="S70" s="21">
        <v>14</v>
      </c>
      <c r="T70" s="1" t="s">
        <v>44</v>
      </c>
      <c r="U70" s="22">
        <v>1</v>
      </c>
      <c r="V70" s="21">
        <v>14</v>
      </c>
      <c r="W70" s="1" t="s">
        <v>5</v>
      </c>
      <c r="X70" s="22">
        <v>4</v>
      </c>
      <c r="Y70" s="21">
        <v>14</v>
      </c>
      <c r="Z70" s="24" t="s">
        <v>47</v>
      </c>
      <c r="AA70" s="22">
        <v>4</v>
      </c>
      <c r="AB70" s="21">
        <v>14</v>
      </c>
      <c r="AC70" s="1" t="s">
        <v>46</v>
      </c>
      <c r="AD70" s="22">
        <v>2</v>
      </c>
      <c r="AE70" s="21">
        <v>14</v>
      </c>
      <c r="AF70" s="24" t="s">
        <v>47</v>
      </c>
      <c r="AG70" s="22">
        <v>4</v>
      </c>
      <c r="AH70" s="21">
        <v>14</v>
      </c>
      <c r="AI70" s="24" t="s">
        <v>47</v>
      </c>
      <c r="AJ70" s="22">
        <v>4</v>
      </c>
    </row>
    <row r="71" spans="6:36">
      <c r="F71">
        <v>5</v>
      </c>
      <c r="S71" s="21">
        <v>15</v>
      </c>
      <c r="T71" s="1" t="s">
        <v>46</v>
      </c>
      <c r="U71" s="22">
        <v>2</v>
      </c>
      <c r="V71" s="21">
        <v>15</v>
      </c>
      <c r="W71" s="23" t="s">
        <v>6</v>
      </c>
      <c r="X71" s="22">
        <v>5</v>
      </c>
      <c r="Y71" s="21">
        <v>15</v>
      </c>
      <c r="Z71" s="1" t="s">
        <v>37</v>
      </c>
      <c r="AA71" s="22">
        <v>2</v>
      </c>
      <c r="AB71" s="21">
        <v>15</v>
      </c>
      <c r="AC71" s="1" t="s">
        <v>4</v>
      </c>
      <c r="AD71" s="22">
        <v>3</v>
      </c>
      <c r="AE71" s="21">
        <v>15</v>
      </c>
      <c r="AF71" s="1" t="s">
        <v>37</v>
      </c>
      <c r="AG71" s="22">
        <v>2</v>
      </c>
      <c r="AH71" s="21">
        <v>15</v>
      </c>
      <c r="AI71" s="1" t="s">
        <v>37</v>
      </c>
      <c r="AJ71" s="22">
        <v>2</v>
      </c>
    </row>
    <row r="72" spans="6:36">
      <c r="F72">
        <v>6</v>
      </c>
      <c r="S72" s="21">
        <v>16</v>
      </c>
      <c r="T72" s="1" t="s">
        <v>4</v>
      </c>
      <c r="U72" s="22">
        <v>3</v>
      </c>
      <c r="V72" s="21">
        <v>16</v>
      </c>
      <c r="W72" s="24" t="s">
        <v>47</v>
      </c>
      <c r="X72" s="22">
        <v>4</v>
      </c>
      <c r="Y72" s="21">
        <v>16</v>
      </c>
      <c r="Z72" s="1" t="s">
        <v>44</v>
      </c>
      <c r="AA72" s="22">
        <v>2</v>
      </c>
      <c r="AB72" s="21">
        <v>16</v>
      </c>
      <c r="AC72" s="1" t="s">
        <v>5</v>
      </c>
      <c r="AD72" s="22">
        <v>4</v>
      </c>
      <c r="AE72" s="21">
        <v>16</v>
      </c>
      <c r="AF72" s="1" t="s">
        <v>44</v>
      </c>
      <c r="AG72" s="22">
        <v>2</v>
      </c>
      <c r="AH72" s="21">
        <v>16</v>
      </c>
      <c r="AI72" s="1" t="s">
        <v>44</v>
      </c>
      <c r="AJ72" s="22">
        <v>2</v>
      </c>
    </row>
    <row r="73" spans="6:36">
      <c r="F73">
        <v>7</v>
      </c>
      <c r="S73" s="21">
        <v>17</v>
      </c>
      <c r="T73" s="1" t="s">
        <v>5</v>
      </c>
      <c r="U73" s="22">
        <v>4</v>
      </c>
      <c r="V73" s="21">
        <v>17</v>
      </c>
      <c r="W73" s="1" t="s">
        <v>37</v>
      </c>
      <c r="X73" s="22">
        <v>2</v>
      </c>
      <c r="Y73" s="21">
        <v>17</v>
      </c>
      <c r="Z73" s="1" t="s">
        <v>46</v>
      </c>
      <c r="AA73" s="22">
        <v>2</v>
      </c>
      <c r="AB73" s="21">
        <v>17</v>
      </c>
      <c r="AC73" s="23" t="s">
        <v>6</v>
      </c>
      <c r="AD73" s="22">
        <v>5</v>
      </c>
      <c r="AE73" s="21">
        <v>17</v>
      </c>
      <c r="AF73" s="1" t="s">
        <v>46</v>
      </c>
      <c r="AG73" s="22">
        <v>2</v>
      </c>
      <c r="AH73" s="21">
        <v>17</v>
      </c>
      <c r="AI73" s="1" t="s">
        <v>46</v>
      </c>
      <c r="AJ73" s="22">
        <v>2</v>
      </c>
    </row>
    <row r="74" spans="6:36">
      <c r="F74">
        <v>8</v>
      </c>
      <c r="S74" s="21">
        <v>18</v>
      </c>
      <c r="T74" s="23" t="s">
        <v>6</v>
      </c>
      <c r="U74" s="22">
        <v>5</v>
      </c>
      <c r="V74" s="21">
        <v>18</v>
      </c>
      <c r="W74" s="1" t="s">
        <v>44</v>
      </c>
      <c r="X74" s="22">
        <v>2</v>
      </c>
      <c r="Y74" s="21">
        <v>18</v>
      </c>
      <c r="Z74" s="1" t="s">
        <v>4</v>
      </c>
      <c r="AA74" s="22">
        <v>3</v>
      </c>
      <c r="AB74" s="21">
        <v>18</v>
      </c>
      <c r="AC74" s="24" t="s">
        <v>47</v>
      </c>
      <c r="AD74" s="22">
        <v>4</v>
      </c>
      <c r="AE74" s="21">
        <v>18</v>
      </c>
      <c r="AF74" s="1" t="s">
        <v>4</v>
      </c>
      <c r="AG74" s="22">
        <v>3</v>
      </c>
      <c r="AH74" s="21">
        <v>18</v>
      </c>
      <c r="AI74" s="1" t="s">
        <v>4</v>
      </c>
      <c r="AJ74" s="22">
        <v>3</v>
      </c>
    </row>
    <row r="75" spans="6:36">
      <c r="F75">
        <v>9</v>
      </c>
      <c r="S75" s="21">
        <v>19</v>
      </c>
      <c r="T75" s="24" t="s">
        <v>47</v>
      </c>
      <c r="U75" s="22">
        <v>4</v>
      </c>
      <c r="V75" s="21">
        <v>19</v>
      </c>
      <c r="W75" s="1" t="s">
        <v>46</v>
      </c>
      <c r="X75" s="22">
        <v>2</v>
      </c>
      <c r="Y75" s="21">
        <v>19</v>
      </c>
      <c r="Z75" s="1" t="s">
        <v>5</v>
      </c>
      <c r="AA75" s="22">
        <v>4</v>
      </c>
      <c r="AB75" s="21">
        <v>19</v>
      </c>
      <c r="AC75" s="1" t="s">
        <v>37</v>
      </c>
      <c r="AD75" s="22">
        <v>2</v>
      </c>
      <c r="AE75" s="21">
        <v>19</v>
      </c>
      <c r="AF75" s="1" t="s">
        <v>5</v>
      </c>
      <c r="AG75" s="22">
        <v>4</v>
      </c>
      <c r="AH75" s="21">
        <v>19</v>
      </c>
      <c r="AI75" s="1" t="s">
        <v>5</v>
      </c>
      <c r="AJ75" s="22">
        <v>4</v>
      </c>
    </row>
    <row r="76" spans="6:36">
      <c r="F76">
        <v>10</v>
      </c>
      <c r="S76" s="21">
        <v>20</v>
      </c>
      <c r="T76" s="1" t="s">
        <v>37</v>
      </c>
      <c r="U76" s="22">
        <v>2</v>
      </c>
      <c r="V76" s="21">
        <v>20</v>
      </c>
      <c r="W76" s="1" t="s">
        <v>4</v>
      </c>
      <c r="X76" s="22">
        <v>3</v>
      </c>
      <c r="Y76" s="21">
        <v>20</v>
      </c>
      <c r="Z76" s="23" t="s">
        <v>6</v>
      </c>
      <c r="AA76" s="22">
        <v>5</v>
      </c>
      <c r="AB76" s="21">
        <v>20</v>
      </c>
      <c r="AC76" s="1" t="s">
        <v>44</v>
      </c>
      <c r="AD76" s="22">
        <v>2</v>
      </c>
      <c r="AE76" s="21">
        <v>20</v>
      </c>
      <c r="AF76" s="23" t="s">
        <v>6</v>
      </c>
      <c r="AG76" s="22">
        <v>5</v>
      </c>
      <c r="AH76" s="21">
        <v>20</v>
      </c>
      <c r="AI76" s="23" t="s">
        <v>6</v>
      </c>
      <c r="AJ76" s="22">
        <v>5</v>
      </c>
    </row>
    <row r="77" spans="6:36">
      <c r="F77">
        <v>11</v>
      </c>
      <c r="S77" s="21">
        <v>21</v>
      </c>
      <c r="T77" s="1" t="s">
        <v>44</v>
      </c>
      <c r="U77" s="22">
        <v>2</v>
      </c>
      <c r="V77" s="21">
        <v>21</v>
      </c>
      <c r="W77" s="1" t="s">
        <v>5</v>
      </c>
      <c r="X77" s="22">
        <v>4</v>
      </c>
      <c r="Y77" s="21">
        <v>21</v>
      </c>
      <c r="Z77" s="24" t="s">
        <v>47</v>
      </c>
      <c r="AA77" s="22">
        <v>4</v>
      </c>
      <c r="AB77" s="21">
        <v>21</v>
      </c>
      <c r="AC77" s="1" t="s">
        <v>46</v>
      </c>
      <c r="AD77" s="22">
        <v>2</v>
      </c>
      <c r="AE77" s="21">
        <v>21</v>
      </c>
      <c r="AF77" s="24" t="s">
        <v>47</v>
      </c>
      <c r="AG77" s="22">
        <v>4</v>
      </c>
      <c r="AH77" s="21">
        <v>21</v>
      </c>
      <c r="AI77" s="24" t="s">
        <v>47</v>
      </c>
      <c r="AJ77" s="22">
        <v>4</v>
      </c>
    </row>
    <row r="78" spans="6:36">
      <c r="F78">
        <v>12</v>
      </c>
      <c r="S78" s="21">
        <v>22</v>
      </c>
      <c r="T78" s="1" t="s">
        <v>46</v>
      </c>
      <c r="U78" s="22">
        <v>2</v>
      </c>
      <c r="V78" s="21">
        <v>22</v>
      </c>
      <c r="W78" s="23" t="s">
        <v>6</v>
      </c>
      <c r="X78" s="22">
        <v>5</v>
      </c>
      <c r="Y78" s="21">
        <v>22</v>
      </c>
      <c r="Z78" s="1" t="s">
        <v>37</v>
      </c>
      <c r="AA78" s="22">
        <v>2</v>
      </c>
      <c r="AB78" s="21">
        <v>22</v>
      </c>
      <c r="AC78" s="1" t="s">
        <v>4</v>
      </c>
      <c r="AD78" s="22">
        <v>3</v>
      </c>
      <c r="AE78" s="21">
        <v>22</v>
      </c>
      <c r="AF78" s="1" t="s">
        <v>37</v>
      </c>
      <c r="AG78" s="22">
        <v>2</v>
      </c>
      <c r="AH78" s="21">
        <v>22</v>
      </c>
      <c r="AI78" s="1" t="s">
        <v>37</v>
      </c>
      <c r="AJ78" s="22">
        <v>2</v>
      </c>
    </row>
    <row r="79" spans="6:36">
      <c r="F79">
        <v>13</v>
      </c>
      <c r="S79" s="21">
        <v>23</v>
      </c>
      <c r="T79" s="1" t="s">
        <v>4</v>
      </c>
      <c r="U79" s="22">
        <v>3</v>
      </c>
      <c r="V79" s="21">
        <v>23</v>
      </c>
      <c r="W79" s="24" t="s">
        <v>47</v>
      </c>
      <c r="X79" s="22">
        <v>5</v>
      </c>
      <c r="Y79" s="21">
        <v>23</v>
      </c>
      <c r="Z79" s="1" t="s">
        <v>44</v>
      </c>
      <c r="AA79" s="22">
        <v>2</v>
      </c>
      <c r="AB79" s="21">
        <v>23</v>
      </c>
      <c r="AC79" s="1" t="s">
        <v>5</v>
      </c>
      <c r="AD79" s="22">
        <v>4</v>
      </c>
      <c r="AE79" s="21">
        <v>23</v>
      </c>
      <c r="AF79" s="1" t="s">
        <v>44</v>
      </c>
      <c r="AG79" s="22">
        <v>2</v>
      </c>
      <c r="AH79" s="21">
        <v>23</v>
      </c>
      <c r="AI79" s="1" t="s">
        <v>44</v>
      </c>
      <c r="AJ79" s="22">
        <v>2</v>
      </c>
    </row>
    <row r="80" spans="6:36">
      <c r="F80">
        <v>14</v>
      </c>
      <c r="S80" s="21">
        <v>24</v>
      </c>
      <c r="T80" s="1" t="s">
        <v>5</v>
      </c>
      <c r="U80" s="22">
        <v>4</v>
      </c>
      <c r="V80" s="21">
        <v>24</v>
      </c>
      <c r="W80" s="24" t="s">
        <v>37</v>
      </c>
      <c r="X80" s="22">
        <v>4</v>
      </c>
      <c r="Y80" s="21">
        <v>24</v>
      </c>
      <c r="Z80" s="1" t="s">
        <v>46</v>
      </c>
      <c r="AA80" s="22">
        <v>2</v>
      </c>
      <c r="AB80" s="21">
        <v>24</v>
      </c>
      <c r="AC80" s="23" t="s">
        <v>6</v>
      </c>
      <c r="AD80" s="22">
        <v>5</v>
      </c>
      <c r="AE80" s="21">
        <v>24</v>
      </c>
      <c r="AF80" s="1" t="s">
        <v>46</v>
      </c>
      <c r="AG80" s="22">
        <v>2</v>
      </c>
      <c r="AH80" s="21">
        <v>24</v>
      </c>
      <c r="AI80" s="1" t="s">
        <v>46</v>
      </c>
      <c r="AJ80" s="22">
        <v>2</v>
      </c>
    </row>
    <row r="81" spans="6:36">
      <c r="F81">
        <v>15</v>
      </c>
      <c r="S81" s="21">
        <v>25</v>
      </c>
      <c r="T81" s="23" t="s">
        <v>6</v>
      </c>
      <c r="U81" s="22">
        <v>5</v>
      </c>
      <c r="V81" s="21">
        <v>25</v>
      </c>
      <c r="W81" s="1" t="s">
        <v>44</v>
      </c>
      <c r="X81" s="22">
        <v>1</v>
      </c>
      <c r="Y81" s="21">
        <v>25</v>
      </c>
      <c r="Z81" s="1" t="s">
        <v>4</v>
      </c>
      <c r="AA81" s="22">
        <v>3</v>
      </c>
      <c r="AB81" s="21">
        <v>25</v>
      </c>
      <c r="AC81" s="24" t="s">
        <v>47</v>
      </c>
      <c r="AD81" s="22">
        <v>4</v>
      </c>
      <c r="AE81" s="21">
        <v>25</v>
      </c>
      <c r="AF81" s="1" t="s">
        <v>4</v>
      </c>
      <c r="AG81" s="22">
        <v>3</v>
      </c>
      <c r="AH81" s="21">
        <v>25</v>
      </c>
      <c r="AI81" s="1" t="s">
        <v>4</v>
      </c>
      <c r="AJ81" s="22">
        <v>3</v>
      </c>
    </row>
    <row r="82" spans="6:36">
      <c r="F82">
        <v>16</v>
      </c>
      <c r="S82" s="21">
        <v>26</v>
      </c>
      <c r="T82" s="24" t="s">
        <v>47</v>
      </c>
      <c r="U82" s="22">
        <v>4</v>
      </c>
      <c r="V82" s="21">
        <v>26</v>
      </c>
      <c r="W82" s="1" t="s">
        <v>46</v>
      </c>
      <c r="X82" s="22">
        <v>2</v>
      </c>
      <c r="Y82" s="21">
        <v>26</v>
      </c>
      <c r="Z82" s="1" t="s">
        <v>5</v>
      </c>
      <c r="AA82" s="22">
        <v>4</v>
      </c>
      <c r="AB82" s="21">
        <v>26</v>
      </c>
      <c r="AC82" s="1" t="s">
        <v>37</v>
      </c>
      <c r="AD82" s="22">
        <v>2</v>
      </c>
      <c r="AE82" s="21">
        <v>26</v>
      </c>
      <c r="AF82" s="1" t="s">
        <v>5</v>
      </c>
      <c r="AG82" s="22">
        <v>4</v>
      </c>
      <c r="AH82" s="21">
        <v>26</v>
      </c>
      <c r="AI82" s="1" t="s">
        <v>5</v>
      </c>
      <c r="AJ82" s="22">
        <v>4</v>
      </c>
    </row>
    <row r="83" spans="6:36">
      <c r="F83">
        <v>17</v>
      </c>
      <c r="S83" s="21">
        <v>27</v>
      </c>
      <c r="T83" s="1" t="s">
        <v>37</v>
      </c>
      <c r="U83" s="22">
        <v>2</v>
      </c>
      <c r="V83" s="21">
        <v>27</v>
      </c>
      <c r="W83" s="1" t="s">
        <v>4</v>
      </c>
      <c r="X83" s="22">
        <v>3</v>
      </c>
      <c r="Y83" s="21">
        <v>27</v>
      </c>
      <c r="Z83" s="23" t="s">
        <v>6</v>
      </c>
      <c r="AA83" s="22">
        <v>5</v>
      </c>
      <c r="AB83" s="21">
        <v>27</v>
      </c>
      <c r="AC83" s="28" t="s">
        <v>44</v>
      </c>
      <c r="AD83" s="22">
        <v>2</v>
      </c>
      <c r="AE83" s="21">
        <v>27</v>
      </c>
      <c r="AF83" s="23" t="s">
        <v>6</v>
      </c>
      <c r="AG83" s="22">
        <v>5</v>
      </c>
      <c r="AH83" s="21">
        <v>27</v>
      </c>
      <c r="AI83" s="23" t="s">
        <v>6</v>
      </c>
      <c r="AJ83" s="22">
        <v>5</v>
      </c>
    </row>
    <row r="84" spans="6:36">
      <c r="F84">
        <v>18</v>
      </c>
      <c r="S84" s="21">
        <v>28</v>
      </c>
      <c r="T84" s="1" t="s">
        <v>44</v>
      </c>
      <c r="U84" s="22">
        <v>2</v>
      </c>
      <c r="V84" s="21">
        <v>28</v>
      </c>
      <c r="W84" s="1" t="s">
        <v>5</v>
      </c>
      <c r="X84" s="22">
        <v>4</v>
      </c>
      <c r="Y84" s="21">
        <v>28</v>
      </c>
      <c r="Z84" s="24" t="s">
        <v>47</v>
      </c>
      <c r="AA84" s="22">
        <v>4</v>
      </c>
      <c r="AB84" s="21">
        <v>28</v>
      </c>
      <c r="AC84" s="1" t="s">
        <v>46</v>
      </c>
      <c r="AD84" s="22">
        <v>2</v>
      </c>
      <c r="AE84" s="21">
        <v>28</v>
      </c>
      <c r="AF84" s="24" t="s">
        <v>47</v>
      </c>
      <c r="AG84" s="22">
        <v>4</v>
      </c>
      <c r="AH84" s="21">
        <v>28</v>
      </c>
      <c r="AI84" s="24" t="s">
        <v>47</v>
      </c>
      <c r="AJ84" s="22">
        <v>4</v>
      </c>
    </row>
    <row r="85" spans="6:36">
      <c r="F85">
        <v>19</v>
      </c>
      <c r="S85" s="21">
        <v>29</v>
      </c>
      <c r="T85" s="1" t="s">
        <v>46</v>
      </c>
      <c r="U85" s="22">
        <v>2</v>
      </c>
      <c r="V85" s="21">
        <v>29</v>
      </c>
      <c r="W85" s="23" t="s">
        <v>6</v>
      </c>
      <c r="X85" s="22">
        <v>5</v>
      </c>
      <c r="Y85" s="21">
        <v>29</v>
      </c>
      <c r="Z85" s="1" t="s">
        <v>37</v>
      </c>
      <c r="AA85" s="22">
        <v>2</v>
      </c>
      <c r="AB85" s="21">
        <v>29</v>
      </c>
      <c r="AC85" s="1" t="s">
        <v>48</v>
      </c>
      <c r="AD85" s="22">
        <v>2</v>
      </c>
      <c r="AE85" s="21"/>
      <c r="AF85" s="1"/>
      <c r="AG85" s="22"/>
      <c r="AH85" s="21">
        <v>29</v>
      </c>
      <c r="AI85" s="1" t="s">
        <v>37</v>
      </c>
      <c r="AJ85" s="22">
        <v>2</v>
      </c>
    </row>
    <row r="86" spans="6:36">
      <c r="F86">
        <v>20</v>
      </c>
      <c r="S86" s="21">
        <v>30</v>
      </c>
      <c r="T86" s="1" t="s">
        <v>4</v>
      </c>
      <c r="U86" s="22">
        <v>3</v>
      </c>
      <c r="V86" s="21">
        <v>30</v>
      </c>
      <c r="W86" s="24" t="s">
        <v>47</v>
      </c>
      <c r="X86" s="22">
        <v>4</v>
      </c>
      <c r="Y86" s="21">
        <v>30</v>
      </c>
      <c r="Z86" s="1" t="s">
        <v>44</v>
      </c>
      <c r="AA86" s="22">
        <v>2</v>
      </c>
      <c r="AB86" s="21">
        <v>30</v>
      </c>
      <c r="AC86" s="1" t="s">
        <v>5</v>
      </c>
      <c r="AD86" s="22">
        <v>4</v>
      </c>
      <c r="AE86" s="21"/>
      <c r="AF86" s="1"/>
      <c r="AG86" s="22"/>
      <c r="AH86" s="21">
        <v>30</v>
      </c>
      <c r="AI86" s="1" t="s">
        <v>44</v>
      </c>
      <c r="AJ86" s="22">
        <v>2</v>
      </c>
    </row>
    <row r="87" spans="6:36">
      <c r="F87">
        <v>21</v>
      </c>
      <c r="S87" s="21">
        <v>31</v>
      </c>
      <c r="T87" s="1" t="s">
        <v>5</v>
      </c>
      <c r="U87" s="22">
        <v>4</v>
      </c>
      <c r="V87" s="21"/>
      <c r="W87" s="23"/>
      <c r="X87" s="22"/>
      <c r="Y87" s="21">
        <v>31</v>
      </c>
      <c r="Z87" s="1" t="s">
        <v>46</v>
      </c>
      <c r="AA87" s="22"/>
      <c r="AB87" s="21">
        <v>31</v>
      </c>
      <c r="AC87" s="23" t="s">
        <v>6</v>
      </c>
      <c r="AD87" s="22">
        <v>5</v>
      </c>
      <c r="AE87" s="21"/>
      <c r="AF87" s="24"/>
      <c r="AG87" s="22"/>
      <c r="AH87" s="21">
        <v>31</v>
      </c>
      <c r="AI87" s="1" t="s">
        <v>3</v>
      </c>
      <c r="AJ87" s="22">
        <v>2</v>
      </c>
    </row>
    <row r="88" spans="6:36">
      <c r="F88">
        <v>22</v>
      </c>
      <c r="S88" s="25"/>
      <c r="T88" s="26"/>
      <c r="U88" s="27">
        <f>SUM(U57:U87)/S87</f>
        <v>3.193548387096774</v>
      </c>
      <c r="V88" s="25"/>
      <c r="W88" s="26"/>
      <c r="X88" s="27">
        <f>SUM(X57:X87)/V86</f>
        <v>3.3666666666666667</v>
      </c>
      <c r="Y88" s="25"/>
      <c r="Z88" s="26">
        <v>30</v>
      </c>
      <c r="AA88" s="27">
        <f>SUM(AA57:AA87)/Y86</f>
        <v>3.0666666666666669</v>
      </c>
      <c r="AB88" s="25"/>
      <c r="AC88" s="26">
        <v>30</v>
      </c>
      <c r="AD88" s="27">
        <f>SUM(AD58:AD87)/AB86</f>
        <v>3.2</v>
      </c>
      <c r="AE88" s="25"/>
      <c r="AF88" s="26"/>
      <c r="AG88" s="27">
        <f>SUM(AG57:AG87)/AE84</f>
        <v>3.2142857142857144</v>
      </c>
      <c r="AH88" s="25"/>
      <c r="AI88" s="26"/>
      <c r="AJ88" s="27">
        <f>SUM(AJ57:AJ87)/AH87</f>
        <v>3.032258064516129</v>
      </c>
    </row>
    <row r="89" spans="6:36">
      <c r="F89">
        <v>23</v>
      </c>
    </row>
    <row r="90" spans="6:36">
      <c r="F90">
        <v>24</v>
      </c>
    </row>
    <row r="91" spans="6:36">
      <c r="F91">
        <v>25</v>
      </c>
    </row>
    <row r="92" spans="6:36">
      <c r="F92">
        <v>26</v>
      </c>
    </row>
    <row r="93" spans="6:36">
      <c r="F93">
        <v>27</v>
      </c>
    </row>
    <row r="94" spans="6:36">
      <c r="F94">
        <v>28</v>
      </c>
    </row>
    <row r="95" spans="6:36">
      <c r="F95">
        <v>29</v>
      </c>
    </row>
    <row r="96" spans="6:36">
      <c r="F96">
        <v>30</v>
      </c>
    </row>
  </sheetData>
  <mergeCells count="49">
    <mergeCell ref="A38:B45"/>
    <mergeCell ref="C38:Q39"/>
    <mergeCell ref="C40:Q41"/>
    <mergeCell ref="C42:Q43"/>
    <mergeCell ref="C44:Q45"/>
    <mergeCell ref="A30:B37"/>
    <mergeCell ref="C30:Q31"/>
    <mergeCell ref="C32:Q33"/>
    <mergeCell ref="C34:Q35"/>
    <mergeCell ref="C36:Q37"/>
    <mergeCell ref="AB23:AD23"/>
    <mergeCell ref="AE23:AG23"/>
    <mergeCell ref="AH23:AJ23"/>
    <mergeCell ref="S56:U56"/>
    <mergeCell ref="V56:X56"/>
    <mergeCell ref="Y56:AA56"/>
    <mergeCell ref="AB56:AD56"/>
    <mergeCell ref="AE56:AG56"/>
    <mergeCell ref="AH56:AJ56"/>
    <mergeCell ref="Y23:AA23"/>
    <mergeCell ref="Q14:R14"/>
    <mergeCell ref="Q15:R15"/>
    <mergeCell ref="Q16:R16"/>
    <mergeCell ref="S23:U23"/>
    <mergeCell ref="V23:X23"/>
    <mergeCell ref="A23:Q28"/>
    <mergeCell ref="Q13:R13"/>
    <mergeCell ref="T4:V4"/>
    <mergeCell ref="W4:Y4"/>
    <mergeCell ref="Z4:AB4"/>
    <mergeCell ref="Q5:R5"/>
    <mergeCell ref="Q6:R6"/>
    <mergeCell ref="Q7:R7"/>
    <mergeCell ref="Q8:R8"/>
    <mergeCell ref="Q9:R9"/>
    <mergeCell ref="Q10:R10"/>
    <mergeCell ref="Q11:R11"/>
    <mergeCell ref="Q12:R12"/>
    <mergeCell ref="AC4:AF4"/>
    <mergeCell ref="A3:B3"/>
    <mergeCell ref="C3:D3"/>
    <mergeCell ref="F3:G3"/>
    <mergeCell ref="H3:P3"/>
    <mergeCell ref="Q3:R4"/>
    <mergeCell ref="A4:B4"/>
    <mergeCell ref="F4:I4"/>
    <mergeCell ref="J4:L4"/>
    <mergeCell ref="M4:N4"/>
    <mergeCell ref="O4:P4"/>
  </mergeCells>
  <phoneticPr fontId="1"/>
  <pageMargins left="0.7" right="0.7" top="0.75" bottom="0.75" header="0.3" footer="0.3"/>
  <pageSetup paperSize="8" scale="30"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34C28-83BD-394B-8F84-1BADB4C830AC}">
  <sheetPr>
    <pageSetUpPr fitToPage="1"/>
  </sheetPr>
  <dimension ref="A1:AJ96"/>
  <sheetViews>
    <sheetView tabSelected="1" zoomScale="43" workbookViewId="0">
      <selection activeCell="C32" sqref="C32:Q33"/>
    </sheetView>
  </sheetViews>
  <sheetFormatPr baseColWidth="10" defaultRowHeight="20"/>
  <cols>
    <col min="1" max="2" width="6.85546875" customWidth="1"/>
    <col min="3" max="5" width="33.42578125" customWidth="1"/>
    <col min="6" max="6" width="9.85546875" customWidth="1"/>
    <col min="7" max="7" width="11.7109375" customWidth="1"/>
    <col min="8" max="8" width="8.85546875" customWidth="1"/>
    <col min="9" max="9" width="11.7109375" customWidth="1"/>
    <col min="10" max="10" width="9.28515625" customWidth="1"/>
    <col min="11" max="11" width="17.85546875" customWidth="1"/>
    <col min="12" max="12" width="14.28515625" customWidth="1"/>
    <col min="13" max="13" width="16.140625" customWidth="1"/>
  </cols>
  <sheetData>
    <row r="1" spans="1:32" s="41" customFormat="1" ht="31">
      <c r="A1" s="41" t="s">
        <v>88</v>
      </c>
    </row>
    <row r="3" spans="1:32" ht="50" customHeight="1">
      <c r="A3" s="89" t="s">
        <v>66</v>
      </c>
      <c r="B3" s="90"/>
      <c r="C3" s="50" t="s">
        <v>38</v>
      </c>
      <c r="D3" s="51"/>
      <c r="E3" s="6" t="s">
        <v>14</v>
      </c>
      <c r="F3" s="76" t="s">
        <v>33</v>
      </c>
      <c r="G3" s="76"/>
      <c r="H3" s="50" t="s">
        <v>36</v>
      </c>
      <c r="I3" s="75"/>
      <c r="J3" s="75"/>
      <c r="K3" s="75"/>
      <c r="L3" s="75"/>
      <c r="M3" s="75"/>
      <c r="N3" s="75"/>
      <c r="O3" s="75"/>
      <c r="P3" s="51"/>
      <c r="Q3" s="67" t="s">
        <v>73</v>
      </c>
      <c r="R3" s="68"/>
      <c r="T3" s="39" t="s">
        <v>68</v>
      </c>
    </row>
    <row r="4" spans="1:32" ht="50" customHeight="1">
      <c r="A4" s="49" t="s">
        <v>77</v>
      </c>
      <c r="B4" s="49"/>
      <c r="C4" s="42" t="s">
        <v>9</v>
      </c>
      <c r="D4" s="42" t="s">
        <v>10</v>
      </c>
      <c r="E4" s="42" t="s">
        <v>32</v>
      </c>
      <c r="F4" s="64" t="s">
        <v>71</v>
      </c>
      <c r="G4" s="65"/>
      <c r="H4" s="65"/>
      <c r="I4" s="66"/>
      <c r="J4" s="72" t="s">
        <v>72</v>
      </c>
      <c r="K4" s="73"/>
      <c r="L4" s="74"/>
      <c r="M4" s="71" t="s">
        <v>59</v>
      </c>
      <c r="N4" s="71"/>
      <c r="O4" s="71" t="s">
        <v>34</v>
      </c>
      <c r="P4" s="71"/>
      <c r="Q4" s="69"/>
      <c r="R4" s="70"/>
      <c r="T4" s="44" t="s">
        <v>39</v>
      </c>
      <c r="U4" s="44"/>
      <c r="V4" s="44"/>
      <c r="W4" s="44" t="s">
        <v>40</v>
      </c>
      <c r="X4" s="44"/>
      <c r="Y4" s="44"/>
      <c r="Z4" s="44" t="s">
        <v>41</v>
      </c>
      <c r="AA4" s="44"/>
      <c r="AB4" s="44"/>
      <c r="AC4" s="44" t="s">
        <v>69</v>
      </c>
      <c r="AD4" s="44"/>
      <c r="AE4" s="44"/>
      <c r="AF4" s="44"/>
    </row>
    <row r="5" spans="1:32" ht="50" customHeight="1">
      <c r="A5" s="2">
        <v>4</v>
      </c>
      <c r="B5" s="16">
        <v>1</v>
      </c>
      <c r="C5" s="2" t="s">
        <v>11</v>
      </c>
      <c r="D5" s="2" t="s">
        <v>12</v>
      </c>
      <c r="E5" s="2" t="s">
        <v>35</v>
      </c>
      <c r="F5" s="2" t="s">
        <v>0</v>
      </c>
      <c r="G5" s="12">
        <v>4</v>
      </c>
      <c r="H5" s="2">
        <v>4</v>
      </c>
      <c r="I5" s="29">
        <f>U55</f>
        <v>3.2</v>
      </c>
      <c r="J5" s="2">
        <v>4</v>
      </c>
      <c r="K5" s="10">
        <f>(U5+X5)/(V5+Y5)</f>
        <v>809.05172413793105</v>
      </c>
      <c r="L5" s="35">
        <f>AF5</f>
        <v>2.3635057471264367</v>
      </c>
      <c r="M5" s="5"/>
      <c r="N5" s="5"/>
      <c r="O5" s="5"/>
      <c r="P5" s="5"/>
      <c r="Q5" s="45">
        <f>(B5+I5+L5)/3</f>
        <v>2.1878352490421453</v>
      </c>
      <c r="R5" s="46"/>
      <c r="S5" s="1">
        <v>4</v>
      </c>
      <c r="T5" s="8">
        <f>U5/V5</f>
        <v>796.48275862068965</v>
      </c>
      <c r="U5" s="8">
        <v>23098</v>
      </c>
      <c r="V5">
        <v>29</v>
      </c>
      <c r="W5" s="8">
        <f>X5/Y5</f>
        <v>821.62068965517244</v>
      </c>
      <c r="X5" s="8">
        <v>23827</v>
      </c>
      <c r="Y5">
        <v>29</v>
      </c>
      <c r="Z5" s="8"/>
      <c r="AC5" s="7">
        <v>1500</v>
      </c>
      <c r="AD5">
        <v>5</v>
      </c>
      <c r="AE5" s="7">
        <v>2</v>
      </c>
      <c r="AF5" s="34">
        <f>AE5+((K5-1000)/(1000-700))+1</f>
        <v>2.3635057471264367</v>
      </c>
    </row>
    <row r="6" spans="1:32" ht="50" customHeight="1">
      <c r="A6" s="2">
        <v>5</v>
      </c>
      <c r="B6" s="3">
        <v>3</v>
      </c>
      <c r="C6" s="2" t="s">
        <v>8</v>
      </c>
      <c r="D6" s="2" t="s">
        <v>13</v>
      </c>
      <c r="E6" s="2"/>
      <c r="F6" s="2" t="s">
        <v>1</v>
      </c>
      <c r="G6" s="18">
        <v>2</v>
      </c>
      <c r="H6" s="2">
        <v>5</v>
      </c>
      <c r="I6" s="29">
        <f>X55</f>
        <v>3.3548387096774195</v>
      </c>
      <c r="J6" s="2">
        <v>5</v>
      </c>
      <c r="K6" s="10">
        <f t="shared" ref="K6:K16" si="0">(U6+X6)/(V6+Y6)</f>
        <v>1013.7258064516129</v>
      </c>
      <c r="L6" s="35">
        <f>AF6</f>
        <v>3.0457526881720431</v>
      </c>
      <c r="M6" s="5"/>
      <c r="N6" s="5"/>
      <c r="O6" s="5"/>
      <c r="P6" s="5"/>
      <c r="Q6" s="45">
        <f t="shared" ref="Q6:Q16" si="1">(B6+I6+L6)/3</f>
        <v>3.1335304659498213</v>
      </c>
      <c r="R6" s="46"/>
      <c r="S6" s="1">
        <v>5</v>
      </c>
      <c r="T6" s="8">
        <f t="shared" ref="T6:T16" si="2">U6/V6</f>
        <v>917.64516129032256</v>
      </c>
      <c r="U6" s="8">
        <v>28447</v>
      </c>
      <c r="V6">
        <v>31</v>
      </c>
      <c r="W6" s="8">
        <f t="shared" ref="W6:W16" si="3">X6/Y6</f>
        <v>1109.8064516129032</v>
      </c>
      <c r="X6" s="8">
        <v>34404</v>
      </c>
      <c r="Y6">
        <v>31</v>
      </c>
      <c r="Z6" s="8"/>
      <c r="AC6" s="7">
        <v>1300</v>
      </c>
      <c r="AD6">
        <v>4</v>
      </c>
      <c r="AE6" s="7">
        <v>3</v>
      </c>
      <c r="AF6" s="34">
        <f>AE6+((K6-1300)/(1300-1000))+1</f>
        <v>3.0457526881720431</v>
      </c>
    </row>
    <row r="7" spans="1:32" ht="50" customHeight="1">
      <c r="A7" s="2">
        <v>6</v>
      </c>
      <c r="B7" s="15">
        <v>4</v>
      </c>
      <c r="C7" s="20" t="s">
        <v>31</v>
      </c>
      <c r="D7" s="2"/>
      <c r="E7" s="2"/>
      <c r="F7" s="2" t="s">
        <v>2</v>
      </c>
      <c r="G7" s="18">
        <v>2</v>
      </c>
      <c r="H7" s="2">
        <v>6</v>
      </c>
      <c r="I7" s="29">
        <f>AA55</f>
        <v>3.1333333333333333</v>
      </c>
      <c r="J7" s="2">
        <v>6</v>
      </c>
      <c r="K7" s="10">
        <f t="shared" si="0"/>
        <v>1142.4333333333334</v>
      </c>
      <c r="L7" s="35">
        <f t="shared" ref="L7:L16" si="4">AF7</f>
        <v>3.4747777777777777</v>
      </c>
      <c r="M7" s="5"/>
      <c r="N7" s="5"/>
      <c r="O7" s="5"/>
      <c r="P7" s="5"/>
      <c r="Q7" s="45">
        <f t="shared" si="1"/>
        <v>3.5360370370370369</v>
      </c>
      <c r="R7" s="46"/>
      <c r="S7" s="1">
        <v>6</v>
      </c>
      <c r="T7" s="8">
        <f t="shared" si="2"/>
        <v>1111.0333333333333</v>
      </c>
      <c r="U7" s="8">
        <v>33331</v>
      </c>
      <c r="V7">
        <v>30</v>
      </c>
      <c r="W7" s="8">
        <f t="shared" si="3"/>
        <v>1173.8333333333333</v>
      </c>
      <c r="X7" s="8">
        <v>35215</v>
      </c>
      <c r="Y7">
        <v>30</v>
      </c>
      <c r="Z7" s="8"/>
      <c r="AC7" s="7">
        <v>1000</v>
      </c>
      <c r="AD7">
        <v>3</v>
      </c>
      <c r="AE7" s="7">
        <v>3</v>
      </c>
      <c r="AF7" s="34">
        <f>AE7+((K7-1300)/(1300-1000))+1</f>
        <v>3.4747777777777777</v>
      </c>
    </row>
    <row r="8" spans="1:32" ht="50" customHeight="1">
      <c r="A8" s="2">
        <v>7</v>
      </c>
      <c r="B8" s="14">
        <v>5</v>
      </c>
      <c r="C8" s="2" t="s">
        <v>17</v>
      </c>
      <c r="D8" s="2" t="s">
        <v>30</v>
      </c>
      <c r="E8" s="2"/>
      <c r="F8" s="2" t="s">
        <v>3</v>
      </c>
      <c r="G8" s="18">
        <v>2</v>
      </c>
      <c r="H8" s="2">
        <v>7</v>
      </c>
      <c r="I8" s="29">
        <f>AD55</f>
        <v>3.161290322580645</v>
      </c>
      <c r="J8" s="2">
        <v>7</v>
      </c>
      <c r="K8" s="10">
        <f t="shared" si="0"/>
        <v>1483.8064516129032</v>
      </c>
      <c r="L8" s="35">
        <f t="shared" si="4"/>
        <v>4.919032258064516</v>
      </c>
      <c r="M8" s="5"/>
      <c r="N8" s="5"/>
      <c r="O8" s="5"/>
      <c r="P8" s="5"/>
      <c r="Q8" s="45">
        <f t="shared" si="1"/>
        <v>4.3601075268817198</v>
      </c>
      <c r="R8" s="46"/>
      <c r="S8" s="1">
        <v>7</v>
      </c>
      <c r="T8" s="8">
        <f t="shared" si="2"/>
        <v>1526.741935483871</v>
      </c>
      <c r="U8" s="8">
        <v>47329</v>
      </c>
      <c r="V8">
        <v>31</v>
      </c>
      <c r="W8" s="8">
        <f t="shared" si="3"/>
        <v>1440.8709677419354</v>
      </c>
      <c r="X8" s="8">
        <v>44667</v>
      </c>
      <c r="Y8">
        <v>31</v>
      </c>
      <c r="Z8" s="8"/>
      <c r="AC8" s="7">
        <v>700</v>
      </c>
      <c r="AD8">
        <v>2</v>
      </c>
      <c r="AE8" s="7">
        <v>4</v>
      </c>
      <c r="AF8" s="34">
        <f>AE8+((K8-1500)/(1500-1300))+1</f>
        <v>4.919032258064516</v>
      </c>
    </row>
    <row r="9" spans="1:32" ht="50" customHeight="1">
      <c r="A9" s="2">
        <v>8</v>
      </c>
      <c r="B9" s="14">
        <v>5</v>
      </c>
      <c r="C9" s="2" t="s">
        <v>18</v>
      </c>
      <c r="D9" s="2"/>
      <c r="E9" s="2"/>
      <c r="F9" s="2" t="s">
        <v>4</v>
      </c>
      <c r="G9" s="4">
        <v>3</v>
      </c>
      <c r="H9" s="2">
        <v>8</v>
      </c>
      <c r="I9" s="29">
        <f>AG55</f>
        <v>3.2903225806451615</v>
      </c>
      <c r="J9" s="2">
        <v>8</v>
      </c>
      <c r="K9" s="10">
        <f t="shared" si="0"/>
        <v>1953.3870967741937</v>
      </c>
      <c r="L9" s="35">
        <f t="shared" si="4"/>
        <v>5</v>
      </c>
      <c r="M9" s="5"/>
      <c r="N9" s="5"/>
      <c r="O9" s="5"/>
      <c r="P9" s="5"/>
      <c r="Q9" s="45">
        <f t="shared" si="1"/>
        <v>4.4301075268817209</v>
      </c>
      <c r="R9" s="46"/>
      <c r="S9" s="1">
        <v>8</v>
      </c>
      <c r="T9" s="8">
        <f t="shared" si="2"/>
        <v>2013.5483870967741</v>
      </c>
      <c r="U9" s="8">
        <v>62420</v>
      </c>
      <c r="V9">
        <v>31</v>
      </c>
      <c r="W9" s="8">
        <f t="shared" si="3"/>
        <v>1893.2258064516129</v>
      </c>
      <c r="X9" s="8">
        <v>58690</v>
      </c>
      <c r="Y9">
        <v>31</v>
      </c>
      <c r="Z9" s="8"/>
      <c r="AC9" s="38" t="s">
        <v>43</v>
      </c>
      <c r="AD9">
        <v>1</v>
      </c>
      <c r="AE9" s="7">
        <v>5</v>
      </c>
      <c r="AF9" s="34">
        <v>5</v>
      </c>
    </row>
    <row r="10" spans="1:32" ht="50" customHeight="1">
      <c r="A10" s="2">
        <v>9</v>
      </c>
      <c r="B10" s="14">
        <v>5</v>
      </c>
      <c r="C10" s="2" t="s">
        <v>19</v>
      </c>
      <c r="D10" s="2" t="s">
        <v>19</v>
      </c>
      <c r="E10" s="2"/>
      <c r="F10" s="2" t="s">
        <v>5</v>
      </c>
      <c r="G10" s="12">
        <v>4</v>
      </c>
      <c r="H10" s="2">
        <v>9</v>
      </c>
      <c r="I10" s="29">
        <f>AJ55</f>
        <v>3.2666666666666666</v>
      </c>
      <c r="J10" s="2">
        <v>9</v>
      </c>
      <c r="K10" s="10">
        <f t="shared" si="0"/>
        <v>1320.1333333333334</v>
      </c>
      <c r="L10" s="35">
        <f t="shared" si="4"/>
        <v>4.1006666666666671</v>
      </c>
      <c r="M10" s="5"/>
      <c r="N10" s="5"/>
      <c r="O10" s="5"/>
      <c r="P10" s="5"/>
      <c r="Q10" s="45">
        <f t="shared" si="1"/>
        <v>4.1224444444444446</v>
      </c>
      <c r="R10" s="46"/>
      <c r="S10" s="1">
        <v>9</v>
      </c>
      <c r="T10" s="8">
        <f t="shared" si="2"/>
        <v>1407.1666666666667</v>
      </c>
      <c r="U10" s="8">
        <v>42215</v>
      </c>
      <c r="V10">
        <v>30</v>
      </c>
      <c r="W10" s="8">
        <f t="shared" si="3"/>
        <v>1233.0999999999999</v>
      </c>
      <c r="X10" s="8">
        <v>36993</v>
      </c>
      <c r="Y10">
        <v>30</v>
      </c>
      <c r="Z10" s="8"/>
      <c r="AE10" s="7">
        <v>4</v>
      </c>
      <c r="AF10" s="34">
        <f>AE10+((K10-1500)/(1500-1300))+1</f>
        <v>4.1006666666666671</v>
      </c>
    </row>
    <row r="11" spans="1:32" ht="50" customHeight="1">
      <c r="A11" s="2">
        <v>10</v>
      </c>
      <c r="B11" s="14">
        <v>5</v>
      </c>
      <c r="C11" s="2" t="s">
        <v>20</v>
      </c>
      <c r="D11" s="2"/>
      <c r="E11" s="2" t="s">
        <v>64</v>
      </c>
      <c r="F11" s="2" t="s">
        <v>6</v>
      </c>
      <c r="G11" s="13">
        <v>5</v>
      </c>
      <c r="H11" s="2">
        <v>10</v>
      </c>
      <c r="I11" s="29">
        <f>U88</f>
        <v>3.193548387096774</v>
      </c>
      <c r="J11" s="2">
        <v>10</v>
      </c>
      <c r="K11" s="10">
        <f t="shared" si="0"/>
        <v>1197.3225806451612</v>
      </c>
      <c r="L11" s="35">
        <f t="shared" si="4"/>
        <v>3.6577419354838705</v>
      </c>
      <c r="M11" s="5"/>
      <c r="N11" s="5"/>
      <c r="O11" s="5"/>
      <c r="P11" s="5"/>
      <c r="Q11" s="45">
        <f>(B11+I11+L11)/3</f>
        <v>3.950430107526882</v>
      </c>
      <c r="R11" s="46"/>
      <c r="S11" s="1">
        <v>10</v>
      </c>
      <c r="T11" s="8">
        <f t="shared" si="2"/>
        <v>1288.1290322580646</v>
      </c>
      <c r="U11" s="8">
        <v>39932</v>
      </c>
      <c r="V11">
        <v>31</v>
      </c>
      <c r="W11" s="8">
        <f t="shared" si="3"/>
        <v>1106.516129032258</v>
      </c>
      <c r="X11" s="8">
        <v>34302</v>
      </c>
      <c r="Y11">
        <v>31</v>
      </c>
      <c r="Z11" s="8"/>
      <c r="AE11" s="7">
        <v>3</v>
      </c>
      <c r="AF11" s="34">
        <f>AE11+((K11-1300)/(1300-1000))+1</f>
        <v>3.6577419354838705</v>
      </c>
    </row>
    <row r="12" spans="1:32" ht="50" customHeight="1">
      <c r="A12" s="2">
        <v>11</v>
      </c>
      <c r="B12" s="15">
        <v>4</v>
      </c>
      <c r="C12" s="2" t="s">
        <v>22</v>
      </c>
      <c r="D12" s="2" t="s">
        <v>21</v>
      </c>
      <c r="E12" s="30"/>
      <c r="F12" s="2" t="s">
        <v>7</v>
      </c>
      <c r="G12" s="12">
        <v>4</v>
      </c>
      <c r="H12" s="2">
        <v>11</v>
      </c>
      <c r="I12" s="29">
        <f>X88</f>
        <v>3.3666666666666667</v>
      </c>
      <c r="J12" s="2">
        <v>11</v>
      </c>
      <c r="K12" s="10">
        <f t="shared" si="0"/>
        <v>1082.6896551724137</v>
      </c>
      <c r="L12" s="35">
        <f t="shared" si="4"/>
        <v>3.275632183908046</v>
      </c>
      <c r="M12" s="5"/>
      <c r="N12" s="5"/>
      <c r="O12" s="5"/>
      <c r="P12" s="5"/>
      <c r="Q12" s="45">
        <f t="shared" si="1"/>
        <v>3.5474329501915709</v>
      </c>
      <c r="R12" s="46"/>
      <c r="S12" s="1">
        <v>11</v>
      </c>
      <c r="T12" s="8">
        <f t="shared" si="2"/>
        <v>1242.3103448275863</v>
      </c>
      <c r="U12" s="8">
        <v>36027</v>
      </c>
      <c r="V12">
        <v>29</v>
      </c>
      <c r="W12" s="8">
        <f t="shared" si="3"/>
        <v>923.06896551724139</v>
      </c>
      <c r="X12" s="8">
        <v>26769</v>
      </c>
      <c r="Y12">
        <v>29</v>
      </c>
      <c r="Z12" s="8"/>
      <c r="AE12" s="7">
        <v>3</v>
      </c>
      <c r="AF12" s="34">
        <f>AE12+((K12-1300)/(1300-1000))+1</f>
        <v>3.275632183908046</v>
      </c>
    </row>
    <row r="13" spans="1:32" ht="50" customHeight="1">
      <c r="A13" s="2">
        <v>12</v>
      </c>
      <c r="B13" s="14">
        <v>5</v>
      </c>
      <c r="C13" s="2" t="s">
        <v>23</v>
      </c>
      <c r="D13" s="2" t="s">
        <v>26</v>
      </c>
      <c r="E13" s="2"/>
      <c r="F13" s="2" t="s">
        <v>52</v>
      </c>
      <c r="G13" s="18">
        <v>2</v>
      </c>
      <c r="H13" s="2">
        <v>12</v>
      </c>
      <c r="I13" s="29">
        <f>AA88</f>
        <v>3.0666666666666669</v>
      </c>
      <c r="J13" s="2">
        <v>12</v>
      </c>
      <c r="K13" s="10">
        <f t="shared" si="0"/>
        <v>1253.9677419354839</v>
      </c>
      <c r="L13" s="35">
        <f t="shared" si="4"/>
        <v>3.8465591397849463</v>
      </c>
      <c r="M13" s="5"/>
      <c r="N13" s="5"/>
      <c r="O13" s="5"/>
      <c r="P13" s="5"/>
      <c r="Q13" s="45">
        <f t="shared" si="1"/>
        <v>3.9710752688172044</v>
      </c>
      <c r="R13" s="46"/>
      <c r="S13" s="1">
        <v>12</v>
      </c>
      <c r="T13" s="8">
        <f t="shared" si="2"/>
        <v>1253.9677419354839</v>
      </c>
      <c r="U13" s="36">
        <f>X13</f>
        <v>38873</v>
      </c>
      <c r="V13">
        <v>31</v>
      </c>
      <c r="W13" s="8">
        <f t="shared" si="3"/>
        <v>1253.9677419354839</v>
      </c>
      <c r="X13" s="8">
        <v>38873</v>
      </c>
      <c r="Y13">
        <v>31</v>
      </c>
      <c r="Z13" s="8"/>
      <c r="AE13" s="7">
        <v>3</v>
      </c>
      <c r="AF13" s="34">
        <f>AE13+((K13-1300)/(1300-1000))+1</f>
        <v>3.8465591397849463</v>
      </c>
    </row>
    <row r="14" spans="1:32" ht="50" customHeight="1">
      <c r="A14" s="2">
        <v>1</v>
      </c>
      <c r="B14" s="17">
        <v>2</v>
      </c>
      <c r="C14" s="2" t="s">
        <v>24</v>
      </c>
      <c r="D14" s="2" t="s">
        <v>27</v>
      </c>
      <c r="E14" s="2" t="s">
        <v>62</v>
      </c>
      <c r="F14" s="2" t="s">
        <v>49</v>
      </c>
      <c r="G14" s="19">
        <v>1</v>
      </c>
      <c r="H14" s="2">
        <v>1</v>
      </c>
      <c r="I14" s="29">
        <f>AD88</f>
        <v>3.2</v>
      </c>
      <c r="J14" s="2">
        <v>1</v>
      </c>
      <c r="K14" s="10">
        <f t="shared" si="0"/>
        <v>937.0333333333333</v>
      </c>
      <c r="L14" s="35">
        <f t="shared" si="4"/>
        <v>2.790111111111111</v>
      </c>
      <c r="M14" s="5"/>
      <c r="N14" s="5"/>
      <c r="O14" s="5"/>
      <c r="P14" s="5"/>
      <c r="Q14" s="45">
        <f t="shared" si="1"/>
        <v>2.6633703703703704</v>
      </c>
      <c r="R14" s="46"/>
      <c r="S14" s="1">
        <v>1</v>
      </c>
      <c r="T14" s="8">
        <f t="shared" si="2"/>
        <v>937.0333333333333</v>
      </c>
      <c r="U14" s="31">
        <f>X14</f>
        <v>28111</v>
      </c>
      <c r="V14">
        <v>30</v>
      </c>
      <c r="W14" s="8">
        <f t="shared" si="3"/>
        <v>937.0333333333333</v>
      </c>
      <c r="X14" s="8">
        <v>28111</v>
      </c>
      <c r="Y14">
        <v>30</v>
      </c>
      <c r="Z14" s="8"/>
      <c r="AE14" s="7">
        <v>2</v>
      </c>
      <c r="AF14" s="34">
        <f>AE14+((K14-1000)/(1000-700))+1</f>
        <v>2.790111111111111</v>
      </c>
    </row>
    <row r="15" spans="1:32" ht="50" customHeight="1">
      <c r="A15" s="2">
        <v>2</v>
      </c>
      <c r="B15" s="15">
        <v>4</v>
      </c>
      <c r="C15" s="2" t="s">
        <v>25</v>
      </c>
      <c r="D15" s="2" t="s">
        <v>28</v>
      </c>
      <c r="E15" s="2" t="s">
        <v>63</v>
      </c>
      <c r="F15" s="2" t="s">
        <v>50</v>
      </c>
      <c r="G15" s="13">
        <v>5</v>
      </c>
      <c r="H15" s="2">
        <v>2</v>
      </c>
      <c r="I15" s="29">
        <f>AG88</f>
        <v>3.2142857142857144</v>
      </c>
      <c r="J15" s="2">
        <v>2</v>
      </c>
      <c r="K15" s="10">
        <f t="shared" si="0"/>
        <v>1743.8214285714287</v>
      </c>
      <c r="L15" s="35">
        <f t="shared" si="4"/>
        <v>5</v>
      </c>
      <c r="M15" s="5"/>
      <c r="N15" s="5"/>
      <c r="O15" s="5"/>
      <c r="P15" s="5"/>
      <c r="Q15" s="45">
        <f t="shared" si="1"/>
        <v>4.0714285714285721</v>
      </c>
      <c r="R15" s="46"/>
      <c r="S15" s="1">
        <v>2</v>
      </c>
      <c r="T15" s="8">
        <f t="shared" si="2"/>
        <v>1743.8214285714287</v>
      </c>
      <c r="U15" s="31">
        <f>X15</f>
        <v>48827</v>
      </c>
      <c r="V15">
        <v>28</v>
      </c>
      <c r="W15" s="8">
        <f t="shared" si="3"/>
        <v>1743.8214285714287</v>
      </c>
      <c r="X15" s="8">
        <v>48827</v>
      </c>
      <c r="Y15">
        <v>28</v>
      </c>
      <c r="Z15" s="8"/>
      <c r="AE15" s="7">
        <v>5</v>
      </c>
      <c r="AF15" s="34">
        <v>5</v>
      </c>
    </row>
    <row r="16" spans="1:32" ht="50" customHeight="1">
      <c r="A16" s="2">
        <v>3</v>
      </c>
      <c r="B16" s="3">
        <v>3</v>
      </c>
      <c r="C16" s="2" t="s">
        <v>29</v>
      </c>
      <c r="D16" s="2"/>
      <c r="E16" s="2"/>
      <c r="F16" s="2" t="s">
        <v>51</v>
      </c>
      <c r="G16" s="4">
        <v>3</v>
      </c>
      <c r="H16" s="2">
        <v>3</v>
      </c>
      <c r="I16" s="29">
        <f>AJ88</f>
        <v>3.032258064516129</v>
      </c>
      <c r="J16" s="2">
        <v>3</v>
      </c>
      <c r="K16" s="10">
        <f t="shared" si="0"/>
        <v>1032.7096774193549</v>
      </c>
      <c r="L16" s="35">
        <f t="shared" si="4"/>
        <v>3.1090322580645164</v>
      </c>
      <c r="M16" s="5"/>
      <c r="N16" s="5"/>
      <c r="O16" s="5"/>
      <c r="P16" s="5"/>
      <c r="Q16" s="45">
        <f t="shared" si="1"/>
        <v>3.0470967741935482</v>
      </c>
      <c r="R16" s="46"/>
      <c r="S16" s="1">
        <v>3</v>
      </c>
      <c r="T16" s="8">
        <f t="shared" si="2"/>
        <v>1032.7096774193549</v>
      </c>
      <c r="U16" s="31">
        <f>X16</f>
        <v>32014</v>
      </c>
      <c r="V16">
        <v>31</v>
      </c>
      <c r="W16" s="8">
        <f t="shared" si="3"/>
        <v>1032.7096774193549</v>
      </c>
      <c r="X16" s="8">
        <v>32014</v>
      </c>
      <c r="Y16">
        <v>31</v>
      </c>
      <c r="Z16" s="8"/>
      <c r="AE16" s="7">
        <v>3</v>
      </c>
      <c r="AF16" s="34">
        <f>AE16+((K16-1300)/(1300-1000))+1</f>
        <v>3.1090322580645164</v>
      </c>
    </row>
    <row r="17" spans="1:36" ht="30" customHeight="1">
      <c r="A17" s="1"/>
      <c r="L17" s="11"/>
      <c r="S17" s="1" t="s">
        <v>42</v>
      </c>
      <c r="T17" s="8">
        <f>U17/V17</f>
        <v>1272.4419889502763</v>
      </c>
      <c r="U17" s="9">
        <f>SUM(U5:U16)</f>
        <v>460624</v>
      </c>
      <c r="V17">
        <f>SUM(V5:V16)</f>
        <v>362</v>
      </c>
      <c r="W17" s="8">
        <f>X17/Y17</f>
        <v>1222.9060773480662</v>
      </c>
      <c r="X17" s="9">
        <f>SUM(X5:X16)</f>
        <v>442692</v>
      </c>
      <c r="Y17">
        <f>SUM(Y5:Y16)</f>
        <v>362</v>
      </c>
    </row>
    <row r="22" spans="1:36" ht="21" thickBot="1"/>
    <row r="23" spans="1:36" ht="21" thickTop="1">
      <c r="A23" s="55" t="s">
        <v>78</v>
      </c>
      <c r="B23" s="56"/>
      <c r="C23" s="56"/>
      <c r="D23" s="56"/>
      <c r="E23" s="56"/>
      <c r="F23" s="56"/>
      <c r="G23" s="56"/>
      <c r="H23" s="56"/>
      <c r="I23" s="56"/>
      <c r="J23" s="56"/>
      <c r="K23" s="56"/>
      <c r="L23" s="56"/>
      <c r="M23" s="56"/>
      <c r="N23" s="56"/>
      <c r="O23" s="56"/>
      <c r="P23" s="56"/>
      <c r="Q23" s="57"/>
      <c r="S23" s="52">
        <v>2025.4</v>
      </c>
      <c r="T23" s="53"/>
      <c r="U23" s="54"/>
      <c r="V23" s="52">
        <v>2025.5</v>
      </c>
      <c r="W23" s="53"/>
      <c r="X23" s="54"/>
      <c r="Y23" s="52">
        <v>2025.6</v>
      </c>
      <c r="Z23" s="53"/>
      <c r="AA23" s="54"/>
      <c r="AB23" s="52">
        <v>2025.7</v>
      </c>
      <c r="AC23" s="53"/>
      <c r="AD23" s="54"/>
      <c r="AE23" s="52">
        <v>2025.8</v>
      </c>
      <c r="AF23" s="53"/>
      <c r="AG23" s="54"/>
      <c r="AH23" s="52">
        <v>2025.9</v>
      </c>
      <c r="AI23" s="53"/>
      <c r="AJ23" s="54"/>
    </row>
    <row r="24" spans="1:36">
      <c r="A24" s="58"/>
      <c r="B24" s="59"/>
      <c r="C24" s="59"/>
      <c r="D24" s="59"/>
      <c r="E24" s="59"/>
      <c r="F24" s="59"/>
      <c r="G24" s="59"/>
      <c r="H24" s="59"/>
      <c r="I24" s="59"/>
      <c r="J24" s="59"/>
      <c r="K24" s="59"/>
      <c r="L24" s="59"/>
      <c r="M24" s="59"/>
      <c r="N24" s="59"/>
      <c r="O24" s="59"/>
      <c r="P24" s="59"/>
      <c r="Q24" s="60"/>
      <c r="S24" s="21">
        <v>1</v>
      </c>
      <c r="T24" s="1" t="s">
        <v>45</v>
      </c>
      <c r="U24" s="22">
        <v>2</v>
      </c>
      <c r="V24" s="21">
        <v>1</v>
      </c>
      <c r="W24" s="1" t="s">
        <v>4</v>
      </c>
      <c r="X24" s="22">
        <v>3</v>
      </c>
      <c r="Y24" s="21">
        <v>1</v>
      </c>
      <c r="Z24" s="24" t="s">
        <v>47</v>
      </c>
      <c r="AA24" s="22">
        <v>4</v>
      </c>
      <c r="AB24" s="21">
        <v>1</v>
      </c>
      <c r="AC24" s="1" t="s">
        <v>45</v>
      </c>
      <c r="AD24" s="22">
        <v>2</v>
      </c>
      <c r="AE24" s="21">
        <v>1</v>
      </c>
      <c r="AF24" s="1" t="s">
        <v>5</v>
      </c>
      <c r="AG24" s="22">
        <v>4</v>
      </c>
      <c r="AH24" s="21">
        <v>1</v>
      </c>
      <c r="AI24" s="1" t="s">
        <v>37</v>
      </c>
      <c r="AJ24" s="22">
        <v>2</v>
      </c>
    </row>
    <row r="25" spans="1:36">
      <c r="A25" s="58"/>
      <c r="B25" s="59"/>
      <c r="C25" s="59"/>
      <c r="D25" s="59"/>
      <c r="E25" s="59"/>
      <c r="F25" s="59"/>
      <c r="G25" s="59"/>
      <c r="H25" s="59"/>
      <c r="I25" s="59"/>
      <c r="J25" s="59"/>
      <c r="K25" s="59"/>
      <c r="L25" s="59"/>
      <c r="M25" s="59"/>
      <c r="N25" s="59"/>
      <c r="O25" s="59"/>
      <c r="P25" s="59"/>
      <c r="Q25" s="60"/>
      <c r="S25" s="21">
        <v>2</v>
      </c>
      <c r="T25" s="1" t="s">
        <v>3</v>
      </c>
      <c r="U25" s="22">
        <v>2</v>
      </c>
      <c r="V25" s="21">
        <v>2</v>
      </c>
      <c r="W25" s="1" t="s">
        <v>5</v>
      </c>
      <c r="X25" s="22">
        <v>4</v>
      </c>
      <c r="Y25" s="21">
        <v>2</v>
      </c>
      <c r="Z25" s="1" t="s">
        <v>37</v>
      </c>
      <c r="AA25" s="22">
        <v>2</v>
      </c>
      <c r="AB25" s="21">
        <v>2</v>
      </c>
      <c r="AC25" s="1" t="s">
        <v>3</v>
      </c>
      <c r="AD25" s="22">
        <v>2</v>
      </c>
      <c r="AE25" s="21">
        <v>2</v>
      </c>
      <c r="AF25" s="23" t="s">
        <v>6</v>
      </c>
      <c r="AG25" s="22">
        <v>5</v>
      </c>
      <c r="AH25" s="21">
        <v>2</v>
      </c>
      <c r="AI25" s="1" t="s">
        <v>44</v>
      </c>
      <c r="AJ25" s="22">
        <v>2</v>
      </c>
    </row>
    <row r="26" spans="1:36">
      <c r="A26" s="58"/>
      <c r="B26" s="59"/>
      <c r="C26" s="59"/>
      <c r="D26" s="59"/>
      <c r="E26" s="59"/>
      <c r="F26" s="59"/>
      <c r="G26" s="59"/>
      <c r="H26" s="59"/>
      <c r="I26" s="59"/>
      <c r="J26" s="59"/>
      <c r="K26" s="59"/>
      <c r="L26" s="59"/>
      <c r="M26" s="59"/>
      <c r="N26" s="59"/>
      <c r="O26" s="59"/>
      <c r="P26" s="59"/>
      <c r="Q26" s="60"/>
      <c r="S26" s="21">
        <v>3</v>
      </c>
      <c r="T26" s="1" t="s">
        <v>4</v>
      </c>
      <c r="U26" s="22">
        <v>3</v>
      </c>
      <c r="V26" s="21">
        <v>3</v>
      </c>
      <c r="W26" s="23" t="s">
        <v>6</v>
      </c>
      <c r="X26" s="22">
        <v>5</v>
      </c>
      <c r="Y26" s="21">
        <v>3</v>
      </c>
      <c r="Z26" s="1" t="s">
        <v>44</v>
      </c>
      <c r="AA26" s="22">
        <v>2</v>
      </c>
      <c r="AB26" s="21">
        <v>3</v>
      </c>
      <c r="AC26" s="1" t="s">
        <v>4</v>
      </c>
      <c r="AD26" s="22">
        <v>3</v>
      </c>
      <c r="AE26" s="21">
        <v>3</v>
      </c>
      <c r="AF26" s="24" t="s">
        <v>47</v>
      </c>
      <c r="AG26" s="22">
        <v>4</v>
      </c>
      <c r="AH26" s="21">
        <v>3</v>
      </c>
      <c r="AI26" s="1" t="s">
        <v>46</v>
      </c>
      <c r="AJ26" s="22">
        <v>2</v>
      </c>
    </row>
    <row r="27" spans="1:36">
      <c r="A27" s="58"/>
      <c r="B27" s="59"/>
      <c r="C27" s="59"/>
      <c r="D27" s="59"/>
      <c r="E27" s="59"/>
      <c r="F27" s="59"/>
      <c r="G27" s="59"/>
      <c r="H27" s="59"/>
      <c r="I27" s="59"/>
      <c r="J27" s="59"/>
      <c r="K27" s="59"/>
      <c r="L27" s="59"/>
      <c r="M27" s="59"/>
      <c r="N27" s="59"/>
      <c r="O27" s="59"/>
      <c r="P27" s="59"/>
      <c r="Q27" s="60"/>
      <c r="S27" s="21">
        <v>4</v>
      </c>
      <c r="T27" s="1" t="s">
        <v>5</v>
      </c>
      <c r="U27" s="22">
        <v>4</v>
      </c>
      <c r="V27" s="21">
        <v>4</v>
      </c>
      <c r="W27" s="24" t="s">
        <v>47</v>
      </c>
      <c r="X27" s="22">
        <v>5</v>
      </c>
      <c r="Y27" s="21">
        <v>4</v>
      </c>
      <c r="Z27" s="1" t="s">
        <v>46</v>
      </c>
      <c r="AA27" s="22">
        <v>2</v>
      </c>
      <c r="AB27" s="21">
        <v>4</v>
      </c>
      <c r="AC27" s="1" t="s">
        <v>5</v>
      </c>
      <c r="AD27" s="22">
        <v>4</v>
      </c>
      <c r="AE27" s="21">
        <v>4</v>
      </c>
      <c r="AF27" s="1" t="s">
        <v>37</v>
      </c>
      <c r="AG27" s="22">
        <v>2</v>
      </c>
      <c r="AH27" s="21">
        <v>4</v>
      </c>
      <c r="AI27" s="1" t="s">
        <v>4</v>
      </c>
      <c r="AJ27" s="22">
        <v>3</v>
      </c>
    </row>
    <row r="28" spans="1:36" ht="21" thickBot="1">
      <c r="A28" s="61"/>
      <c r="B28" s="62"/>
      <c r="C28" s="62"/>
      <c r="D28" s="62"/>
      <c r="E28" s="62"/>
      <c r="F28" s="62"/>
      <c r="G28" s="62"/>
      <c r="H28" s="62"/>
      <c r="I28" s="62"/>
      <c r="J28" s="62"/>
      <c r="K28" s="62"/>
      <c r="L28" s="62"/>
      <c r="M28" s="62"/>
      <c r="N28" s="62"/>
      <c r="O28" s="62"/>
      <c r="P28" s="62"/>
      <c r="Q28" s="63"/>
      <c r="S28" s="21">
        <v>5</v>
      </c>
      <c r="T28" s="23" t="s">
        <v>6</v>
      </c>
      <c r="U28" s="22">
        <v>5</v>
      </c>
      <c r="V28" s="21">
        <v>5</v>
      </c>
      <c r="W28" s="24" t="s">
        <v>37</v>
      </c>
      <c r="X28" s="22">
        <v>5</v>
      </c>
      <c r="Y28" s="21">
        <v>5</v>
      </c>
      <c r="Z28" s="1" t="s">
        <v>4</v>
      </c>
      <c r="AA28" s="22">
        <v>3</v>
      </c>
      <c r="AB28" s="21">
        <v>5</v>
      </c>
      <c r="AC28" s="23" t="s">
        <v>6</v>
      </c>
      <c r="AD28" s="22">
        <v>5</v>
      </c>
      <c r="AE28" s="21">
        <v>5</v>
      </c>
      <c r="AF28" s="1" t="s">
        <v>44</v>
      </c>
      <c r="AG28" s="22">
        <v>2</v>
      </c>
      <c r="AH28" s="21">
        <v>5</v>
      </c>
      <c r="AI28" s="1" t="s">
        <v>5</v>
      </c>
      <c r="AJ28" s="22">
        <v>4</v>
      </c>
    </row>
    <row r="29" spans="1:36" ht="35" thickTop="1" thickBot="1">
      <c r="A29" s="40"/>
      <c r="B29" s="40"/>
      <c r="C29" s="40"/>
      <c r="D29" s="40"/>
      <c r="E29" s="40"/>
      <c r="F29" s="40"/>
      <c r="G29" s="40"/>
      <c r="H29" s="40"/>
      <c r="I29" s="40"/>
      <c r="J29" s="40"/>
      <c r="K29" s="40"/>
      <c r="L29" s="40"/>
      <c r="M29" s="40"/>
      <c r="N29" s="40"/>
      <c r="O29" s="40"/>
      <c r="P29" s="40"/>
      <c r="Q29" s="40"/>
      <c r="S29" s="21">
        <v>6</v>
      </c>
      <c r="T29" s="24" t="s">
        <v>47</v>
      </c>
      <c r="U29" s="22">
        <v>4</v>
      </c>
      <c r="V29" s="21">
        <v>6</v>
      </c>
      <c r="W29" s="24" t="s">
        <v>44</v>
      </c>
      <c r="X29" s="22">
        <v>3</v>
      </c>
      <c r="Y29" s="21">
        <v>6</v>
      </c>
      <c r="Z29" s="1" t="s">
        <v>5</v>
      </c>
      <c r="AA29" s="22">
        <v>4</v>
      </c>
      <c r="AB29" s="21">
        <v>6</v>
      </c>
      <c r="AC29" s="24" t="s">
        <v>47</v>
      </c>
      <c r="AD29" s="22">
        <v>4</v>
      </c>
      <c r="AE29" s="21">
        <v>6</v>
      </c>
      <c r="AF29" s="1" t="s">
        <v>46</v>
      </c>
      <c r="AG29" s="22">
        <v>2</v>
      </c>
      <c r="AH29" s="21">
        <v>6</v>
      </c>
      <c r="AI29" s="23" t="s">
        <v>6</v>
      </c>
      <c r="AJ29" s="22">
        <v>5</v>
      </c>
    </row>
    <row r="30" spans="1:36" ht="21" thickTop="1">
      <c r="A30" s="87" t="s">
        <v>79</v>
      </c>
      <c r="B30" s="88"/>
      <c r="C30" s="85" t="s">
        <v>74</v>
      </c>
      <c r="D30" s="85"/>
      <c r="E30" s="85"/>
      <c r="F30" s="85"/>
      <c r="G30" s="85"/>
      <c r="H30" s="85"/>
      <c r="I30" s="85"/>
      <c r="J30" s="85"/>
      <c r="K30" s="85"/>
      <c r="L30" s="85"/>
      <c r="M30" s="85"/>
      <c r="N30" s="85"/>
      <c r="O30" s="85"/>
      <c r="P30" s="85"/>
      <c r="Q30" s="86"/>
      <c r="S30" s="21">
        <v>7</v>
      </c>
      <c r="T30" s="1" t="s">
        <v>37</v>
      </c>
      <c r="U30" s="22">
        <v>2</v>
      </c>
      <c r="V30" s="21">
        <v>7</v>
      </c>
      <c r="W30" s="1" t="s">
        <v>46</v>
      </c>
      <c r="X30" s="22">
        <v>1</v>
      </c>
      <c r="Y30" s="21">
        <v>7</v>
      </c>
      <c r="Z30" s="23" t="s">
        <v>6</v>
      </c>
      <c r="AA30" s="22">
        <v>5</v>
      </c>
      <c r="AB30" s="21">
        <v>7</v>
      </c>
      <c r="AC30" s="1" t="s">
        <v>37</v>
      </c>
      <c r="AD30" s="22">
        <v>2</v>
      </c>
      <c r="AE30" s="21">
        <v>7</v>
      </c>
      <c r="AF30" s="1" t="s">
        <v>4</v>
      </c>
      <c r="AG30" s="22">
        <v>3</v>
      </c>
      <c r="AH30" s="21">
        <v>7</v>
      </c>
      <c r="AI30" s="24" t="s">
        <v>47</v>
      </c>
      <c r="AJ30" s="22">
        <v>4</v>
      </c>
    </row>
    <row r="31" spans="1:36">
      <c r="A31" s="77"/>
      <c r="B31" s="78"/>
      <c r="C31" s="81"/>
      <c r="D31" s="81"/>
      <c r="E31" s="81"/>
      <c r="F31" s="81"/>
      <c r="G31" s="81"/>
      <c r="H31" s="81"/>
      <c r="I31" s="81"/>
      <c r="J31" s="81"/>
      <c r="K31" s="81"/>
      <c r="L31" s="81"/>
      <c r="M31" s="81"/>
      <c r="N31" s="81"/>
      <c r="O31" s="81"/>
      <c r="P31" s="81"/>
      <c r="Q31" s="82"/>
      <c r="S31" s="21">
        <v>8</v>
      </c>
      <c r="T31" s="1" t="s">
        <v>44</v>
      </c>
      <c r="U31" s="22">
        <v>2</v>
      </c>
      <c r="V31" s="21">
        <v>8</v>
      </c>
      <c r="W31" s="1" t="s">
        <v>4</v>
      </c>
      <c r="X31" s="22">
        <v>3</v>
      </c>
      <c r="Y31" s="21">
        <v>8</v>
      </c>
      <c r="Z31" s="24" t="s">
        <v>47</v>
      </c>
      <c r="AA31" s="22">
        <v>4</v>
      </c>
      <c r="AB31" s="21">
        <v>8</v>
      </c>
      <c r="AC31" s="1" t="s">
        <v>44</v>
      </c>
      <c r="AD31" s="22">
        <v>2</v>
      </c>
      <c r="AE31" s="21">
        <v>8</v>
      </c>
      <c r="AF31" s="1" t="s">
        <v>5</v>
      </c>
      <c r="AG31" s="22">
        <v>4</v>
      </c>
      <c r="AH31" s="21">
        <v>8</v>
      </c>
      <c r="AI31" s="1" t="s">
        <v>37</v>
      </c>
      <c r="AJ31" s="22">
        <v>2</v>
      </c>
    </row>
    <row r="32" spans="1:36">
      <c r="A32" s="77"/>
      <c r="B32" s="78"/>
      <c r="C32" s="81" t="s">
        <v>75</v>
      </c>
      <c r="D32" s="81"/>
      <c r="E32" s="81"/>
      <c r="F32" s="81"/>
      <c r="G32" s="81"/>
      <c r="H32" s="81"/>
      <c r="I32" s="81"/>
      <c r="J32" s="81"/>
      <c r="K32" s="81"/>
      <c r="L32" s="81"/>
      <c r="M32" s="81"/>
      <c r="N32" s="81"/>
      <c r="O32" s="81"/>
      <c r="P32" s="81"/>
      <c r="Q32" s="82"/>
      <c r="S32" s="21">
        <v>9</v>
      </c>
      <c r="T32" s="1" t="s">
        <v>46</v>
      </c>
      <c r="U32" s="22">
        <v>2</v>
      </c>
      <c r="V32" s="21">
        <v>9</v>
      </c>
      <c r="W32" s="1" t="s">
        <v>5</v>
      </c>
      <c r="X32" s="22">
        <v>4</v>
      </c>
      <c r="Y32" s="21">
        <v>9</v>
      </c>
      <c r="Z32" s="1" t="s">
        <v>37</v>
      </c>
      <c r="AA32" s="22">
        <v>2</v>
      </c>
      <c r="AB32" s="21">
        <v>9</v>
      </c>
      <c r="AC32" s="1" t="s">
        <v>46</v>
      </c>
      <c r="AD32" s="22">
        <v>2</v>
      </c>
      <c r="AE32" s="21">
        <v>9</v>
      </c>
      <c r="AF32" s="23" t="s">
        <v>6</v>
      </c>
      <c r="AG32" s="22">
        <v>5</v>
      </c>
      <c r="AH32" s="21">
        <v>9</v>
      </c>
      <c r="AI32" s="1" t="s">
        <v>44</v>
      </c>
      <c r="AJ32" s="22">
        <v>2</v>
      </c>
    </row>
    <row r="33" spans="1:36">
      <c r="A33" s="77"/>
      <c r="B33" s="78"/>
      <c r="C33" s="81"/>
      <c r="D33" s="81"/>
      <c r="E33" s="81"/>
      <c r="F33" s="81"/>
      <c r="G33" s="81"/>
      <c r="H33" s="81"/>
      <c r="I33" s="81"/>
      <c r="J33" s="81"/>
      <c r="K33" s="81"/>
      <c r="L33" s="81"/>
      <c r="M33" s="81"/>
      <c r="N33" s="81"/>
      <c r="O33" s="81"/>
      <c r="P33" s="81"/>
      <c r="Q33" s="82"/>
      <c r="S33" s="21">
        <v>10</v>
      </c>
      <c r="T33" s="1" t="s">
        <v>4</v>
      </c>
      <c r="U33" s="22">
        <v>3</v>
      </c>
      <c r="V33" s="21">
        <v>10</v>
      </c>
      <c r="W33" s="23" t="s">
        <v>6</v>
      </c>
      <c r="X33" s="22">
        <v>5</v>
      </c>
      <c r="Y33" s="21">
        <v>10</v>
      </c>
      <c r="Z33" s="1" t="s">
        <v>44</v>
      </c>
      <c r="AA33" s="22">
        <v>2</v>
      </c>
      <c r="AB33" s="21">
        <v>10</v>
      </c>
      <c r="AC33" s="1" t="s">
        <v>4</v>
      </c>
      <c r="AD33" s="22">
        <v>3</v>
      </c>
      <c r="AE33" s="21">
        <v>10</v>
      </c>
      <c r="AF33" s="24" t="s">
        <v>47</v>
      </c>
      <c r="AG33" s="22">
        <v>5</v>
      </c>
      <c r="AH33" s="21">
        <v>10</v>
      </c>
      <c r="AI33" s="1" t="s">
        <v>46</v>
      </c>
      <c r="AJ33" s="22">
        <v>2</v>
      </c>
    </row>
    <row r="34" spans="1:36">
      <c r="A34" s="77"/>
      <c r="B34" s="78"/>
      <c r="C34" s="81" t="s">
        <v>76</v>
      </c>
      <c r="D34" s="81"/>
      <c r="E34" s="81"/>
      <c r="F34" s="81"/>
      <c r="G34" s="81"/>
      <c r="H34" s="81"/>
      <c r="I34" s="81"/>
      <c r="J34" s="81"/>
      <c r="K34" s="81"/>
      <c r="L34" s="81"/>
      <c r="M34" s="81"/>
      <c r="N34" s="81"/>
      <c r="O34" s="81"/>
      <c r="P34" s="81"/>
      <c r="Q34" s="82"/>
      <c r="S34" s="21">
        <v>11</v>
      </c>
      <c r="T34" s="1" t="s">
        <v>5</v>
      </c>
      <c r="U34" s="22">
        <v>4</v>
      </c>
      <c r="V34" s="21">
        <v>11</v>
      </c>
      <c r="W34" s="24" t="s">
        <v>47</v>
      </c>
      <c r="X34" s="22">
        <v>4</v>
      </c>
      <c r="Y34" s="21">
        <v>11</v>
      </c>
      <c r="Z34" s="1" t="s">
        <v>46</v>
      </c>
      <c r="AA34" s="22">
        <v>2</v>
      </c>
      <c r="AB34" s="21">
        <v>11</v>
      </c>
      <c r="AC34" s="1" t="s">
        <v>5</v>
      </c>
      <c r="AD34" s="22">
        <v>4</v>
      </c>
      <c r="AE34" s="21">
        <v>11</v>
      </c>
      <c r="AF34" s="24" t="s">
        <v>37</v>
      </c>
      <c r="AG34" s="22">
        <v>4</v>
      </c>
      <c r="AH34" s="21">
        <v>11</v>
      </c>
      <c r="AI34" s="1" t="s">
        <v>4</v>
      </c>
      <c r="AJ34" s="22">
        <v>3</v>
      </c>
    </row>
    <row r="35" spans="1:36">
      <c r="A35" s="77"/>
      <c r="B35" s="78"/>
      <c r="C35" s="81"/>
      <c r="D35" s="81"/>
      <c r="E35" s="81"/>
      <c r="F35" s="81"/>
      <c r="G35" s="81"/>
      <c r="H35" s="81"/>
      <c r="I35" s="81"/>
      <c r="J35" s="81"/>
      <c r="K35" s="81"/>
      <c r="L35" s="81"/>
      <c r="M35" s="81"/>
      <c r="N35" s="81"/>
      <c r="O35" s="81"/>
      <c r="P35" s="81"/>
      <c r="Q35" s="82"/>
      <c r="S35" s="21">
        <v>12</v>
      </c>
      <c r="T35" s="23" t="s">
        <v>6</v>
      </c>
      <c r="U35" s="22">
        <v>5</v>
      </c>
      <c r="V35" s="21">
        <v>12</v>
      </c>
      <c r="W35" s="1" t="s">
        <v>37</v>
      </c>
      <c r="X35" s="22">
        <v>2</v>
      </c>
      <c r="Y35" s="21">
        <v>12</v>
      </c>
      <c r="Z35" s="1" t="s">
        <v>4</v>
      </c>
      <c r="AA35" s="22">
        <v>3</v>
      </c>
      <c r="AB35" s="21">
        <v>12</v>
      </c>
      <c r="AC35" s="23" t="s">
        <v>6</v>
      </c>
      <c r="AD35" s="22">
        <v>5</v>
      </c>
      <c r="AE35" s="21">
        <v>12</v>
      </c>
      <c r="AF35" s="1" t="s">
        <v>44</v>
      </c>
      <c r="AG35" s="22">
        <v>2</v>
      </c>
      <c r="AH35" s="21">
        <v>12</v>
      </c>
      <c r="AI35" s="1" t="s">
        <v>5</v>
      </c>
      <c r="AJ35" s="22">
        <v>4</v>
      </c>
    </row>
    <row r="36" spans="1:36">
      <c r="A36" s="77"/>
      <c r="B36" s="78"/>
      <c r="C36" s="81" t="s">
        <v>83</v>
      </c>
      <c r="D36" s="81"/>
      <c r="E36" s="81"/>
      <c r="F36" s="81"/>
      <c r="G36" s="81"/>
      <c r="H36" s="81"/>
      <c r="I36" s="81"/>
      <c r="J36" s="81"/>
      <c r="K36" s="81"/>
      <c r="L36" s="81"/>
      <c r="M36" s="81"/>
      <c r="N36" s="81"/>
      <c r="O36" s="81"/>
      <c r="P36" s="81"/>
      <c r="Q36" s="82"/>
      <c r="S36" s="21">
        <v>13</v>
      </c>
      <c r="T36" s="24" t="s">
        <v>47</v>
      </c>
      <c r="U36" s="22">
        <v>4</v>
      </c>
      <c r="V36" s="21">
        <v>13</v>
      </c>
      <c r="W36" s="1" t="s">
        <v>44</v>
      </c>
      <c r="X36" s="22">
        <v>2</v>
      </c>
      <c r="Y36" s="21">
        <v>13</v>
      </c>
      <c r="Z36" s="1" t="s">
        <v>5</v>
      </c>
      <c r="AA36" s="22">
        <v>4</v>
      </c>
      <c r="AB36" s="21">
        <v>13</v>
      </c>
      <c r="AC36" s="24" t="s">
        <v>47</v>
      </c>
      <c r="AD36" s="22">
        <v>4</v>
      </c>
      <c r="AE36" s="21">
        <v>13</v>
      </c>
      <c r="AF36" s="1" t="s">
        <v>46</v>
      </c>
      <c r="AG36" s="22">
        <v>2</v>
      </c>
      <c r="AH36" s="21">
        <v>13</v>
      </c>
      <c r="AI36" s="23" t="s">
        <v>6</v>
      </c>
      <c r="AJ36" s="22">
        <v>5</v>
      </c>
    </row>
    <row r="37" spans="1:36">
      <c r="A37" s="77"/>
      <c r="B37" s="78"/>
      <c r="C37" s="81"/>
      <c r="D37" s="81"/>
      <c r="E37" s="81"/>
      <c r="F37" s="81"/>
      <c r="G37" s="81"/>
      <c r="H37" s="81"/>
      <c r="I37" s="81"/>
      <c r="J37" s="81"/>
      <c r="K37" s="81"/>
      <c r="L37" s="81"/>
      <c r="M37" s="81"/>
      <c r="N37" s="81"/>
      <c r="O37" s="81"/>
      <c r="P37" s="81"/>
      <c r="Q37" s="82"/>
      <c r="S37" s="21">
        <v>14</v>
      </c>
      <c r="T37" s="1" t="s">
        <v>37</v>
      </c>
      <c r="U37" s="22">
        <v>2</v>
      </c>
      <c r="V37" s="21">
        <v>14</v>
      </c>
      <c r="W37" s="1" t="s">
        <v>46</v>
      </c>
      <c r="X37" s="22">
        <v>2</v>
      </c>
      <c r="Y37" s="21">
        <v>14</v>
      </c>
      <c r="Z37" s="23" t="s">
        <v>6</v>
      </c>
      <c r="AA37" s="22">
        <v>5</v>
      </c>
      <c r="AB37" s="21">
        <v>14</v>
      </c>
      <c r="AC37" s="1" t="s">
        <v>37</v>
      </c>
      <c r="AD37" s="22">
        <v>2</v>
      </c>
      <c r="AE37" s="21">
        <v>14</v>
      </c>
      <c r="AF37" s="1" t="s">
        <v>4</v>
      </c>
      <c r="AG37" s="22">
        <v>3</v>
      </c>
      <c r="AH37" s="21">
        <v>14</v>
      </c>
      <c r="AI37" s="24" t="s">
        <v>47</v>
      </c>
      <c r="AJ37" s="22">
        <v>5</v>
      </c>
    </row>
    <row r="38" spans="1:36">
      <c r="A38" s="77" t="s">
        <v>80</v>
      </c>
      <c r="B38" s="78"/>
      <c r="C38" s="81" t="s">
        <v>82</v>
      </c>
      <c r="D38" s="81"/>
      <c r="E38" s="81"/>
      <c r="F38" s="81"/>
      <c r="G38" s="81"/>
      <c r="H38" s="81"/>
      <c r="I38" s="81"/>
      <c r="J38" s="81"/>
      <c r="K38" s="81"/>
      <c r="L38" s="81"/>
      <c r="M38" s="81"/>
      <c r="N38" s="81"/>
      <c r="O38" s="81"/>
      <c r="P38" s="81"/>
      <c r="Q38" s="82"/>
      <c r="S38" s="21">
        <v>15</v>
      </c>
      <c r="T38" s="1" t="s">
        <v>44</v>
      </c>
      <c r="U38" s="22">
        <v>2</v>
      </c>
      <c r="V38" s="21">
        <v>15</v>
      </c>
      <c r="W38" s="1" t="s">
        <v>4</v>
      </c>
      <c r="X38" s="22">
        <v>3</v>
      </c>
      <c r="Y38" s="21">
        <v>15</v>
      </c>
      <c r="Z38" s="24" t="s">
        <v>47</v>
      </c>
      <c r="AA38" s="22">
        <v>4</v>
      </c>
      <c r="AB38" s="21">
        <v>15</v>
      </c>
      <c r="AC38" s="1" t="s">
        <v>44</v>
      </c>
      <c r="AD38" s="22">
        <v>2</v>
      </c>
      <c r="AE38" s="21">
        <v>15</v>
      </c>
      <c r="AF38" s="1" t="s">
        <v>5</v>
      </c>
      <c r="AG38" s="22">
        <v>4</v>
      </c>
      <c r="AH38" s="21">
        <v>15</v>
      </c>
      <c r="AI38" s="24" t="s">
        <v>37</v>
      </c>
      <c r="AJ38" s="22">
        <v>4</v>
      </c>
    </row>
    <row r="39" spans="1:36">
      <c r="A39" s="77"/>
      <c r="B39" s="78"/>
      <c r="C39" s="81"/>
      <c r="D39" s="81"/>
      <c r="E39" s="81"/>
      <c r="F39" s="81"/>
      <c r="G39" s="81"/>
      <c r="H39" s="81"/>
      <c r="I39" s="81"/>
      <c r="J39" s="81"/>
      <c r="K39" s="81"/>
      <c r="L39" s="81"/>
      <c r="M39" s="81"/>
      <c r="N39" s="81"/>
      <c r="O39" s="81"/>
      <c r="P39" s="81"/>
      <c r="Q39" s="82"/>
      <c r="S39" s="21">
        <v>16</v>
      </c>
      <c r="T39" s="1" t="s">
        <v>46</v>
      </c>
      <c r="U39" s="22">
        <v>2</v>
      </c>
      <c r="V39" s="21">
        <v>16</v>
      </c>
      <c r="W39" s="1" t="s">
        <v>5</v>
      </c>
      <c r="X39" s="22">
        <v>4</v>
      </c>
      <c r="Y39" s="21">
        <v>16</v>
      </c>
      <c r="Z39" s="1" t="s">
        <v>37</v>
      </c>
      <c r="AA39" s="22">
        <v>2</v>
      </c>
      <c r="AB39" s="21">
        <v>16</v>
      </c>
      <c r="AC39" s="1" t="s">
        <v>46</v>
      </c>
      <c r="AD39" s="22">
        <v>2</v>
      </c>
      <c r="AE39" s="21">
        <v>16</v>
      </c>
      <c r="AF39" s="23" t="s">
        <v>6</v>
      </c>
      <c r="AG39" s="22">
        <v>5</v>
      </c>
      <c r="AH39" s="21">
        <v>16</v>
      </c>
      <c r="AI39" s="1" t="s">
        <v>44</v>
      </c>
      <c r="AJ39" s="22">
        <v>2</v>
      </c>
    </row>
    <row r="40" spans="1:36">
      <c r="A40" s="77"/>
      <c r="B40" s="78"/>
      <c r="C40" s="81" t="s">
        <v>81</v>
      </c>
      <c r="D40" s="81"/>
      <c r="E40" s="81"/>
      <c r="F40" s="81"/>
      <c r="G40" s="81"/>
      <c r="H40" s="81"/>
      <c r="I40" s="81"/>
      <c r="J40" s="81"/>
      <c r="K40" s="81"/>
      <c r="L40" s="81"/>
      <c r="M40" s="81"/>
      <c r="N40" s="81"/>
      <c r="O40" s="81"/>
      <c r="P40" s="81"/>
      <c r="Q40" s="82"/>
      <c r="S40" s="21">
        <v>17</v>
      </c>
      <c r="T40" s="1" t="s">
        <v>4</v>
      </c>
      <c r="U40" s="22">
        <v>3</v>
      </c>
      <c r="V40" s="21">
        <v>17</v>
      </c>
      <c r="W40" s="23" t="s">
        <v>6</v>
      </c>
      <c r="X40" s="22">
        <v>5</v>
      </c>
      <c r="Y40" s="21">
        <v>17</v>
      </c>
      <c r="Z40" s="1" t="s">
        <v>44</v>
      </c>
      <c r="AA40" s="22">
        <v>2</v>
      </c>
      <c r="AB40" s="21">
        <v>17</v>
      </c>
      <c r="AC40" s="1" t="s">
        <v>4</v>
      </c>
      <c r="AD40" s="22">
        <v>3</v>
      </c>
      <c r="AE40" s="21">
        <v>17</v>
      </c>
      <c r="AF40" s="24" t="s">
        <v>47</v>
      </c>
      <c r="AG40" s="22">
        <v>4</v>
      </c>
      <c r="AH40" s="21">
        <v>17</v>
      </c>
      <c r="AI40" s="1" t="s">
        <v>46</v>
      </c>
      <c r="AJ40" s="22">
        <v>2</v>
      </c>
    </row>
    <row r="41" spans="1:36">
      <c r="A41" s="77"/>
      <c r="B41" s="78"/>
      <c r="C41" s="81"/>
      <c r="D41" s="81"/>
      <c r="E41" s="81"/>
      <c r="F41" s="81"/>
      <c r="G41" s="81"/>
      <c r="H41" s="81"/>
      <c r="I41" s="81"/>
      <c r="J41" s="81"/>
      <c r="K41" s="81"/>
      <c r="L41" s="81"/>
      <c r="M41" s="81"/>
      <c r="N41" s="81"/>
      <c r="O41" s="81"/>
      <c r="P41" s="81"/>
      <c r="Q41" s="82"/>
      <c r="S41" s="21">
        <v>18</v>
      </c>
      <c r="T41" s="1" t="s">
        <v>5</v>
      </c>
      <c r="U41" s="22">
        <v>4</v>
      </c>
      <c r="V41" s="21">
        <v>18</v>
      </c>
      <c r="W41" s="24" t="s">
        <v>47</v>
      </c>
      <c r="X41" s="22">
        <v>4</v>
      </c>
      <c r="Y41" s="21">
        <v>18</v>
      </c>
      <c r="Z41" s="1" t="s">
        <v>46</v>
      </c>
      <c r="AA41" s="22">
        <v>2</v>
      </c>
      <c r="AB41" s="21">
        <v>18</v>
      </c>
      <c r="AC41" s="1" t="s">
        <v>5</v>
      </c>
      <c r="AD41" s="22">
        <v>4</v>
      </c>
      <c r="AE41" s="21">
        <v>18</v>
      </c>
      <c r="AF41" s="1" t="s">
        <v>37</v>
      </c>
      <c r="AG41" s="22">
        <v>2</v>
      </c>
      <c r="AH41" s="21">
        <v>18</v>
      </c>
      <c r="AI41" s="1" t="s">
        <v>4</v>
      </c>
      <c r="AJ41" s="22">
        <v>3</v>
      </c>
    </row>
    <row r="42" spans="1:36">
      <c r="A42" s="77"/>
      <c r="B42" s="78"/>
      <c r="C42" s="81" t="s">
        <v>84</v>
      </c>
      <c r="D42" s="81"/>
      <c r="E42" s="81"/>
      <c r="F42" s="81"/>
      <c r="G42" s="81"/>
      <c r="H42" s="81"/>
      <c r="I42" s="81"/>
      <c r="J42" s="81"/>
      <c r="K42" s="81"/>
      <c r="L42" s="81"/>
      <c r="M42" s="81"/>
      <c r="N42" s="81"/>
      <c r="O42" s="81"/>
      <c r="P42" s="81"/>
      <c r="Q42" s="82"/>
      <c r="S42" s="21">
        <v>19</v>
      </c>
      <c r="T42" s="23" t="s">
        <v>6</v>
      </c>
      <c r="U42" s="22">
        <v>5</v>
      </c>
      <c r="V42" s="21">
        <v>19</v>
      </c>
      <c r="W42" s="1" t="s">
        <v>37</v>
      </c>
      <c r="X42" s="22">
        <v>2</v>
      </c>
      <c r="Y42" s="21">
        <v>19</v>
      </c>
      <c r="Z42" s="1" t="s">
        <v>4</v>
      </c>
      <c r="AA42" s="22">
        <v>3</v>
      </c>
      <c r="AB42" s="21">
        <v>19</v>
      </c>
      <c r="AC42" s="23" t="s">
        <v>6</v>
      </c>
      <c r="AD42" s="22">
        <v>5</v>
      </c>
      <c r="AE42" s="21">
        <v>19</v>
      </c>
      <c r="AF42" s="1" t="s">
        <v>44</v>
      </c>
      <c r="AG42" s="22">
        <v>2</v>
      </c>
      <c r="AH42" s="21">
        <v>19</v>
      </c>
      <c r="AI42" s="1" t="s">
        <v>5</v>
      </c>
      <c r="AJ42" s="22">
        <v>4</v>
      </c>
    </row>
    <row r="43" spans="1:36">
      <c r="A43" s="77"/>
      <c r="B43" s="78"/>
      <c r="C43" s="81"/>
      <c r="D43" s="81"/>
      <c r="E43" s="81"/>
      <c r="F43" s="81"/>
      <c r="G43" s="81"/>
      <c r="H43" s="81"/>
      <c r="I43" s="81"/>
      <c r="J43" s="81"/>
      <c r="K43" s="81"/>
      <c r="L43" s="81"/>
      <c r="M43" s="81"/>
      <c r="N43" s="81"/>
      <c r="O43" s="81"/>
      <c r="P43" s="81"/>
      <c r="Q43" s="82"/>
      <c r="S43" s="21">
        <v>20</v>
      </c>
      <c r="T43" s="24" t="s">
        <v>47</v>
      </c>
      <c r="U43" s="22">
        <v>4</v>
      </c>
      <c r="V43" s="21">
        <v>20</v>
      </c>
      <c r="W43" s="1" t="s">
        <v>44</v>
      </c>
      <c r="X43" s="22">
        <v>2</v>
      </c>
      <c r="Y43" s="21">
        <v>20</v>
      </c>
      <c r="Z43" s="1" t="s">
        <v>5</v>
      </c>
      <c r="AA43" s="22">
        <v>4</v>
      </c>
      <c r="AB43" s="21">
        <v>20</v>
      </c>
      <c r="AC43" s="24" t="s">
        <v>47</v>
      </c>
      <c r="AD43" s="22">
        <v>5</v>
      </c>
      <c r="AE43" s="21">
        <v>20</v>
      </c>
      <c r="AF43" s="1" t="s">
        <v>46</v>
      </c>
      <c r="AG43" s="22">
        <v>2</v>
      </c>
      <c r="AH43" s="21">
        <v>20</v>
      </c>
      <c r="AI43" s="23" t="s">
        <v>6</v>
      </c>
      <c r="AJ43" s="22">
        <v>5</v>
      </c>
    </row>
    <row r="44" spans="1:36">
      <c r="A44" s="77"/>
      <c r="B44" s="78"/>
      <c r="C44" s="81" t="s">
        <v>85</v>
      </c>
      <c r="D44" s="81"/>
      <c r="E44" s="81"/>
      <c r="F44" s="81"/>
      <c r="G44" s="81"/>
      <c r="H44" s="81"/>
      <c r="I44" s="81"/>
      <c r="J44" s="81"/>
      <c r="K44" s="81"/>
      <c r="L44" s="81"/>
      <c r="M44" s="81"/>
      <c r="N44" s="81"/>
      <c r="O44" s="81"/>
      <c r="P44" s="81"/>
      <c r="Q44" s="82"/>
      <c r="S44" s="21">
        <v>21</v>
      </c>
      <c r="T44" s="1" t="s">
        <v>37</v>
      </c>
      <c r="U44" s="22">
        <v>2</v>
      </c>
      <c r="V44" s="21">
        <v>21</v>
      </c>
      <c r="W44" s="1" t="s">
        <v>46</v>
      </c>
      <c r="X44" s="22">
        <v>2</v>
      </c>
      <c r="Y44" s="21">
        <v>21</v>
      </c>
      <c r="Z44" s="23" t="s">
        <v>6</v>
      </c>
      <c r="AA44" s="22">
        <v>5</v>
      </c>
      <c r="AB44" s="21">
        <v>21</v>
      </c>
      <c r="AC44" s="24" t="s">
        <v>37</v>
      </c>
      <c r="AD44" s="22">
        <v>4</v>
      </c>
      <c r="AE44" s="21">
        <v>21</v>
      </c>
      <c r="AF44" s="1" t="s">
        <v>4</v>
      </c>
      <c r="AG44" s="22">
        <v>3</v>
      </c>
      <c r="AH44" s="21">
        <v>21</v>
      </c>
      <c r="AI44" s="24" t="s">
        <v>47</v>
      </c>
      <c r="AJ44" s="22">
        <v>4</v>
      </c>
    </row>
    <row r="45" spans="1:36" ht="21" thickBot="1">
      <c r="A45" s="79"/>
      <c r="B45" s="80"/>
      <c r="C45" s="83"/>
      <c r="D45" s="83"/>
      <c r="E45" s="83"/>
      <c r="F45" s="83"/>
      <c r="G45" s="83"/>
      <c r="H45" s="83"/>
      <c r="I45" s="83"/>
      <c r="J45" s="83"/>
      <c r="K45" s="83"/>
      <c r="L45" s="83"/>
      <c r="M45" s="83"/>
      <c r="N45" s="83"/>
      <c r="O45" s="83"/>
      <c r="P45" s="83"/>
      <c r="Q45" s="84"/>
      <c r="S45" s="21">
        <v>22</v>
      </c>
      <c r="T45" s="1" t="s">
        <v>44</v>
      </c>
      <c r="U45" s="22">
        <v>2</v>
      </c>
      <c r="V45" s="21">
        <v>22</v>
      </c>
      <c r="W45" s="1" t="s">
        <v>4</v>
      </c>
      <c r="X45" s="22">
        <v>3</v>
      </c>
      <c r="Y45" s="21">
        <v>22</v>
      </c>
      <c r="Z45" s="24" t="s">
        <v>47</v>
      </c>
      <c r="AA45" s="22">
        <v>4</v>
      </c>
      <c r="AB45" s="21">
        <v>22</v>
      </c>
      <c r="AC45" s="1" t="s">
        <v>44</v>
      </c>
      <c r="AD45" s="22">
        <v>2</v>
      </c>
      <c r="AE45" s="21">
        <v>22</v>
      </c>
      <c r="AF45" s="1" t="s">
        <v>5</v>
      </c>
      <c r="AG45" s="22">
        <v>4</v>
      </c>
      <c r="AH45" s="21">
        <v>22</v>
      </c>
      <c r="AI45" s="1" t="s">
        <v>37</v>
      </c>
      <c r="AJ45" s="22">
        <v>3</v>
      </c>
    </row>
    <row r="46" spans="1:36" ht="21" thickTop="1">
      <c r="S46" s="21">
        <v>23</v>
      </c>
      <c r="T46" s="1" t="s">
        <v>46</v>
      </c>
      <c r="U46" s="22">
        <v>2</v>
      </c>
      <c r="V46" s="21">
        <v>23</v>
      </c>
      <c r="W46" s="1" t="s">
        <v>5</v>
      </c>
      <c r="X46" s="22">
        <v>4</v>
      </c>
      <c r="Y46" s="21">
        <v>23</v>
      </c>
      <c r="Z46" s="1" t="s">
        <v>37</v>
      </c>
      <c r="AA46" s="22">
        <v>2</v>
      </c>
      <c r="AB46" s="21">
        <v>23</v>
      </c>
      <c r="AC46" s="1" t="s">
        <v>46</v>
      </c>
      <c r="AD46" s="22">
        <v>2</v>
      </c>
      <c r="AE46" s="21">
        <v>23</v>
      </c>
      <c r="AF46" s="23" t="s">
        <v>6</v>
      </c>
      <c r="AG46" s="22">
        <v>5</v>
      </c>
      <c r="AH46" s="21">
        <v>23</v>
      </c>
      <c r="AI46" s="24" t="s">
        <v>44</v>
      </c>
      <c r="AJ46" s="22">
        <v>4</v>
      </c>
    </row>
    <row r="47" spans="1:36">
      <c r="S47" s="21">
        <v>24</v>
      </c>
      <c r="T47" s="1" t="s">
        <v>4</v>
      </c>
      <c r="U47" s="22">
        <v>3</v>
      </c>
      <c r="V47" s="21">
        <v>24</v>
      </c>
      <c r="W47" s="23" t="s">
        <v>6</v>
      </c>
      <c r="X47" s="22">
        <v>5</v>
      </c>
      <c r="Y47" s="21">
        <v>24</v>
      </c>
      <c r="Z47" s="1" t="s">
        <v>44</v>
      </c>
      <c r="AA47" s="22">
        <v>2</v>
      </c>
      <c r="AB47" s="21">
        <v>24</v>
      </c>
      <c r="AC47" s="1" t="s">
        <v>4</v>
      </c>
      <c r="AD47" s="22">
        <v>3</v>
      </c>
      <c r="AE47" s="21">
        <v>24</v>
      </c>
      <c r="AF47" s="24" t="s">
        <v>47</v>
      </c>
      <c r="AG47" s="22">
        <v>4</v>
      </c>
      <c r="AH47" s="21">
        <v>24</v>
      </c>
      <c r="AI47" s="1" t="s">
        <v>46</v>
      </c>
      <c r="AJ47" s="22">
        <v>2</v>
      </c>
    </row>
    <row r="48" spans="1:36">
      <c r="S48" s="21">
        <v>25</v>
      </c>
      <c r="T48" s="1" t="s">
        <v>5</v>
      </c>
      <c r="U48" s="22">
        <v>4</v>
      </c>
      <c r="V48" s="21">
        <v>25</v>
      </c>
      <c r="W48" s="24" t="s">
        <v>47</v>
      </c>
      <c r="X48" s="22">
        <v>4</v>
      </c>
      <c r="Y48" s="21">
        <v>25</v>
      </c>
      <c r="Z48" s="1" t="s">
        <v>46</v>
      </c>
      <c r="AA48" s="22">
        <v>2</v>
      </c>
      <c r="AB48" s="21">
        <v>25</v>
      </c>
      <c r="AC48" s="1" t="s">
        <v>5</v>
      </c>
      <c r="AD48" s="22">
        <v>4</v>
      </c>
      <c r="AE48" s="21">
        <v>25</v>
      </c>
      <c r="AF48" s="1" t="s">
        <v>37</v>
      </c>
      <c r="AG48" s="22">
        <v>2</v>
      </c>
      <c r="AH48" s="21">
        <v>25</v>
      </c>
      <c r="AI48" s="1" t="s">
        <v>4</v>
      </c>
      <c r="AJ48" s="22">
        <v>3</v>
      </c>
    </row>
    <row r="49" spans="19:36">
      <c r="S49" s="21">
        <v>26</v>
      </c>
      <c r="T49" s="23" t="s">
        <v>6</v>
      </c>
      <c r="U49" s="22">
        <v>5</v>
      </c>
      <c r="V49" s="21">
        <v>26</v>
      </c>
      <c r="W49" s="1" t="s">
        <v>37</v>
      </c>
      <c r="X49" s="22">
        <v>2</v>
      </c>
      <c r="Y49" s="21">
        <v>26</v>
      </c>
      <c r="Z49" s="1" t="s">
        <v>4</v>
      </c>
      <c r="AA49" s="22">
        <v>3</v>
      </c>
      <c r="AB49" s="21">
        <v>26</v>
      </c>
      <c r="AC49" s="23" t="s">
        <v>6</v>
      </c>
      <c r="AD49" s="22">
        <v>5</v>
      </c>
      <c r="AE49" s="21">
        <v>26</v>
      </c>
      <c r="AF49" s="1" t="s">
        <v>44</v>
      </c>
      <c r="AG49" s="22">
        <v>2</v>
      </c>
      <c r="AH49" s="21">
        <v>26</v>
      </c>
      <c r="AI49" s="1" t="s">
        <v>5</v>
      </c>
      <c r="AJ49" s="22">
        <v>4</v>
      </c>
    </row>
    <row r="50" spans="19:36">
      <c r="S50" s="21">
        <v>27</v>
      </c>
      <c r="T50" s="24" t="s">
        <v>47</v>
      </c>
      <c r="U50" s="22">
        <v>4</v>
      </c>
      <c r="V50" s="21">
        <v>27</v>
      </c>
      <c r="W50" s="1" t="s">
        <v>44</v>
      </c>
      <c r="X50" s="22">
        <v>2</v>
      </c>
      <c r="Y50" s="21">
        <v>27</v>
      </c>
      <c r="Z50" s="1" t="s">
        <v>5</v>
      </c>
      <c r="AA50" s="22">
        <v>4</v>
      </c>
      <c r="AB50" s="21">
        <v>27</v>
      </c>
      <c r="AC50" s="24" t="s">
        <v>47</v>
      </c>
      <c r="AD50" s="22">
        <v>4</v>
      </c>
      <c r="AE50" s="21">
        <v>27</v>
      </c>
      <c r="AF50" s="1" t="s">
        <v>46</v>
      </c>
      <c r="AG50" s="22">
        <v>2</v>
      </c>
      <c r="AH50" s="21">
        <v>27</v>
      </c>
      <c r="AI50" s="23" t="s">
        <v>6</v>
      </c>
      <c r="AJ50" s="22">
        <v>5</v>
      </c>
    </row>
    <row r="51" spans="19:36">
      <c r="S51" s="21">
        <v>28</v>
      </c>
      <c r="T51" s="1" t="s">
        <v>37</v>
      </c>
      <c r="U51" s="22">
        <v>3</v>
      </c>
      <c r="V51" s="21">
        <v>28</v>
      </c>
      <c r="W51" s="1" t="s">
        <v>46</v>
      </c>
      <c r="X51" s="22">
        <v>2</v>
      </c>
      <c r="Y51" s="21">
        <v>28</v>
      </c>
      <c r="Z51" s="23" t="s">
        <v>6</v>
      </c>
      <c r="AA51" s="22">
        <v>5</v>
      </c>
      <c r="AB51" s="21">
        <v>28</v>
      </c>
      <c r="AC51" s="1" t="s">
        <v>37</v>
      </c>
      <c r="AD51" s="22">
        <v>2</v>
      </c>
      <c r="AE51" s="21">
        <v>28</v>
      </c>
      <c r="AF51" s="1" t="s">
        <v>4</v>
      </c>
      <c r="AG51" s="22">
        <v>3</v>
      </c>
      <c r="AH51" s="21">
        <v>28</v>
      </c>
      <c r="AI51" s="24" t="s">
        <v>47</v>
      </c>
      <c r="AJ51" s="22">
        <v>4</v>
      </c>
    </row>
    <row r="52" spans="19:36">
      <c r="S52" s="21">
        <v>29</v>
      </c>
      <c r="T52" s="24" t="s">
        <v>44</v>
      </c>
      <c r="U52" s="22">
        <v>4</v>
      </c>
      <c r="V52" s="21">
        <v>29</v>
      </c>
      <c r="W52" s="1" t="s">
        <v>4</v>
      </c>
      <c r="X52" s="22">
        <v>3</v>
      </c>
      <c r="Y52" s="21">
        <v>29</v>
      </c>
      <c r="Z52" s="24" t="s">
        <v>47</v>
      </c>
      <c r="AA52" s="22">
        <v>4</v>
      </c>
      <c r="AB52" s="21">
        <v>29</v>
      </c>
      <c r="AC52" s="28" t="s">
        <v>44</v>
      </c>
      <c r="AD52" s="22">
        <v>2</v>
      </c>
      <c r="AE52" s="21">
        <v>29</v>
      </c>
      <c r="AF52" s="1" t="s">
        <v>5</v>
      </c>
      <c r="AG52" s="22">
        <v>4</v>
      </c>
      <c r="AH52" s="21">
        <v>29</v>
      </c>
      <c r="AI52" s="1" t="s">
        <v>37</v>
      </c>
      <c r="AJ52" s="22">
        <v>2</v>
      </c>
    </row>
    <row r="53" spans="19:36">
      <c r="S53" s="21">
        <v>30</v>
      </c>
      <c r="T53" s="1" t="s">
        <v>46</v>
      </c>
      <c r="U53" s="22">
        <v>3</v>
      </c>
      <c r="V53" s="21">
        <v>30</v>
      </c>
      <c r="W53" s="1" t="s">
        <v>5</v>
      </c>
      <c r="X53" s="22">
        <v>4</v>
      </c>
      <c r="Y53" s="21">
        <v>30</v>
      </c>
      <c r="Z53" s="1" t="s">
        <v>37</v>
      </c>
      <c r="AA53" s="22">
        <v>2</v>
      </c>
      <c r="AB53" s="21">
        <v>30</v>
      </c>
      <c r="AC53" s="1" t="s">
        <v>46</v>
      </c>
      <c r="AD53" s="22">
        <v>2</v>
      </c>
      <c r="AE53" s="21">
        <v>30</v>
      </c>
      <c r="AF53" s="23" t="s">
        <v>6</v>
      </c>
      <c r="AG53" s="22">
        <v>3</v>
      </c>
      <c r="AH53" s="21">
        <v>30</v>
      </c>
      <c r="AI53" s="1" t="s">
        <v>44</v>
      </c>
      <c r="AJ53" s="22">
        <v>2</v>
      </c>
    </row>
    <row r="54" spans="19:36">
      <c r="S54" s="21"/>
      <c r="U54" s="22"/>
      <c r="V54" s="21">
        <v>31</v>
      </c>
      <c r="W54" s="23" t="s">
        <v>6</v>
      </c>
      <c r="X54" s="22">
        <v>5</v>
      </c>
      <c r="Y54" s="21"/>
      <c r="AA54" s="22"/>
      <c r="AB54" s="21">
        <v>31</v>
      </c>
      <c r="AC54" s="1" t="s">
        <v>48</v>
      </c>
      <c r="AD54" s="22">
        <v>3</v>
      </c>
      <c r="AE54" s="21">
        <v>31</v>
      </c>
      <c r="AF54" s="24" t="s">
        <v>47</v>
      </c>
      <c r="AG54" s="22">
        <v>4</v>
      </c>
      <c r="AH54" s="21"/>
      <c r="AJ54" s="22"/>
    </row>
    <row r="55" spans="19:36">
      <c r="S55" s="25"/>
      <c r="T55" s="26"/>
      <c r="U55" s="27">
        <f>SUM(U24:U54)/S53</f>
        <v>3.2</v>
      </c>
      <c r="V55" s="25"/>
      <c r="W55" s="26"/>
      <c r="X55" s="27">
        <f>SUM(X24:X54)/V54</f>
        <v>3.3548387096774195</v>
      </c>
      <c r="Y55" s="25"/>
      <c r="Z55" s="26"/>
      <c r="AA55" s="27">
        <f t="shared" ref="AA55" si="5">SUM(AA24:AA54)/Y53</f>
        <v>3.1333333333333333</v>
      </c>
      <c r="AB55" s="25"/>
      <c r="AC55" s="26"/>
      <c r="AD55" s="27">
        <f>SUM(AD24:AD54)/AB54</f>
        <v>3.161290322580645</v>
      </c>
      <c r="AE55" s="25"/>
      <c r="AF55" s="26"/>
      <c r="AG55" s="27">
        <f>SUM(AG24:AG54)/AE54</f>
        <v>3.2903225806451615</v>
      </c>
      <c r="AH55" s="25"/>
      <c r="AI55" s="26"/>
      <c r="AJ55" s="27">
        <f t="shared" ref="AJ55" si="6">SUM(AJ24:AJ54)/AH53</f>
        <v>3.2666666666666666</v>
      </c>
    </row>
    <row r="56" spans="19:36">
      <c r="S56" s="52" t="s">
        <v>53</v>
      </c>
      <c r="T56" s="53"/>
      <c r="U56" s="54"/>
      <c r="V56" s="52" t="s">
        <v>54</v>
      </c>
      <c r="W56" s="53"/>
      <c r="X56" s="54"/>
      <c r="Y56" s="52" t="s">
        <v>55</v>
      </c>
      <c r="Z56" s="53"/>
      <c r="AA56" s="54"/>
      <c r="AB56" s="52" t="s">
        <v>56</v>
      </c>
      <c r="AC56" s="53"/>
      <c r="AD56" s="54"/>
      <c r="AE56" s="52" t="s">
        <v>57</v>
      </c>
      <c r="AF56" s="53"/>
      <c r="AG56" s="54"/>
      <c r="AH56" s="52" t="s">
        <v>58</v>
      </c>
      <c r="AI56" s="53"/>
      <c r="AJ56" s="54"/>
    </row>
    <row r="57" spans="19:36">
      <c r="S57" s="21">
        <v>1</v>
      </c>
      <c r="T57" s="1" t="s">
        <v>3</v>
      </c>
      <c r="U57" s="22">
        <v>2</v>
      </c>
      <c r="V57" s="21">
        <v>1</v>
      </c>
      <c r="W57" s="23" t="s">
        <v>6</v>
      </c>
      <c r="X57" s="22">
        <v>5</v>
      </c>
      <c r="Y57" s="21">
        <v>1</v>
      </c>
      <c r="Z57" s="1" t="s">
        <v>37</v>
      </c>
      <c r="AA57" s="22">
        <v>2</v>
      </c>
      <c r="AB57" s="21">
        <v>1</v>
      </c>
      <c r="AC57" s="1" t="s">
        <v>4</v>
      </c>
      <c r="AD57" s="22"/>
      <c r="AE57" s="21">
        <v>1</v>
      </c>
      <c r="AF57" s="1" t="s">
        <v>37</v>
      </c>
      <c r="AG57" s="22">
        <v>2</v>
      </c>
      <c r="AH57" s="21">
        <v>1</v>
      </c>
      <c r="AI57" s="1" t="s">
        <v>37</v>
      </c>
      <c r="AJ57" s="22">
        <v>2</v>
      </c>
    </row>
    <row r="58" spans="19:36">
      <c r="S58" s="21">
        <v>2</v>
      </c>
      <c r="T58" s="1" t="s">
        <v>4</v>
      </c>
      <c r="U58" s="22">
        <v>3</v>
      </c>
      <c r="V58" s="21">
        <v>2</v>
      </c>
      <c r="W58" s="24" t="s">
        <v>47</v>
      </c>
      <c r="X58" s="22">
        <v>5</v>
      </c>
      <c r="Y58" s="21">
        <v>2</v>
      </c>
      <c r="Z58" s="1" t="s">
        <v>44</v>
      </c>
      <c r="AA58" s="22">
        <v>2</v>
      </c>
      <c r="AB58" s="21">
        <v>2</v>
      </c>
      <c r="AC58" s="1" t="s">
        <v>5</v>
      </c>
      <c r="AD58" s="22">
        <v>4</v>
      </c>
      <c r="AE58" s="21">
        <v>2</v>
      </c>
      <c r="AF58" s="1" t="s">
        <v>44</v>
      </c>
      <c r="AG58" s="22">
        <v>2</v>
      </c>
      <c r="AH58" s="21">
        <v>2</v>
      </c>
      <c r="AI58" s="1" t="s">
        <v>44</v>
      </c>
      <c r="AJ58" s="22">
        <v>2</v>
      </c>
    </row>
    <row r="59" spans="19:36">
      <c r="S59" s="21">
        <v>3</v>
      </c>
      <c r="T59" s="1" t="s">
        <v>5</v>
      </c>
      <c r="U59" s="22">
        <v>4</v>
      </c>
      <c r="V59" s="21">
        <v>3</v>
      </c>
      <c r="W59" s="24" t="s">
        <v>37</v>
      </c>
      <c r="X59" s="22">
        <v>4</v>
      </c>
      <c r="Y59" s="21">
        <v>3</v>
      </c>
      <c r="Z59" s="1" t="s">
        <v>46</v>
      </c>
      <c r="AA59" s="22">
        <v>2</v>
      </c>
      <c r="AB59" s="21">
        <v>3</v>
      </c>
      <c r="AC59" s="23" t="s">
        <v>6</v>
      </c>
      <c r="AD59" s="22">
        <v>5</v>
      </c>
      <c r="AE59" s="21">
        <v>3</v>
      </c>
      <c r="AF59" s="1" t="s">
        <v>46</v>
      </c>
      <c r="AG59" s="22">
        <v>2</v>
      </c>
      <c r="AH59" s="21">
        <v>3</v>
      </c>
      <c r="AI59" s="1" t="s">
        <v>46</v>
      </c>
      <c r="AJ59" s="22">
        <v>2</v>
      </c>
    </row>
    <row r="60" spans="19:36">
      <c r="S60" s="21">
        <v>4</v>
      </c>
      <c r="T60" s="23" t="s">
        <v>6</v>
      </c>
      <c r="U60" s="22">
        <v>5</v>
      </c>
      <c r="V60" s="21">
        <v>4</v>
      </c>
      <c r="W60" s="1" t="s">
        <v>44</v>
      </c>
      <c r="X60" s="22">
        <v>1</v>
      </c>
      <c r="Y60" s="21">
        <v>4</v>
      </c>
      <c r="Z60" s="1" t="s">
        <v>4</v>
      </c>
      <c r="AA60" s="22">
        <v>3</v>
      </c>
      <c r="AB60" s="21">
        <v>4</v>
      </c>
      <c r="AC60" s="24" t="s">
        <v>47</v>
      </c>
      <c r="AD60" s="22">
        <v>4</v>
      </c>
      <c r="AE60" s="21">
        <v>4</v>
      </c>
      <c r="AF60" s="1" t="s">
        <v>4</v>
      </c>
      <c r="AG60" s="22">
        <v>3</v>
      </c>
      <c r="AH60" s="21">
        <v>4</v>
      </c>
      <c r="AI60" s="1" t="s">
        <v>4</v>
      </c>
      <c r="AJ60" s="22">
        <v>3</v>
      </c>
    </row>
    <row r="61" spans="19:36">
      <c r="S61" s="21">
        <v>5</v>
      </c>
      <c r="T61" s="24" t="s">
        <v>47</v>
      </c>
      <c r="U61" s="22">
        <v>4</v>
      </c>
      <c r="V61" s="21">
        <v>5</v>
      </c>
      <c r="W61" s="1" t="s">
        <v>46</v>
      </c>
      <c r="X61" s="22">
        <v>2</v>
      </c>
      <c r="Y61" s="21">
        <v>5</v>
      </c>
      <c r="Z61" s="1" t="s">
        <v>5</v>
      </c>
      <c r="AA61" s="22">
        <v>4</v>
      </c>
      <c r="AB61" s="21">
        <v>5</v>
      </c>
      <c r="AC61" s="1" t="s">
        <v>37</v>
      </c>
      <c r="AD61" s="22">
        <v>1</v>
      </c>
      <c r="AE61" s="21">
        <v>5</v>
      </c>
      <c r="AF61" s="1" t="s">
        <v>5</v>
      </c>
      <c r="AG61" s="22">
        <v>4</v>
      </c>
      <c r="AH61" s="21">
        <v>5</v>
      </c>
      <c r="AI61" s="1" t="s">
        <v>5</v>
      </c>
      <c r="AJ61" s="22">
        <v>4</v>
      </c>
    </row>
    <row r="62" spans="19:36">
      <c r="S62" s="21">
        <v>6</v>
      </c>
      <c r="T62" s="1" t="s">
        <v>37</v>
      </c>
      <c r="U62" s="22">
        <v>2</v>
      </c>
      <c r="V62" s="21">
        <v>6</v>
      </c>
      <c r="W62" s="1" t="s">
        <v>4</v>
      </c>
      <c r="X62" s="22">
        <v>3</v>
      </c>
      <c r="Y62" s="21">
        <v>6</v>
      </c>
      <c r="Z62" s="23" t="s">
        <v>6</v>
      </c>
      <c r="AA62" s="22">
        <v>5</v>
      </c>
      <c r="AB62" s="21">
        <v>6</v>
      </c>
      <c r="AC62" s="1" t="s">
        <v>44</v>
      </c>
      <c r="AD62" s="22">
        <v>2</v>
      </c>
      <c r="AE62" s="21">
        <v>6</v>
      </c>
      <c r="AF62" s="23" t="s">
        <v>6</v>
      </c>
      <c r="AG62" s="22">
        <v>5</v>
      </c>
      <c r="AH62" s="21">
        <v>6</v>
      </c>
      <c r="AI62" s="23" t="s">
        <v>6</v>
      </c>
      <c r="AJ62" s="22">
        <v>5</v>
      </c>
    </row>
    <row r="63" spans="19:36">
      <c r="S63" s="21">
        <v>7</v>
      </c>
      <c r="T63" s="1" t="s">
        <v>44</v>
      </c>
      <c r="U63" s="22">
        <v>2</v>
      </c>
      <c r="V63" s="21">
        <v>7</v>
      </c>
      <c r="W63" s="1" t="s">
        <v>5</v>
      </c>
      <c r="X63" s="22">
        <v>4</v>
      </c>
      <c r="Y63" s="21">
        <v>7</v>
      </c>
      <c r="Z63" s="24" t="s">
        <v>47</v>
      </c>
      <c r="AA63" s="22">
        <v>4</v>
      </c>
      <c r="AB63" s="21">
        <v>7</v>
      </c>
      <c r="AC63" s="1" t="s">
        <v>46</v>
      </c>
      <c r="AD63" s="22">
        <v>2</v>
      </c>
      <c r="AE63" s="21">
        <v>7</v>
      </c>
      <c r="AF63" s="24" t="s">
        <v>47</v>
      </c>
      <c r="AG63" s="22">
        <v>4</v>
      </c>
      <c r="AH63" s="21">
        <v>7</v>
      </c>
      <c r="AI63" s="24" t="s">
        <v>47</v>
      </c>
      <c r="AJ63" s="22">
        <v>4</v>
      </c>
    </row>
    <row r="64" spans="19:36">
      <c r="S64" s="21">
        <v>8</v>
      </c>
      <c r="T64" s="1" t="s">
        <v>46</v>
      </c>
      <c r="U64" s="22">
        <v>2</v>
      </c>
      <c r="V64" s="21">
        <v>8</v>
      </c>
      <c r="W64" s="23" t="s">
        <v>6</v>
      </c>
      <c r="X64" s="22">
        <v>5</v>
      </c>
      <c r="Y64" s="21">
        <v>8</v>
      </c>
      <c r="Z64" s="1" t="s">
        <v>37</v>
      </c>
      <c r="AA64" s="22">
        <v>2</v>
      </c>
      <c r="AB64" s="21">
        <v>8</v>
      </c>
      <c r="AC64" s="1" t="s">
        <v>4</v>
      </c>
      <c r="AD64" s="22">
        <v>3</v>
      </c>
      <c r="AE64" s="21">
        <v>8</v>
      </c>
      <c r="AF64" s="24" t="s">
        <v>37</v>
      </c>
      <c r="AG64" s="22">
        <v>2</v>
      </c>
      <c r="AH64" s="21">
        <v>8</v>
      </c>
      <c r="AI64" s="1" t="s">
        <v>37</v>
      </c>
      <c r="AJ64" s="22">
        <v>2</v>
      </c>
    </row>
    <row r="65" spans="6:36">
      <c r="S65" s="21">
        <v>9</v>
      </c>
      <c r="T65" s="1" t="s">
        <v>4</v>
      </c>
      <c r="U65" s="22">
        <v>3</v>
      </c>
      <c r="V65" s="21">
        <v>9</v>
      </c>
      <c r="W65" s="24" t="s">
        <v>47</v>
      </c>
      <c r="X65" s="22">
        <v>4</v>
      </c>
      <c r="Y65" s="21">
        <v>9</v>
      </c>
      <c r="Z65" s="1" t="s">
        <v>44</v>
      </c>
      <c r="AA65" s="22">
        <v>2</v>
      </c>
      <c r="AB65" s="21">
        <v>9</v>
      </c>
      <c r="AC65" s="1" t="s">
        <v>5</v>
      </c>
      <c r="AD65" s="22">
        <v>4</v>
      </c>
      <c r="AE65" s="21">
        <v>9</v>
      </c>
      <c r="AF65" s="1" t="s">
        <v>44</v>
      </c>
      <c r="AG65" s="22">
        <v>2</v>
      </c>
      <c r="AH65" s="21">
        <v>9</v>
      </c>
      <c r="AI65" s="1" t="s">
        <v>44</v>
      </c>
      <c r="AJ65" s="22">
        <v>2</v>
      </c>
    </row>
    <row r="66" spans="6:36">
      <c r="F66" s="1">
        <v>4</v>
      </c>
      <c r="S66" s="21">
        <v>10</v>
      </c>
      <c r="T66" s="1" t="s">
        <v>5</v>
      </c>
      <c r="U66" s="22">
        <v>4</v>
      </c>
      <c r="V66" s="21">
        <v>10</v>
      </c>
      <c r="W66" s="1" t="s">
        <v>37</v>
      </c>
      <c r="X66" s="22">
        <v>2</v>
      </c>
      <c r="Y66" s="21">
        <v>10</v>
      </c>
      <c r="Z66" s="1" t="s">
        <v>46</v>
      </c>
      <c r="AA66" s="22">
        <v>2</v>
      </c>
      <c r="AB66" s="21">
        <v>10</v>
      </c>
      <c r="AC66" s="23" t="s">
        <v>6</v>
      </c>
      <c r="AD66" s="22">
        <v>5</v>
      </c>
      <c r="AE66" s="21">
        <v>10</v>
      </c>
      <c r="AF66" s="1" t="s">
        <v>46</v>
      </c>
      <c r="AG66" s="22">
        <v>3</v>
      </c>
      <c r="AH66" s="21">
        <v>10</v>
      </c>
      <c r="AI66" s="1" t="s">
        <v>46</v>
      </c>
      <c r="AJ66" s="22">
        <v>2</v>
      </c>
    </row>
    <row r="67" spans="6:36">
      <c r="F67">
        <v>1</v>
      </c>
      <c r="S67" s="21">
        <v>11</v>
      </c>
      <c r="T67" s="23" t="s">
        <v>6</v>
      </c>
      <c r="U67" s="22">
        <v>5</v>
      </c>
      <c r="V67" s="21">
        <v>11</v>
      </c>
      <c r="W67" s="1" t="s">
        <v>44</v>
      </c>
      <c r="X67" s="22">
        <v>2</v>
      </c>
      <c r="Y67" s="21">
        <v>11</v>
      </c>
      <c r="Z67" s="1" t="s">
        <v>4</v>
      </c>
      <c r="AA67" s="22">
        <v>3</v>
      </c>
      <c r="AB67" s="21">
        <v>11</v>
      </c>
      <c r="AC67" s="24" t="s">
        <v>47</v>
      </c>
      <c r="AD67" s="22">
        <v>4</v>
      </c>
      <c r="AE67" s="21">
        <v>11</v>
      </c>
      <c r="AF67" s="24" t="s">
        <v>4</v>
      </c>
      <c r="AG67" s="22">
        <v>4</v>
      </c>
      <c r="AH67" s="21">
        <v>11</v>
      </c>
      <c r="AI67" s="1" t="s">
        <v>4</v>
      </c>
      <c r="AJ67" s="22">
        <v>3</v>
      </c>
    </row>
    <row r="68" spans="6:36">
      <c r="F68">
        <v>2</v>
      </c>
      <c r="S68" s="21">
        <v>12</v>
      </c>
      <c r="T68" s="24" t="s">
        <v>47</v>
      </c>
      <c r="U68" s="22">
        <v>5</v>
      </c>
      <c r="V68" s="21">
        <v>12</v>
      </c>
      <c r="W68" s="1" t="s">
        <v>46</v>
      </c>
      <c r="X68" s="22">
        <v>2</v>
      </c>
      <c r="Y68" s="21">
        <v>12</v>
      </c>
      <c r="Z68" s="1" t="s">
        <v>5</v>
      </c>
      <c r="AA68" s="22">
        <v>4</v>
      </c>
      <c r="AB68" s="21">
        <v>12</v>
      </c>
      <c r="AC68" s="24" t="s">
        <v>37</v>
      </c>
      <c r="AD68" s="22">
        <v>4</v>
      </c>
      <c r="AE68" s="21">
        <v>12</v>
      </c>
      <c r="AF68" s="1" t="s">
        <v>5</v>
      </c>
      <c r="AG68" s="22">
        <v>4</v>
      </c>
      <c r="AH68" s="21">
        <v>12</v>
      </c>
      <c r="AI68" s="1" t="s">
        <v>5</v>
      </c>
      <c r="AJ68" s="22">
        <v>4</v>
      </c>
    </row>
    <row r="69" spans="6:36">
      <c r="F69">
        <v>3</v>
      </c>
      <c r="S69" s="21">
        <v>13</v>
      </c>
      <c r="T69" s="24" t="s">
        <v>37</v>
      </c>
      <c r="U69" s="22">
        <v>4</v>
      </c>
      <c r="V69" s="21">
        <v>13</v>
      </c>
      <c r="W69" s="1" t="s">
        <v>4</v>
      </c>
      <c r="X69" s="22">
        <v>3</v>
      </c>
      <c r="Y69" s="21">
        <v>13</v>
      </c>
      <c r="Z69" s="23" t="s">
        <v>6</v>
      </c>
      <c r="AA69" s="22">
        <v>5</v>
      </c>
      <c r="AB69" s="21">
        <v>13</v>
      </c>
      <c r="AC69" s="1" t="s">
        <v>44</v>
      </c>
      <c r="AD69" s="22">
        <v>1</v>
      </c>
      <c r="AE69" s="21">
        <v>13</v>
      </c>
      <c r="AF69" s="23" t="s">
        <v>6</v>
      </c>
      <c r="AG69" s="22">
        <v>5</v>
      </c>
      <c r="AH69" s="21">
        <v>13</v>
      </c>
      <c r="AI69" s="23" t="s">
        <v>6</v>
      </c>
      <c r="AJ69" s="22">
        <v>5</v>
      </c>
    </row>
    <row r="70" spans="6:36">
      <c r="F70">
        <v>4</v>
      </c>
      <c r="S70" s="21">
        <v>14</v>
      </c>
      <c r="T70" s="1" t="s">
        <v>44</v>
      </c>
      <c r="U70" s="22">
        <v>1</v>
      </c>
      <c r="V70" s="21">
        <v>14</v>
      </c>
      <c r="W70" s="1" t="s">
        <v>5</v>
      </c>
      <c r="X70" s="22">
        <v>4</v>
      </c>
      <c r="Y70" s="21">
        <v>14</v>
      </c>
      <c r="Z70" s="24" t="s">
        <v>47</v>
      </c>
      <c r="AA70" s="22">
        <v>4</v>
      </c>
      <c r="AB70" s="21">
        <v>14</v>
      </c>
      <c r="AC70" s="1" t="s">
        <v>46</v>
      </c>
      <c r="AD70" s="22">
        <v>2</v>
      </c>
      <c r="AE70" s="21">
        <v>14</v>
      </c>
      <c r="AF70" s="24" t="s">
        <v>47</v>
      </c>
      <c r="AG70" s="22">
        <v>4</v>
      </c>
      <c r="AH70" s="21">
        <v>14</v>
      </c>
      <c r="AI70" s="24" t="s">
        <v>47</v>
      </c>
      <c r="AJ70" s="22">
        <v>4</v>
      </c>
    </row>
    <row r="71" spans="6:36">
      <c r="F71">
        <v>5</v>
      </c>
      <c r="S71" s="21">
        <v>15</v>
      </c>
      <c r="T71" s="1" t="s">
        <v>46</v>
      </c>
      <c r="U71" s="22">
        <v>2</v>
      </c>
      <c r="V71" s="21">
        <v>15</v>
      </c>
      <c r="W71" s="23" t="s">
        <v>6</v>
      </c>
      <c r="X71" s="22">
        <v>5</v>
      </c>
      <c r="Y71" s="21">
        <v>15</v>
      </c>
      <c r="Z71" s="1" t="s">
        <v>37</v>
      </c>
      <c r="AA71" s="22">
        <v>2</v>
      </c>
      <c r="AB71" s="21">
        <v>15</v>
      </c>
      <c r="AC71" s="1" t="s">
        <v>4</v>
      </c>
      <c r="AD71" s="22">
        <v>3</v>
      </c>
      <c r="AE71" s="21">
        <v>15</v>
      </c>
      <c r="AF71" s="1" t="s">
        <v>37</v>
      </c>
      <c r="AG71" s="22">
        <v>2</v>
      </c>
      <c r="AH71" s="21">
        <v>15</v>
      </c>
      <c r="AI71" s="1" t="s">
        <v>37</v>
      </c>
      <c r="AJ71" s="22">
        <v>2</v>
      </c>
    </row>
    <row r="72" spans="6:36">
      <c r="F72">
        <v>6</v>
      </c>
      <c r="S72" s="21">
        <v>16</v>
      </c>
      <c r="T72" s="1" t="s">
        <v>4</v>
      </c>
      <c r="U72" s="22">
        <v>3</v>
      </c>
      <c r="V72" s="21">
        <v>16</v>
      </c>
      <c r="W72" s="24" t="s">
        <v>47</v>
      </c>
      <c r="X72" s="22">
        <v>4</v>
      </c>
      <c r="Y72" s="21">
        <v>16</v>
      </c>
      <c r="Z72" s="1" t="s">
        <v>44</v>
      </c>
      <c r="AA72" s="22">
        <v>2</v>
      </c>
      <c r="AB72" s="21">
        <v>16</v>
      </c>
      <c r="AC72" s="1" t="s">
        <v>5</v>
      </c>
      <c r="AD72" s="22">
        <v>4</v>
      </c>
      <c r="AE72" s="21">
        <v>16</v>
      </c>
      <c r="AF72" s="1" t="s">
        <v>44</v>
      </c>
      <c r="AG72" s="22">
        <v>2</v>
      </c>
      <c r="AH72" s="21">
        <v>16</v>
      </c>
      <c r="AI72" s="1" t="s">
        <v>44</v>
      </c>
      <c r="AJ72" s="22">
        <v>2</v>
      </c>
    </row>
    <row r="73" spans="6:36">
      <c r="F73">
        <v>7</v>
      </c>
      <c r="S73" s="21">
        <v>17</v>
      </c>
      <c r="T73" s="1" t="s">
        <v>5</v>
      </c>
      <c r="U73" s="22">
        <v>4</v>
      </c>
      <c r="V73" s="21">
        <v>17</v>
      </c>
      <c r="W73" s="1" t="s">
        <v>37</v>
      </c>
      <c r="X73" s="22">
        <v>2</v>
      </c>
      <c r="Y73" s="21">
        <v>17</v>
      </c>
      <c r="Z73" s="1" t="s">
        <v>46</v>
      </c>
      <c r="AA73" s="22">
        <v>2</v>
      </c>
      <c r="AB73" s="21">
        <v>17</v>
      </c>
      <c r="AC73" s="23" t="s">
        <v>6</v>
      </c>
      <c r="AD73" s="22">
        <v>5</v>
      </c>
      <c r="AE73" s="21">
        <v>17</v>
      </c>
      <c r="AF73" s="1" t="s">
        <v>46</v>
      </c>
      <c r="AG73" s="22">
        <v>2</v>
      </c>
      <c r="AH73" s="21">
        <v>17</v>
      </c>
      <c r="AI73" s="1" t="s">
        <v>46</v>
      </c>
      <c r="AJ73" s="22">
        <v>2</v>
      </c>
    </row>
    <row r="74" spans="6:36">
      <c r="F74">
        <v>8</v>
      </c>
      <c r="S74" s="21">
        <v>18</v>
      </c>
      <c r="T74" s="23" t="s">
        <v>6</v>
      </c>
      <c r="U74" s="22">
        <v>5</v>
      </c>
      <c r="V74" s="21">
        <v>18</v>
      </c>
      <c r="W74" s="1" t="s">
        <v>44</v>
      </c>
      <c r="X74" s="22">
        <v>2</v>
      </c>
      <c r="Y74" s="21">
        <v>18</v>
      </c>
      <c r="Z74" s="1" t="s">
        <v>4</v>
      </c>
      <c r="AA74" s="22">
        <v>3</v>
      </c>
      <c r="AB74" s="21">
        <v>18</v>
      </c>
      <c r="AC74" s="24" t="s">
        <v>47</v>
      </c>
      <c r="AD74" s="22">
        <v>4</v>
      </c>
      <c r="AE74" s="21">
        <v>18</v>
      </c>
      <c r="AF74" s="1" t="s">
        <v>4</v>
      </c>
      <c r="AG74" s="22">
        <v>3</v>
      </c>
      <c r="AH74" s="21">
        <v>18</v>
      </c>
      <c r="AI74" s="1" t="s">
        <v>4</v>
      </c>
      <c r="AJ74" s="22">
        <v>3</v>
      </c>
    </row>
    <row r="75" spans="6:36">
      <c r="F75">
        <v>9</v>
      </c>
      <c r="S75" s="21">
        <v>19</v>
      </c>
      <c r="T75" s="24" t="s">
        <v>47</v>
      </c>
      <c r="U75" s="22">
        <v>4</v>
      </c>
      <c r="V75" s="21">
        <v>19</v>
      </c>
      <c r="W75" s="1" t="s">
        <v>46</v>
      </c>
      <c r="X75" s="22">
        <v>2</v>
      </c>
      <c r="Y75" s="21">
        <v>19</v>
      </c>
      <c r="Z75" s="1" t="s">
        <v>5</v>
      </c>
      <c r="AA75" s="22">
        <v>4</v>
      </c>
      <c r="AB75" s="21">
        <v>19</v>
      </c>
      <c r="AC75" s="1" t="s">
        <v>37</v>
      </c>
      <c r="AD75" s="22">
        <v>2</v>
      </c>
      <c r="AE75" s="21">
        <v>19</v>
      </c>
      <c r="AF75" s="1" t="s">
        <v>5</v>
      </c>
      <c r="AG75" s="22">
        <v>4</v>
      </c>
      <c r="AH75" s="21">
        <v>19</v>
      </c>
      <c r="AI75" s="1" t="s">
        <v>5</v>
      </c>
      <c r="AJ75" s="22">
        <v>4</v>
      </c>
    </row>
    <row r="76" spans="6:36">
      <c r="F76">
        <v>10</v>
      </c>
      <c r="S76" s="21">
        <v>20</v>
      </c>
      <c r="T76" s="1" t="s">
        <v>37</v>
      </c>
      <c r="U76" s="22">
        <v>2</v>
      </c>
      <c r="V76" s="21">
        <v>20</v>
      </c>
      <c r="W76" s="1" t="s">
        <v>4</v>
      </c>
      <c r="X76" s="22">
        <v>3</v>
      </c>
      <c r="Y76" s="21">
        <v>20</v>
      </c>
      <c r="Z76" s="23" t="s">
        <v>6</v>
      </c>
      <c r="AA76" s="22">
        <v>5</v>
      </c>
      <c r="AB76" s="21">
        <v>20</v>
      </c>
      <c r="AC76" s="1" t="s">
        <v>44</v>
      </c>
      <c r="AD76" s="22">
        <v>2</v>
      </c>
      <c r="AE76" s="21">
        <v>20</v>
      </c>
      <c r="AF76" s="23" t="s">
        <v>6</v>
      </c>
      <c r="AG76" s="22">
        <v>5</v>
      </c>
      <c r="AH76" s="21">
        <v>20</v>
      </c>
      <c r="AI76" s="23" t="s">
        <v>6</v>
      </c>
      <c r="AJ76" s="22">
        <v>5</v>
      </c>
    </row>
    <row r="77" spans="6:36">
      <c r="F77">
        <v>11</v>
      </c>
      <c r="S77" s="21">
        <v>21</v>
      </c>
      <c r="T77" s="1" t="s">
        <v>44</v>
      </c>
      <c r="U77" s="22">
        <v>2</v>
      </c>
      <c r="V77" s="21">
        <v>21</v>
      </c>
      <c r="W77" s="1" t="s">
        <v>5</v>
      </c>
      <c r="X77" s="22">
        <v>4</v>
      </c>
      <c r="Y77" s="21">
        <v>21</v>
      </c>
      <c r="Z77" s="24" t="s">
        <v>47</v>
      </c>
      <c r="AA77" s="22">
        <v>4</v>
      </c>
      <c r="AB77" s="21">
        <v>21</v>
      </c>
      <c r="AC77" s="1" t="s">
        <v>46</v>
      </c>
      <c r="AD77" s="22">
        <v>2</v>
      </c>
      <c r="AE77" s="21">
        <v>21</v>
      </c>
      <c r="AF77" s="24" t="s">
        <v>47</v>
      </c>
      <c r="AG77" s="22">
        <v>4</v>
      </c>
      <c r="AH77" s="21">
        <v>21</v>
      </c>
      <c r="AI77" s="24" t="s">
        <v>47</v>
      </c>
      <c r="AJ77" s="22">
        <v>4</v>
      </c>
    </row>
    <row r="78" spans="6:36">
      <c r="F78">
        <v>12</v>
      </c>
      <c r="S78" s="21">
        <v>22</v>
      </c>
      <c r="T78" s="1" t="s">
        <v>46</v>
      </c>
      <c r="U78" s="22">
        <v>2</v>
      </c>
      <c r="V78" s="21">
        <v>22</v>
      </c>
      <c r="W78" s="23" t="s">
        <v>6</v>
      </c>
      <c r="X78" s="22">
        <v>5</v>
      </c>
      <c r="Y78" s="21">
        <v>22</v>
      </c>
      <c r="Z78" s="1" t="s">
        <v>37</v>
      </c>
      <c r="AA78" s="22">
        <v>2</v>
      </c>
      <c r="AB78" s="21">
        <v>22</v>
      </c>
      <c r="AC78" s="1" t="s">
        <v>4</v>
      </c>
      <c r="AD78" s="22">
        <v>3</v>
      </c>
      <c r="AE78" s="21">
        <v>22</v>
      </c>
      <c r="AF78" s="1" t="s">
        <v>37</v>
      </c>
      <c r="AG78" s="22">
        <v>2</v>
      </c>
      <c r="AH78" s="21">
        <v>22</v>
      </c>
      <c r="AI78" s="1" t="s">
        <v>37</v>
      </c>
      <c r="AJ78" s="22">
        <v>2</v>
      </c>
    </row>
    <row r="79" spans="6:36">
      <c r="F79">
        <v>13</v>
      </c>
      <c r="S79" s="21">
        <v>23</v>
      </c>
      <c r="T79" s="1" t="s">
        <v>4</v>
      </c>
      <c r="U79" s="22">
        <v>3</v>
      </c>
      <c r="V79" s="21">
        <v>23</v>
      </c>
      <c r="W79" s="24" t="s">
        <v>47</v>
      </c>
      <c r="X79" s="22">
        <v>5</v>
      </c>
      <c r="Y79" s="21">
        <v>23</v>
      </c>
      <c r="Z79" s="1" t="s">
        <v>44</v>
      </c>
      <c r="AA79" s="22">
        <v>2</v>
      </c>
      <c r="AB79" s="21">
        <v>23</v>
      </c>
      <c r="AC79" s="1" t="s">
        <v>5</v>
      </c>
      <c r="AD79" s="22">
        <v>4</v>
      </c>
      <c r="AE79" s="21">
        <v>23</v>
      </c>
      <c r="AF79" s="1" t="s">
        <v>44</v>
      </c>
      <c r="AG79" s="22">
        <v>2</v>
      </c>
      <c r="AH79" s="21">
        <v>23</v>
      </c>
      <c r="AI79" s="1" t="s">
        <v>44</v>
      </c>
      <c r="AJ79" s="22">
        <v>2</v>
      </c>
    </row>
    <row r="80" spans="6:36">
      <c r="F80">
        <v>14</v>
      </c>
      <c r="S80" s="21">
        <v>24</v>
      </c>
      <c r="T80" s="1" t="s">
        <v>5</v>
      </c>
      <c r="U80" s="22">
        <v>4</v>
      </c>
      <c r="V80" s="21">
        <v>24</v>
      </c>
      <c r="W80" s="24" t="s">
        <v>37</v>
      </c>
      <c r="X80" s="22">
        <v>4</v>
      </c>
      <c r="Y80" s="21">
        <v>24</v>
      </c>
      <c r="Z80" s="1" t="s">
        <v>46</v>
      </c>
      <c r="AA80" s="22">
        <v>2</v>
      </c>
      <c r="AB80" s="21">
        <v>24</v>
      </c>
      <c r="AC80" s="23" t="s">
        <v>6</v>
      </c>
      <c r="AD80" s="22">
        <v>5</v>
      </c>
      <c r="AE80" s="21">
        <v>24</v>
      </c>
      <c r="AF80" s="1" t="s">
        <v>46</v>
      </c>
      <c r="AG80" s="22">
        <v>2</v>
      </c>
      <c r="AH80" s="21">
        <v>24</v>
      </c>
      <c r="AI80" s="1" t="s">
        <v>46</v>
      </c>
      <c r="AJ80" s="22">
        <v>2</v>
      </c>
    </row>
    <row r="81" spans="6:36">
      <c r="F81">
        <v>15</v>
      </c>
      <c r="S81" s="21">
        <v>25</v>
      </c>
      <c r="T81" s="23" t="s">
        <v>6</v>
      </c>
      <c r="U81" s="22">
        <v>5</v>
      </c>
      <c r="V81" s="21">
        <v>25</v>
      </c>
      <c r="W81" s="1" t="s">
        <v>44</v>
      </c>
      <c r="X81" s="22">
        <v>1</v>
      </c>
      <c r="Y81" s="21">
        <v>25</v>
      </c>
      <c r="Z81" s="1" t="s">
        <v>4</v>
      </c>
      <c r="AA81" s="22">
        <v>3</v>
      </c>
      <c r="AB81" s="21">
        <v>25</v>
      </c>
      <c r="AC81" s="24" t="s">
        <v>47</v>
      </c>
      <c r="AD81" s="22">
        <v>4</v>
      </c>
      <c r="AE81" s="21">
        <v>25</v>
      </c>
      <c r="AF81" s="1" t="s">
        <v>4</v>
      </c>
      <c r="AG81" s="22">
        <v>3</v>
      </c>
      <c r="AH81" s="21">
        <v>25</v>
      </c>
      <c r="AI81" s="1" t="s">
        <v>4</v>
      </c>
      <c r="AJ81" s="22">
        <v>3</v>
      </c>
    </row>
    <row r="82" spans="6:36">
      <c r="F82">
        <v>16</v>
      </c>
      <c r="S82" s="21">
        <v>26</v>
      </c>
      <c r="T82" s="24" t="s">
        <v>47</v>
      </c>
      <c r="U82" s="22">
        <v>4</v>
      </c>
      <c r="V82" s="21">
        <v>26</v>
      </c>
      <c r="W82" s="1" t="s">
        <v>46</v>
      </c>
      <c r="X82" s="22">
        <v>2</v>
      </c>
      <c r="Y82" s="21">
        <v>26</v>
      </c>
      <c r="Z82" s="1" t="s">
        <v>5</v>
      </c>
      <c r="AA82" s="22">
        <v>4</v>
      </c>
      <c r="AB82" s="21">
        <v>26</v>
      </c>
      <c r="AC82" s="1" t="s">
        <v>37</v>
      </c>
      <c r="AD82" s="22">
        <v>2</v>
      </c>
      <c r="AE82" s="21">
        <v>26</v>
      </c>
      <c r="AF82" s="1" t="s">
        <v>5</v>
      </c>
      <c r="AG82" s="22">
        <v>4</v>
      </c>
      <c r="AH82" s="21">
        <v>26</v>
      </c>
      <c r="AI82" s="1" t="s">
        <v>5</v>
      </c>
      <c r="AJ82" s="22">
        <v>4</v>
      </c>
    </row>
    <row r="83" spans="6:36">
      <c r="F83">
        <v>17</v>
      </c>
      <c r="S83" s="21">
        <v>27</v>
      </c>
      <c r="T83" s="1" t="s">
        <v>37</v>
      </c>
      <c r="U83" s="22">
        <v>2</v>
      </c>
      <c r="V83" s="21">
        <v>27</v>
      </c>
      <c r="W83" s="1" t="s">
        <v>4</v>
      </c>
      <c r="X83" s="22">
        <v>3</v>
      </c>
      <c r="Y83" s="21">
        <v>27</v>
      </c>
      <c r="Z83" s="23" t="s">
        <v>6</v>
      </c>
      <c r="AA83" s="22">
        <v>5</v>
      </c>
      <c r="AB83" s="21">
        <v>27</v>
      </c>
      <c r="AC83" s="28" t="s">
        <v>44</v>
      </c>
      <c r="AD83" s="22">
        <v>2</v>
      </c>
      <c r="AE83" s="21">
        <v>27</v>
      </c>
      <c r="AF83" s="23" t="s">
        <v>6</v>
      </c>
      <c r="AG83" s="22">
        <v>5</v>
      </c>
      <c r="AH83" s="21">
        <v>27</v>
      </c>
      <c r="AI83" s="23" t="s">
        <v>6</v>
      </c>
      <c r="AJ83" s="22">
        <v>5</v>
      </c>
    </row>
    <row r="84" spans="6:36">
      <c r="F84">
        <v>18</v>
      </c>
      <c r="S84" s="21">
        <v>28</v>
      </c>
      <c r="T84" s="1" t="s">
        <v>44</v>
      </c>
      <c r="U84" s="22">
        <v>2</v>
      </c>
      <c r="V84" s="21">
        <v>28</v>
      </c>
      <c r="W84" s="1" t="s">
        <v>5</v>
      </c>
      <c r="X84" s="22">
        <v>4</v>
      </c>
      <c r="Y84" s="21">
        <v>28</v>
      </c>
      <c r="Z84" s="24" t="s">
        <v>47</v>
      </c>
      <c r="AA84" s="22">
        <v>4</v>
      </c>
      <c r="AB84" s="21">
        <v>28</v>
      </c>
      <c r="AC84" s="1" t="s">
        <v>46</v>
      </c>
      <c r="AD84" s="22">
        <v>2</v>
      </c>
      <c r="AE84" s="21">
        <v>28</v>
      </c>
      <c r="AF84" s="24" t="s">
        <v>47</v>
      </c>
      <c r="AG84" s="22">
        <v>4</v>
      </c>
      <c r="AH84" s="21">
        <v>28</v>
      </c>
      <c r="AI84" s="24" t="s">
        <v>47</v>
      </c>
      <c r="AJ84" s="22">
        <v>4</v>
      </c>
    </row>
    <row r="85" spans="6:36">
      <c r="F85">
        <v>19</v>
      </c>
      <c r="S85" s="21">
        <v>29</v>
      </c>
      <c r="T85" s="1" t="s">
        <v>46</v>
      </c>
      <c r="U85" s="22">
        <v>2</v>
      </c>
      <c r="V85" s="21">
        <v>29</v>
      </c>
      <c r="W85" s="23" t="s">
        <v>6</v>
      </c>
      <c r="X85" s="22">
        <v>5</v>
      </c>
      <c r="Y85" s="21">
        <v>29</v>
      </c>
      <c r="Z85" s="1" t="s">
        <v>37</v>
      </c>
      <c r="AA85" s="22">
        <v>2</v>
      </c>
      <c r="AB85" s="21">
        <v>29</v>
      </c>
      <c r="AC85" s="1" t="s">
        <v>48</v>
      </c>
      <c r="AD85" s="22">
        <v>2</v>
      </c>
      <c r="AE85" s="21"/>
      <c r="AF85" s="1"/>
      <c r="AG85" s="22"/>
      <c r="AH85" s="21">
        <v>29</v>
      </c>
      <c r="AI85" s="1" t="s">
        <v>37</v>
      </c>
      <c r="AJ85" s="22">
        <v>2</v>
      </c>
    </row>
    <row r="86" spans="6:36">
      <c r="F86">
        <v>20</v>
      </c>
      <c r="S86" s="21">
        <v>30</v>
      </c>
      <c r="T86" s="1" t="s">
        <v>4</v>
      </c>
      <c r="U86" s="22">
        <v>3</v>
      </c>
      <c r="V86" s="21">
        <v>30</v>
      </c>
      <c r="W86" s="24" t="s">
        <v>47</v>
      </c>
      <c r="X86" s="22">
        <v>4</v>
      </c>
      <c r="Y86" s="21">
        <v>30</v>
      </c>
      <c r="Z86" s="1" t="s">
        <v>44</v>
      </c>
      <c r="AA86" s="22">
        <v>2</v>
      </c>
      <c r="AB86" s="21">
        <v>30</v>
      </c>
      <c r="AC86" s="1" t="s">
        <v>5</v>
      </c>
      <c r="AD86" s="22">
        <v>4</v>
      </c>
      <c r="AE86" s="21"/>
      <c r="AF86" s="1"/>
      <c r="AG86" s="22"/>
      <c r="AH86" s="21">
        <v>30</v>
      </c>
      <c r="AI86" s="1" t="s">
        <v>44</v>
      </c>
      <c r="AJ86" s="22">
        <v>2</v>
      </c>
    </row>
    <row r="87" spans="6:36">
      <c r="F87">
        <v>21</v>
      </c>
      <c r="S87" s="21">
        <v>31</v>
      </c>
      <c r="T87" s="1" t="s">
        <v>5</v>
      </c>
      <c r="U87" s="22">
        <v>4</v>
      </c>
      <c r="V87" s="21"/>
      <c r="W87" s="23"/>
      <c r="X87" s="22"/>
      <c r="Y87" s="21">
        <v>31</v>
      </c>
      <c r="Z87" s="1" t="s">
        <v>46</v>
      </c>
      <c r="AA87" s="22"/>
      <c r="AB87" s="21">
        <v>31</v>
      </c>
      <c r="AC87" s="23" t="s">
        <v>6</v>
      </c>
      <c r="AD87" s="22">
        <v>5</v>
      </c>
      <c r="AE87" s="21"/>
      <c r="AF87" s="24"/>
      <c r="AG87" s="22"/>
      <c r="AH87" s="21">
        <v>31</v>
      </c>
      <c r="AI87" s="1" t="s">
        <v>3</v>
      </c>
      <c r="AJ87" s="22">
        <v>2</v>
      </c>
    </row>
    <row r="88" spans="6:36">
      <c r="F88">
        <v>22</v>
      </c>
      <c r="S88" s="25"/>
      <c r="T88" s="26"/>
      <c r="U88" s="27">
        <f>SUM(U57:U87)/S87</f>
        <v>3.193548387096774</v>
      </c>
      <c r="V88" s="25"/>
      <c r="W88" s="26"/>
      <c r="X88" s="27">
        <f>SUM(X57:X87)/V86</f>
        <v>3.3666666666666667</v>
      </c>
      <c r="Y88" s="25"/>
      <c r="Z88" s="26">
        <v>30</v>
      </c>
      <c r="AA88" s="27">
        <f>SUM(AA57:AA87)/Y86</f>
        <v>3.0666666666666669</v>
      </c>
      <c r="AB88" s="25"/>
      <c r="AC88" s="26">
        <v>30</v>
      </c>
      <c r="AD88" s="27">
        <f>SUM(AD58:AD87)/AB86</f>
        <v>3.2</v>
      </c>
      <c r="AE88" s="25"/>
      <c r="AF88" s="26"/>
      <c r="AG88" s="27">
        <f>SUM(AG57:AG87)/AE84</f>
        <v>3.2142857142857144</v>
      </c>
      <c r="AH88" s="25"/>
      <c r="AI88" s="26"/>
      <c r="AJ88" s="27">
        <f>SUM(AJ57:AJ87)/AH87</f>
        <v>3.032258064516129</v>
      </c>
    </row>
    <row r="89" spans="6:36">
      <c r="F89">
        <v>23</v>
      </c>
    </row>
    <row r="90" spans="6:36">
      <c r="F90">
        <v>24</v>
      </c>
    </row>
    <row r="91" spans="6:36">
      <c r="F91">
        <v>25</v>
      </c>
    </row>
    <row r="92" spans="6:36">
      <c r="F92">
        <v>26</v>
      </c>
    </row>
    <row r="93" spans="6:36">
      <c r="F93">
        <v>27</v>
      </c>
    </row>
    <row r="94" spans="6:36">
      <c r="F94">
        <v>28</v>
      </c>
    </row>
    <row r="95" spans="6:36">
      <c r="F95">
        <v>29</v>
      </c>
    </row>
    <row r="96" spans="6:36">
      <c r="F96">
        <v>30</v>
      </c>
    </row>
  </sheetData>
  <mergeCells count="49">
    <mergeCell ref="A38:B45"/>
    <mergeCell ref="C38:Q39"/>
    <mergeCell ref="C40:Q41"/>
    <mergeCell ref="C42:Q43"/>
    <mergeCell ref="C44:Q45"/>
    <mergeCell ref="A30:B37"/>
    <mergeCell ref="C30:Q31"/>
    <mergeCell ref="C32:Q33"/>
    <mergeCell ref="C34:Q35"/>
    <mergeCell ref="C36:Q37"/>
    <mergeCell ref="AB23:AD23"/>
    <mergeCell ref="AE23:AG23"/>
    <mergeCell ref="AH23:AJ23"/>
    <mergeCell ref="S56:U56"/>
    <mergeCell ref="V56:X56"/>
    <mergeCell ref="Y56:AA56"/>
    <mergeCell ref="AB56:AD56"/>
    <mergeCell ref="AE56:AG56"/>
    <mergeCell ref="AH56:AJ56"/>
    <mergeCell ref="Y23:AA23"/>
    <mergeCell ref="Q14:R14"/>
    <mergeCell ref="Q15:R15"/>
    <mergeCell ref="Q16:R16"/>
    <mergeCell ref="S23:U23"/>
    <mergeCell ref="V23:X23"/>
    <mergeCell ref="A23:Q28"/>
    <mergeCell ref="Q13:R13"/>
    <mergeCell ref="T4:V4"/>
    <mergeCell ref="W4:Y4"/>
    <mergeCell ref="Z4:AB4"/>
    <mergeCell ref="Q5:R5"/>
    <mergeCell ref="Q6:R6"/>
    <mergeCell ref="Q7:R7"/>
    <mergeCell ref="Q8:R8"/>
    <mergeCell ref="Q9:R9"/>
    <mergeCell ref="Q10:R10"/>
    <mergeCell ref="Q11:R11"/>
    <mergeCell ref="Q12:R12"/>
    <mergeCell ref="AC4:AF4"/>
    <mergeCell ref="A3:B3"/>
    <mergeCell ref="C3:D3"/>
    <mergeCell ref="F3:G3"/>
    <mergeCell ref="H3:P3"/>
    <mergeCell ref="Q3:R4"/>
    <mergeCell ref="A4:B4"/>
    <mergeCell ref="F4:I4"/>
    <mergeCell ref="J4:L4"/>
    <mergeCell ref="M4:N4"/>
    <mergeCell ref="O4:P4"/>
  </mergeCells>
  <phoneticPr fontId="1"/>
  <pageMargins left="0.7" right="0.7" top="0.75" bottom="0.75" header="0.3" footer="0.3"/>
  <pageSetup paperSize="8" scale="3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藻岩山</vt:lpstr>
      <vt:lpstr>大倉山</vt:lpstr>
      <vt:lpstr>テレビ塔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wearems.20170119@gmail.com</dc:creator>
  <cp:lastModifiedBy>wearems.20170119@gmail.com</cp:lastModifiedBy>
  <cp:lastPrinted>2025-05-08T00:42:13Z</cp:lastPrinted>
  <dcterms:created xsi:type="dcterms:W3CDTF">2025-01-03T05:22:33Z</dcterms:created>
  <dcterms:modified xsi:type="dcterms:W3CDTF">2025-05-08T00:42:17Z</dcterms:modified>
</cp:coreProperties>
</file>