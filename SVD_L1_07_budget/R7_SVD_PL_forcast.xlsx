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toshiiga/Desktop/"/>
    </mc:Choice>
  </mc:AlternateContent>
  <xr:revisionPtr revIDLastSave="0" documentId="13_ncr:1_{968FB418-FF68-1D42-8E00-6A33C156BEEA}" xr6:coauthVersionLast="47" xr6:coauthVersionMax="47" xr10:uidLastSave="{00000000-0000-0000-0000-000000000000}"/>
  <bookViews>
    <workbookView xWindow="0" yWindow="660" windowWidth="23260" windowHeight="12460" tabRatio="813" xr2:uid="{74A4D7E2-2EC4-4A50-A26D-06C654F91815}"/>
  </bookViews>
  <sheets>
    <sheet name="料飲" sheetId="60" r:id="rId1"/>
    <sheet name="料飲共通" sheetId="3" r:id="rId2"/>
    <sheet name="ﾇｰﾍﾞﾙﾌﾟｰｽ" sheetId="28" r:id="rId3"/>
    <sheet name="ｶﾌｪﾙﾎﾟ" sheetId="30" r:id="rId4"/>
    <sheet name="ｶﾌｪｾﾚｽﾃ" sheetId="31" r:id="rId5"/>
    <sheet name="ｼﾞｭｴﾙｽﾞ" sheetId="50" r:id="rId6"/>
    <sheet name="ｶﾞｰﾃﾞﾝ" sheetId="51" r:id="rId7"/>
    <sheet name="ﾋﾞｱｶﾞｰﾃﾞﾝ" sheetId="52" r:id="rId8"/>
    <sheet name="ブリック" sheetId="63" r:id="rId9"/>
    <sheet name="ルスツ羊蹄ぶた" sheetId="64" r:id="rId10"/>
  </sheets>
  <definedNames>
    <definedName name="_xlnm.Print_Area" localSheetId="0">料飲!$A$1:$CA$119</definedName>
    <definedName name="_xlnm.Print_Titles" localSheetId="0">料飲!$A:$D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7" i="60" l="1"/>
  <c r="BI119" i="60" l="1"/>
  <c r="BI118" i="60"/>
  <c r="BI117" i="60"/>
  <c r="BI116" i="60"/>
  <c r="BI115" i="60"/>
  <c r="BI114" i="60"/>
  <c r="BI113" i="60"/>
  <c r="BI112" i="60"/>
  <c r="BI111" i="60"/>
  <c r="BI110" i="60"/>
  <c r="BI109" i="60"/>
  <c r="BI108" i="60"/>
  <c r="BI107" i="60"/>
  <c r="BI106" i="60"/>
  <c r="BI105" i="60"/>
  <c r="BI104" i="60"/>
  <c r="BI103" i="60"/>
  <c r="BI102" i="60"/>
  <c r="BI101" i="60"/>
  <c r="BI100" i="60"/>
  <c r="BI99" i="60"/>
  <c r="BI98" i="60"/>
  <c r="BI97" i="60"/>
  <c r="BI96" i="60"/>
  <c r="BI95" i="60"/>
  <c r="BI94" i="60"/>
  <c r="BI93" i="60"/>
  <c r="BI92" i="60"/>
  <c r="BI91" i="60"/>
  <c r="BI90" i="60"/>
  <c r="BI89" i="60"/>
  <c r="BI88" i="60"/>
  <c r="BI87" i="60"/>
  <c r="BI86" i="60"/>
  <c r="BI85" i="60"/>
  <c r="BI84" i="60"/>
  <c r="BI83" i="60"/>
  <c r="BI82" i="60"/>
  <c r="BI81" i="60"/>
  <c r="BI80" i="60"/>
  <c r="BI79" i="60"/>
  <c r="BI78" i="60"/>
  <c r="BI77" i="60"/>
  <c r="BI76" i="60"/>
  <c r="BI75" i="60"/>
  <c r="BI74" i="60"/>
  <c r="BI73" i="60"/>
  <c r="BI72" i="60"/>
  <c r="BI71" i="60"/>
  <c r="BI70" i="60"/>
  <c r="BI69" i="60"/>
  <c r="BI68" i="60"/>
  <c r="BI67" i="60"/>
  <c r="BI66" i="60"/>
  <c r="BI65" i="60"/>
  <c r="BI64" i="60"/>
  <c r="BI63" i="60"/>
  <c r="BI62" i="60"/>
  <c r="BI61" i="60"/>
  <c r="BI60" i="60"/>
  <c r="BI59" i="60"/>
  <c r="BI58" i="60"/>
  <c r="BI57" i="60"/>
  <c r="BI56" i="60"/>
  <c r="BI55" i="60"/>
  <c r="BI54" i="60"/>
  <c r="BI53" i="60"/>
  <c r="BI52" i="60"/>
  <c r="BI51" i="60"/>
  <c r="BI50" i="60"/>
  <c r="BI49" i="60"/>
  <c r="BI48" i="60"/>
  <c r="BI47" i="60"/>
  <c r="BI46" i="60"/>
  <c r="BI45" i="60"/>
  <c r="BI44" i="60"/>
  <c r="BI43" i="60"/>
  <c r="BI42" i="60"/>
  <c r="BI41" i="60"/>
  <c r="BI40" i="60"/>
  <c r="BI39" i="60"/>
  <c r="BI38" i="60"/>
  <c r="BI37" i="60"/>
  <c r="BI36" i="60"/>
  <c r="BI35" i="60"/>
  <c r="BI34" i="60"/>
  <c r="BI33" i="60"/>
  <c r="BI32" i="60"/>
  <c r="BI31" i="60"/>
  <c r="BI30" i="60"/>
  <c r="BI29" i="60"/>
  <c r="BI28" i="60"/>
  <c r="BI27" i="60"/>
  <c r="BI26" i="60"/>
  <c r="BI25" i="60"/>
  <c r="BI24" i="60"/>
  <c r="BI23" i="60"/>
  <c r="BI22" i="60"/>
  <c r="BI21" i="60"/>
  <c r="BI20" i="60"/>
  <c r="BI19" i="60"/>
  <c r="BI18" i="60"/>
  <c r="BI17" i="60"/>
  <c r="BI16" i="60"/>
  <c r="BI15" i="60"/>
  <c r="BI14" i="60"/>
  <c r="BI13" i="60"/>
  <c r="BI12" i="60"/>
  <c r="BI11" i="60"/>
  <c r="BI10" i="60"/>
  <c r="BI9" i="60"/>
  <c r="BI8" i="60"/>
  <c r="BI7" i="60"/>
  <c r="BD119" i="60"/>
  <c r="BD118" i="60"/>
  <c r="BD117" i="60"/>
  <c r="BD116" i="60"/>
  <c r="BD115" i="60"/>
  <c r="BD114" i="60"/>
  <c r="BD113" i="60"/>
  <c r="BD112" i="60"/>
  <c r="BD111" i="60"/>
  <c r="BD110" i="60"/>
  <c r="BD109" i="60"/>
  <c r="BD108" i="60"/>
  <c r="BD107" i="60"/>
  <c r="BD106" i="60"/>
  <c r="BD105" i="60"/>
  <c r="BD104" i="60"/>
  <c r="BD103" i="60"/>
  <c r="BD102" i="60"/>
  <c r="BD101" i="60"/>
  <c r="BD100" i="60"/>
  <c r="BD99" i="60"/>
  <c r="BD98" i="60"/>
  <c r="BD97" i="60"/>
  <c r="BD96" i="60"/>
  <c r="BD95" i="60"/>
  <c r="BD94" i="60"/>
  <c r="BD93" i="60"/>
  <c r="BD92" i="60"/>
  <c r="BD91" i="60"/>
  <c r="BD90" i="60"/>
  <c r="BD89" i="60"/>
  <c r="BD88" i="60"/>
  <c r="BD87" i="60"/>
  <c r="BD86" i="60"/>
  <c r="BD85" i="60"/>
  <c r="BD84" i="60"/>
  <c r="BD83" i="60"/>
  <c r="BD82" i="60"/>
  <c r="BD81" i="60"/>
  <c r="BD80" i="60"/>
  <c r="BD79" i="60"/>
  <c r="BD78" i="60"/>
  <c r="BD77" i="60"/>
  <c r="BD76" i="60"/>
  <c r="BD75" i="60"/>
  <c r="BD74" i="60"/>
  <c r="BD73" i="60"/>
  <c r="BD72" i="60"/>
  <c r="BD71" i="60"/>
  <c r="BD70" i="60"/>
  <c r="BD69" i="60"/>
  <c r="BD68" i="60"/>
  <c r="BD67" i="60"/>
  <c r="BD66" i="60"/>
  <c r="BD65" i="60"/>
  <c r="BD64" i="60"/>
  <c r="BD63" i="60"/>
  <c r="BD62" i="60"/>
  <c r="BD61" i="60"/>
  <c r="BD60" i="60"/>
  <c r="BD59" i="60"/>
  <c r="BD58" i="60"/>
  <c r="BD57" i="60"/>
  <c r="BD56" i="60"/>
  <c r="BD55" i="60"/>
  <c r="BD54" i="60"/>
  <c r="BD53" i="60"/>
  <c r="BD52" i="60"/>
  <c r="BD51" i="60"/>
  <c r="BD50" i="60"/>
  <c r="BD49" i="60"/>
  <c r="BD48" i="60"/>
  <c r="BD47" i="60"/>
  <c r="BD46" i="60"/>
  <c r="BD45" i="60"/>
  <c r="BD44" i="60"/>
  <c r="BD43" i="60"/>
  <c r="BD42" i="60"/>
  <c r="BD41" i="60"/>
  <c r="BD40" i="60"/>
  <c r="BD39" i="60"/>
  <c r="BD38" i="60"/>
  <c r="BD37" i="60"/>
  <c r="BD36" i="60"/>
  <c r="BD35" i="60"/>
  <c r="BD34" i="60"/>
  <c r="BD33" i="60"/>
  <c r="BD32" i="60"/>
  <c r="BD31" i="60"/>
  <c r="BD30" i="60"/>
  <c r="BD29" i="60"/>
  <c r="BD28" i="60"/>
  <c r="BD27" i="60"/>
  <c r="BD26" i="60"/>
  <c r="BD25" i="60"/>
  <c r="BD24" i="60"/>
  <c r="BD23" i="60"/>
  <c r="BD22" i="60"/>
  <c r="BD21" i="60"/>
  <c r="BD20" i="60"/>
  <c r="BD19" i="60"/>
  <c r="BD18" i="60"/>
  <c r="BD17" i="60"/>
  <c r="BD16" i="60"/>
  <c r="BD15" i="60"/>
  <c r="BD14" i="60"/>
  <c r="BD13" i="60"/>
  <c r="BD12" i="60"/>
  <c r="BD11" i="60"/>
  <c r="BD10" i="60"/>
  <c r="BD9" i="60"/>
  <c r="BD8" i="60"/>
  <c r="BD7" i="60"/>
  <c r="BP119" i="60" l="1"/>
  <c r="BN119" i="60"/>
  <c r="BP118" i="60"/>
  <c r="BL118" i="60"/>
  <c r="BN118" i="60"/>
  <c r="BG118" i="60"/>
  <c r="BE118" i="60"/>
  <c r="BM118" i="60"/>
  <c r="BP117" i="60"/>
  <c r="BM117" i="60"/>
  <c r="BL117" i="60"/>
  <c r="BJ117" i="60"/>
  <c r="BG117" i="60"/>
  <c r="BE117" i="60"/>
  <c r="BP116" i="60"/>
  <c r="BN116" i="60"/>
  <c r="BG116" i="60"/>
  <c r="BP115" i="60"/>
  <c r="BL115" i="60"/>
  <c r="BJ115" i="60"/>
  <c r="BN115" i="60"/>
  <c r="BP114" i="60"/>
  <c r="BM114" i="60"/>
  <c r="BL114" i="60"/>
  <c r="BJ114" i="60"/>
  <c r="BG114" i="60"/>
  <c r="BP113" i="60"/>
  <c r="BL113" i="60"/>
  <c r="BJ113" i="60"/>
  <c r="BN113" i="60"/>
  <c r="BP112" i="60"/>
  <c r="BN112" i="60"/>
  <c r="BP111" i="60"/>
  <c r="BN111" i="60"/>
  <c r="BP110" i="60"/>
  <c r="BJ110" i="60"/>
  <c r="BL110" i="60"/>
  <c r="BN110" i="60"/>
  <c r="BE110" i="60"/>
  <c r="BP109" i="60"/>
  <c r="BN109" i="60"/>
  <c r="BP108" i="60"/>
  <c r="BJ108" i="60"/>
  <c r="BN108" i="60"/>
  <c r="BM108" i="60"/>
  <c r="BP107" i="60"/>
  <c r="BL107" i="60"/>
  <c r="BG107" i="60"/>
  <c r="BP106" i="60"/>
  <c r="BN106" i="60"/>
  <c r="BL106" i="60"/>
  <c r="BP105" i="60"/>
  <c r="BM105" i="60"/>
  <c r="BL105" i="60"/>
  <c r="BG105" i="60"/>
  <c r="BP104" i="60"/>
  <c r="BE104" i="60"/>
  <c r="BG104" i="60"/>
  <c r="BP103" i="60"/>
  <c r="BM103" i="60"/>
  <c r="BQ103" i="60" s="1"/>
  <c r="BL103" i="60"/>
  <c r="BJ103" i="60"/>
  <c r="BG103" i="60"/>
  <c r="BN103" i="60"/>
  <c r="BP102" i="60"/>
  <c r="BL102" i="60"/>
  <c r="BG102" i="60"/>
  <c r="BP101" i="60"/>
  <c r="BM101" i="60"/>
  <c r="BL101" i="60"/>
  <c r="BJ101" i="60"/>
  <c r="BE101" i="60"/>
  <c r="BG101" i="60"/>
  <c r="BP100" i="60"/>
  <c r="BN100" i="60"/>
  <c r="BM100" i="60"/>
  <c r="BG100" i="60"/>
  <c r="BE100" i="60"/>
  <c r="BP99" i="60"/>
  <c r="BN99" i="60"/>
  <c r="BP98" i="60"/>
  <c r="BP97" i="60"/>
  <c r="BQ97" i="60" s="1"/>
  <c r="BN97" i="60"/>
  <c r="BL97" i="60"/>
  <c r="BJ97" i="60"/>
  <c r="BG97" i="60"/>
  <c r="BE97" i="60"/>
  <c r="BM97" i="60"/>
  <c r="BP96" i="60"/>
  <c r="BM96" i="60"/>
  <c r="BL96" i="60"/>
  <c r="BN96" i="60"/>
  <c r="BO96" i="60" s="1"/>
  <c r="BP95" i="60"/>
  <c r="BN95" i="60"/>
  <c r="BG95" i="60"/>
  <c r="BE95" i="60"/>
  <c r="BP94" i="60"/>
  <c r="BL94" i="60"/>
  <c r="BG94" i="60"/>
  <c r="BP93" i="60"/>
  <c r="BL93" i="60"/>
  <c r="BM93" i="60"/>
  <c r="BG93" i="60"/>
  <c r="BP92" i="60"/>
  <c r="BM92" i="60"/>
  <c r="BL92" i="60"/>
  <c r="BN92" i="60"/>
  <c r="BG92" i="60"/>
  <c r="BP91" i="60"/>
  <c r="BM91" i="60"/>
  <c r="BL91" i="60"/>
  <c r="BJ91" i="60"/>
  <c r="BG91" i="60"/>
  <c r="BP90" i="60"/>
  <c r="BL90" i="60"/>
  <c r="BJ90" i="60"/>
  <c r="BN90" i="60"/>
  <c r="BG90" i="60"/>
  <c r="BP89" i="60"/>
  <c r="BM89" i="60"/>
  <c r="BL89" i="60"/>
  <c r="BJ89" i="60"/>
  <c r="BP88" i="60"/>
  <c r="BM88" i="60"/>
  <c r="BJ88" i="60"/>
  <c r="BL88" i="60"/>
  <c r="BN88" i="60"/>
  <c r="BE88" i="60"/>
  <c r="BP87" i="60"/>
  <c r="BP86" i="60"/>
  <c r="BJ86" i="60"/>
  <c r="BL86" i="60"/>
  <c r="BN86" i="60"/>
  <c r="BP85" i="60"/>
  <c r="BL85" i="60"/>
  <c r="BN85" i="60"/>
  <c r="BE85" i="60"/>
  <c r="BM85" i="60"/>
  <c r="BP84" i="60"/>
  <c r="BM84" i="60"/>
  <c r="BL84" i="60"/>
  <c r="BN84" i="60"/>
  <c r="BP83" i="60"/>
  <c r="BM83" i="60"/>
  <c r="BN83" i="60"/>
  <c r="BL83" i="60"/>
  <c r="BG83" i="60"/>
  <c r="BE83" i="60"/>
  <c r="BP82" i="60"/>
  <c r="BJ82" i="60"/>
  <c r="BG82" i="60"/>
  <c r="BP81" i="60"/>
  <c r="BG81" i="60"/>
  <c r="BP80" i="60"/>
  <c r="BL80" i="60"/>
  <c r="BE80" i="60"/>
  <c r="BP79" i="60"/>
  <c r="BL79" i="60"/>
  <c r="BJ79" i="60"/>
  <c r="BN79" i="60"/>
  <c r="BP78" i="60"/>
  <c r="BM78" i="60"/>
  <c r="BL78" i="60"/>
  <c r="BJ78" i="60"/>
  <c r="BN78" i="60"/>
  <c r="BG78" i="60"/>
  <c r="BP77" i="60"/>
  <c r="BM77" i="60"/>
  <c r="BL77" i="60"/>
  <c r="BG77" i="60"/>
  <c r="BE77" i="60"/>
  <c r="BP76" i="60"/>
  <c r="BG76" i="60"/>
  <c r="BP75" i="60"/>
  <c r="BN75" i="60"/>
  <c r="BP74" i="60"/>
  <c r="BM74" i="60"/>
  <c r="BJ74" i="60"/>
  <c r="BL74" i="60"/>
  <c r="BG74" i="60"/>
  <c r="BP73" i="60"/>
  <c r="BL73" i="60"/>
  <c r="BJ73" i="60"/>
  <c r="BN73" i="60"/>
  <c r="BP72" i="60"/>
  <c r="BM72" i="60"/>
  <c r="BL72" i="60"/>
  <c r="BG72" i="60"/>
  <c r="BP71" i="60"/>
  <c r="BG71" i="60"/>
  <c r="BE71" i="60"/>
  <c r="BP70" i="60"/>
  <c r="BG70" i="60"/>
  <c r="BP69" i="60"/>
  <c r="BM69" i="60"/>
  <c r="BG69" i="60"/>
  <c r="BP68" i="60"/>
  <c r="BM68" i="60"/>
  <c r="BL68" i="60"/>
  <c r="BN68" i="60"/>
  <c r="BJ68" i="60"/>
  <c r="BE68" i="60"/>
  <c r="BG68" i="60"/>
  <c r="BP67" i="60"/>
  <c r="BM67" i="60"/>
  <c r="BL67" i="60"/>
  <c r="BJ67" i="60"/>
  <c r="BN67" i="60"/>
  <c r="BE67" i="60"/>
  <c r="BP66" i="60"/>
  <c r="BN66" i="60"/>
  <c r="BM66" i="60"/>
  <c r="BL66" i="60"/>
  <c r="BJ66" i="60"/>
  <c r="BG66" i="60"/>
  <c r="BP65" i="60"/>
  <c r="BM65" i="60"/>
  <c r="BL65" i="60"/>
  <c r="BJ65" i="60"/>
  <c r="BG65" i="60"/>
  <c r="BE65" i="60"/>
  <c r="BP64" i="60"/>
  <c r="BL64" i="60"/>
  <c r="BG64" i="60"/>
  <c r="BE64" i="60"/>
  <c r="BP63" i="60"/>
  <c r="BN63" i="60"/>
  <c r="BM63" i="60"/>
  <c r="BP62" i="60"/>
  <c r="BJ62" i="60"/>
  <c r="BL62" i="60"/>
  <c r="BG62" i="60"/>
  <c r="BN62" i="60"/>
  <c r="BM62" i="60"/>
  <c r="BP61" i="60"/>
  <c r="BL61" i="60"/>
  <c r="BN61" i="60"/>
  <c r="BP60" i="60"/>
  <c r="BJ60" i="60"/>
  <c r="BL60" i="60"/>
  <c r="BM60" i="60"/>
  <c r="BP59" i="60"/>
  <c r="BG59" i="60"/>
  <c r="BE59" i="60"/>
  <c r="BP58" i="60"/>
  <c r="BN58" i="60"/>
  <c r="BL58" i="60"/>
  <c r="BG58" i="60"/>
  <c r="BE58" i="60"/>
  <c r="BP57" i="60"/>
  <c r="BG57" i="60"/>
  <c r="BP56" i="60"/>
  <c r="BL56" i="60"/>
  <c r="BP55" i="60"/>
  <c r="BN55" i="60"/>
  <c r="BL55" i="60"/>
  <c r="BJ55" i="60"/>
  <c r="BG55" i="60"/>
  <c r="BP54" i="60"/>
  <c r="BJ54" i="60"/>
  <c r="BL54" i="60"/>
  <c r="BN54" i="60"/>
  <c r="BP53" i="60"/>
  <c r="BL53" i="60"/>
  <c r="BJ53" i="60"/>
  <c r="BM53" i="60"/>
  <c r="BP52" i="60"/>
  <c r="BG52" i="60"/>
  <c r="BE52" i="60"/>
  <c r="BP51" i="60"/>
  <c r="BN51" i="60"/>
  <c r="BM51" i="60"/>
  <c r="BP50" i="60"/>
  <c r="BJ50" i="60"/>
  <c r="BL50" i="60"/>
  <c r="BG50" i="60"/>
  <c r="BN50" i="60"/>
  <c r="BM50" i="60"/>
  <c r="BP49" i="60"/>
  <c r="BL49" i="60"/>
  <c r="BJ49" i="60"/>
  <c r="BN49" i="60"/>
  <c r="BP48" i="60"/>
  <c r="BL48" i="60"/>
  <c r="BJ48" i="60"/>
  <c r="BP47" i="60"/>
  <c r="BM47" i="60"/>
  <c r="BL47" i="60"/>
  <c r="BJ47" i="60"/>
  <c r="BG47" i="60"/>
  <c r="BE47" i="60"/>
  <c r="BP46" i="60"/>
  <c r="BM46" i="60"/>
  <c r="BL46" i="60"/>
  <c r="BJ46" i="60"/>
  <c r="BN46" i="60"/>
  <c r="BG46" i="60"/>
  <c r="BP45" i="60"/>
  <c r="BN45" i="60"/>
  <c r="BM45" i="60"/>
  <c r="BL45" i="60"/>
  <c r="BJ45" i="60"/>
  <c r="BG45" i="60"/>
  <c r="BE45" i="60"/>
  <c r="BP44" i="60"/>
  <c r="BM44" i="60"/>
  <c r="BL44" i="60"/>
  <c r="BJ44" i="60"/>
  <c r="BN44" i="60"/>
  <c r="BP43" i="60"/>
  <c r="BM43" i="60"/>
  <c r="BL43" i="60"/>
  <c r="BN43" i="60"/>
  <c r="BP42" i="60"/>
  <c r="BM42" i="60"/>
  <c r="BL42" i="60"/>
  <c r="BJ42" i="60"/>
  <c r="BN42" i="60"/>
  <c r="BP41" i="60"/>
  <c r="BM41" i="60"/>
  <c r="BL41" i="60"/>
  <c r="BJ41" i="60"/>
  <c r="BP40" i="60"/>
  <c r="BN40" i="60"/>
  <c r="BM40" i="60"/>
  <c r="BP39" i="60"/>
  <c r="BP38" i="60"/>
  <c r="BM38" i="60"/>
  <c r="BL38" i="60"/>
  <c r="BG38" i="60"/>
  <c r="BE38" i="60"/>
  <c r="BP37" i="60"/>
  <c r="BL37" i="60"/>
  <c r="BJ37" i="60"/>
  <c r="BG37" i="60"/>
  <c r="BE37" i="60"/>
  <c r="BP36" i="60"/>
  <c r="BM36" i="60"/>
  <c r="BL36" i="60"/>
  <c r="BJ36" i="60"/>
  <c r="BG36" i="60"/>
  <c r="BP35" i="60"/>
  <c r="BN35" i="60"/>
  <c r="BM35" i="60"/>
  <c r="BG35" i="60"/>
  <c r="BE35" i="60"/>
  <c r="BP34" i="60"/>
  <c r="BM34" i="60"/>
  <c r="BL34" i="60"/>
  <c r="BJ34" i="60"/>
  <c r="BG34" i="60"/>
  <c r="BN34" i="60"/>
  <c r="BP33" i="60"/>
  <c r="BN33" i="60"/>
  <c r="BM33" i="60"/>
  <c r="BL33" i="60"/>
  <c r="BJ33" i="60"/>
  <c r="BG33" i="60"/>
  <c r="BE33" i="60"/>
  <c r="BP32" i="60"/>
  <c r="BM32" i="60"/>
  <c r="BE32" i="60"/>
  <c r="BG32" i="60"/>
  <c r="BP31" i="60"/>
  <c r="BM31" i="60"/>
  <c r="BL31" i="60"/>
  <c r="BJ31" i="60"/>
  <c r="BG31" i="60"/>
  <c r="BN31" i="60"/>
  <c r="BO31" i="60" s="1"/>
  <c r="BP30" i="60"/>
  <c r="BJ30" i="60"/>
  <c r="BL30" i="60"/>
  <c r="BN30" i="60"/>
  <c r="BG30" i="60"/>
  <c r="BP29" i="60"/>
  <c r="BL29" i="60"/>
  <c r="BJ29" i="60"/>
  <c r="BM29" i="60"/>
  <c r="BP28" i="60"/>
  <c r="BL28" i="60"/>
  <c r="BN28" i="60"/>
  <c r="BM28" i="60"/>
  <c r="BP27" i="60"/>
  <c r="BJ27" i="60"/>
  <c r="BP26" i="60"/>
  <c r="BM26" i="60"/>
  <c r="BJ26" i="60"/>
  <c r="BL26" i="60"/>
  <c r="BN26" i="60"/>
  <c r="BG26" i="60"/>
  <c r="BP25" i="60"/>
  <c r="BL25" i="60"/>
  <c r="BG25" i="60"/>
  <c r="BP24" i="60"/>
  <c r="BL24" i="60"/>
  <c r="BG24" i="60"/>
  <c r="BN24" i="60"/>
  <c r="BP23" i="60"/>
  <c r="BG23" i="60"/>
  <c r="BE23" i="60"/>
  <c r="BP22" i="60"/>
  <c r="BN22" i="60"/>
  <c r="BP21" i="60"/>
  <c r="BG21" i="60"/>
  <c r="BE21" i="60"/>
  <c r="BP20" i="60"/>
  <c r="BE20" i="60"/>
  <c r="BP19" i="60"/>
  <c r="BL19" i="60"/>
  <c r="BJ19" i="60"/>
  <c r="BP18" i="60"/>
  <c r="BL18" i="60"/>
  <c r="BN18" i="60"/>
  <c r="BP17" i="60"/>
  <c r="BL17" i="60"/>
  <c r="BJ17" i="60"/>
  <c r="BM17" i="60"/>
  <c r="BP16" i="60"/>
  <c r="BN16" i="60"/>
  <c r="BM16" i="60"/>
  <c r="BP15" i="60"/>
  <c r="BN15" i="60"/>
  <c r="BG15" i="60"/>
  <c r="BP14" i="60"/>
  <c r="BM14" i="60"/>
  <c r="BJ14" i="60"/>
  <c r="BL14" i="60"/>
  <c r="BN14" i="60"/>
  <c r="BG14" i="60"/>
  <c r="BP13" i="60"/>
  <c r="BL13" i="60"/>
  <c r="BJ13" i="60"/>
  <c r="BN13" i="60"/>
  <c r="BP12" i="60"/>
  <c r="BM12" i="60"/>
  <c r="BL12" i="60"/>
  <c r="BJ12" i="60"/>
  <c r="BG12" i="60"/>
  <c r="BP11" i="60"/>
  <c r="BM11" i="60"/>
  <c r="BG11" i="60"/>
  <c r="BE11" i="60"/>
  <c r="BP10" i="60"/>
  <c r="BM10" i="60"/>
  <c r="BQ10" i="60" s="1"/>
  <c r="BL10" i="60"/>
  <c r="BN10" i="60"/>
  <c r="BE10" i="60"/>
  <c r="BG10" i="60"/>
  <c r="BP9" i="60"/>
  <c r="BM9" i="60"/>
  <c r="BL9" i="60"/>
  <c r="BG9" i="60"/>
  <c r="BE9" i="60"/>
  <c r="BP8" i="60"/>
  <c r="BL8" i="60"/>
  <c r="BJ8" i="60"/>
  <c r="BP7" i="60"/>
  <c r="BL7" i="60"/>
  <c r="BJ7" i="60"/>
  <c r="BN7" i="60"/>
  <c r="BS7" i="60"/>
  <c r="BS8" i="60"/>
  <c r="BS9" i="60"/>
  <c r="BS10" i="60"/>
  <c r="BS11" i="60"/>
  <c r="BS12" i="60"/>
  <c r="BS13" i="60"/>
  <c r="BS14" i="60"/>
  <c r="BS15" i="60"/>
  <c r="BS16" i="60"/>
  <c r="BS17" i="60"/>
  <c r="BS18" i="60"/>
  <c r="BS19" i="60"/>
  <c r="BS20" i="60"/>
  <c r="BS21" i="60"/>
  <c r="BS22" i="60"/>
  <c r="BS23" i="60"/>
  <c r="BS24" i="60"/>
  <c r="BS25" i="60"/>
  <c r="BS26" i="60"/>
  <c r="BS27" i="60"/>
  <c r="BS28" i="60"/>
  <c r="BS29" i="60"/>
  <c r="BS30" i="60"/>
  <c r="BS31" i="60"/>
  <c r="BS32" i="60"/>
  <c r="BS33" i="60"/>
  <c r="BS34" i="60"/>
  <c r="BS35" i="60"/>
  <c r="BS36" i="60"/>
  <c r="BS37" i="60"/>
  <c r="BS38" i="60"/>
  <c r="BS39" i="60"/>
  <c r="BS40" i="60"/>
  <c r="BS41" i="60"/>
  <c r="BS42" i="60"/>
  <c r="BS43" i="60"/>
  <c r="BS44" i="60"/>
  <c r="BS45" i="60"/>
  <c r="BS46" i="60"/>
  <c r="BS47" i="60"/>
  <c r="BS48" i="60"/>
  <c r="BS49" i="60"/>
  <c r="BS50" i="60"/>
  <c r="BS51" i="60"/>
  <c r="BS52" i="60"/>
  <c r="BS53" i="60"/>
  <c r="BS54" i="60"/>
  <c r="BS55" i="60"/>
  <c r="BS56" i="60"/>
  <c r="BS57" i="60"/>
  <c r="BS58" i="60"/>
  <c r="BS59" i="60"/>
  <c r="BS60" i="60"/>
  <c r="BS61" i="60"/>
  <c r="BS62" i="60"/>
  <c r="BS63" i="60"/>
  <c r="BS64" i="60"/>
  <c r="BS65" i="60"/>
  <c r="BS66" i="60"/>
  <c r="BS67" i="60"/>
  <c r="BS68" i="60"/>
  <c r="BS69" i="60"/>
  <c r="BS70" i="60"/>
  <c r="BS71" i="60"/>
  <c r="BS72" i="60"/>
  <c r="BS73" i="60"/>
  <c r="BS74" i="60"/>
  <c r="BS75" i="60"/>
  <c r="BS76" i="60"/>
  <c r="BS77" i="60"/>
  <c r="BS78" i="60"/>
  <c r="BS79" i="60"/>
  <c r="BS80" i="60"/>
  <c r="BS81" i="60"/>
  <c r="BS82" i="60"/>
  <c r="BS83" i="60"/>
  <c r="BS84" i="60"/>
  <c r="BS85" i="60"/>
  <c r="BS86" i="60"/>
  <c r="BS87" i="60"/>
  <c r="BS88" i="60"/>
  <c r="BS89" i="60"/>
  <c r="BS90" i="60"/>
  <c r="BS91" i="60"/>
  <c r="BS92" i="60"/>
  <c r="BS93" i="60"/>
  <c r="BS94" i="60"/>
  <c r="BS95" i="60"/>
  <c r="BS96" i="60"/>
  <c r="BS97" i="60"/>
  <c r="BS98" i="60"/>
  <c r="BS99" i="60"/>
  <c r="BS100" i="60"/>
  <c r="BS101" i="60"/>
  <c r="BS102" i="60"/>
  <c r="BS103" i="60"/>
  <c r="BS104" i="60"/>
  <c r="BS105" i="60"/>
  <c r="BS106" i="60"/>
  <c r="BS107" i="60"/>
  <c r="BS108" i="60"/>
  <c r="BS109" i="60"/>
  <c r="BS110" i="60"/>
  <c r="BS111" i="60"/>
  <c r="BS112" i="60"/>
  <c r="BS113" i="60"/>
  <c r="BS114" i="60"/>
  <c r="BS115" i="60"/>
  <c r="BS116" i="60"/>
  <c r="BS117" i="60"/>
  <c r="BS118" i="60"/>
  <c r="BS119" i="60"/>
  <c r="BQ84" i="60" l="1"/>
  <c r="BQ9" i="60"/>
  <c r="BQ96" i="60"/>
  <c r="BQ69" i="60"/>
  <c r="BQ14" i="60"/>
  <c r="BQ46" i="60"/>
  <c r="BQ31" i="60"/>
  <c r="BQ45" i="60"/>
  <c r="BQ74" i="60"/>
  <c r="BQ44" i="60"/>
  <c r="BQ36" i="60"/>
  <c r="BQ67" i="60"/>
  <c r="BN20" i="60"/>
  <c r="BJ83" i="60"/>
  <c r="BJ85" i="60"/>
  <c r="BN104" i="60"/>
  <c r="BN9" i="60"/>
  <c r="BO9" i="60" s="1"/>
  <c r="BE34" i="60"/>
  <c r="BN32" i="60"/>
  <c r="BO32" i="60" s="1"/>
  <c r="BN56" i="60"/>
  <c r="BE24" i="60"/>
  <c r="BN71" i="60"/>
  <c r="BO26" i="60"/>
  <c r="BN29" i="60"/>
  <c r="BO29" i="60" s="1"/>
  <c r="BN41" i="60"/>
  <c r="BO41" i="60" s="1"/>
  <c r="BN48" i="60"/>
  <c r="BN76" i="60"/>
  <c r="BQ117" i="60"/>
  <c r="BE46" i="60"/>
  <c r="BN52" i="60"/>
  <c r="BQ60" i="60"/>
  <c r="BN64" i="60"/>
  <c r="BN80" i="60"/>
  <c r="BO85" i="60"/>
  <c r="BN59" i="60"/>
  <c r="BO88" i="60"/>
  <c r="BN27" i="60"/>
  <c r="BN74" i="60"/>
  <c r="BO74" i="60" s="1"/>
  <c r="BN101" i="60"/>
  <c r="BO101" i="60" s="1"/>
  <c r="BN39" i="60"/>
  <c r="BN70" i="60"/>
  <c r="BJ118" i="60"/>
  <c r="BN11" i="60"/>
  <c r="BO11" i="60" s="1"/>
  <c r="BN21" i="60"/>
  <c r="BN47" i="60"/>
  <c r="BO47" i="60" s="1"/>
  <c r="BN82" i="60"/>
  <c r="BE86" i="60"/>
  <c r="BN94" i="60"/>
  <c r="BQ12" i="60"/>
  <c r="BQ38" i="60"/>
  <c r="BQ41" i="60"/>
  <c r="BQ43" i="60"/>
  <c r="BQ51" i="60"/>
  <c r="BQ66" i="60"/>
  <c r="BN87" i="60"/>
  <c r="BO103" i="60"/>
  <c r="BO67" i="60"/>
  <c r="BO44" i="60"/>
  <c r="BQ32" i="60"/>
  <c r="BQ40" i="60"/>
  <c r="BO40" i="60"/>
  <c r="BQ35" i="60"/>
  <c r="BO35" i="60"/>
  <c r="BQ11" i="60"/>
  <c r="BQ100" i="60"/>
  <c r="BO100" i="60"/>
  <c r="BQ105" i="60"/>
  <c r="BM27" i="60"/>
  <c r="BE27" i="60"/>
  <c r="BJ43" i="60"/>
  <c r="BO46" i="60"/>
  <c r="BG48" i="60"/>
  <c r="BM48" i="60"/>
  <c r="BE48" i="60"/>
  <c r="BL52" i="60"/>
  <c r="BJ52" i="60"/>
  <c r="BJ64" i="60"/>
  <c r="BL71" i="60"/>
  <c r="BJ71" i="60"/>
  <c r="BM71" i="60"/>
  <c r="BE81" i="60"/>
  <c r="BN81" i="60"/>
  <c r="BE90" i="60"/>
  <c r="BN8" i="60"/>
  <c r="BE18" i="60"/>
  <c r="BN19" i="60"/>
  <c r="BL22" i="60"/>
  <c r="BJ22" i="60"/>
  <c r="BJ25" i="60"/>
  <c r="BE63" i="60"/>
  <c r="BM64" i="60"/>
  <c r="BM70" i="60"/>
  <c r="BE70" i="60"/>
  <c r="BL76" i="60"/>
  <c r="BJ76" i="60"/>
  <c r="BM87" i="60"/>
  <c r="BG87" i="60"/>
  <c r="BE87" i="60"/>
  <c r="BQ88" i="60"/>
  <c r="BQ101" i="60"/>
  <c r="BE108" i="60"/>
  <c r="BG8" i="60"/>
  <c r="BE8" i="60"/>
  <c r="BM8" i="60"/>
  <c r="BQ16" i="60"/>
  <c r="BO16" i="60"/>
  <c r="BJ9" i="60"/>
  <c r="BQ34" i="60"/>
  <c r="BO34" i="60"/>
  <c r="BM49" i="60"/>
  <c r="BG49" i="60"/>
  <c r="BM104" i="60"/>
  <c r="BL104" i="60"/>
  <c r="BO10" i="60"/>
  <c r="BO14" i="60"/>
  <c r="BN17" i="60"/>
  <c r="BO17" i="60" s="1"/>
  <c r="BJ20" i="60"/>
  <c r="BE28" i="60"/>
  <c r="BQ33" i="60"/>
  <c r="BO33" i="60"/>
  <c r="BG40" i="60"/>
  <c r="BE40" i="60"/>
  <c r="BL59" i="60"/>
  <c r="BJ59" i="60"/>
  <c r="BE79" i="60"/>
  <c r="BG79" i="60"/>
  <c r="BM22" i="60"/>
  <c r="BG22" i="60"/>
  <c r="BG28" i="60"/>
  <c r="BL32" i="60"/>
  <c r="BM61" i="60"/>
  <c r="BE61" i="60"/>
  <c r="BG61" i="60"/>
  <c r="BQ65" i="60"/>
  <c r="BE7" i="60"/>
  <c r="BG7" i="60"/>
  <c r="BQ26" i="60"/>
  <c r="BN53" i="60"/>
  <c r="BO53" i="60" s="1"/>
  <c r="BM59" i="60"/>
  <c r="BQ63" i="60"/>
  <c r="BO63" i="60"/>
  <c r="BL82" i="60"/>
  <c r="BM110" i="60"/>
  <c r="BG110" i="60"/>
  <c r="BE22" i="60"/>
  <c r="BE30" i="60"/>
  <c r="BQ17" i="60"/>
  <c r="BG27" i="60"/>
  <c r="BE51" i="60"/>
  <c r="BG54" i="60"/>
  <c r="BM54" i="60"/>
  <c r="BE54" i="60"/>
  <c r="BL81" i="60"/>
  <c r="BM81" i="60"/>
  <c r="BJ81" i="60"/>
  <c r="BM39" i="60"/>
  <c r="BE39" i="60"/>
  <c r="BG39" i="60"/>
  <c r="BG51" i="60"/>
  <c r="BJ58" i="60"/>
  <c r="BJ87" i="60"/>
  <c r="BL87" i="60"/>
  <c r="BJ11" i="60"/>
  <c r="BE14" i="60"/>
  <c r="BE17" i="60"/>
  <c r="BM30" i="60"/>
  <c r="BJ35" i="60"/>
  <c r="BO43" i="60"/>
  <c r="BQ50" i="60"/>
  <c r="BO50" i="60"/>
  <c r="BO62" i="60"/>
  <c r="BQ62" i="60"/>
  <c r="BN72" i="60"/>
  <c r="BO72" i="60" s="1"/>
  <c r="BO84" i="60"/>
  <c r="BG113" i="60"/>
  <c r="BM113" i="60"/>
  <c r="BL11" i="60"/>
  <c r="BM13" i="60"/>
  <c r="BG13" i="60"/>
  <c r="BE13" i="60"/>
  <c r="BG17" i="60"/>
  <c r="BG29" i="60"/>
  <c r="BL35" i="60"/>
  <c r="BJ39" i="60"/>
  <c r="BL39" i="60"/>
  <c r="BQ42" i="60"/>
  <c r="BO42" i="60"/>
  <c r="BE72" i="60"/>
  <c r="BG80" i="60"/>
  <c r="BM80" i="60"/>
  <c r="BM86" i="60"/>
  <c r="BG86" i="60"/>
  <c r="BL95" i="60"/>
  <c r="BM95" i="60"/>
  <c r="BJ95" i="60"/>
  <c r="BN102" i="60"/>
  <c r="BE102" i="60"/>
  <c r="BJ105" i="60"/>
  <c r="BQ28" i="60"/>
  <c r="BO28" i="60"/>
  <c r="BE69" i="60"/>
  <c r="BN69" i="60"/>
  <c r="BO69" i="60" s="1"/>
  <c r="BQ78" i="60"/>
  <c r="BO78" i="60"/>
  <c r="BO92" i="60"/>
  <c r="BQ92" i="60"/>
  <c r="BL111" i="60"/>
  <c r="BJ111" i="60"/>
  <c r="BQ83" i="60"/>
  <c r="BO83" i="60"/>
  <c r="BL109" i="60"/>
  <c r="BJ109" i="60"/>
  <c r="BE16" i="60"/>
  <c r="BJ32" i="60"/>
  <c r="BQ47" i="60"/>
  <c r="BG56" i="60"/>
  <c r="BM56" i="60"/>
  <c r="BE56" i="60"/>
  <c r="BO66" i="60"/>
  <c r="BQ72" i="60"/>
  <c r="BJ77" i="60"/>
  <c r="BN77" i="60"/>
  <c r="BQ89" i="60"/>
  <c r="BG16" i="60"/>
  <c r="BE49" i="60"/>
  <c r="BE76" i="60"/>
  <c r="BM76" i="60"/>
  <c r="BJ104" i="60"/>
  <c r="BL40" i="60"/>
  <c r="BJ40" i="60"/>
  <c r="BE55" i="60"/>
  <c r="BM55" i="60"/>
  <c r="BN65" i="60"/>
  <c r="BO65" i="60" s="1"/>
  <c r="BO77" i="60"/>
  <c r="BQ77" i="60"/>
  <c r="BQ108" i="60"/>
  <c r="BO108" i="60"/>
  <c r="BM15" i="60"/>
  <c r="BE15" i="60"/>
  <c r="BQ29" i="60"/>
  <c r="BN37" i="60"/>
  <c r="BO45" i="60"/>
  <c r="BG63" i="60"/>
  <c r="BM79" i="60"/>
  <c r="BG89" i="60"/>
  <c r="BE89" i="60"/>
  <c r="BL100" i="60"/>
  <c r="BJ100" i="60"/>
  <c r="BG108" i="60"/>
  <c r="BG41" i="60"/>
  <c r="BE41" i="60"/>
  <c r="BJ63" i="60"/>
  <c r="BL63" i="60"/>
  <c r="BO68" i="60"/>
  <c r="BQ68" i="60"/>
  <c r="BJ18" i="60"/>
  <c r="BE29" i="60"/>
  <c r="BJ51" i="60"/>
  <c r="BL51" i="60"/>
  <c r="BE57" i="60"/>
  <c r="BN57" i="60"/>
  <c r="BL70" i="60"/>
  <c r="BJ70" i="60"/>
  <c r="BQ85" i="60"/>
  <c r="BJ10" i="60"/>
  <c r="BN23" i="60"/>
  <c r="BJ24" i="60"/>
  <c r="BE50" i="60"/>
  <c r="BO51" i="60"/>
  <c r="BQ53" i="60"/>
  <c r="BM57" i="60"/>
  <c r="BL57" i="60"/>
  <c r="BJ57" i="60"/>
  <c r="BE62" i="60"/>
  <c r="BN91" i="60"/>
  <c r="BO91" i="60" s="1"/>
  <c r="BJ92" i="60"/>
  <c r="BE113" i="60"/>
  <c r="BQ114" i="60"/>
  <c r="BM116" i="60"/>
  <c r="BL116" i="60"/>
  <c r="BJ116" i="60"/>
  <c r="BL16" i="60"/>
  <c r="BJ16" i="60"/>
  <c r="BL23" i="60"/>
  <c r="BJ23" i="60"/>
  <c r="BM75" i="60"/>
  <c r="BG75" i="60"/>
  <c r="BQ91" i="60"/>
  <c r="BM106" i="60"/>
  <c r="BG106" i="60"/>
  <c r="BE106" i="60"/>
  <c r="BG115" i="60"/>
  <c r="BE115" i="60"/>
  <c r="BM115" i="60"/>
  <c r="BE93" i="60"/>
  <c r="BN93" i="60"/>
  <c r="BO93" i="60" s="1"/>
  <c r="BE26" i="60"/>
  <c r="BJ28" i="60"/>
  <c r="BG44" i="60"/>
  <c r="BE44" i="60"/>
  <c r="BE75" i="60"/>
  <c r="BJ94" i="60"/>
  <c r="BN12" i="60"/>
  <c r="BO12" i="60" s="1"/>
  <c r="BE19" i="60"/>
  <c r="BM19" i="60"/>
  <c r="BM25" i="60"/>
  <c r="BJ56" i="60"/>
  <c r="BG67" i="60"/>
  <c r="BJ69" i="60"/>
  <c r="BE74" i="60"/>
  <c r="BM90" i="60"/>
  <c r="BQ93" i="60"/>
  <c r="BJ102" i="60"/>
  <c r="BJ107" i="60"/>
  <c r="BM109" i="60"/>
  <c r="BG109" i="60"/>
  <c r="BE12" i="60"/>
  <c r="BN25" i="60"/>
  <c r="BL27" i="60"/>
  <c r="BG42" i="60"/>
  <c r="BE42" i="60"/>
  <c r="BM52" i="60"/>
  <c r="BE53" i="60"/>
  <c r="BG60" i="60"/>
  <c r="BE66" i="60"/>
  <c r="BL69" i="60"/>
  <c r="BE78" i="60"/>
  <c r="BG88" i="60"/>
  <c r="BM102" i="60"/>
  <c r="BJ106" i="60"/>
  <c r="BM107" i="60"/>
  <c r="BJ15" i="60"/>
  <c r="BL15" i="60"/>
  <c r="BG20" i="60"/>
  <c r="BM20" i="60"/>
  <c r="BM23" i="60"/>
  <c r="BN36" i="60"/>
  <c r="BO36" i="60" s="1"/>
  <c r="BN60" i="60"/>
  <c r="BO60" i="60" s="1"/>
  <c r="BJ80" i="60"/>
  <c r="BG84" i="60"/>
  <c r="BE84" i="60"/>
  <c r="BM21" i="60"/>
  <c r="BL21" i="60"/>
  <c r="BE36" i="60"/>
  <c r="BE43" i="60"/>
  <c r="BG43" i="60"/>
  <c r="BE60" i="60"/>
  <c r="BM73" i="60"/>
  <c r="BG73" i="60"/>
  <c r="BJ75" i="60"/>
  <c r="BL75" i="60"/>
  <c r="BG18" i="60"/>
  <c r="BM18" i="60"/>
  <c r="BG19" i="60"/>
  <c r="BL20" i="60"/>
  <c r="BJ21" i="60"/>
  <c r="BM24" i="60"/>
  <c r="BE25" i="60"/>
  <c r="BE31" i="60"/>
  <c r="BJ38" i="60"/>
  <c r="BG53" i="60"/>
  <c r="BM58" i="60"/>
  <c r="BJ61" i="60"/>
  <c r="BE73" i="60"/>
  <c r="BE91" i="60"/>
  <c r="BE92" i="60"/>
  <c r="BJ93" i="60"/>
  <c r="BG96" i="60"/>
  <c r="BE96" i="60"/>
  <c r="BE109" i="60"/>
  <c r="BE114" i="60"/>
  <c r="BN114" i="60"/>
  <c r="BO114" i="60" s="1"/>
  <c r="BO97" i="60"/>
  <c r="BN98" i="60"/>
  <c r="BQ118" i="60"/>
  <c r="BO118" i="60"/>
  <c r="BM82" i="60"/>
  <c r="BG85" i="60"/>
  <c r="BN89" i="60"/>
  <c r="BO89" i="60" s="1"/>
  <c r="BM94" i="60"/>
  <c r="BN107" i="60"/>
  <c r="BM111" i="60"/>
  <c r="BG111" i="60"/>
  <c r="BN117" i="60"/>
  <c r="BO117" i="60" s="1"/>
  <c r="BE105" i="60"/>
  <c r="BE107" i="60"/>
  <c r="BM37" i="60"/>
  <c r="BN38" i="60"/>
  <c r="BO38" i="60" s="1"/>
  <c r="BJ72" i="60"/>
  <c r="BE82" i="60"/>
  <c r="BJ84" i="60"/>
  <c r="BE94" i="60"/>
  <c r="BJ96" i="60"/>
  <c r="BE103" i="60"/>
  <c r="BN105" i="60"/>
  <c r="BO105" i="60" s="1"/>
  <c r="BL108" i="60"/>
  <c r="BE111" i="60"/>
  <c r="BE116" i="60"/>
  <c r="BQ111" i="60" l="1"/>
  <c r="BO111" i="60"/>
  <c r="BQ30" i="60"/>
  <c r="BO30" i="60"/>
  <c r="BQ116" i="60"/>
  <c r="BO116" i="60"/>
  <c r="BO80" i="60"/>
  <c r="BQ80" i="60"/>
  <c r="BO73" i="60"/>
  <c r="BQ73" i="60"/>
  <c r="BQ23" i="60"/>
  <c r="BO23" i="60"/>
  <c r="BQ106" i="60"/>
  <c r="BO106" i="60"/>
  <c r="BQ79" i="60"/>
  <c r="BO79" i="60"/>
  <c r="BO13" i="60"/>
  <c r="BQ13" i="60"/>
  <c r="BO20" i="60"/>
  <c r="BQ20" i="60"/>
  <c r="BO110" i="60"/>
  <c r="BQ110" i="60"/>
  <c r="BQ24" i="60"/>
  <c r="BO24" i="60"/>
  <c r="BO94" i="60"/>
  <c r="BQ94" i="60"/>
  <c r="BO52" i="60"/>
  <c r="BQ52" i="60"/>
  <c r="BO75" i="60"/>
  <c r="BQ75" i="60"/>
  <c r="BO56" i="60"/>
  <c r="BQ56" i="60"/>
  <c r="BQ21" i="60"/>
  <c r="BO21" i="60"/>
  <c r="BO76" i="60"/>
  <c r="BQ76" i="60"/>
  <c r="BQ18" i="60"/>
  <c r="BO18" i="60"/>
  <c r="BQ115" i="60"/>
  <c r="BO115" i="60"/>
  <c r="BQ102" i="60"/>
  <c r="BO102" i="60"/>
  <c r="BQ57" i="60"/>
  <c r="BO57" i="60"/>
  <c r="BO70" i="60"/>
  <c r="BQ70" i="60"/>
  <c r="BO39" i="60"/>
  <c r="BQ39" i="60"/>
  <c r="BO49" i="60"/>
  <c r="BQ49" i="60"/>
  <c r="BO55" i="60"/>
  <c r="BQ55" i="60"/>
  <c r="BQ81" i="60"/>
  <c r="BO81" i="60"/>
  <c r="BQ90" i="60"/>
  <c r="BO90" i="60"/>
  <c r="BQ7" i="60"/>
  <c r="BO7" i="60"/>
  <c r="BO113" i="60"/>
  <c r="BQ113" i="60"/>
  <c r="BO61" i="60"/>
  <c r="BQ61" i="60"/>
  <c r="BQ54" i="60"/>
  <c r="BO54" i="60"/>
  <c r="BO87" i="60"/>
  <c r="BQ87" i="60"/>
  <c r="BO48" i="60"/>
  <c r="BQ48" i="60"/>
  <c r="BL98" i="60"/>
  <c r="BJ98" i="60"/>
  <c r="BQ82" i="60"/>
  <c r="BO82" i="60"/>
  <c r="BQ107" i="60"/>
  <c r="BO107" i="60"/>
  <c r="BQ95" i="60"/>
  <c r="BO95" i="60"/>
  <c r="BQ59" i="60"/>
  <c r="BO59" i="60"/>
  <c r="BO25" i="60"/>
  <c r="BQ25" i="60"/>
  <c r="BO15" i="60"/>
  <c r="BQ15" i="60"/>
  <c r="BO22" i="60"/>
  <c r="BQ22" i="60"/>
  <c r="BQ8" i="60"/>
  <c r="BO8" i="60"/>
  <c r="BO37" i="60"/>
  <c r="BQ37" i="60"/>
  <c r="BO19" i="60"/>
  <c r="BQ19" i="60"/>
  <c r="BQ58" i="60"/>
  <c r="BO58" i="60"/>
  <c r="BO86" i="60"/>
  <c r="BQ86" i="60"/>
  <c r="BQ71" i="60"/>
  <c r="BO71" i="60"/>
  <c r="BO109" i="60"/>
  <c r="BQ109" i="60"/>
  <c r="BM98" i="60"/>
  <c r="BG98" i="60"/>
  <c r="BE98" i="60"/>
  <c r="BO104" i="60"/>
  <c r="BQ104" i="60"/>
  <c r="BQ64" i="60"/>
  <c r="BO64" i="60"/>
  <c r="BQ27" i="60"/>
  <c r="BO27" i="60"/>
  <c r="AT119" i="60"/>
  <c r="AT118" i="60"/>
  <c r="AT117" i="60"/>
  <c r="AT116" i="60"/>
  <c r="AT115" i="60"/>
  <c r="AT114" i="60"/>
  <c r="AT113" i="60"/>
  <c r="AT112" i="60"/>
  <c r="AT111" i="60"/>
  <c r="AT110" i="60"/>
  <c r="AT109" i="60"/>
  <c r="AT108" i="60"/>
  <c r="AT107" i="60"/>
  <c r="AT106" i="60"/>
  <c r="AT105" i="60"/>
  <c r="AT104" i="60"/>
  <c r="AT103" i="60"/>
  <c r="AT102" i="60"/>
  <c r="AT101" i="60"/>
  <c r="AT100" i="60"/>
  <c r="AT99" i="60"/>
  <c r="AT98" i="60"/>
  <c r="AT97" i="60"/>
  <c r="AT96" i="60"/>
  <c r="AT95" i="60"/>
  <c r="AT94" i="60"/>
  <c r="AT93" i="60"/>
  <c r="AT92" i="60"/>
  <c r="AT91" i="60"/>
  <c r="AT90" i="60"/>
  <c r="AT89" i="60"/>
  <c r="AT88" i="60"/>
  <c r="AT87" i="60"/>
  <c r="AT86" i="60"/>
  <c r="AT85" i="60"/>
  <c r="AT84" i="60"/>
  <c r="AT83" i="60"/>
  <c r="AT82" i="60"/>
  <c r="AT81" i="60"/>
  <c r="AT80" i="60"/>
  <c r="AT79" i="60"/>
  <c r="AT78" i="60"/>
  <c r="AT77" i="60"/>
  <c r="AT76" i="60"/>
  <c r="AT75" i="60"/>
  <c r="AT74" i="60"/>
  <c r="AT73" i="60"/>
  <c r="AT72" i="60"/>
  <c r="AT71" i="60"/>
  <c r="AT70" i="60"/>
  <c r="AT69" i="60"/>
  <c r="AT68" i="60"/>
  <c r="AT67" i="60"/>
  <c r="AT66" i="60"/>
  <c r="AT65" i="60"/>
  <c r="AT64" i="60"/>
  <c r="AT63" i="60"/>
  <c r="AT62" i="60"/>
  <c r="AT61" i="60"/>
  <c r="AT60" i="60"/>
  <c r="AT59" i="60"/>
  <c r="AT58" i="60"/>
  <c r="AT57" i="60"/>
  <c r="AT56" i="60"/>
  <c r="AT55" i="60"/>
  <c r="AT54" i="60"/>
  <c r="AT53" i="60"/>
  <c r="AT52" i="60"/>
  <c r="AT51" i="60"/>
  <c r="AT50" i="60"/>
  <c r="AT49" i="60"/>
  <c r="AT48" i="60"/>
  <c r="AT47" i="60"/>
  <c r="AT46" i="60"/>
  <c r="AT45" i="60"/>
  <c r="AT44" i="60"/>
  <c r="AT43" i="60"/>
  <c r="AT42" i="60"/>
  <c r="AT41" i="60"/>
  <c r="AT40" i="60"/>
  <c r="AT39" i="60"/>
  <c r="AT38" i="60"/>
  <c r="AT37" i="60"/>
  <c r="AT36" i="60"/>
  <c r="AT35" i="60"/>
  <c r="AT34" i="60"/>
  <c r="AT33" i="60"/>
  <c r="AT32" i="60"/>
  <c r="AT31" i="60"/>
  <c r="AT30" i="60"/>
  <c r="AT29" i="60"/>
  <c r="AT28" i="60"/>
  <c r="AT27" i="60"/>
  <c r="AT26" i="60"/>
  <c r="AT25" i="60"/>
  <c r="AT24" i="60"/>
  <c r="AT23" i="60"/>
  <c r="AT22" i="60"/>
  <c r="AT21" i="60"/>
  <c r="AT20" i="60"/>
  <c r="AT19" i="60"/>
  <c r="AT18" i="60"/>
  <c r="AT17" i="60"/>
  <c r="AT16" i="60"/>
  <c r="AT15" i="60"/>
  <c r="AT14" i="60"/>
  <c r="AT13" i="60"/>
  <c r="AT12" i="60"/>
  <c r="AT11" i="60"/>
  <c r="AT10" i="60"/>
  <c r="AT9" i="60"/>
  <c r="AT8" i="60"/>
  <c r="AT7" i="60"/>
  <c r="AO119" i="60"/>
  <c r="AO118" i="60"/>
  <c r="AO117" i="60"/>
  <c r="AO116" i="60"/>
  <c r="AO115" i="60"/>
  <c r="AO114" i="60"/>
  <c r="AO113" i="60"/>
  <c r="AO112" i="60"/>
  <c r="AO111" i="60"/>
  <c r="AO110" i="60"/>
  <c r="AO109" i="60"/>
  <c r="AO108" i="60"/>
  <c r="AO107" i="60"/>
  <c r="AO106" i="60"/>
  <c r="AO105" i="60"/>
  <c r="AO104" i="60"/>
  <c r="AO103" i="60"/>
  <c r="AO102" i="60"/>
  <c r="AO101" i="60"/>
  <c r="AO100" i="60"/>
  <c r="AO99" i="60"/>
  <c r="AO98" i="60"/>
  <c r="AO97" i="60"/>
  <c r="AO96" i="60"/>
  <c r="AO95" i="60"/>
  <c r="AO94" i="60"/>
  <c r="AO93" i="60"/>
  <c r="AO92" i="60"/>
  <c r="AO91" i="60"/>
  <c r="AO90" i="60"/>
  <c r="AO89" i="60"/>
  <c r="AO88" i="60"/>
  <c r="AO87" i="60"/>
  <c r="AO86" i="60"/>
  <c r="AO85" i="60"/>
  <c r="AO84" i="60"/>
  <c r="AO83" i="60"/>
  <c r="AO82" i="60"/>
  <c r="AO81" i="60"/>
  <c r="AO80" i="60"/>
  <c r="AO79" i="60"/>
  <c r="AO78" i="60"/>
  <c r="AO77" i="60"/>
  <c r="AO76" i="60"/>
  <c r="AO75" i="60"/>
  <c r="AO74" i="60"/>
  <c r="AO73" i="60"/>
  <c r="AO72" i="60"/>
  <c r="AO71" i="60"/>
  <c r="AO70" i="60"/>
  <c r="AO69" i="60"/>
  <c r="AO68" i="60"/>
  <c r="AO67" i="60"/>
  <c r="AO66" i="60"/>
  <c r="AO65" i="60"/>
  <c r="AO64" i="60"/>
  <c r="AO63" i="60"/>
  <c r="AO62" i="60"/>
  <c r="AO61" i="60"/>
  <c r="AO60" i="60"/>
  <c r="AO59" i="60"/>
  <c r="AO58" i="60"/>
  <c r="AO57" i="60"/>
  <c r="AO56" i="60"/>
  <c r="AO55" i="60"/>
  <c r="AO54" i="60"/>
  <c r="AO53" i="60"/>
  <c r="AO52" i="60"/>
  <c r="AO51" i="60"/>
  <c r="AO50" i="60"/>
  <c r="AO49" i="60"/>
  <c r="AO48" i="60"/>
  <c r="AO47" i="60"/>
  <c r="AO46" i="60"/>
  <c r="AO45" i="60"/>
  <c r="AO44" i="60"/>
  <c r="AO43" i="60"/>
  <c r="AO42" i="60"/>
  <c r="AO41" i="60"/>
  <c r="AO40" i="60"/>
  <c r="AO39" i="60"/>
  <c r="AO38" i="60"/>
  <c r="AO37" i="60"/>
  <c r="AO36" i="60"/>
  <c r="AO35" i="60"/>
  <c r="AO34" i="60"/>
  <c r="AO33" i="60"/>
  <c r="AO32" i="60"/>
  <c r="AO31" i="60"/>
  <c r="AO30" i="60"/>
  <c r="AO29" i="60"/>
  <c r="AO28" i="60"/>
  <c r="AO27" i="60"/>
  <c r="AO26" i="60"/>
  <c r="AO25" i="60"/>
  <c r="AO24" i="60"/>
  <c r="AO23" i="60"/>
  <c r="AO22" i="60"/>
  <c r="AO21" i="60"/>
  <c r="AO20" i="60"/>
  <c r="AO19" i="60"/>
  <c r="AO18" i="60"/>
  <c r="AO17" i="60"/>
  <c r="AO16" i="60"/>
  <c r="AO15" i="60"/>
  <c r="AO14" i="60"/>
  <c r="AO13" i="60"/>
  <c r="AO12" i="60"/>
  <c r="AO11" i="60"/>
  <c r="AO10" i="60"/>
  <c r="AO9" i="60"/>
  <c r="AO8" i="60"/>
  <c r="AO7" i="60"/>
  <c r="AE119" i="60"/>
  <c r="AE118" i="60"/>
  <c r="AE117" i="60"/>
  <c r="AE116" i="60"/>
  <c r="AE115" i="60"/>
  <c r="AE114" i="60"/>
  <c r="AE113" i="60"/>
  <c r="AE112" i="60"/>
  <c r="AE111" i="60"/>
  <c r="AE110" i="60"/>
  <c r="AE109" i="60"/>
  <c r="AE108" i="60"/>
  <c r="AE107" i="60"/>
  <c r="AE106" i="60"/>
  <c r="AE105" i="60"/>
  <c r="AE104" i="60"/>
  <c r="AE103" i="60"/>
  <c r="AE102" i="60"/>
  <c r="AE101" i="60"/>
  <c r="AE100" i="60"/>
  <c r="AE99" i="60"/>
  <c r="AE98" i="60"/>
  <c r="AE97" i="60"/>
  <c r="AE96" i="60"/>
  <c r="AE95" i="60"/>
  <c r="AE94" i="60"/>
  <c r="AE93" i="60"/>
  <c r="AE92" i="60"/>
  <c r="AE91" i="60"/>
  <c r="AE90" i="60"/>
  <c r="AE89" i="60"/>
  <c r="AE88" i="60"/>
  <c r="AE87" i="60"/>
  <c r="AE86" i="60"/>
  <c r="AE85" i="60"/>
  <c r="AE84" i="60"/>
  <c r="AE83" i="60"/>
  <c r="AE82" i="60"/>
  <c r="AE81" i="60"/>
  <c r="AE80" i="60"/>
  <c r="AE79" i="60"/>
  <c r="AE78" i="60"/>
  <c r="AE77" i="60"/>
  <c r="AE76" i="60"/>
  <c r="AE75" i="60"/>
  <c r="AE74" i="60"/>
  <c r="AE73" i="60"/>
  <c r="AE72" i="60"/>
  <c r="AE71" i="60"/>
  <c r="AE70" i="60"/>
  <c r="AE69" i="60"/>
  <c r="AE68" i="60"/>
  <c r="AE67" i="60"/>
  <c r="AE66" i="60"/>
  <c r="AE65" i="60"/>
  <c r="AE64" i="60"/>
  <c r="AE63" i="60"/>
  <c r="AE62" i="60"/>
  <c r="AE61" i="60"/>
  <c r="AE60" i="60"/>
  <c r="AE59" i="60"/>
  <c r="AE58" i="60"/>
  <c r="AE57" i="60"/>
  <c r="AE56" i="60"/>
  <c r="AE55" i="60"/>
  <c r="AE54" i="60"/>
  <c r="AE53" i="60"/>
  <c r="AE52" i="60"/>
  <c r="AE51" i="60"/>
  <c r="AE50" i="60"/>
  <c r="AE49" i="60"/>
  <c r="AE48" i="60"/>
  <c r="AE47" i="60"/>
  <c r="AE46" i="60"/>
  <c r="AE45" i="60"/>
  <c r="AE44" i="60"/>
  <c r="AE43" i="60"/>
  <c r="AE42" i="60"/>
  <c r="AE41" i="60"/>
  <c r="AE40" i="60"/>
  <c r="AE39" i="60"/>
  <c r="AE38" i="60"/>
  <c r="AE37" i="60"/>
  <c r="AE36" i="60"/>
  <c r="AE35" i="60"/>
  <c r="AE34" i="60"/>
  <c r="AE33" i="60"/>
  <c r="AE32" i="60"/>
  <c r="AE31" i="60"/>
  <c r="AE30" i="60"/>
  <c r="AE29" i="60"/>
  <c r="AE28" i="60"/>
  <c r="AE27" i="60"/>
  <c r="AE26" i="60"/>
  <c r="AE25" i="60"/>
  <c r="AE24" i="60"/>
  <c r="AE23" i="60"/>
  <c r="AE22" i="60"/>
  <c r="AE21" i="60"/>
  <c r="AE20" i="60"/>
  <c r="AE19" i="60"/>
  <c r="AE18" i="60"/>
  <c r="AE17" i="60"/>
  <c r="AE16" i="60"/>
  <c r="AE15" i="60"/>
  <c r="AE14" i="60"/>
  <c r="AE13" i="60"/>
  <c r="AE12" i="60"/>
  <c r="AE11" i="60"/>
  <c r="AE10" i="60"/>
  <c r="AE9" i="60"/>
  <c r="AE8" i="60"/>
  <c r="AE7" i="60"/>
  <c r="P119" i="60"/>
  <c r="P118" i="60"/>
  <c r="P117" i="60"/>
  <c r="P116" i="60"/>
  <c r="P115" i="60"/>
  <c r="P114" i="60"/>
  <c r="P113" i="60"/>
  <c r="P112" i="60"/>
  <c r="P111" i="60"/>
  <c r="P110" i="60"/>
  <c r="P109" i="60"/>
  <c r="P108" i="60"/>
  <c r="P107" i="60"/>
  <c r="P106" i="60"/>
  <c r="P105" i="60"/>
  <c r="P104" i="60"/>
  <c r="P103" i="60"/>
  <c r="P102" i="60"/>
  <c r="P101" i="60"/>
  <c r="P100" i="60"/>
  <c r="P99" i="60"/>
  <c r="P98" i="60"/>
  <c r="P97" i="60"/>
  <c r="P96" i="60"/>
  <c r="P95" i="60"/>
  <c r="P94" i="60"/>
  <c r="P93" i="60"/>
  <c r="P92" i="60"/>
  <c r="P91" i="60"/>
  <c r="P90" i="60"/>
  <c r="P89" i="60"/>
  <c r="P88" i="60"/>
  <c r="P87" i="60"/>
  <c r="P86" i="60"/>
  <c r="P85" i="60"/>
  <c r="P84" i="60"/>
  <c r="P83" i="60"/>
  <c r="P82" i="60"/>
  <c r="P81" i="60"/>
  <c r="P80" i="60"/>
  <c r="P79" i="60"/>
  <c r="P78" i="60"/>
  <c r="P77" i="60"/>
  <c r="P76" i="60"/>
  <c r="P75" i="60"/>
  <c r="P74" i="60"/>
  <c r="P73" i="60"/>
  <c r="P72" i="60"/>
  <c r="P71" i="60"/>
  <c r="P70" i="60"/>
  <c r="P69" i="60"/>
  <c r="P68" i="60"/>
  <c r="P67" i="60"/>
  <c r="P66" i="60"/>
  <c r="P65" i="60"/>
  <c r="P64" i="60"/>
  <c r="P63" i="60"/>
  <c r="P62" i="60"/>
  <c r="P61" i="60"/>
  <c r="P60" i="60"/>
  <c r="P59" i="60"/>
  <c r="P58" i="60"/>
  <c r="P57" i="60"/>
  <c r="P56" i="60"/>
  <c r="P55" i="60"/>
  <c r="P54" i="60"/>
  <c r="P53" i="60"/>
  <c r="P52" i="60"/>
  <c r="P51" i="60"/>
  <c r="P50" i="60"/>
  <c r="P49" i="60"/>
  <c r="P48" i="60"/>
  <c r="P47" i="60"/>
  <c r="P46" i="60"/>
  <c r="P45" i="60"/>
  <c r="P44" i="60"/>
  <c r="P43" i="60"/>
  <c r="P42" i="60"/>
  <c r="P41" i="60"/>
  <c r="P40" i="60"/>
  <c r="P39" i="60"/>
  <c r="P38" i="60"/>
  <c r="P37" i="60"/>
  <c r="P36" i="60"/>
  <c r="P35" i="60"/>
  <c r="P34" i="60"/>
  <c r="P33" i="60"/>
  <c r="P32" i="60"/>
  <c r="P31" i="60"/>
  <c r="P30" i="60"/>
  <c r="P29" i="60"/>
  <c r="P28" i="60"/>
  <c r="P27" i="60"/>
  <c r="P26" i="60"/>
  <c r="P25" i="60"/>
  <c r="P24" i="60"/>
  <c r="P23" i="60"/>
  <c r="P22" i="60"/>
  <c r="P21" i="60"/>
  <c r="P20" i="60"/>
  <c r="P19" i="60"/>
  <c r="P18" i="60"/>
  <c r="P17" i="60"/>
  <c r="P16" i="60"/>
  <c r="P15" i="60"/>
  <c r="P14" i="60"/>
  <c r="P13" i="60"/>
  <c r="P12" i="60"/>
  <c r="P11" i="60"/>
  <c r="P10" i="60"/>
  <c r="P9" i="60"/>
  <c r="P8" i="60"/>
  <c r="P7" i="60"/>
  <c r="K119" i="60"/>
  <c r="K118" i="60"/>
  <c r="K117" i="60"/>
  <c r="K116" i="60"/>
  <c r="K115" i="60"/>
  <c r="K114" i="60"/>
  <c r="K113" i="60"/>
  <c r="K112" i="60"/>
  <c r="K111" i="60"/>
  <c r="K110" i="60"/>
  <c r="K109" i="60"/>
  <c r="K108" i="60"/>
  <c r="K107" i="60"/>
  <c r="K106" i="60"/>
  <c r="K105" i="60"/>
  <c r="K104" i="60"/>
  <c r="K103" i="60"/>
  <c r="K102" i="60"/>
  <c r="K101" i="60"/>
  <c r="K100" i="60"/>
  <c r="K99" i="60"/>
  <c r="K98" i="60"/>
  <c r="K97" i="60"/>
  <c r="K96" i="60"/>
  <c r="K95" i="60"/>
  <c r="K94" i="60"/>
  <c r="K93" i="60"/>
  <c r="K92" i="60"/>
  <c r="K91" i="60"/>
  <c r="K90" i="60"/>
  <c r="K89" i="60"/>
  <c r="K88" i="60"/>
  <c r="K87" i="60"/>
  <c r="K86" i="60"/>
  <c r="K85" i="60"/>
  <c r="K84" i="60"/>
  <c r="K83" i="60"/>
  <c r="K82" i="60"/>
  <c r="K81" i="60"/>
  <c r="K80" i="60"/>
  <c r="K79" i="60"/>
  <c r="K78" i="60"/>
  <c r="K77" i="60"/>
  <c r="K76" i="60"/>
  <c r="K75" i="60"/>
  <c r="K74" i="60"/>
  <c r="K73" i="60"/>
  <c r="K72" i="60"/>
  <c r="K71" i="60"/>
  <c r="K70" i="60"/>
  <c r="K69" i="60"/>
  <c r="K68" i="60"/>
  <c r="K67" i="60"/>
  <c r="K66" i="60"/>
  <c r="K65" i="60"/>
  <c r="K64" i="60"/>
  <c r="K63" i="60"/>
  <c r="K62" i="60"/>
  <c r="K61" i="60"/>
  <c r="K60" i="60"/>
  <c r="K59" i="60"/>
  <c r="K58" i="60"/>
  <c r="K57" i="60"/>
  <c r="K56" i="60"/>
  <c r="K55" i="60"/>
  <c r="K54" i="60"/>
  <c r="K53" i="60"/>
  <c r="K52" i="60"/>
  <c r="K51" i="60"/>
  <c r="K50" i="60"/>
  <c r="K49" i="60"/>
  <c r="K48" i="60"/>
  <c r="K47" i="60"/>
  <c r="K46" i="60"/>
  <c r="K45" i="60"/>
  <c r="K44" i="60"/>
  <c r="K43" i="60"/>
  <c r="K42" i="60"/>
  <c r="K41" i="60"/>
  <c r="K40" i="60"/>
  <c r="K39" i="60"/>
  <c r="K38" i="60"/>
  <c r="K37" i="60"/>
  <c r="K36" i="60"/>
  <c r="K35" i="60"/>
  <c r="K34" i="60"/>
  <c r="K33" i="60"/>
  <c r="K32" i="60"/>
  <c r="K31" i="60"/>
  <c r="K30" i="60"/>
  <c r="K29" i="60"/>
  <c r="K28" i="60"/>
  <c r="K27" i="60"/>
  <c r="K26" i="60"/>
  <c r="K25" i="60"/>
  <c r="K24" i="60"/>
  <c r="K23" i="60"/>
  <c r="K22" i="60"/>
  <c r="K21" i="60"/>
  <c r="K20" i="60"/>
  <c r="K19" i="60"/>
  <c r="K18" i="60"/>
  <c r="K17" i="60"/>
  <c r="K16" i="60"/>
  <c r="K15" i="60"/>
  <c r="K14" i="60"/>
  <c r="K13" i="60"/>
  <c r="K12" i="60"/>
  <c r="K11" i="60"/>
  <c r="K10" i="60"/>
  <c r="K9" i="60"/>
  <c r="K8" i="60"/>
  <c r="K7" i="60"/>
  <c r="F119" i="60"/>
  <c r="F118" i="60"/>
  <c r="F117" i="60"/>
  <c r="F116" i="60"/>
  <c r="F115" i="60"/>
  <c r="F114" i="60"/>
  <c r="F113" i="60"/>
  <c r="F112" i="60"/>
  <c r="F111" i="60"/>
  <c r="F110" i="60"/>
  <c r="F109" i="60"/>
  <c r="F108" i="60"/>
  <c r="F107" i="60"/>
  <c r="F106" i="60"/>
  <c r="F105" i="60"/>
  <c r="F104" i="60"/>
  <c r="F103" i="60"/>
  <c r="F102" i="60"/>
  <c r="F101" i="60"/>
  <c r="F100" i="60"/>
  <c r="F99" i="60"/>
  <c r="F98" i="60"/>
  <c r="F97" i="60"/>
  <c r="F96" i="60"/>
  <c r="F95" i="60"/>
  <c r="F94" i="60"/>
  <c r="F93" i="60"/>
  <c r="F92" i="60"/>
  <c r="F91" i="60"/>
  <c r="F90" i="60"/>
  <c r="F89" i="60"/>
  <c r="F88" i="60"/>
  <c r="F87" i="60"/>
  <c r="F86" i="60"/>
  <c r="F85" i="60"/>
  <c r="F84" i="60"/>
  <c r="F83" i="60"/>
  <c r="F82" i="60"/>
  <c r="F81" i="60"/>
  <c r="F80" i="60"/>
  <c r="F79" i="60"/>
  <c r="F78" i="60"/>
  <c r="F77" i="60"/>
  <c r="F76" i="60"/>
  <c r="F75" i="60"/>
  <c r="F74" i="60"/>
  <c r="F73" i="60"/>
  <c r="F72" i="60"/>
  <c r="F71" i="60"/>
  <c r="F70" i="60"/>
  <c r="F69" i="60"/>
  <c r="F68" i="60"/>
  <c r="F67" i="60"/>
  <c r="F66" i="60"/>
  <c r="F65" i="60"/>
  <c r="F64" i="60"/>
  <c r="F63" i="60"/>
  <c r="F62" i="60"/>
  <c r="F61" i="60"/>
  <c r="F60" i="60"/>
  <c r="F59" i="60"/>
  <c r="F58" i="60"/>
  <c r="F57" i="60"/>
  <c r="F56" i="60"/>
  <c r="F55" i="60"/>
  <c r="F54" i="60"/>
  <c r="F53" i="60"/>
  <c r="F52" i="60"/>
  <c r="F51" i="60"/>
  <c r="F50" i="60"/>
  <c r="F49" i="60"/>
  <c r="F48" i="60"/>
  <c r="F47" i="60"/>
  <c r="F46" i="60"/>
  <c r="F45" i="60"/>
  <c r="F44" i="60"/>
  <c r="F43" i="60"/>
  <c r="F42" i="60"/>
  <c r="F41" i="60"/>
  <c r="F40" i="60"/>
  <c r="F39" i="60"/>
  <c r="F38" i="60"/>
  <c r="F37" i="60"/>
  <c r="F36" i="60"/>
  <c r="F35" i="60"/>
  <c r="F34" i="60"/>
  <c r="F33" i="60"/>
  <c r="F32" i="60"/>
  <c r="F31" i="60"/>
  <c r="F30" i="60"/>
  <c r="F29" i="60"/>
  <c r="F28" i="60"/>
  <c r="F27" i="60"/>
  <c r="F26" i="60"/>
  <c r="F25" i="60"/>
  <c r="F24" i="60"/>
  <c r="F23" i="60"/>
  <c r="F22" i="60"/>
  <c r="F21" i="60"/>
  <c r="F20" i="60"/>
  <c r="F19" i="60"/>
  <c r="F18" i="60"/>
  <c r="F17" i="60"/>
  <c r="F16" i="60"/>
  <c r="F15" i="60"/>
  <c r="F14" i="60"/>
  <c r="F13" i="60"/>
  <c r="F12" i="60"/>
  <c r="F11" i="60"/>
  <c r="F10" i="60"/>
  <c r="F9" i="60"/>
  <c r="F8" i="60"/>
  <c r="F7" i="60"/>
  <c r="BM99" i="60" l="1"/>
  <c r="BG99" i="60"/>
  <c r="BE99" i="60"/>
  <c r="BJ99" i="60"/>
  <c r="BL99" i="60"/>
  <c r="BO98" i="60"/>
  <c r="BQ98" i="60"/>
  <c r="V29" i="64"/>
  <c r="V25" i="64"/>
  <c r="V29" i="63"/>
  <c r="V25" i="63"/>
  <c r="V29" i="51"/>
  <c r="V25" i="51"/>
  <c r="V29" i="50"/>
  <c r="V25" i="50"/>
  <c r="V29" i="30"/>
  <c r="V25" i="30"/>
  <c r="V29" i="28"/>
  <c r="V25" i="28"/>
  <c r="V29" i="3"/>
  <c r="BL112" i="60" l="1"/>
  <c r="BJ112" i="60"/>
  <c r="BE112" i="60"/>
  <c r="BM112" i="60"/>
  <c r="BG112" i="60"/>
  <c r="BO99" i="60"/>
  <c r="BQ99" i="60"/>
  <c r="BO112" i="60" l="1"/>
  <c r="BQ112" i="60"/>
  <c r="BM119" i="60"/>
  <c r="BG119" i="60"/>
  <c r="BE119" i="60"/>
  <c r="BL119" i="60"/>
  <c r="BJ119" i="60"/>
  <c r="K41" i="63"/>
  <c r="L41" i="63"/>
  <c r="M41" i="63"/>
  <c r="N41" i="63"/>
  <c r="O41" i="63"/>
  <c r="P41" i="63"/>
  <c r="Q41" i="63"/>
  <c r="R41" i="63"/>
  <c r="S41" i="63"/>
  <c r="W117" i="3"/>
  <c r="W116" i="3"/>
  <c r="W115" i="3"/>
  <c r="W114" i="3"/>
  <c r="W113" i="3"/>
  <c r="W112" i="3"/>
  <c r="W110" i="3"/>
  <c r="W109" i="3"/>
  <c r="W108" i="3"/>
  <c r="W107" i="3"/>
  <c r="W106" i="3"/>
  <c r="W105" i="3"/>
  <c r="W104" i="3"/>
  <c r="W103" i="3"/>
  <c r="W102" i="3"/>
  <c r="W101" i="3"/>
  <c r="W100" i="3"/>
  <c r="W96" i="3"/>
  <c r="W95" i="3"/>
  <c r="W94" i="3"/>
  <c r="W93" i="3"/>
  <c r="W92" i="3"/>
  <c r="W91" i="3"/>
  <c r="W90" i="3"/>
  <c r="W89" i="3"/>
  <c r="W88" i="3"/>
  <c r="W87" i="3"/>
  <c r="W86" i="3"/>
  <c r="W84" i="3"/>
  <c r="W83" i="3"/>
  <c r="W82" i="3"/>
  <c r="W81" i="3"/>
  <c r="W79" i="3"/>
  <c r="W78" i="3"/>
  <c r="W77" i="3"/>
  <c r="W76" i="3"/>
  <c r="W75" i="3"/>
  <c r="W74" i="3"/>
  <c r="W73" i="3"/>
  <c r="W72" i="3"/>
  <c r="W71" i="3"/>
  <c r="W70" i="3"/>
  <c r="W69" i="3"/>
  <c r="W68" i="3"/>
  <c r="W66" i="3"/>
  <c r="W65" i="3"/>
  <c r="W64" i="3"/>
  <c r="W63" i="3"/>
  <c r="W62" i="3"/>
  <c r="W61" i="3"/>
  <c r="W60" i="3"/>
  <c r="W59" i="3"/>
  <c r="W57" i="3"/>
  <c r="W56" i="3"/>
  <c r="W55" i="3"/>
  <c r="W54" i="3"/>
  <c r="W53" i="3"/>
  <c r="W52" i="3"/>
  <c r="W51" i="3"/>
  <c r="W50" i="3"/>
  <c r="W49" i="3"/>
  <c r="W48" i="3"/>
  <c r="W47" i="3"/>
  <c r="W46" i="3"/>
  <c r="W45" i="3"/>
  <c r="W44" i="3"/>
  <c r="W43" i="3"/>
  <c r="W42" i="3"/>
  <c r="W41" i="3"/>
  <c r="W40" i="3"/>
  <c r="W39" i="3"/>
  <c r="W38" i="3"/>
  <c r="W36" i="3"/>
  <c r="W35" i="3"/>
  <c r="W34" i="3"/>
  <c r="W33" i="3"/>
  <c r="W32" i="3"/>
  <c r="W30" i="3"/>
  <c r="W29" i="3"/>
  <c r="W28" i="3"/>
  <c r="W27" i="3"/>
  <c r="W26" i="3"/>
  <c r="W25" i="3"/>
  <c r="W24" i="3"/>
  <c r="W23" i="3"/>
  <c r="W21" i="3"/>
  <c r="W20" i="3"/>
  <c r="W18" i="3"/>
  <c r="W17" i="3"/>
  <c r="W16" i="3"/>
  <c r="W15" i="3"/>
  <c r="W14" i="3"/>
  <c r="W13" i="3"/>
  <c r="W12" i="3"/>
  <c r="W11" i="3"/>
  <c r="W10" i="3"/>
  <c r="W9" i="3"/>
  <c r="W8" i="3"/>
  <c r="W7" i="3"/>
  <c r="W117" i="28"/>
  <c r="W116" i="28"/>
  <c r="W115" i="28"/>
  <c r="W114" i="28"/>
  <c r="W113" i="28"/>
  <c r="W112" i="28"/>
  <c r="W110" i="28"/>
  <c r="W109" i="28"/>
  <c r="W108" i="28"/>
  <c r="W107" i="28"/>
  <c r="W106" i="28"/>
  <c r="W105" i="28"/>
  <c r="W104" i="28"/>
  <c r="W103" i="28"/>
  <c r="W102" i="28"/>
  <c r="W101" i="28"/>
  <c r="W100" i="28"/>
  <c r="W96" i="28"/>
  <c r="W95" i="28"/>
  <c r="W94" i="28"/>
  <c r="W93" i="28"/>
  <c r="W92" i="28"/>
  <c r="W91" i="28"/>
  <c r="W90" i="28"/>
  <c r="W89" i="28"/>
  <c r="W88" i="28"/>
  <c r="W87" i="28"/>
  <c r="W86" i="28"/>
  <c r="W84" i="28"/>
  <c r="W83" i="28"/>
  <c r="W82" i="28"/>
  <c r="W81" i="28"/>
  <c r="W80" i="28"/>
  <c r="W79" i="28"/>
  <c r="W78" i="28"/>
  <c r="W77" i="28"/>
  <c r="W76" i="28"/>
  <c r="W75" i="28"/>
  <c r="W74" i="28"/>
  <c r="W73" i="28"/>
  <c r="W71" i="28"/>
  <c r="W70" i="28"/>
  <c r="W69" i="28"/>
  <c r="W68" i="28"/>
  <c r="W66" i="28"/>
  <c r="W65" i="28"/>
  <c r="W64" i="28"/>
  <c r="W63" i="28"/>
  <c r="W62" i="28"/>
  <c r="W61" i="28"/>
  <c r="W60" i="28"/>
  <c r="W59" i="28"/>
  <c r="W57" i="28"/>
  <c r="W56" i="28"/>
  <c r="W55" i="28"/>
  <c r="W54" i="28"/>
  <c r="W53" i="28"/>
  <c r="W52" i="28"/>
  <c r="W51" i="28"/>
  <c r="W49" i="28"/>
  <c r="W48" i="28"/>
  <c r="W47" i="28"/>
  <c r="W45" i="28"/>
  <c r="W44" i="28"/>
  <c r="W43" i="28"/>
  <c r="W42" i="28"/>
  <c r="W40" i="28"/>
  <c r="W39" i="28"/>
  <c r="W38" i="28"/>
  <c r="W36" i="28"/>
  <c r="W35" i="28"/>
  <c r="W34" i="28"/>
  <c r="W33" i="28"/>
  <c r="W32" i="28"/>
  <c r="W30" i="28"/>
  <c r="W29" i="28"/>
  <c r="W28" i="28"/>
  <c r="W27" i="28"/>
  <c r="W26" i="28"/>
  <c r="W25" i="28"/>
  <c r="W24" i="28"/>
  <c r="W23" i="28"/>
  <c r="W21" i="28"/>
  <c r="W20" i="28"/>
  <c r="W16" i="28"/>
  <c r="W15" i="28"/>
  <c r="W14" i="28"/>
  <c r="W13" i="28"/>
  <c r="W12" i="28"/>
  <c r="W11" i="28"/>
  <c r="W10" i="28"/>
  <c r="W9" i="28"/>
  <c r="W8" i="28"/>
  <c r="W7" i="28"/>
  <c r="W117" i="30"/>
  <c r="W116" i="30"/>
  <c r="W115" i="30"/>
  <c r="W114" i="30"/>
  <c r="W113" i="30"/>
  <c r="W112" i="30"/>
  <c r="W110" i="30"/>
  <c r="W109" i="30"/>
  <c r="W108" i="30"/>
  <c r="W107" i="30"/>
  <c r="W106" i="30"/>
  <c r="W105" i="30"/>
  <c r="W104" i="30"/>
  <c r="W103" i="30"/>
  <c r="W102" i="30"/>
  <c r="W101" i="30"/>
  <c r="W100" i="30"/>
  <c r="W96" i="30"/>
  <c r="W95" i="30"/>
  <c r="W94" i="30"/>
  <c r="W93" i="30"/>
  <c r="W92" i="30"/>
  <c r="W91" i="30"/>
  <c r="W90" i="30"/>
  <c r="W89" i="30"/>
  <c r="W88" i="30"/>
  <c r="W87" i="30"/>
  <c r="W86" i="30"/>
  <c r="W84" i="30"/>
  <c r="W83" i="30"/>
  <c r="W82" i="30"/>
  <c r="W81" i="30"/>
  <c r="W80" i="30"/>
  <c r="W79" i="30"/>
  <c r="W78" i="30"/>
  <c r="W77" i="30"/>
  <c r="W76" i="30"/>
  <c r="W75" i="30"/>
  <c r="W74" i="30"/>
  <c r="W73" i="30"/>
  <c r="W71" i="30"/>
  <c r="W70" i="30"/>
  <c r="W69" i="30"/>
  <c r="W68" i="30"/>
  <c r="W66" i="30"/>
  <c r="W65" i="30"/>
  <c r="W64" i="30"/>
  <c r="W63" i="30"/>
  <c r="W62" i="30"/>
  <c r="W61" i="30"/>
  <c r="W60" i="30"/>
  <c r="W59" i="30"/>
  <c r="W58" i="30"/>
  <c r="W57" i="30"/>
  <c r="W56" i="30"/>
  <c r="W55" i="30"/>
  <c r="W54" i="30"/>
  <c r="W53" i="30"/>
  <c r="W52" i="30"/>
  <c r="W51" i="30"/>
  <c r="W50" i="30"/>
  <c r="W49" i="30"/>
  <c r="W48" i="30"/>
  <c r="W47" i="30"/>
  <c r="W45" i="30"/>
  <c r="W44" i="30"/>
  <c r="W43" i="30"/>
  <c r="W42" i="30"/>
  <c r="W40" i="30"/>
  <c r="W39" i="30"/>
  <c r="W38" i="30"/>
  <c r="W36" i="30"/>
  <c r="W35" i="30"/>
  <c r="W34" i="30"/>
  <c r="W33" i="30"/>
  <c r="W32" i="30"/>
  <c r="W31" i="30"/>
  <c r="W30" i="30"/>
  <c r="W29" i="30"/>
  <c r="W28" i="30"/>
  <c r="W27" i="30"/>
  <c r="W26" i="30"/>
  <c r="W25" i="30"/>
  <c r="W24" i="30"/>
  <c r="W23" i="30"/>
  <c r="W21" i="30"/>
  <c r="W20" i="30"/>
  <c r="W16" i="30"/>
  <c r="W15" i="30"/>
  <c r="W14" i="30"/>
  <c r="W13" i="30"/>
  <c r="W12" i="30"/>
  <c r="W11" i="30"/>
  <c r="W10" i="30"/>
  <c r="W9" i="30"/>
  <c r="W8" i="30"/>
  <c r="W7" i="30"/>
  <c r="W117" i="31"/>
  <c r="W116" i="31"/>
  <c r="W115" i="31"/>
  <c r="W114" i="31"/>
  <c r="W113" i="31"/>
  <c r="W112" i="31"/>
  <c r="W110" i="31"/>
  <c r="W109" i="31"/>
  <c r="W108" i="31"/>
  <c r="W107" i="31"/>
  <c r="W106" i="31"/>
  <c r="W105" i="31"/>
  <c r="W104" i="31"/>
  <c r="W103" i="31"/>
  <c r="W102" i="31"/>
  <c r="W101" i="31"/>
  <c r="W100" i="31"/>
  <c r="W99" i="31"/>
  <c r="W96" i="31"/>
  <c r="W95" i="31"/>
  <c r="W94" i="31"/>
  <c r="W93" i="31"/>
  <c r="W92" i="31"/>
  <c r="W91" i="31"/>
  <c r="W90" i="31"/>
  <c r="W89" i="31"/>
  <c r="W88" i="31"/>
  <c r="W87" i="31"/>
  <c r="W86" i="31"/>
  <c r="W84" i="31"/>
  <c r="W83" i="31"/>
  <c r="W82" i="31"/>
  <c r="W81" i="31"/>
  <c r="W80" i="31"/>
  <c r="W79" i="31"/>
  <c r="W78" i="31"/>
  <c r="W77" i="31"/>
  <c r="W76" i="31"/>
  <c r="W75" i="31"/>
  <c r="W74" i="31"/>
  <c r="W73" i="31"/>
  <c r="W72" i="31"/>
  <c r="W71" i="31"/>
  <c r="W70" i="31"/>
  <c r="W69" i="31"/>
  <c r="W68" i="31"/>
  <c r="W66" i="31"/>
  <c r="W65" i="31"/>
  <c r="W64" i="31"/>
  <c r="W63" i="31"/>
  <c r="W62" i="31"/>
  <c r="W61" i="31"/>
  <c r="W60" i="31"/>
  <c r="W59" i="31"/>
  <c r="W58" i="31"/>
  <c r="W57" i="31"/>
  <c r="W56" i="31"/>
  <c r="W55" i="31"/>
  <c r="W54" i="31"/>
  <c r="W53" i="31"/>
  <c r="W52" i="31"/>
  <c r="W51" i="31"/>
  <c r="W50" i="31"/>
  <c r="W49" i="31"/>
  <c r="W48" i="31"/>
  <c r="W47" i="31"/>
  <c r="W45" i="31"/>
  <c r="W44" i="31"/>
  <c r="W43" i="31"/>
  <c r="W42" i="31"/>
  <c r="W40" i="31"/>
  <c r="W39" i="31"/>
  <c r="W38" i="31"/>
  <c r="W36" i="31"/>
  <c r="W35" i="31"/>
  <c r="W34" i="31"/>
  <c r="W33" i="31"/>
  <c r="W32" i="31"/>
  <c r="W31" i="31"/>
  <c r="W30" i="31"/>
  <c r="W29" i="31"/>
  <c r="W28" i="31"/>
  <c r="W27" i="31"/>
  <c r="W26" i="31"/>
  <c r="W25" i="31"/>
  <c r="W24" i="31"/>
  <c r="W23" i="31"/>
  <c r="W22" i="31"/>
  <c r="W21" i="31"/>
  <c r="W20" i="31"/>
  <c r="W19" i="31"/>
  <c r="W16" i="31"/>
  <c r="W15" i="31"/>
  <c r="W14" i="31"/>
  <c r="W13" i="31"/>
  <c r="W12" i="31"/>
  <c r="W11" i="31"/>
  <c r="W10" i="31"/>
  <c r="W9" i="31"/>
  <c r="W8" i="31"/>
  <c r="W7" i="31"/>
  <c r="W117" i="50"/>
  <c r="W116" i="50"/>
  <c r="W115" i="50"/>
  <c r="W114" i="50"/>
  <c r="W113" i="50"/>
  <c r="W112" i="50"/>
  <c r="W110" i="50"/>
  <c r="W109" i="50"/>
  <c r="W108" i="50"/>
  <c r="W107" i="50"/>
  <c r="W106" i="50"/>
  <c r="W105" i="50"/>
  <c r="W104" i="50"/>
  <c r="W103" i="50"/>
  <c r="W102" i="50"/>
  <c r="W101" i="50"/>
  <c r="W100" i="50"/>
  <c r="W96" i="50"/>
  <c r="W95" i="50"/>
  <c r="W94" i="50"/>
  <c r="W93" i="50"/>
  <c r="W92" i="50"/>
  <c r="W91" i="50"/>
  <c r="W90" i="50"/>
  <c r="W89" i="50"/>
  <c r="W88" i="50"/>
  <c r="W87" i="50"/>
  <c r="W86" i="50"/>
  <c r="W84" i="50"/>
  <c r="W83" i="50"/>
  <c r="W82" i="50"/>
  <c r="W81" i="50"/>
  <c r="W80" i="50"/>
  <c r="W79" i="50"/>
  <c r="W78" i="50"/>
  <c r="W77" i="50"/>
  <c r="W76" i="50"/>
  <c r="W75" i="50"/>
  <c r="W74" i="50"/>
  <c r="W73" i="50"/>
  <c r="W71" i="50"/>
  <c r="W70" i="50"/>
  <c r="W69" i="50"/>
  <c r="W68" i="50"/>
  <c r="W66" i="50"/>
  <c r="W65" i="50"/>
  <c r="W64" i="50"/>
  <c r="W63" i="50"/>
  <c r="W62" i="50"/>
  <c r="W61" i="50"/>
  <c r="W60" i="50"/>
  <c r="W59" i="50"/>
  <c r="W57" i="50"/>
  <c r="W56" i="50"/>
  <c r="W55" i="50"/>
  <c r="W54" i="50"/>
  <c r="W53" i="50"/>
  <c r="W52" i="50"/>
  <c r="W51" i="50"/>
  <c r="W49" i="50"/>
  <c r="W48" i="50"/>
  <c r="W47" i="50"/>
  <c r="W45" i="50"/>
  <c r="W44" i="50"/>
  <c r="W43" i="50"/>
  <c r="W42" i="50"/>
  <c r="W40" i="50"/>
  <c r="W39" i="50"/>
  <c r="W38" i="50"/>
  <c r="W36" i="50"/>
  <c r="W35" i="50"/>
  <c r="W34" i="50"/>
  <c r="W33" i="50"/>
  <c r="W32" i="50"/>
  <c r="W30" i="50"/>
  <c r="W29" i="50"/>
  <c r="W28" i="50"/>
  <c r="W27" i="50"/>
  <c r="W26" i="50"/>
  <c r="W25" i="50"/>
  <c r="W24" i="50"/>
  <c r="W23" i="50"/>
  <c r="W21" i="50"/>
  <c r="W20" i="50"/>
  <c r="W16" i="50"/>
  <c r="W15" i="50"/>
  <c r="W14" i="50"/>
  <c r="W13" i="50"/>
  <c r="W12" i="50"/>
  <c r="W11" i="50"/>
  <c r="W10" i="50"/>
  <c r="W9" i="50"/>
  <c r="W8" i="50"/>
  <c r="W7" i="50"/>
  <c r="W117" i="51"/>
  <c r="W116" i="51"/>
  <c r="W115" i="51"/>
  <c r="W114" i="51"/>
  <c r="W113" i="51"/>
  <c r="W112" i="51"/>
  <c r="W110" i="51"/>
  <c r="W109" i="51"/>
  <c r="W108" i="51"/>
  <c r="W106" i="51"/>
  <c r="W105" i="51"/>
  <c r="W104" i="51"/>
  <c r="W103" i="51"/>
  <c r="W102" i="51"/>
  <c r="W101" i="51"/>
  <c r="W100" i="51"/>
  <c r="W96" i="51"/>
  <c r="W95" i="51"/>
  <c r="W94" i="51"/>
  <c r="W93" i="51"/>
  <c r="W92" i="51"/>
  <c r="W91" i="51"/>
  <c r="W90" i="51"/>
  <c r="W89" i="51"/>
  <c r="W88" i="51"/>
  <c r="W87" i="51"/>
  <c r="W86" i="51"/>
  <c r="W84" i="51"/>
  <c r="W83" i="51"/>
  <c r="W82" i="51"/>
  <c r="W81" i="51"/>
  <c r="W80" i="51"/>
  <c r="W79" i="51"/>
  <c r="W78" i="51"/>
  <c r="W77" i="51"/>
  <c r="W76" i="51"/>
  <c r="W75" i="51"/>
  <c r="W74" i="51"/>
  <c r="W73" i="51"/>
  <c r="W71" i="51"/>
  <c r="W70" i="51"/>
  <c r="W69" i="51"/>
  <c r="W68" i="51"/>
  <c r="W66" i="51"/>
  <c r="W65" i="51"/>
  <c r="W64" i="51"/>
  <c r="W63" i="51"/>
  <c r="W62" i="51"/>
  <c r="W61" i="51"/>
  <c r="W60" i="51"/>
  <c r="W59" i="51"/>
  <c r="W57" i="51"/>
  <c r="W56" i="51"/>
  <c r="W55" i="51"/>
  <c r="W54" i="51"/>
  <c r="W53" i="51"/>
  <c r="W52" i="51"/>
  <c r="W51" i="51"/>
  <c r="W49" i="51"/>
  <c r="W48" i="51"/>
  <c r="W47" i="51"/>
  <c r="W45" i="51"/>
  <c r="W44" i="51"/>
  <c r="W43" i="51"/>
  <c r="W42" i="51"/>
  <c r="W40" i="51"/>
  <c r="W39" i="51"/>
  <c r="W38" i="51"/>
  <c r="W36" i="51"/>
  <c r="W35" i="51"/>
  <c r="W34" i="51"/>
  <c r="W33" i="51"/>
  <c r="W32" i="51"/>
  <c r="W30" i="51"/>
  <c r="W29" i="51"/>
  <c r="W28" i="51"/>
  <c r="W27" i="51"/>
  <c r="W26" i="51"/>
  <c r="W25" i="51"/>
  <c r="W24" i="51"/>
  <c r="W23" i="51"/>
  <c r="W21" i="51"/>
  <c r="W20" i="51"/>
  <c r="W16" i="51"/>
  <c r="W15" i="51"/>
  <c r="W14" i="51"/>
  <c r="W13" i="51"/>
  <c r="W12" i="51"/>
  <c r="W11" i="51"/>
  <c r="W10" i="51"/>
  <c r="W9" i="51"/>
  <c r="W8" i="51"/>
  <c r="W7" i="51"/>
  <c r="W117" i="52"/>
  <c r="W116" i="52"/>
  <c r="W115" i="52"/>
  <c r="W114" i="52"/>
  <c r="W113" i="52"/>
  <c r="W112" i="52"/>
  <c r="W110" i="52"/>
  <c r="W109" i="52"/>
  <c r="W108" i="52"/>
  <c r="W106" i="52"/>
  <c r="W105" i="52"/>
  <c r="W104" i="52"/>
  <c r="W103" i="52"/>
  <c r="W102" i="52"/>
  <c r="W101" i="52"/>
  <c r="W100" i="52"/>
  <c r="W96" i="52"/>
  <c r="W95" i="52"/>
  <c r="W94" i="52"/>
  <c r="W93" i="52"/>
  <c r="W92" i="52"/>
  <c r="W91" i="52"/>
  <c r="W90" i="52"/>
  <c r="W89" i="52"/>
  <c r="W88" i="52"/>
  <c r="W87" i="52"/>
  <c r="W86" i="52"/>
  <c r="W84" i="52"/>
  <c r="W83" i="52"/>
  <c r="W82" i="52"/>
  <c r="W81" i="52"/>
  <c r="W80" i="52"/>
  <c r="W79" i="52"/>
  <c r="W78" i="52"/>
  <c r="W77" i="52"/>
  <c r="W76" i="52"/>
  <c r="W75" i="52"/>
  <c r="W74" i="52"/>
  <c r="W73" i="52"/>
  <c r="W71" i="52"/>
  <c r="W70" i="52"/>
  <c r="W69" i="52"/>
  <c r="W68" i="52"/>
  <c r="W66" i="52"/>
  <c r="W65" i="52"/>
  <c r="W64" i="52"/>
  <c r="W63" i="52"/>
  <c r="W62" i="52"/>
  <c r="W61" i="52"/>
  <c r="W60" i="52"/>
  <c r="W59" i="52"/>
  <c r="W57" i="52"/>
  <c r="W56" i="52"/>
  <c r="W55" i="52"/>
  <c r="W54" i="52"/>
  <c r="W53" i="52"/>
  <c r="W52" i="52"/>
  <c r="W51" i="52"/>
  <c r="W50" i="52"/>
  <c r="W49" i="52"/>
  <c r="W48" i="52"/>
  <c r="W47" i="52"/>
  <c r="W45" i="52"/>
  <c r="W44" i="52"/>
  <c r="W43" i="52"/>
  <c r="W42" i="52"/>
  <c r="W40" i="52"/>
  <c r="W39" i="52"/>
  <c r="W38" i="52"/>
  <c r="W36" i="52"/>
  <c r="W35" i="52"/>
  <c r="W34" i="52"/>
  <c r="W33" i="52"/>
  <c r="W32" i="52"/>
  <c r="W31" i="52"/>
  <c r="W30" i="52"/>
  <c r="W29" i="52"/>
  <c r="W28" i="52"/>
  <c r="W27" i="52"/>
  <c r="W26" i="52"/>
  <c r="W25" i="52"/>
  <c r="W24" i="52"/>
  <c r="W23" i="52"/>
  <c r="W21" i="52"/>
  <c r="W20" i="52"/>
  <c r="W16" i="52"/>
  <c r="W15" i="52"/>
  <c r="W14" i="52"/>
  <c r="W13" i="52"/>
  <c r="W12" i="52"/>
  <c r="W11" i="52"/>
  <c r="W10" i="52"/>
  <c r="W9" i="52"/>
  <c r="W8" i="52"/>
  <c r="W7" i="52"/>
  <c r="W117" i="63"/>
  <c r="W116" i="63"/>
  <c r="W115" i="63"/>
  <c r="W114" i="63"/>
  <c r="W113" i="63"/>
  <c r="W112" i="63"/>
  <c r="W110" i="63"/>
  <c r="W109" i="63"/>
  <c r="W108" i="63"/>
  <c r="W107" i="63"/>
  <c r="W106" i="63"/>
  <c r="W105" i="63"/>
  <c r="W104" i="63"/>
  <c r="W103" i="63"/>
  <c r="W102" i="63"/>
  <c r="W101" i="63"/>
  <c r="W100" i="63"/>
  <c r="W99" i="63"/>
  <c r="W96" i="63"/>
  <c r="W95" i="63"/>
  <c r="W94" i="63"/>
  <c r="W93" i="63"/>
  <c r="W92" i="63"/>
  <c r="W91" i="63"/>
  <c r="W90" i="63"/>
  <c r="W89" i="63"/>
  <c r="W88" i="63"/>
  <c r="W87" i="63"/>
  <c r="W86" i="63"/>
  <c r="W84" i="63"/>
  <c r="W83" i="63"/>
  <c r="W82" i="63"/>
  <c r="W81" i="63"/>
  <c r="W80" i="63"/>
  <c r="W79" i="63"/>
  <c r="W78" i="63"/>
  <c r="W77" i="63"/>
  <c r="W76" i="63"/>
  <c r="W75" i="63"/>
  <c r="W74" i="63"/>
  <c r="W73" i="63"/>
  <c r="W71" i="63"/>
  <c r="W70" i="63"/>
  <c r="W69" i="63"/>
  <c r="W68" i="63"/>
  <c r="W66" i="63"/>
  <c r="W65" i="63"/>
  <c r="W64" i="63"/>
  <c r="W63" i="63"/>
  <c r="W62" i="63"/>
  <c r="W61" i="63"/>
  <c r="W60" i="63"/>
  <c r="W59" i="63"/>
  <c r="W57" i="63"/>
  <c r="W56" i="63"/>
  <c r="W55" i="63"/>
  <c r="W54" i="63"/>
  <c r="W53" i="63"/>
  <c r="W52" i="63"/>
  <c r="W51" i="63"/>
  <c r="W49" i="63"/>
  <c r="W48" i="63"/>
  <c r="W47" i="63"/>
  <c r="W46" i="63"/>
  <c r="W45" i="63"/>
  <c r="W44" i="63"/>
  <c r="W43" i="63"/>
  <c r="W42" i="63"/>
  <c r="W40" i="63"/>
  <c r="W39" i="63"/>
  <c r="W38" i="63"/>
  <c r="W36" i="63"/>
  <c r="W35" i="63"/>
  <c r="W34" i="63"/>
  <c r="W33" i="63"/>
  <c r="W32" i="63"/>
  <c r="W30" i="63"/>
  <c r="W29" i="63"/>
  <c r="W28" i="63"/>
  <c r="W27" i="63"/>
  <c r="W26" i="63"/>
  <c r="W25" i="63"/>
  <c r="W24" i="63"/>
  <c r="W23" i="63"/>
  <c r="W21" i="63"/>
  <c r="W20" i="63"/>
  <c r="W16" i="63"/>
  <c r="W15" i="63"/>
  <c r="W14" i="63"/>
  <c r="W13" i="63"/>
  <c r="W12" i="63"/>
  <c r="W11" i="63"/>
  <c r="W10" i="63"/>
  <c r="W9" i="63"/>
  <c r="W8" i="63"/>
  <c r="W7" i="63"/>
  <c r="W117" i="64"/>
  <c r="W116" i="64"/>
  <c r="W115" i="64"/>
  <c r="W114" i="64"/>
  <c r="W113" i="64"/>
  <c r="W112" i="64"/>
  <c r="W110" i="64"/>
  <c r="W109" i="64"/>
  <c r="W108" i="64"/>
  <c r="W107" i="64"/>
  <c r="W106" i="64"/>
  <c r="W105" i="64"/>
  <c r="W104" i="64"/>
  <c r="W103" i="64"/>
  <c r="W102" i="64"/>
  <c r="W101" i="64"/>
  <c r="W100" i="64"/>
  <c r="W99" i="64"/>
  <c r="W96" i="64"/>
  <c r="W95" i="64"/>
  <c r="W94" i="64"/>
  <c r="W93" i="64"/>
  <c r="W92" i="64"/>
  <c r="W91" i="64"/>
  <c r="W90" i="64"/>
  <c r="W89" i="64"/>
  <c r="W88" i="64"/>
  <c r="W87" i="64"/>
  <c r="W86" i="64"/>
  <c r="W84" i="64"/>
  <c r="W83" i="64"/>
  <c r="W82" i="64"/>
  <c r="W81" i="64"/>
  <c r="W80" i="64"/>
  <c r="W79" i="64"/>
  <c r="W78" i="64"/>
  <c r="W77" i="64"/>
  <c r="W76" i="64"/>
  <c r="W75" i="64"/>
  <c r="W74" i="64"/>
  <c r="W73" i="64"/>
  <c r="W71" i="64"/>
  <c r="W70" i="64"/>
  <c r="W69" i="64"/>
  <c r="W68" i="64"/>
  <c r="W66" i="64"/>
  <c r="W65" i="64"/>
  <c r="W64" i="64"/>
  <c r="W63" i="64"/>
  <c r="W62" i="64"/>
  <c r="W61" i="64"/>
  <c r="W60" i="64"/>
  <c r="W59" i="64"/>
  <c r="W58" i="64"/>
  <c r="W57" i="64"/>
  <c r="W56" i="64"/>
  <c r="W55" i="64"/>
  <c r="W54" i="64"/>
  <c r="W53" i="64"/>
  <c r="W52" i="64"/>
  <c r="W51" i="64"/>
  <c r="W49" i="64"/>
  <c r="W48" i="64"/>
  <c r="W47" i="64"/>
  <c r="W45" i="64"/>
  <c r="W44" i="64"/>
  <c r="W43" i="64"/>
  <c r="W42" i="64"/>
  <c r="W40" i="64"/>
  <c r="W39" i="64"/>
  <c r="W38" i="64"/>
  <c r="W36" i="64"/>
  <c r="W35" i="64"/>
  <c r="W34" i="64"/>
  <c r="W33" i="64"/>
  <c r="W32" i="64"/>
  <c r="W30" i="64"/>
  <c r="W29" i="64"/>
  <c r="W28" i="64"/>
  <c r="W27" i="64"/>
  <c r="W26" i="64"/>
  <c r="W25" i="64"/>
  <c r="W24" i="64"/>
  <c r="W23" i="64"/>
  <c r="W21" i="64"/>
  <c r="W20" i="64"/>
  <c r="W17" i="64"/>
  <c r="W16" i="64"/>
  <c r="W15" i="64"/>
  <c r="W14" i="64"/>
  <c r="W13" i="64"/>
  <c r="W12" i="64"/>
  <c r="W11" i="64"/>
  <c r="W10" i="64"/>
  <c r="W9" i="64"/>
  <c r="W8" i="64"/>
  <c r="W7" i="64"/>
  <c r="V100" i="64"/>
  <c r="V99" i="64" s="1"/>
  <c r="U100" i="64"/>
  <c r="T100" i="64"/>
  <c r="T99" i="64" s="1"/>
  <c r="S100" i="64"/>
  <c r="R100" i="64"/>
  <c r="Q100" i="64"/>
  <c r="P100" i="64"/>
  <c r="O100" i="64"/>
  <c r="N100" i="64"/>
  <c r="M100" i="64"/>
  <c r="L100" i="64"/>
  <c r="K100" i="64"/>
  <c r="V100" i="63"/>
  <c r="V99" i="63" s="1"/>
  <c r="U100" i="63"/>
  <c r="T100" i="63"/>
  <c r="S100" i="63"/>
  <c r="R100" i="63"/>
  <c r="Q100" i="63"/>
  <c r="P100" i="63"/>
  <c r="P99" i="63" s="1"/>
  <c r="O100" i="63"/>
  <c r="N100" i="63"/>
  <c r="M100" i="63"/>
  <c r="L100" i="63"/>
  <c r="K100" i="63"/>
  <c r="V31" i="64"/>
  <c r="U31" i="64"/>
  <c r="T31" i="64"/>
  <c r="S31" i="64"/>
  <c r="R31" i="64"/>
  <c r="Q31" i="64"/>
  <c r="P31" i="64"/>
  <c r="O31" i="64"/>
  <c r="N31" i="64"/>
  <c r="M31" i="64"/>
  <c r="L31" i="64"/>
  <c r="K31" i="64"/>
  <c r="W31" i="64" s="1"/>
  <c r="V22" i="64"/>
  <c r="U22" i="64"/>
  <c r="U19" i="64" s="1"/>
  <c r="T22" i="64"/>
  <c r="S22" i="64"/>
  <c r="S19" i="64" s="1"/>
  <c r="R22" i="64"/>
  <c r="R19" i="64" s="1"/>
  <c r="Q22" i="64"/>
  <c r="Q19" i="64" s="1"/>
  <c r="P22" i="64"/>
  <c r="O22" i="64"/>
  <c r="N22" i="64"/>
  <c r="N19" i="64" s="1"/>
  <c r="M22" i="64"/>
  <c r="M19" i="64" s="1"/>
  <c r="L22" i="64"/>
  <c r="L19" i="64" s="1"/>
  <c r="K22" i="64"/>
  <c r="K19" i="64" s="1"/>
  <c r="V31" i="63"/>
  <c r="U31" i="63"/>
  <c r="T31" i="63"/>
  <c r="S31" i="63"/>
  <c r="S19" i="63" s="1"/>
  <c r="R31" i="63"/>
  <c r="R19" i="63" s="1"/>
  <c r="Q31" i="63"/>
  <c r="P31" i="63"/>
  <c r="O31" i="63"/>
  <c r="N31" i="63"/>
  <c r="M31" i="63"/>
  <c r="L31" i="63"/>
  <c r="K31" i="63"/>
  <c r="V22" i="63"/>
  <c r="V19" i="63" s="1"/>
  <c r="U22" i="63"/>
  <c r="T22" i="63"/>
  <c r="S22" i="63"/>
  <c r="R22" i="63"/>
  <c r="Q22" i="63"/>
  <c r="P22" i="63"/>
  <c r="O22" i="63"/>
  <c r="N22" i="63"/>
  <c r="M22" i="63"/>
  <c r="L22" i="63"/>
  <c r="K22" i="63"/>
  <c r="K19" i="63" s="1"/>
  <c r="V115" i="64"/>
  <c r="U115" i="64"/>
  <c r="T115" i="64"/>
  <c r="S115" i="64"/>
  <c r="R115" i="64"/>
  <c r="Q115" i="64"/>
  <c r="P115" i="64"/>
  <c r="O115" i="64"/>
  <c r="N115" i="64"/>
  <c r="M115" i="64"/>
  <c r="L115" i="64"/>
  <c r="K115" i="64"/>
  <c r="V112" i="64"/>
  <c r="U112" i="64"/>
  <c r="T112" i="64"/>
  <c r="S112" i="64"/>
  <c r="R112" i="64"/>
  <c r="Q112" i="64"/>
  <c r="P112" i="64"/>
  <c r="O112" i="64"/>
  <c r="N112" i="64"/>
  <c r="M112" i="64"/>
  <c r="L112" i="64"/>
  <c r="K112" i="64"/>
  <c r="V107" i="64"/>
  <c r="U107" i="64"/>
  <c r="T107" i="64"/>
  <c r="S107" i="64"/>
  <c r="R107" i="64"/>
  <c r="Q107" i="64"/>
  <c r="P107" i="64"/>
  <c r="O107" i="64"/>
  <c r="N107" i="64"/>
  <c r="M107" i="64"/>
  <c r="L107" i="64"/>
  <c r="K107" i="64"/>
  <c r="U99" i="64"/>
  <c r="S99" i="64"/>
  <c r="R99" i="64"/>
  <c r="Q99" i="64"/>
  <c r="P99" i="64"/>
  <c r="O99" i="64"/>
  <c r="N99" i="64"/>
  <c r="M99" i="64"/>
  <c r="L99" i="64"/>
  <c r="K99" i="64"/>
  <c r="V85" i="64"/>
  <c r="K85" i="64"/>
  <c r="U85" i="64"/>
  <c r="T85" i="64"/>
  <c r="S85" i="64"/>
  <c r="R85" i="64"/>
  <c r="Q85" i="64"/>
  <c r="P85" i="64"/>
  <c r="O85" i="64"/>
  <c r="N85" i="64"/>
  <c r="M85" i="64"/>
  <c r="L85" i="64"/>
  <c r="V80" i="64"/>
  <c r="U80" i="64"/>
  <c r="T80" i="64"/>
  <c r="S80" i="64"/>
  <c r="R80" i="64"/>
  <c r="Q80" i="64"/>
  <c r="P80" i="64"/>
  <c r="O80" i="64"/>
  <c r="N80" i="64"/>
  <c r="M80" i="64"/>
  <c r="L80" i="64"/>
  <c r="K80" i="64"/>
  <c r="V72" i="64"/>
  <c r="U72" i="64"/>
  <c r="T72" i="64"/>
  <c r="S72" i="64"/>
  <c r="R72" i="64"/>
  <c r="Q72" i="64"/>
  <c r="P72" i="64"/>
  <c r="W72" i="64" s="1"/>
  <c r="O72" i="64"/>
  <c r="N72" i="64"/>
  <c r="M72" i="64"/>
  <c r="L72" i="64"/>
  <c r="K72" i="64"/>
  <c r="V67" i="64"/>
  <c r="U67" i="64"/>
  <c r="T67" i="64"/>
  <c r="S67" i="64"/>
  <c r="R67" i="64"/>
  <c r="Q67" i="64"/>
  <c r="P67" i="64"/>
  <c r="O67" i="64"/>
  <c r="N67" i="64"/>
  <c r="M67" i="64"/>
  <c r="L67" i="64"/>
  <c r="K67" i="64"/>
  <c r="W67" i="64" s="1"/>
  <c r="V58" i="64"/>
  <c r="U58" i="64"/>
  <c r="T58" i="64"/>
  <c r="S58" i="64"/>
  <c r="R58" i="64"/>
  <c r="Q58" i="64"/>
  <c r="P58" i="64"/>
  <c r="O58" i="64"/>
  <c r="N58" i="64"/>
  <c r="M58" i="64"/>
  <c r="L58" i="64"/>
  <c r="K58" i="64"/>
  <c r="V50" i="64"/>
  <c r="U50" i="64"/>
  <c r="T50" i="64"/>
  <c r="S50" i="64"/>
  <c r="R50" i="64"/>
  <c r="Q50" i="64"/>
  <c r="P50" i="64"/>
  <c r="O50" i="64"/>
  <c r="N50" i="64"/>
  <c r="M50" i="64"/>
  <c r="L50" i="64"/>
  <c r="W50" i="64" s="1"/>
  <c r="K50" i="64"/>
  <c r="V46" i="64"/>
  <c r="U46" i="64"/>
  <c r="T46" i="64"/>
  <c r="S46" i="64"/>
  <c r="R46" i="64"/>
  <c r="W46" i="64" s="1"/>
  <c r="Q46" i="64"/>
  <c r="P46" i="64"/>
  <c r="O46" i="64"/>
  <c r="N46" i="64"/>
  <c r="M46" i="64"/>
  <c r="L46" i="64"/>
  <c r="K46" i="64"/>
  <c r="V41" i="64"/>
  <c r="U41" i="64"/>
  <c r="T41" i="64"/>
  <c r="S41" i="64"/>
  <c r="R41" i="64"/>
  <c r="Q41" i="64"/>
  <c r="P41" i="64"/>
  <c r="O41" i="64"/>
  <c r="N41" i="64"/>
  <c r="M41" i="64"/>
  <c r="L41" i="64"/>
  <c r="K41" i="64"/>
  <c r="W41" i="64" s="1"/>
  <c r="P19" i="64"/>
  <c r="O19" i="64"/>
  <c r="V17" i="64"/>
  <c r="U17" i="64"/>
  <c r="T17" i="64"/>
  <c r="V6" i="64"/>
  <c r="U6" i="64"/>
  <c r="T6" i="64"/>
  <c r="T18" i="64" s="1"/>
  <c r="S6" i="64"/>
  <c r="R6" i="64"/>
  <c r="Q6" i="64"/>
  <c r="P6" i="64"/>
  <c r="O6" i="64"/>
  <c r="N6" i="64"/>
  <c r="M6" i="64"/>
  <c r="L6" i="64"/>
  <c r="K6" i="64"/>
  <c r="V115" i="63"/>
  <c r="U115" i="63"/>
  <c r="T115" i="63"/>
  <c r="S115" i="63"/>
  <c r="R115" i="63"/>
  <c r="Q115" i="63"/>
  <c r="P115" i="63"/>
  <c r="O115" i="63"/>
  <c r="N115" i="63"/>
  <c r="M115" i="63"/>
  <c r="L115" i="63"/>
  <c r="K115" i="63"/>
  <c r="V112" i="63"/>
  <c r="U112" i="63"/>
  <c r="T112" i="63"/>
  <c r="S112" i="63"/>
  <c r="R112" i="63"/>
  <c r="Q112" i="63"/>
  <c r="P112" i="63"/>
  <c r="O112" i="63"/>
  <c r="N112" i="63"/>
  <c r="M112" i="63"/>
  <c r="L112" i="63"/>
  <c r="K112" i="63"/>
  <c r="V107" i="63"/>
  <c r="U107" i="63"/>
  <c r="T107" i="63"/>
  <c r="S107" i="63"/>
  <c r="R107" i="63"/>
  <c r="Q107" i="63"/>
  <c r="P107" i="63"/>
  <c r="O107" i="63"/>
  <c r="N107" i="63"/>
  <c r="M107" i="63"/>
  <c r="L107" i="63"/>
  <c r="K107" i="63"/>
  <c r="R99" i="63"/>
  <c r="U99" i="63"/>
  <c r="T99" i="63"/>
  <c r="S99" i="63"/>
  <c r="Q99" i="63"/>
  <c r="O99" i="63"/>
  <c r="N99" i="63"/>
  <c r="M99" i="63"/>
  <c r="L99" i="63"/>
  <c r="K99" i="63"/>
  <c r="T85" i="63"/>
  <c r="S85" i="63"/>
  <c r="R85" i="63"/>
  <c r="Q85" i="63"/>
  <c r="V85" i="63"/>
  <c r="U85" i="63"/>
  <c r="P85" i="63"/>
  <c r="O85" i="63"/>
  <c r="N85" i="63"/>
  <c r="M85" i="63"/>
  <c r="L85" i="63"/>
  <c r="K85" i="63"/>
  <c r="V80" i="63"/>
  <c r="U80" i="63"/>
  <c r="T80" i="63"/>
  <c r="S80" i="63"/>
  <c r="R80" i="63"/>
  <c r="Q80" i="63"/>
  <c r="P80" i="63"/>
  <c r="O80" i="63"/>
  <c r="N80" i="63"/>
  <c r="M80" i="63"/>
  <c r="L80" i="63"/>
  <c r="K80" i="63"/>
  <c r="V72" i="63"/>
  <c r="U72" i="63"/>
  <c r="T72" i="63"/>
  <c r="S72" i="63"/>
  <c r="R72" i="63"/>
  <c r="Q72" i="63"/>
  <c r="P72" i="63"/>
  <c r="O72" i="63"/>
  <c r="N72" i="63"/>
  <c r="W72" i="63" s="1"/>
  <c r="M72" i="63"/>
  <c r="L72" i="63"/>
  <c r="K72" i="63"/>
  <c r="V67" i="63"/>
  <c r="U67" i="63"/>
  <c r="T67" i="63"/>
  <c r="S67" i="63"/>
  <c r="R67" i="63"/>
  <c r="Q67" i="63"/>
  <c r="P67" i="63"/>
  <c r="O67" i="63"/>
  <c r="N67" i="63"/>
  <c r="M67" i="63"/>
  <c r="L67" i="63"/>
  <c r="K67" i="63"/>
  <c r="W67" i="63" s="1"/>
  <c r="V58" i="63"/>
  <c r="U58" i="63"/>
  <c r="T58" i="63"/>
  <c r="S58" i="63"/>
  <c r="R58" i="63"/>
  <c r="Q58" i="63"/>
  <c r="P58" i="63"/>
  <c r="O58" i="63"/>
  <c r="N58" i="63"/>
  <c r="M58" i="63"/>
  <c r="L58" i="63"/>
  <c r="K58" i="63"/>
  <c r="W58" i="63" s="1"/>
  <c r="V50" i="63"/>
  <c r="U50" i="63"/>
  <c r="T50" i="63"/>
  <c r="S50" i="63"/>
  <c r="R50" i="63"/>
  <c r="Q50" i="63"/>
  <c r="W50" i="63" s="1"/>
  <c r="P50" i="63"/>
  <c r="O50" i="63"/>
  <c r="N50" i="63"/>
  <c r="M50" i="63"/>
  <c r="L50" i="63"/>
  <c r="K50" i="63"/>
  <c r="V46" i="63"/>
  <c r="U46" i="63"/>
  <c r="T46" i="63"/>
  <c r="S46" i="63"/>
  <c r="R46" i="63"/>
  <c r="Q46" i="63"/>
  <c r="P46" i="63"/>
  <c r="O46" i="63"/>
  <c r="N46" i="63"/>
  <c r="M46" i="63"/>
  <c r="L46" i="63"/>
  <c r="K46" i="63"/>
  <c r="V41" i="63"/>
  <c r="U41" i="63"/>
  <c r="T41" i="63"/>
  <c r="T19" i="63"/>
  <c r="Q19" i="63"/>
  <c r="P19" i="63"/>
  <c r="O19" i="63"/>
  <c r="N19" i="63"/>
  <c r="N18" i="63"/>
  <c r="V17" i="63"/>
  <c r="U17" i="63"/>
  <c r="T17" i="63"/>
  <c r="W17" i="63"/>
  <c r="V6" i="63"/>
  <c r="V18" i="63" s="1"/>
  <c r="U6" i="63"/>
  <c r="U18" i="63" s="1"/>
  <c r="T6" i="63"/>
  <c r="S6" i="63"/>
  <c r="R6" i="63"/>
  <c r="Q6" i="63"/>
  <c r="P6" i="63"/>
  <c r="O6" i="63"/>
  <c r="N6" i="63"/>
  <c r="M6" i="63"/>
  <c r="M18" i="63" s="1"/>
  <c r="L6" i="63"/>
  <c r="L18" i="63" s="1"/>
  <c r="K6" i="63"/>
  <c r="K18" i="63" s="1"/>
  <c r="BQ119" i="60" l="1"/>
  <c r="BO119" i="60"/>
  <c r="V19" i="64"/>
  <c r="U19" i="63"/>
  <c r="W31" i="63"/>
  <c r="W85" i="64"/>
  <c r="T19" i="64"/>
  <c r="W22" i="64"/>
  <c r="W85" i="63"/>
  <c r="W41" i="63"/>
  <c r="L19" i="63"/>
  <c r="M19" i="63"/>
  <c r="W22" i="63"/>
  <c r="O37" i="64"/>
  <c r="O97" i="64" s="1"/>
  <c r="L37" i="64"/>
  <c r="L97" i="64" s="1"/>
  <c r="N37" i="64"/>
  <c r="N97" i="64" s="1"/>
  <c r="T37" i="64"/>
  <c r="U37" i="64"/>
  <c r="U97" i="64" s="1"/>
  <c r="V37" i="64"/>
  <c r="Q37" i="64"/>
  <c r="Q97" i="64" s="1"/>
  <c r="S37" i="64"/>
  <c r="S97" i="64" s="1"/>
  <c r="P37" i="64"/>
  <c r="P97" i="64" s="1"/>
  <c r="R37" i="64"/>
  <c r="R97" i="64" s="1"/>
  <c r="M37" i="64"/>
  <c r="M97" i="64" s="1"/>
  <c r="V18" i="64"/>
  <c r="K18" i="64"/>
  <c r="L18" i="64"/>
  <c r="M18" i="64"/>
  <c r="N18" i="64"/>
  <c r="O18" i="64"/>
  <c r="P18" i="64"/>
  <c r="Q18" i="64"/>
  <c r="R18" i="64"/>
  <c r="S18" i="64"/>
  <c r="U18" i="64"/>
  <c r="W6" i="64"/>
  <c r="K37" i="64"/>
  <c r="R37" i="63"/>
  <c r="R97" i="63" s="1"/>
  <c r="S37" i="63"/>
  <c r="S97" i="63" s="1"/>
  <c r="T37" i="63"/>
  <c r="T97" i="63" s="1"/>
  <c r="K37" i="63"/>
  <c r="U37" i="63"/>
  <c r="V37" i="63"/>
  <c r="V97" i="63" s="1"/>
  <c r="V98" i="63" s="1"/>
  <c r="V111" i="63" s="1"/>
  <c r="V118" i="63" s="1"/>
  <c r="O18" i="63"/>
  <c r="P18" i="63"/>
  <c r="T18" i="63"/>
  <c r="Q18" i="63"/>
  <c r="R18" i="63"/>
  <c r="S18" i="63"/>
  <c r="O37" i="63"/>
  <c r="O97" i="63" s="1"/>
  <c r="P37" i="63"/>
  <c r="P97" i="63" s="1"/>
  <c r="L37" i="63"/>
  <c r="Q37" i="63"/>
  <c r="Q97" i="63" s="1"/>
  <c r="M37" i="63"/>
  <c r="M97" i="63" s="1"/>
  <c r="M98" i="63" s="1"/>
  <c r="M111" i="63" s="1"/>
  <c r="M118" i="63" s="1"/>
  <c r="N37" i="63"/>
  <c r="N97" i="63" s="1"/>
  <c r="N98" i="63" s="1"/>
  <c r="N111" i="63" s="1"/>
  <c r="N118" i="63" s="1"/>
  <c r="W6" i="63"/>
  <c r="V97" i="64" l="1"/>
  <c r="V98" i="64" s="1"/>
  <c r="V111" i="64" s="1"/>
  <c r="V118" i="64" s="1"/>
  <c r="W19" i="64"/>
  <c r="U97" i="63"/>
  <c r="U98" i="63" s="1"/>
  <c r="U111" i="63" s="1"/>
  <c r="U118" i="63" s="1"/>
  <c r="Q98" i="64"/>
  <c r="Q111" i="64" s="1"/>
  <c r="Q118" i="64" s="1"/>
  <c r="W18" i="64"/>
  <c r="W37" i="64"/>
  <c r="T97" i="64"/>
  <c r="T98" i="64" s="1"/>
  <c r="T111" i="64" s="1"/>
  <c r="T118" i="64" s="1"/>
  <c r="W18" i="63"/>
  <c r="K97" i="63"/>
  <c r="K98" i="63" s="1"/>
  <c r="K111" i="63" s="1"/>
  <c r="W37" i="63"/>
  <c r="W19" i="63"/>
  <c r="L97" i="63"/>
  <c r="L98" i="63" s="1"/>
  <c r="L111" i="63" s="1"/>
  <c r="L118" i="63" s="1"/>
  <c r="O98" i="64"/>
  <c r="O111" i="64" s="1"/>
  <c r="O118" i="64" s="1"/>
  <c r="R98" i="64"/>
  <c r="R111" i="64" s="1"/>
  <c r="R118" i="64" s="1"/>
  <c r="S98" i="64"/>
  <c r="S111" i="64" s="1"/>
  <c r="S118" i="64" s="1"/>
  <c r="N98" i="64"/>
  <c r="N111" i="64" s="1"/>
  <c r="N118" i="64" s="1"/>
  <c r="L98" i="64"/>
  <c r="L111" i="64" s="1"/>
  <c r="L118" i="64" s="1"/>
  <c r="M98" i="64"/>
  <c r="M111" i="64" s="1"/>
  <c r="M118" i="64" s="1"/>
  <c r="U98" i="64"/>
  <c r="U111" i="64" s="1"/>
  <c r="U118" i="64" s="1"/>
  <c r="P98" i="64"/>
  <c r="P111" i="64" s="1"/>
  <c r="P118" i="64" s="1"/>
  <c r="K97" i="64"/>
  <c r="S98" i="63"/>
  <c r="S111" i="63" s="1"/>
  <c r="S118" i="63" s="1"/>
  <c r="T98" i="63"/>
  <c r="T111" i="63" s="1"/>
  <c r="T118" i="63" s="1"/>
  <c r="O98" i="63"/>
  <c r="O111" i="63" s="1"/>
  <c r="O118" i="63" s="1"/>
  <c r="P98" i="63"/>
  <c r="P111" i="63" s="1"/>
  <c r="P118" i="63" s="1"/>
  <c r="Q98" i="63"/>
  <c r="Q111" i="63" s="1"/>
  <c r="Q118" i="63" s="1"/>
  <c r="R98" i="63"/>
  <c r="R111" i="63" s="1"/>
  <c r="R118" i="63" s="1"/>
  <c r="W97" i="64" l="1"/>
  <c r="W111" i="63"/>
  <c r="W97" i="63"/>
  <c r="W98" i="63"/>
  <c r="K98" i="64"/>
  <c r="W98" i="64" s="1"/>
  <c r="K118" i="63"/>
  <c r="W118" i="63" s="1"/>
  <c r="K111" i="64" l="1"/>
  <c r="W111" i="64" s="1"/>
  <c r="K118" i="64" l="1"/>
  <c r="W118" i="64" s="1"/>
  <c r="X1" i="3" l="1"/>
  <c r="V31" i="3" l="1"/>
  <c r="U31" i="3"/>
  <c r="U19" i="3" s="1"/>
  <c r="T31" i="3"/>
  <c r="S31" i="3"/>
  <c r="R31" i="3"/>
  <c r="Q31" i="3"/>
  <c r="P31" i="3"/>
  <c r="O31" i="3"/>
  <c r="N31" i="3"/>
  <c r="M31" i="3"/>
  <c r="L31" i="3"/>
  <c r="V31" i="28"/>
  <c r="U31" i="28"/>
  <c r="T31" i="28"/>
  <c r="S31" i="28"/>
  <c r="R31" i="28"/>
  <c r="Q31" i="28"/>
  <c r="P31" i="28"/>
  <c r="O31" i="28"/>
  <c r="N31" i="28"/>
  <c r="M31" i="28"/>
  <c r="L31" i="28"/>
  <c r="V31" i="30"/>
  <c r="U31" i="30"/>
  <c r="T31" i="30"/>
  <c r="S31" i="30"/>
  <c r="R31" i="30"/>
  <c r="Q31" i="30"/>
  <c r="P31" i="30"/>
  <c r="O31" i="30"/>
  <c r="N31" i="30"/>
  <c r="M31" i="30"/>
  <c r="L31" i="30"/>
  <c r="V31" i="31"/>
  <c r="U31" i="31"/>
  <c r="T31" i="31"/>
  <c r="S31" i="31"/>
  <c r="R31" i="31"/>
  <c r="Q31" i="31"/>
  <c r="P31" i="31"/>
  <c r="O31" i="31"/>
  <c r="N31" i="31"/>
  <c r="M31" i="31"/>
  <c r="L31" i="31"/>
  <c r="V31" i="50"/>
  <c r="U31" i="50"/>
  <c r="T31" i="50"/>
  <c r="S31" i="50"/>
  <c r="R31" i="50"/>
  <c r="Q31" i="50"/>
  <c r="P31" i="50"/>
  <c r="O31" i="50"/>
  <c r="N31" i="50"/>
  <c r="M31" i="50"/>
  <c r="L31" i="50"/>
  <c r="V31" i="51"/>
  <c r="U31" i="51"/>
  <c r="T31" i="51"/>
  <c r="S31" i="51"/>
  <c r="R31" i="51"/>
  <c r="Q31" i="51"/>
  <c r="P31" i="51"/>
  <c r="O31" i="51"/>
  <c r="N31" i="51"/>
  <c r="M31" i="51"/>
  <c r="L31" i="51"/>
  <c r="V31" i="52"/>
  <c r="U31" i="52"/>
  <c r="T31" i="52"/>
  <c r="S31" i="52"/>
  <c r="R31" i="52"/>
  <c r="Q31" i="52"/>
  <c r="P31" i="52"/>
  <c r="O31" i="52"/>
  <c r="N31" i="52"/>
  <c r="M31" i="52"/>
  <c r="L31" i="52"/>
  <c r="V26" i="31"/>
  <c r="U26" i="31"/>
  <c r="T26" i="31"/>
  <c r="S26" i="31"/>
  <c r="R26" i="31"/>
  <c r="Q26" i="31"/>
  <c r="P26" i="31"/>
  <c r="O26" i="31"/>
  <c r="O19" i="31" s="1"/>
  <c r="N26" i="31"/>
  <c r="M26" i="31"/>
  <c r="L26" i="31"/>
  <c r="V26" i="52"/>
  <c r="U26" i="52"/>
  <c r="T26" i="52"/>
  <c r="S26" i="52"/>
  <c r="R26" i="52"/>
  <c r="Q26" i="52"/>
  <c r="P26" i="52"/>
  <c r="O26" i="52"/>
  <c r="N26" i="52"/>
  <c r="M26" i="52"/>
  <c r="L26" i="52"/>
  <c r="V22" i="3"/>
  <c r="U22" i="3"/>
  <c r="T22" i="3"/>
  <c r="S22" i="3"/>
  <c r="R22" i="3"/>
  <c r="Q22" i="3"/>
  <c r="Q19" i="3" s="1"/>
  <c r="P22" i="3"/>
  <c r="O22" i="3"/>
  <c r="O19" i="3" s="1"/>
  <c r="N22" i="3"/>
  <c r="N19" i="3" s="1"/>
  <c r="M22" i="3"/>
  <c r="M19" i="3" s="1"/>
  <c r="L22" i="3"/>
  <c r="V22" i="28"/>
  <c r="U22" i="28"/>
  <c r="T22" i="28"/>
  <c r="S22" i="28"/>
  <c r="R22" i="28"/>
  <c r="Q22" i="28"/>
  <c r="P22" i="28"/>
  <c r="O22" i="28"/>
  <c r="N22" i="28"/>
  <c r="N19" i="28" s="1"/>
  <c r="M22" i="28"/>
  <c r="M19" i="28" s="1"/>
  <c r="L22" i="28"/>
  <c r="L19" i="28" s="1"/>
  <c r="U22" i="30"/>
  <c r="U19" i="30" s="1"/>
  <c r="T22" i="30"/>
  <c r="S22" i="30"/>
  <c r="S19" i="30" s="1"/>
  <c r="R22" i="30"/>
  <c r="Q22" i="30"/>
  <c r="Q19" i="30" s="1"/>
  <c r="P22" i="30"/>
  <c r="O22" i="30"/>
  <c r="O19" i="30" s="1"/>
  <c r="N22" i="30"/>
  <c r="M22" i="30"/>
  <c r="M19" i="30" s="1"/>
  <c r="L22" i="30"/>
  <c r="L19" i="30" s="1"/>
  <c r="V22" i="31"/>
  <c r="V19" i="31" s="1"/>
  <c r="U22" i="31"/>
  <c r="T22" i="31"/>
  <c r="S22" i="31"/>
  <c r="R22" i="31"/>
  <c r="R19" i="31" s="1"/>
  <c r="Q22" i="31"/>
  <c r="P22" i="31"/>
  <c r="O22" i="31"/>
  <c r="N22" i="31"/>
  <c r="M22" i="31"/>
  <c r="L22" i="31"/>
  <c r="V22" i="50"/>
  <c r="U22" i="50"/>
  <c r="T22" i="50"/>
  <c r="T19" i="50" s="1"/>
  <c r="S22" i="50"/>
  <c r="S19" i="50" s="1"/>
  <c r="R22" i="50"/>
  <c r="Q22" i="50"/>
  <c r="Q19" i="50" s="1"/>
  <c r="P22" i="50"/>
  <c r="O22" i="50"/>
  <c r="O19" i="50" s="1"/>
  <c r="N22" i="50"/>
  <c r="N19" i="50" s="1"/>
  <c r="M22" i="50"/>
  <c r="M19" i="50" s="1"/>
  <c r="L22" i="50"/>
  <c r="V22" i="51"/>
  <c r="V19" i="51" s="1"/>
  <c r="U22" i="51"/>
  <c r="U19" i="51" s="1"/>
  <c r="T22" i="51"/>
  <c r="T19" i="51" s="1"/>
  <c r="S22" i="51"/>
  <c r="R22" i="51"/>
  <c r="R19" i="51" s="1"/>
  <c r="Q22" i="51"/>
  <c r="P22" i="51"/>
  <c r="O22" i="51"/>
  <c r="N22" i="51"/>
  <c r="N19" i="51" s="1"/>
  <c r="M22" i="51"/>
  <c r="M19" i="51" s="1"/>
  <c r="L22" i="51"/>
  <c r="L19" i="51" s="1"/>
  <c r="V22" i="52"/>
  <c r="U22" i="52"/>
  <c r="U19" i="52" s="1"/>
  <c r="T22" i="52"/>
  <c r="T19" i="52" s="1"/>
  <c r="S22" i="52"/>
  <c r="R22" i="52"/>
  <c r="Q22" i="52"/>
  <c r="Q19" i="52" s="1"/>
  <c r="P22" i="52"/>
  <c r="O22" i="52"/>
  <c r="N22" i="52"/>
  <c r="M22" i="52"/>
  <c r="L22" i="52"/>
  <c r="L19" i="52" s="1"/>
  <c r="P19" i="30"/>
  <c r="U19" i="50" l="1"/>
  <c r="V19" i="50"/>
  <c r="P19" i="28"/>
  <c r="Q19" i="28"/>
  <c r="R19" i="3"/>
  <c r="T19" i="28"/>
  <c r="R19" i="50"/>
  <c r="T19" i="30"/>
  <c r="Q19" i="51"/>
  <c r="S19" i="31"/>
  <c r="U19" i="28"/>
  <c r="V19" i="3"/>
  <c r="P19" i="52"/>
  <c r="R19" i="28"/>
  <c r="S19" i="3"/>
  <c r="V19" i="28"/>
  <c r="N19" i="31"/>
  <c r="P19" i="51"/>
  <c r="O19" i="52"/>
  <c r="R19" i="52"/>
  <c r="S19" i="51"/>
  <c r="U19" i="31"/>
  <c r="L19" i="3"/>
  <c r="S19" i="52"/>
  <c r="V19" i="52"/>
  <c r="L19" i="50"/>
  <c r="M19" i="31"/>
  <c r="N19" i="30"/>
  <c r="O19" i="28"/>
  <c r="P19" i="3"/>
  <c r="M19" i="52"/>
  <c r="N19" i="52"/>
  <c r="O19" i="51"/>
  <c r="P19" i="50"/>
  <c r="Q19" i="31"/>
  <c r="R19" i="30"/>
  <c r="S19" i="28"/>
  <c r="T19" i="3"/>
  <c r="L19" i="31"/>
  <c r="P19" i="31"/>
  <c r="T19" i="31"/>
  <c r="K22" i="50" l="1"/>
  <c r="W22" i="50" s="1"/>
  <c r="BA119" i="60" l="1"/>
  <c r="BA7" i="60"/>
  <c r="BA118" i="60"/>
  <c r="BA117" i="60"/>
  <c r="BA116" i="60"/>
  <c r="BA115" i="60"/>
  <c r="BA114" i="60"/>
  <c r="BA113" i="60"/>
  <c r="BA112" i="60"/>
  <c r="BA111" i="60"/>
  <c r="BA110" i="60"/>
  <c r="BA109" i="60"/>
  <c r="BA108" i="60"/>
  <c r="BA107" i="60"/>
  <c r="BA106" i="60"/>
  <c r="BA105" i="60"/>
  <c r="BA104" i="60"/>
  <c r="BA103" i="60"/>
  <c r="BA102" i="60"/>
  <c r="BA101" i="60"/>
  <c r="BA100" i="60"/>
  <c r="BA99" i="60"/>
  <c r="BA98" i="60"/>
  <c r="BA97" i="60"/>
  <c r="BA96" i="60"/>
  <c r="BA95" i="60"/>
  <c r="BA94" i="60"/>
  <c r="BA93" i="60"/>
  <c r="BA92" i="60"/>
  <c r="BA91" i="60"/>
  <c r="BA90" i="60"/>
  <c r="BA89" i="60"/>
  <c r="BA88" i="60"/>
  <c r="BA87" i="60"/>
  <c r="BA86" i="60"/>
  <c r="BA85" i="60"/>
  <c r="BA84" i="60"/>
  <c r="BA83" i="60"/>
  <c r="BA82" i="60"/>
  <c r="BA81" i="60"/>
  <c r="BA80" i="60"/>
  <c r="BA79" i="60"/>
  <c r="BA78" i="60"/>
  <c r="BA77" i="60"/>
  <c r="BA76" i="60"/>
  <c r="BA75" i="60"/>
  <c r="BA74" i="60"/>
  <c r="BA73" i="60"/>
  <c r="BA72" i="60"/>
  <c r="BA71" i="60"/>
  <c r="BA70" i="60"/>
  <c r="BA69" i="60"/>
  <c r="BA68" i="60"/>
  <c r="BA67" i="60"/>
  <c r="BA66" i="60"/>
  <c r="BA65" i="60"/>
  <c r="BA64" i="60"/>
  <c r="BA63" i="60"/>
  <c r="BA62" i="60"/>
  <c r="BA61" i="60"/>
  <c r="BA60" i="60"/>
  <c r="BA59" i="60"/>
  <c r="BA58" i="60"/>
  <c r="BA57" i="60"/>
  <c r="BA56" i="60"/>
  <c r="BA55" i="60"/>
  <c r="BA54" i="60"/>
  <c r="BA53" i="60"/>
  <c r="BA52" i="60"/>
  <c r="BA51" i="60"/>
  <c r="BA50" i="60"/>
  <c r="BA49" i="60"/>
  <c r="BA48" i="60"/>
  <c r="BA47" i="60"/>
  <c r="BA46" i="60"/>
  <c r="BA45" i="60"/>
  <c r="BA44" i="60"/>
  <c r="BA43" i="60"/>
  <c r="BA42" i="60"/>
  <c r="BA41" i="60"/>
  <c r="BA40" i="60"/>
  <c r="BA39" i="60"/>
  <c r="BA38" i="60"/>
  <c r="BA37" i="60"/>
  <c r="BA36" i="60"/>
  <c r="BA35" i="60"/>
  <c r="BA34" i="60"/>
  <c r="BA33" i="60"/>
  <c r="BA32" i="60"/>
  <c r="BA31" i="60"/>
  <c r="BA30" i="60"/>
  <c r="BA29" i="60"/>
  <c r="BA28" i="60"/>
  <c r="BA27" i="60"/>
  <c r="BA26" i="60"/>
  <c r="BA25" i="60"/>
  <c r="BA24" i="60"/>
  <c r="BA23" i="60"/>
  <c r="BA22" i="60"/>
  <c r="BA21" i="60"/>
  <c r="BA20" i="60"/>
  <c r="BA19" i="60"/>
  <c r="BA18" i="60"/>
  <c r="BA17" i="60"/>
  <c r="BA16" i="60"/>
  <c r="BA15" i="60"/>
  <c r="BA14" i="60"/>
  <c r="BA13" i="60"/>
  <c r="BA12" i="60"/>
  <c r="BA11" i="60"/>
  <c r="BA10" i="60"/>
  <c r="BA9" i="60"/>
  <c r="BA8" i="60"/>
  <c r="AY12" i="60"/>
  <c r="AY11" i="60"/>
  <c r="AY10" i="60"/>
  <c r="AY9" i="60"/>
  <c r="AY8" i="60"/>
  <c r="AY7" i="60"/>
  <c r="AY119" i="60"/>
  <c r="AY118" i="60"/>
  <c r="AY117" i="60"/>
  <c r="AY116" i="60"/>
  <c r="AY115" i="60"/>
  <c r="AY114" i="60"/>
  <c r="AY113" i="60"/>
  <c r="AY112" i="60"/>
  <c r="AY111" i="60"/>
  <c r="AY110" i="60"/>
  <c r="AY109" i="60"/>
  <c r="AY108" i="60"/>
  <c r="AY107" i="60"/>
  <c r="AY106" i="60"/>
  <c r="AY105" i="60"/>
  <c r="AY104" i="60"/>
  <c r="AY103" i="60"/>
  <c r="AY102" i="60"/>
  <c r="AY101" i="60"/>
  <c r="AY100" i="60"/>
  <c r="AY99" i="60"/>
  <c r="AY98" i="60"/>
  <c r="AY97" i="60"/>
  <c r="AY96" i="60"/>
  <c r="AY95" i="60"/>
  <c r="AY94" i="60"/>
  <c r="AY93" i="60"/>
  <c r="AY92" i="60"/>
  <c r="AY91" i="60"/>
  <c r="AY90" i="60"/>
  <c r="AY89" i="60"/>
  <c r="AY88" i="60"/>
  <c r="AY87" i="60"/>
  <c r="AY86" i="60"/>
  <c r="AY85" i="60"/>
  <c r="AY84" i="60"/>
  <c r="AY83" i="60"/>
  <c r="AY82" i="60"/>
  <c r="AY81" i="60"/>
  <c r="AY80" i="60"/>
  <c r="AY79" i="60"/>
  <c r="AY78" i="60"/>
  <c r="AY77" i="60"/>
  <c r="AY76" i="60"/>
  <c r="AY75" i="60"/>
  <c r="AY74" i="60"/>
  <c r="AY73" i="60"/>
  <c r="AY72" i="60"/>
  <c r="AY71" i="60"/>
  <c r="AY70" i="60"/>
  <c r="AY69" i="60"/>
  <c r="AY68" i="60"/>
  <c r="AY67" i="60"/>
  <c r="AY66" i="60"/>
  <c r="AY65" i="60"/>
  <c r="AY64" i="60"/>
  <c r="AY63" i="60"/>
  <c r="AY62" i="60"/>
  <c r="AY61" i="60"/>
  <c r="AY60" i="60"/>
  <c r="AY59" i="60"/>
  <c r="AY58" i="60"/>
  <c r="AY57" i="60"/>
  <c r="AY56" i="60"/>
  <c r="AY55" i="60"/>
  <c r="AY54" i="60"/>
  <c r="AY53" i="60"/>
  <c r="AY52" i="60"/>
  <c r="AY51" i="60"/>
  <c r="AY50" i="60"/>
  <c r="AY49" i="60"/>
  <c r="AY48" i="60"/>
  <c r="AY47" i="60"/>
  <c r="AY46" i="60"/>
  <c r="AY45" i="60"/>
  <c r="AY44" i="60"/>
  <c r="AY43" i="60"/>
  <c r="AY42" i="60"/>
  <c r="AY41" i="60"/>
  <c r="AY40" i="60"/>
  <c r="AY39" i="60"/>
  <c r="AY38" i="60"/>
  <c r="AY37" i="60"/>
  <c r="AY36" i="60"/>
  <c r="AY35" i="60"/>
  <c r="AY34" i="60"/>
  <c r="AY33" i="60"/>
  <c r="AY32" i="60"/>
  <c r="AY31" i="60"/>
  <c r="AY30" i="60"/>
  <c r="AY29" i="60"/>
  <c r="AY28" i="60"/>
  <c r="AY27" i="60"/>
  <c r="AY26" i="60"/>
  <c r="AY25" i="60"/>
  <c r="AY24" i="60"/>
  <c r="AY23" i="60"/>
  <c r="AY22" i="60"/>
  <c r="AY21" i="60"/>
  <c r="AY20" i="60"/>
  <c r="AY19" i="60"/>
  <c r="AY18" i="60"/>
  <c r="AY17" i="60"/>
  <c r="AY16" i="60"/>
  <c r="AY15" i="60"/>
  <c r="AY14" i="60"/>
  <c r="AY13" i="60"/>
  <c r="AL9" i="60"/>
  <c r="AL8" i="60"/>
  <c r="AL7" i="60"/>
  <c r="AJ9" i="60"/>
  <c r="AJ8" i="60"/>
  <c r="AJ7" i="60"/>
  <c r="AL119" i="60"/>
  <c r="AL118" i="60"/>
  <c r="AL117" i="60"/>
  <c r="AL116" i="60"/>
  <c r="AL115" i="60"/>
  <c r="AL114" i="60"/>
  <c r="AL113" i="60"/>
  <c r="AL112" i="60"/>
  <c r="AL111" i="60"/>
  <c r="AL110" i="60"/>
  <c r="AL109" i="60"/>
  <c r="AL108" i="60"/>
  <c r="AL107" i="60"/>
  <c r="AL106" i="60"/>
  <c r="AL105" i="60"/>
  <c r="AL104" i="60"/>
  <c r="AL103" i="60"/>
  <c r="AL102" i="60"/>
  <c r="AL101" i="60"/>
  <c r="AL100" i="60"/>
  <c r="AL99" i="60"/>
  <c r="AL98" i="60"/>
  <c r="AL97" i="60"/>
  <c r="AL96" i="60"/>
  <c r="AL95" i="60"/>
  <c r="AL94" i="60"/>
  <c r="AL93" i="60"/>
  <c r="AL92" i="60"/>
  <c r="AL91" i="60"/>
  <c r="AL90" i="60"/>
  <c r="AL89" i="60"/>
  <c r="AL88" i="60"/>
  <c r="AL87" i="60"/>
  <c r="AL86" i="60"/>
  <c r="AL85" i="60"/>
  <c r="AL84" i="60"/>
  <c r="AL83" i="60"/>
  <c r="AL82" i="60"/>
  <c r="AL81" i="60"/>
  <c r="AL80" i="60"/>
  <c r="AL79" i="60"/>
  <c r="AL78" i="60"/>
  <c r="AL77" i="60"/>
  <c r="AL76" i="60"/>
  <c r="AL75" i="60"/>
  <c r="AL74" i="60"/>
  <c r="AL73" i="60"/>
  <c r="AL72" i="60"/>
  <c r="AL71" i="60"/>
  <c r="AL70" i="60"/>
  <c r="AL69" i="60"/>
  <c r="AL68" i="60"/>
  <c r="AL67" i="60"/>
  <c r="AL66" i="60"/>
  <c r="AL65" i="60"/>
  <c r="AL64" i="60"/>
  <c r="AL63" i="60"/>
  <c r="AL62" i="60"/>
  <c r="AL61" i="60"/>
  <c r="AL60" i="60"/>
  <c r="AL59" i="60"/>
  <c r="AL58" i="60"/>
  <c r="AL57" i="60"/>
  <c r="AL56" i="60"/>
  <c r="AL55" i="60"/>
  <c r="AL54" i="60"/>
  <c r="AL53" i="60"/>
  <c r="AL52" i="60"/>
  <c r="AL51" i="60"/>
  <c r="AL50" i="60"/>
  <c r="AL49" i="60"/>
  <c r="AL48" i="60"/>
  <c r="AL47" i="60"/>
  <c r="AL46" i="60"/>
  <c r="AL45" i="60"/>
  <c r="AL44" i="60"/>
  <c r="AL43" i="60"/>
  <c r="AL42" i="60"/>
  <c r="AL41" i="60"/>
  <c r="AL40" i="60"/>
  <c r="AL39" i="60"/>
  <c r="AL38" i="60"/>
  <c r="AL37" i="60"/>
  <c r="AL36" i="60"/>
  <c r="AL35" i="60"/>
  <c r="AL34" i="60"/>
  <c r="AL33" i="60"/>
  <c r="AL32" i="60"/>
  <c r="AL31" i="60"/>
  <c r="AL30" i="60"/>
  <c r="AL29" i="60"/>
  <c r="AL28" i="60"/>
  <c r="AL27" i="60"/>
  <c r="AL26" i="60"/>
  <c r="AL25" i="60"/>
  <c r="AL24" i="60"/>
  <c r="AL23" i="60"/>
  <c r="AL22" i="60"/>
  <c r="AL21" i="60"/>
  <c r="AL20" i="60"/>
  <c r="AL19" i="60"/>
  <c r="AL18" i="60"/>
  <c r="AL17" i="60"/>
  <c r="AL16" i="60"/>
  <c r="AL15" i="60"/>
  <c r="AL14" i="60"/>
  <c r="AL13" i="60"/>
  <c r="AL12" i="60"/>
  <c r="AL11" i="60"/>
  <c r="AL10" i="60"/>
  <c r="AJ119" i="60"/>
  <c r="AJ118" i="60"/>
  <c r="AJ117" i="60"/>
  <c r="AJ116" i="60"/>
  <c r="AJ115" i="60"/>
  <c r="AJ114" i="60"/>
  <c r="AJ113" i="60"/>
  <c r="AJ112" i="60"/>
  <c r="AJ111" i="60"/>
  <c r="AJ110" i="60"/>
  <c r="AJ109" i="60"/>
  <c r="AJ108" i="60"/>
  <c r="AJ107" i="60"/>
  <c r="AJ106" i="60"/>
  <c r="AJ105" i="60"/>
  <c r="AJ104" i="60"/>
  <c r="AJ103" i="60"/>
  <c r="AJ102" i="60"/>
  <c r="AJ101" i="60"/>
  <c r="AJ100" i="60"/>
  <c r="AJ99" i="60"/>
  <c r="AJ98" i="60"/>
  <c r="AJ97" i="60"/>
  <c r="AJ96" i="60"/>
  <c r="AJ95" i="60"/>
  <c r="AJ94" i="60"/>
  <c r="AJ93" i="60"/>
  <c r="AJ92" i="60"/>
  <c r="AJ91" i="60"/>
  <c r="AJ90" i="60"/>
  <c r="AJ89" i="60"/>
  <c r="AJ88" i="60"/>
  <c r="AJ87" i="60"/>
  <c r="AJ86" i="60"/>
  <c r="AJ85" i="60"/>
  <c r="AJ84" i="60"/>
  <c r="AJ83" i="60"/>
  <c r="AJ82" i="60"/>
  <c r="AJ81" i="60"/>
  <c r="AJ80" i="60"/>
  <c r="AJ79" i="60"/>
  <c r="AJ78" i="60"/>
  <c r="AJ77" i="60"/>
  <c r="AJ76" i="60"/>
  <c r="AJ75" i="60"/>
  <c r="AJ74" i="60"/>
  <c r="AJ73" i="60"/>
  <c r="AJ72" i="60"/>
  <c r="AJ71" i="60"/>
  <c r="AJ70" i="60"/>
  <c r="AJ69" i="60"/>
  <c r="AJ68" i="60"/>
  <c r="AJ67" i="60"/>
  <c r="AJ66" i="60"/>
  <c r="AJ65" i="60"/>
  <c r="AJ64" i="60"/>
  <c r="AJ63" i="60"/>
  <c r="AJ62" i="60"/>
  <c r="AJ61" i="60"/>
  <c r="AJ60" i="60"/>
  <c r="AJ59" i="60"/>
  <c r="AJ58" i="60"/>
  <c r="AJ57" i="60"/>
  <c r="AJ56" i="60"/>
  <c r="AJ55" i="60"/>
  <c r="AJ54" i="60"/>
  <c r="AJ53" i="60"/>
  <c r="AJ52" i="60"/>
  <c r="AJ51" i="60"/>
  <c r="AJ50" i="60"/>
  <c r="AJ49" i="60"/>
  <c r="AJ48" i="60"/>
  <c r="AJ47" i="60"/>
  <c r="AJ46" i="60"/>
  <c r="AJ45" i="60"/>
  <c r="AJ44" i="60"/>
  <c r="AJ43" i="60"/>
  <c r="AJ42" i="60"/>
  <c r="AJ41" i="60"/>
  <c r="AJ40" i="60"/>
  <c r="AJ39" i="60"/>
  <c r="AJ38" i="60"/>
  <c r="AJ37" i="60"/>
  <c r="AJ36" i="60"/>
  <c r="AJ35" i="60"/>
  <c r="AJ34" i="60"/>
  <c r="AJ33" i="60"/>
  <c r="AJ32" i="60"/>
  <c r="AJ31" i="60"/>
  <c r="AJ30" i="60"/>
  <c r="AJ29" i="60"/>
  <c r="AJ28" i="60"/>
  <c r="AJ27" i="60"/>
  <c r="AJ26" i="60"/>
  <c r="AJ25" i="60"/>
  <c r="AJ24" i="60"/>
  <c r="AJ23" i="60"/>
  <c r="AJ22" i="60"/>
  <c r="AJ21" i="60"/>
  <c r="AJ20" i="60"/>
  <c r="AJ19" i="60"/>
  <c r="AJ18" i="60"/>
  <c r="AJ17" i="60"/>
  <c r="AJ16" i="60"/>
  <c r="AJ15" i="60"/>
  <c r="AJ14" i="60"/>
  <c r="AJ13" i="60"/>
  <c r="AJ12" i="60"/>
  <c r="AJ11" i="60"/>
  <c r="AJ10" i="60"/>
  <c r="AC119" i="60"/>
  <c r="AA119" i="60"/>
  <c r="AC118" i="60"/>
  <c r="AA118" i="60"/>
  <c r="AC117" i="60"/>
  <c r="AA117" i="60"/>
  <c r="AC116" i="60"/>
  <c r="AA116" i="60"/>
  <c r="AC115" i="60"/>
  <c r="AA115" i="60"/>
  <c r="AC114" i="60"/>
  <c r="AA114" i="60"/>
  <c r="AC113" i="60"/>
  <c r="AA113" i="60"/>
  <c r="AC112" i="60"/>
  <c r="AA112" i="60"/>
  <c r="AC111" i="60"/>
  <c r="AA111" i="60"/>
  <c r="AC110" i="60"/>
  <c r="AA110" i="60"/>
  <c r="AC109" i="60"/>
  <c r="AA109" i="60"/>
  <c r="AC108" i="60"/>
  <c r="AA108" i="60"/>
  <c r="AC107" i="60"/>
  <c r="AA107" i="60"/>
  <c r="AC106" i="60"/>
  <c r="AA106" i="60"/>
  <c r="AC105" i="60"/>
  <c r="AA105" i="60"/>
  <c r="AC104" i="60"/>
  <c r="AA104" i="60"/>
  <c r="AC103" i="60"/>
  <c r="AA103" i="60"/>
  <c r="AC102" i="60"/>
  <c r="AA102" i="60"/>
  <c r="AC101" i="60"/>
  <c r="AA101" i="60"/>
  <c r="AC100" i="60"/>
  <c r="AA100" i="60"/>
  <c r="AC99" i="60"/>
  <c r="AA99" i="60"/>
  <c r="AC98" i="60"/>
  <c r="AA98" i="60"/>
  <c r="AC97" i="60"/>
  <c r="AA97" i="60"/>
  <c r="AC96" i="60"/>
  <c r="AA96" i="60"/>
  <c r="AC95" i="60"/>
  <c r="AA95" i="60"/>
  <c r="AC94" i="60"/>
  <c r="AA94" i="60"/>
  <c r="AC93" i="60"/>
  <c r="AA93" i="60"/>
  <c r="AC92" i="60"/>
  <c r="AA92" i="60"/>
  <c r="AC91" i="60"/>
  <c r="AA91" i="60"/>
  <c r="AC90" i="60"/>
  <c r="AA90" i="60"/>
  <c r="AC89" i="60"/>
  <c r="AA89" i="60"/>
  <c r="AC88" i="60"/>
  <c r="AA88" i="60"/>
  <c r="AC87" i="60"/>
  <c r="AA87" i="60"/>
  <c r="AC86" i="60"/>
  <c r="AA86" i="60"/>
  <c r="AC85" i="60"/>
  <c r="AA85" i="60"/>
  <c r="AC84" i="60"/>
  <c r="AA84" i="60"/>
  <c r="AC83" i="60"/>
  <c r="AA83" i="60"/>
  <c r="AC82" i="60"/>
  <c r="AA82" i="60"/>
  <c r="AC81" i="60"/>
  <c r="AA81" i="60"/>
  <c r="AC80" i="60"/>
  <c r="AA80" i="60"/>
  <c r="AC79" i="60"/>
  <c r="AA79" i="60"/>
  <c r="AC78" i="60"/>
  <c r="AA78" i="60"/>
  <c r="AC77" i="60"/>
  <c r="AA77" i="60"/>
  <c r="AC76" i="60"/>
  <c r="AA76" i="60"/>
  <c r="AC75" i="60"/>
  <c r="AA75" i="60"/>
  <c r="AC74" i="60"/>
  <c r="AA74" i="60"/>
  <c r="AC73" i="60"/>
  <c r="AA73" i="60"/>
  <c r="AC72" i="60"/>
  <c r="AA72" i="60"/>
  <c r="AC71" i="60"/>
  <c r="AA71" i="60"/>
  <c r="AC70" i="60"/>
  <c r="AA70" i="60"/>
  <c r="AC69" i="60"/>
  <c r="AA69" i="60"/>
  <c r="AC68" i="60"/>
  <c r="AA68" i="60"/>
  <c r="AC67" i="60"/>
  <c r="AA67" i="60"/>
  <c r="AC66" i="60"/>
  <c r="AA66" i="60"/>
  <c r="AC65" i="60"/>
  <c r="AA65" i="60"/>
  <c r="AC64" i="60"/>
  <c r="AA64" i="60"/>
  <c r="AC63" i="60"/>
  <c r="AA63" i="60"/>
  <c r="AC62" i="60"/>
  <c r="AA62" i="60"/>
  <c r="AC61" i="60"/>
  <c r="AA61" i="60"/>
  <c r="AC60" i="60"/>
  <c r="AA60" i="60"/>
  <c r="AC59" i="60"/>
  <c r="AA59" i="60"/>
  <c r="AC58" i="60"/>
  <c r="AA58" i="60"/>
  <c r="AC57" i="60"/>
  <c r="AA57" i="60"/>
  <c r="AC56" i="60"/>
  <c r="AA56" i="60"/>
  <c r="AC55" i="60"/>
  <c r="AA55" i="60"/>
  <c r="AC54" i="60"/>
  <c r="AA54" i="60"/>
  <c r="AC53" i="60"/>
  <c r="AA53" i="60"/>
  <c r="AC52" i="60"/>
  <c r="AA52" i="60"/>
  <c r="AC51" i="60"/>
  <c r="AA51" i="60"/>
  <c r="AC50" i="60"/>
  <c r="AA50" i="60"/>
  <c r="AC49" i="60"/>
  <c r="AA49" i="60"/>
  <c r="AC48" i="60"/>
  <c r="AA48" i="60"/>
  <c r="AC47" i="60"/>
  <c r="AA47" i="60"/>
  <c r="AC46" i="60"/>
  <c r="AA46" i="60"/>
  <c r="AC45" i="60"/>
  <c r="AA45" i="60"/>
  <c r="AC44" i="60"/>
  <c r="AA44" i="60"/>
  <c r="AC43" i="60"/>
  <c r="AA43" i="60"/>
  <c r="AC42" i="60"/>
  <c r="AA42" i="60"/>
  <c r="AC41" i="60"/>
  <c r="AA41" i="60"/>
  <c r="AC40" i="60"/>
  <c r="AA40" i="60"/>
  <c r="AC39" i="60"/>
  <c r="AA39" i="60"/>
  <c r="AC38" i="60"/>
  <c r="AA38" i="60"/>
  <c r="AC37" i="60"/>
  <c r="AA37" i="60"/>
  <c r="AC36" i="60"/>
  <c r="AA36" i="60"/>
  <c r="AC35" i="60"/>
  <c r="AA35" i="60"/>
  <c r="AC34" i="60"/>
  <c r="AA34" i="60"/>
  <c r="AC33" i="60"/>
  <c r="AA33" i="60"/>
  <c r="AC32" i="60"/>
  <c r="AA32" i="60"/>
  <c r="AC31" i="60"/>
  <c r="AA31" i="60"/>
  <c r="AC30" i="60"/>
  <c r="AA30" i="60"/>
  <c r="AC29" i="60"/>
  <c r="AA29" i="60"/>
  <c r="AC28" i="60"/>
  <c r="AA28" i="60"/>
  <c r="AC27" i="60"/>
  <c r="AA27" i="60"/>
  <c r="AC26" i="60"/>
  <c r="AA26" i="60"/>
  <c r="AC25" i="60"/>
  <c r="AA25" i="60"/>
  <c r="AC24" i="60"/>
  <c r="AA24" i="60"/>
  <c r="AC23" i="60"/>
  <c r="AA23" i="60"/>
  <c r="AC22" i="60"/>
  <c r="AA22" i="60"/>
  <c r="AC21" i="60"/>
  <c r="AA21" i="60"/>
  <c r="AC20" i="60"/>
  <c r="AA20" i="60"/>
  <c r="AC19" i="60"/>
  <c r="AA19" i="60"/>
  <c r="AC18" i="60"/>
  <c r="AA18" i="60"/>
  <c r="AC17" i="60"/>
  <c r="AA17" i="60"/>
  <c r="AC16" i="60"/>
  <c r="AA16" i="60"/>
  <c r="AC15" i="60"/>
  <c r="AA15" i="60"/>
  <c r="AC14" i="60"/>
  <c r="AA14" i="60"/>
  <c r="AC13" i="60"/>
  <c r="AA13" i="60"/>
  <c r="AC12" i="60"/>
  <c r="AA12" i="60"/>
  <c r="AC11" i="60"/>
  <c r="AA11" i="60"/>
  <c r="AC10" i="60"/>
  <c r="AA10" i="60"/>
  <c r="AC9" i="60"/>
  <c r="AA9" i="60"/>
  <c r="AC8" i="60"/>
  <c r="AA8" i="60"/>
  <c r="AC7" i="60"/>
  <c r="AA7" i="60"/>
  <c r="W119" i="60"/>
  <c r="W118" i="60"/>
  <c r="BZ118" i="60" s="1"/>
  <c r="W117" i="60"/>
  <c r="BZ117" i="60" s="1"/>
  <c r="W116" i="60"/>
  <c r="W115" i="60"/>
  <c r="W114" i="60"/>
  <c r="W113" i="60"/>
  <c r="W112" i="60"/>
  <c r="W111" i="60"/>
  <c r="W110" i="60"/>
  <c r="W109" i="60"/>
  <c r="W108" i="60"/>
  <c r="W107" i="60"/>
  <c r="W106" i="60"/>
  <c r="BZ106" i="60" s="1"/>
  <c r="W105" i="60"/>
  <c r="BZ105" i="60" s="1"/>
  <c r="W104" i="60"/>
  <c r="W103" i="60"/>
  <c r="W102" i="60"/>
  <c r="W101" i="60"/>
  <c r="W100" i="60"/>
  <c r="W99" i="60"/>
  <c r="W98" i="60"/>
  <c r="W97" i="60"/>
  <c r="W96" i="60"/>
  <c r="W95" i="60"/>
  <c r="W94" i="60"/>
  <c r="BZ94" i="60" s="1"/>
  <c r="W93" i="60"/>
  <c r="BZ93" i="60" s="1"/>
  <c r="W92" i="60"/>
  <c r="W91" i="60"/>
  <c r="W90" i="60"/>
  <c r="W89" i="60"/>
  <c r="W88" i="60"/>
  <c r="W87" i="60"/>
  <c r="W86" i="60"/>
  <c r="W85" i="60"/>
  <c r="W84" i="60"/>
  <c r="W83" i="60"/>
  <c r="W82" i="60"/>
  <c r="BZ82" i="60" s="1"/>
  <c r="W81" i="60"/>
  <c r="BZ81" i="60" s="1"/>
  <c r="W80" i="60"/>
  <c r="W79" i="60"/>
  <c r="W78" i="60"/>
  <c r="W77" i="60"/>
  <c r="W76" i="60"/>
  <c r="W75" i="60"/>
  <c r="W74" i="60"/>
  <c r="W73" i="60"/>
  <c r="W72" i="60"/>
  <c r="W71" i="60"/>
  <c r="W70" i="60"/>
  <c r="BZ70" i="60" s="1"/>
  <c r="W69" i="60"/>
  <c r="BZ69" i="60" s="1"/>
  <c r="W68" i="60"/>
  <c r="W67" i="60"/>
  <c r="W66" i="60"/>
  <c r="W65" i="60"/>
  <c r="W64" i="60"/>
  <c r="W63" i="60"/>
  <c r="W62" i="60"/>
  <c r="W61" i="60"/>
  <c r="W60" i="60"/>
  <c r="W59" i="60"/>
  <c r="W58" i="60"/>
  <c r="BZ58" i="60" s="1"/>
  <c r="W57" i="60"/>
  <c r="BZ57" i="60" s="1"/>
  <c r="W56" i="60"/>
  <c r="W55" i="60"/>
  <c r="W54" i="60"/>
  <c r="W53" i="60"/>
  <c r="W52" i="60"/>
  <c r="W51" i="60"/>
  <c r="W50" i="60"/>
  <c r="W49" i="60"/>
  <c r="W48" i="60"/>
  <c r="W47" i="60"/>
  <c r="W46" i="60"/>
  <c r="BZ46" i="60" s="1"/>
  <c r="W45" i="60"/>
  <c r="BZ45" i="60" s="1"/>
  <c r="W44" i="60"/>
  <c r="W43" i="60"/>
  <c r="W42" i="60"/>
  <c r="W41" i="60"/>
  <c r="W40" i="60"/>
  <c r="W39" i="60"/>
  <c r="W38" i="60"/>
  <c r="W37" i="60"/>
  <c r="W36" i="60"/>
  <c r="W35" i="60"/>
  <c r="W34" i="60"/>
  <c r="BZ34" i="60" s="1"/>
  <c r="W33" i="60"/>
  <c r="BZ33" i="60" s="1"/>
  <c r="W32" i="60"/>
  <c r="W31" i="60"/>
  <c r="W30" i="60"/>
  <c r="W29" i="60"/>
  <c r="W28" i="60"/>
  <c r="W27" i="60"/>
  <c r="W26" i="60"/>
  <c r="W25" i="60"/>
  <c r="W24" i="60"/>
  <c r="W23" i="60"/>
  <c r="W22" i="60"/>
  <c r="BZ22" i="60" s="1"/>
  <c r="W21" i="60"/>
  <c r="BZ21" i="60" s="1"/>
  <c r="W20" i="60"/>
  <c r="W19" i="60"/>
  <c r="W18" i="60"/>
  <c r="W17" i="60"/>
  <c r="W16" i="60"/>
  <c r="W15" i="60"/>
  <c r="W14" i="60"/>
  <c r="W13" i="60"/>
  <c r="W12" i="60"/>
  <c r="W11" i="60"/>
  <c r="W10" i="60"/>
  <c r="BZ10" i="60" s="1"/>
  <c r="W9" i="60"/>
  <c r="W8" i="60"/>
  <c r="W7" i="60"/>
  <c r="U119" i="60"/>
  <c r="BX119" i="60" s="1"/>
  <c r="U118" i="60"/>
  <c r="BX118" i="60" s="1"/>
  <c r="U117" i="60"/>
  <c r="BX117" i="60" s="1"/>
  <c r="U116" i="60"/>
  <c r="U115" i="60"/>
  <c r="U114" i="60"/>
  <c r="U113" i="60"/>
  <c r="BX113" i="60" s="1"/>
  <c r="U112" i="60"/>
  <c r="BX112" i="60" s="1"/>
  <c r="U111" i="60"/>
  <c r="BX111" i="60" s="1"/>
  <c r="U110" i="60"/>
  <c r="BX110" i="60" s="1"/>
  <c r="U109" i="60"/>
  <c r="BX109" i="60" s="1"/>
  <c r="U108" i="60"/>
  <c r="BX108" i="60" s="1"/>
  <c r="U107" i="60"/>
  <c r="BX107" i="60" s="1"/>
  <c r="U106" i="60"/>
  <c r="BX106" i="60" s="1"/>
  <c r="U105" i="60"/>
  <c r="BX105" i="60" s="1"/>
  <c r="U104" i="60"/>
  <c r="U103" i="60"/>
  <c r="U102" i="60"/>
  <c r="U101" i="60"/>
  <c r="BX101" i="60" s="1"/>
  <c r="U100" i="60"/>
  <c r="BX100" i="60" s="1"/>
  <c r="U99" i="60"/>
  <c r="BX99" i="60" s="1"/>
  <c r="U98" i="60"/>
  <c r="BX98" i="60" s="1"/>
  <c r="U97" i="60"/>
  <c r="BX97" i="60" s="1"/>
  <c r="U96" i="60"/>
  <c r="BX96" i="60" s="1"/>
  <c r="U95" i="60"/>
  <c r="BX95" i="60" s="1"/>
  <c r="U94" i="60"/>
  <c r="BX94" i="60" s="1"/>
  <c r="U93" i="60"/>
  <c r="BX93" i="60" s="1"/>
  <c r="U92" i="60"/>
  <c r="U91" i="60"/>
  <c r="U90" i="60"/>
  <c r="U89" i="60"/>
  <c r="BX89" i="60" s="1"/>
  <c r="U88" i="60"/>
  <c r="BX88" i="60" s="1"/>
  <c r="U87" i="60"/>
  <c r="BX87" i="60" s="1"/>
  <c r="U86" i="60"/>
  <c r="BX86" i="60" s="1"/>
  <c r="U85" i="60"/>
  <c r="BX85" i="60" s="1"/>
  <c r="U84" i="60"/>
  <c r="BX84" i="60" s="1"/>
  <c r="U83" i="60"/>
  <c r="BX83" i="60" s="1"/>
  <c r="U82" i="60"/>
  <c r="BX82" i="60" s="1"/>
  <c r="U81" i="60"/>
  <c r="BX81" i="60" s="1"/>
  <c r="U80" i="60"/>
  <c r="U79" i="60"/>
  <c r="U78" i="60"/>
  <c r="U77" i="60"/>
  <c r="BX77" i="60" s="1"/>
  <c r="U76" i="60"/>
  <c r="BX76" i="60" s="1"/>
  <c r="U75" i="60"/>
  <c r="BX75" i="60" s="1"/>
  <c r="U74" i="60"/>
  <c r="BX74" i="60" s="1"/>
  <c r="U73" i="60"/>
  <c r="BX73" i="60" s="1"/>
  <c r="U72" i="60"/>
  <c r="BX72" i="60" s="1"/>
  <c r="U71" i="60"/>
  <c r="BX71" i="60" s="1"/>
  <c r="U70" i="60"/>
  <c r="BX70" i="60" s="1"/>
  <c r="U69" i="60"/>
  <c r="BX69" i="60" s="1"/>
  <c r="U68" i="60"/>
  <c r="U67" i="60"/>
  <c r="U66" i="60"/>
  <c r="U65" i="60"/>
  <c r="BX65" i="60" s="1"/>
  <c r="U64" i="60"/>
  <c r="BX64" i="60" s="1"/>
  <c r="U63" i="60"/>
  <c r="BX63" i="60" s="1"/>
  <c r="U62" i="60"/>
  <c r="BX62" i="60" s="1"/>
  <c r="U61" i="60"/>
  <c r="BX61" i="60" s="1"/>
  <c r="U60" i="60"/>
  <c r="BX60" i="60" s="1"/>
  <c r="U59" i="60"/>
  <c r="BX59" i="60" s="1"/>
  <c r="U58" i="60"/>
  <c r="BX58" i="60" s="1"/>
  <c r="U57" i="60"/>
  <c r="BX57" i="60" s="1"/>
  <c r="U56" i="60"/>
  <c r="U55" i="60"/>
  <c r="U54" i="60"/>
  <c r="U53" i="60"/>
  <c r="BX53" i="60" s="1"/>
  <c r="U52" i="60"/>
  <c r="BX52" i="60" s="1"/>
  <c r="U51" i="60"/>
  <c r="BX51" i="60" s="1"/>
  <c r="U50" i="60"/>
  <c r="BX50" i="60" s="1"/>
  <c r="U49" i="60"/>
  <c r="BX49" i="60" s="1"/>
  <c r="U48" i="60"/>
  <c r="BX48" i="60" s="1"/>
  <c r="U47" i="60"/>
  <c r="BX47" i="60" s="1"/>
  <c r="U46" i="60"/>
  <c r="BX46" i="60" s="1"/>
  <c r="U45" i="60"/>
  <c r="BX45" i="60" s="1"/>
  <c r="U44" i="60"/>
  <c r="U43" i="60"/>
  <c r="U42" i="60"/>
  <c r="U41" i="60"/>
  <c r="BX41" i="60" s="1"/>
  <c r="U40" i="60"/>
  <c r="BX40" i="60" s="1"/>
  <c r="U39" i="60"/>
  <c r="BX39" i="60" s="1"/>
  <c r="U38" i="60"/>
  <c r="BX38" i="60" s="1"/>
  <c r="U37" i="60"/>
  <c r="BX37" i="60" s="1"/>
  <c r="U36" i="60"/>
  <c r="BX36" i="60" s="1"/>
  <c r="U35" i="60"/>
  <c r="BX35" i="60" s="1"/>
  <c r="U34" i="60"/>
  <c r="BX34" i="60" s="1"/>
  <c r="U33" i="60"/>
  <c r="BX33" i="60" s="1"/>
  <c r="U32" i="60"/>
  <c r="U31" i="60"/>
  <c r="U30" i="60"/>
  <c r="U29" i="60"/>
  <c r="BX29" i="60" s="1"/>
  <c r="U28" i="60"/>
  <c r="BX28" i="60" s="1"/>
  <c r="U27" i="60"/>
  <c r="BX27" i="60" s="1"/>
  <c r="U26" i="60"/>
  <c r="BX26" i="60" s="1"/>
  <c r="U25" i="60"/>
  <c r="BX25" i="60" s="1"/>
  <c r="U24" i="60"/>
  <c r="BX24" i="60" s="1"/>
  <c r="U23" i="60"/>
  <c r="BX23" i="60" s="1"/>
  <c r="U22" i="60"/>
  <c r="BX22" i="60" s="1"/>
  <c r="U21" i="60"/>
  <c r="BX21" i="60" s="1"/>
  <c r="U20" i="60"/>
  <c r="U19" i="60"/>
  <c r="U18" i="60"/>
  <c r="U17" i="60"/>
  <c r="BX17" i="60" s="1"/>
  <c r="U16" i="60"/>
  <c r="BX16" i="60" s="1"/>
  <c r="U15" i="60"/>
  <c r="BX15" i="60" s="1"/>
  <c r="U14" i="60"/>
  <c r="BX14" i="60" s="1"/>
  <c r="U13" i="60"/>
  <c r="BX13" i="60" s="1"/>
  <c r="U12" i="60"/>
  <c r="BX12" i="60" s="1"/>
  <c r="U11" i="60"/>
  <c r="BX11" i="60" s="1"/>
  <c r="U10" i="60"/>
  <c r="BX10" i="60" s="1"/>
  <c r="U9" i="60"/>
  <c r="BX9" i="60" s="1"/>
  <c r="U8" i="60"/>
  <c r="U7" i="60"/>
  <c r="BX18" i="60" l="1"/>
  <c r="BX30" i="60"/>
  <c r="BX42" i="60"/>
  <c r="BX54" i="60"/>
  <c r="BX66" i="60"/>
  <c r="BX78" i="60"/>
  <c r="BX90" i="60"/>
  <c r="BX102" i="60"/>
  <c r="BX114" i="60"/>
  <c r="BX19" i="60"/>
  <c r="BX55" i="60"/>
  <c r="BX67" i="60"/>
  <c r="BX79" i="60"/>
  <c r="BX91" i="60"/>
  <c r="BX103" i="60"/>
  <c r="BX115" i="60"/>
  <c r="BX56" i="60"/>
  <c r="BX92" i="60"/>
  <c r="BX104" i="60"/>
  <c r="BX116" i="60"/>
  <c r="BX7" i="60"/>
  <c r="BX43" i="60"/>
  <c r="BX20" i="60"/>
  <c r="BX44" i="60"/>
  <c r="BX80" i="60"/>
  <c r="BX31" i="60"/>
  <c r="BX8" i="60"/>
  <c r="BX32" i="60"/>
  <c r="BX68" i="60"/>
  <c r="BZ7" i="60"/>
  <c r="BZ11" i="60"/>
  <c r="BZ23" i="60"/>
  <c r="BZ35" i="60"/>
  <c r="BZ47" i="60"/>
  <c r="BZ59" i="60"/>
  <c r="BZ71" i="60"/>
  <c r="BZ83" i="60"/>
  <c r="BZ95" i="60"/>
  <c r="BZ107" i="60"/>
  <c r="BZ119" i="60"/>
  <c r="BZ9" i="60"/>
  <c r="BZ14" i="60"/>
  <c r="BZ26" i="60"/>
  <c r="BZ38" i="60"/>
  <c r="BZ50" i="60"/>
  <c r="BZ62" i="60"/>
  <c r="BZ74" i="60"/>
  <c r="BZ86" i="60"/>
  <c r="BZ98" i="60"/>
  <c r="BZ110" i="60"/>
  <c r="BZ8" i="60"/>
  <c r="BZ17" i="60"/>
  <c r="BZ29" i="60"/>
  <c r="BZ41" i="60"/>
  <c r="BZ53" i="60"/>
  <c r="BZ65" i="60"/>
  <c r="BZ77" i="60"/>
  <c r="BZ89" i="60"/>
  <c r="BZ101" i="60"/>
  <c r="BZ113" i="60"/>
  <c r="BZ19" i="60"/>
  <c r="BZ31" i="60"/>
  <c r="BZ43" i="60"/>
  <c r="BZ55" i="60"/>
  <c r="BZ67" i="60"/>
  <c r="BZ79" i="60"/>
  <c r="BZ91" i="60"/>
  <c r="BZ103" i="60"/>
  <c r="BZ115" i="60"/>
  <c r="BZ25" i="60"/>
  <c r="BZ85" i="60"/>
  <c r="BZ61" i="60"/>
  <c r="BZ37" i="60"/>
  <c r="BZ73" i="60"/>
  <c r="BZ15" i="60"/>
  <c r="BZ27" i="60"/>
  <c r="BZ39" i="60"/>
  <c r="BZ51" i="60"/>
  <c r="BZ63" i="60"/>
  <c r="BZ75" i="60"/>
  <c r="BZ87" i="60"/>
  <c r="BZ99" i="60"/>
  <c r="BZ111" i="60"/>
  <c r="BZ49" i="60"/>
  <c r="BZ109" i="60"/>
  <c r="BZ13" i="60"/>
  <c r="BZ97" i="60"/>
  <c r="BZ18" i="60"/>
  <c r="BZ30" i="60"/>
  <c r="BZ42" i="60"/>
  <c r="BZ54" i="60"/>
  <c r="BZ66" i="60"/>
  <c r="BZ78" i="60"/>
  <c r="BZ90" i="60"/>
  <c r="BZ102" i="60"/>
  <c r="BZ114" i="60"/>
  <c r="BZ12" i="60"/>
  <c r="BZ16" i="60"/>
  <c r="BZ20" i="60"/>
  <c r="BZ24" i="60"/>
  <c r="BZ28" i="60"/>
  <c r="BZ32" i="60"/>
  <c r="BZ36" i="60"/>
  <c r="BZ40" i="60"/>
  <c r="BZ44" i="60"/>
  <c r="BZ48" i="60"/>
  <c r="BZ52" i="60"/>
  <c r="BZ56" i="60"/>
  <c r="BZ60" i="60"/>
  <c r="BZ64" i="60"/>
  <c r="BZ68" i="60"/>
  <c r="BZ72" i="60"/>
  <c r="BZ76" i="60"/>
  <c r="BZ80" i="60"/>
  <c r="BZ84" i="60"/>
  <c r="BZ88" i="60"/>
  <c r="BZ92" i="60"/>
  <c r="BZ96" i="60"/>
  <c r="BZ100" i="60"/>
  <c r="BZ104" i="60"/>
  <c r="BZ108" i="60"/>
  <c r="BZ112" i="60"/>
  <c r="BZ116" i="60"/>
  <c r="V22" i="30" l="1"/>
  <c r="V19" i="30" s="1"/>
  <c r="V115" i="3" l="1"/>
  <c r="U115" i="3"/>
  <c r="T115" i="3"/>
  <c r="S115" i="3"/>
  <c r="R115" i="3"/>
  <c r="Q115" i="3"/>
  <c r="P115" i="3"/>
  <c r="O115" i="3"/>
  <c r="N115" i="3"/>
  <c r="M115" i="3"/>
  <c r="L115" i="3"/>
  <c r="V115" i="28"/>
  <c r="U115" i="28"/>
  <c r="T115" i="28"/>
  <c r="S115" i="28"/>
  <c r="R115" i="28"/>
  <c r="Q115" i="28"/>
  <c r="P115" i="28"/>
  <c r="O115" i="28"/>
  <c r="N115" i="28"/>
  <c r="M115" i="28"/>
  <c r="L115" i="28"/>
  <c r="V115" i="30"/>
  <c r="U115" i="30"/>
  <c r="T115" i="30"/>
  <c r="S115" i="30"/>
  <c r="R115" i="30"/>
  <c r="Q115" i="30"/>
  <c r="P115" i="30"/>
  <c r="O115" i="30"/>
  <c r="N115" i="30"/>
  <c r="M115" i="30"/>
  <c r="L115" i="30"/>
  <c r="V115" i="31"/>
  <c r="U115" i="31"/>
  <c r="T115" i="31"/>
  <c r="S115" i="31"/>
  <c r="R115" i="31"/>
  <c r="Q115" i="31"/>
  <c r="P115" i="31"/>
  <c r="O115" i="31"/>
  <c r="N115" i="31"/>
  <c r="M115" i="31"/>
  <c r="L115" i="31"/>
  <c r="V115" i="50"/>
  <c r="U115" i="50"/>
  <c r="T115" i="50"/>
  <c r="S115" i="50"/>
  <c r="R115" i="50"/>
  <c r="Q115" i="50"/>
  <c r="P115" i="50"/>
  <c r="O115" i="50"/>
  <c r="N115" i="50"/>
  <c r="M115" i="50"/>
  <c r="L115" i="50"/>
  <c r="V115" i="51"/>
  <c r="U115" i="51"/>
  <c r="T115" i="51"/>
  <c r="S115" i="51"/>
  <c r="R115" i="51"/>
  <c r="Q115" i="51"/>
  <c r="P115" i="51"/>
  <c r="O115" i="51"/>
  <c r="N115" i="51"/>
  <c r="M115" i="51"/>
  <c r="L115" i="51"/>
  <c r="V115" i="52"/>
  <c r="U115" i="52"/>
  <c r="T115" i="52"/>
  <c r="S115" i="52"/>
  <c r="R115" i="52"/>
  <c r="Q115" i="52"/>
  <c r="P115" i="52"/>
  <c r="O115" i="52"/>
  <c r="N115" i="52"/>
  <c r="M115" i="52"/>
  <c r="L115" i="52"/>
  <c r="K115" i="3"/>
  <c r="K115" i="28"/>
  <c r="K115" i="30"/>
  <c r="K115" i="31"/>
  <c r="K115" i="50"/>
  <c r="K115" i="51"/>
  <c r="K115" i="52"/>
  <c r="V112" i="3"/>
  <c r="U112" i="3"/>
  <c r="T112" i="3"/>
  <c r="S112" i="3"/>
  <c r="R112" i="3"/>
  <c r="Q112" i="3"/>
  <c r="P112" i="3"/>
  <c r="O112" i="3"/>
  <c r="N112" i="3"/>
  <c r="M112" i="3"/>
  <c r="L112" i="3"/>
  <c r="V112" i="28"/>
  <c r="U112" i="28"/>
  <c r="T112" i="28"/>
  <c r="S112" i="28"/>
  <c r="R112" i="28"/>
  <c r="Q112" i="28"/>
  <c r="P112" i="28"/>
  <c r="O112" i="28"/>
  <c r="N112" i="28"/>
  <c r="M112" i="28"/>
  <c r="L112" i="28"/>
  <c r="V112" i="30"/>
  <c r="U112" i="30"/>
  <c r="T112" i="30"/>
  <c r="S112" i="30"/>
  <c r="R112" i="30"/>
  <c r="Q112" i="30"/>
  <c r="P112" i="30"/>
  <c r="O112" i="30"/>
  <c r="N112" i="30"/>
  <c r="M112" i="30"/>
  <c r="L112" i="30"/>
  <c r="V112" i="31"/>
  <c r="U112" i="31"/>
  <c r="T112" i="31"/>
  <c r="S112" i="31"/>
  <c r="R112" i="31"/>
  <c r="Q112" i="31"/>
  <c r="P112" i="31"/>
  <c r="O112" i="31"/>
  <c r="N112" i="31"/>
  <c r="M112" i="31"/>
  <c r="L112" i="31"/>
  <c r="V112" i="50"/>
  <c r="U112" i="50"/>
  <c r="T112" i="50"/>
  <c r="S112" i="50"/>
  <c r="R112" i="50"/>
  <c r="Q112" i="50"/>
  <c r="P112" i="50"/>
  <c r="O112" i="50"/>
  <c r="N112" i="50"/>
  <c r="M112" i="50"/>
  <c r="L112" i="50"/>
  <c r="V112" i="51"/>
  <c r="U112" i="51"/>
  <c r="T112" i="51"/>
  <c r="S112" i="51"/>
  <c r="R112" i="51"/>
  <c r="Q112" i="51"/>
  <c r="P112" i="51"/>
  <c r="O112" i="51"/>
  <c r="N112" i="51"/>
  <c r="M112" i="51"/>
  <c r="L112" i="51"/>
  <c r="V112" i="52"/>
  <c r="U112" i="52"/>
  <c r="T112" i="52"/>
  <c r="S112" i="52"/>
  <c r="R112" i="52"/>
  <c r="Q112" i="52"/>
  <c r="P112" i="52"/>
  <c r="O112" i="52"/>
  <c r="N112" i="52"/>
  <c r="M112" i="52"/>
  <c r="L112" i="52"/>
  <c r="K112" i="3"/>
  <c r="K112" i="28"/>
  <c r="K112" i="30"/>
  <c r="K112" i="31"/>
  <c r="K112" i="50"/>
  <c r="K112" i="51"/>
  <c r="K112" i="52"/>
  <c r="V107" i="3"/>
  <c r="U107" i="3"/>
  <c r="T107" i="3"/>
  <c r="S107" i="3"/>
  <c r="R107" i="3"/>
  <c r="Q107" i="3"/>
  <c r="P107" i="3"/>
  <c r="O107" i="3"/>
  <c r="N107" i="3"/>
  <c r="M107" i="3"/>
  <c r="L107" i="3"/>
  <c r="V107" i="28"/>
  <c r="U107" i="28"/>
  <c r="T107" i="28"/>
  <c r="S107" i="28"/>
  <c r="R107" i="28"/>
  <c r="Q107" i="28"/>
  <c r="P107" i="28"/>
  <c r="O107" i="28"/>
  <c r="N107" i="28"/>
  <c r="M107" i="28"/>
  <c r="L107" i="28"/>
  <c r="V107" i="30"/>
  <c r="U107" i="30"/>
  <c r="T107" i="30"/>
  <c r="S107" i="30"/>
  <c r="R107" i="30"/>
  <c r="Q107" i="30"/>
  <c r="P107" i="30"/>
  <c r="O107" i="30"/>
  <c r="N107" i="30"/>
  <c r="M107" i="30"/>
  <c r="L107" i="30"/>
  <c r="V107" i="31"/>
  <c r="U107" i="31"/>
  <c r="T107" i="31"/>
  <c r="S107" i="31"/>
  <c r="R107" i="31"/>
  <c r="Q107" i="31"/>
  <c r="P107" i="31"/>
  <c r="O107" i="31"/>
  <c r="N107" i="31"/>
  <c r="M107" i="31"/>
  <c r="L107" i="31"/>
  <c r="V107" i="50"/>
  <c r="U107" i="50"/>
  <c r="T107" i="50"/>
  <c r="S107" i="50"/>
  <c r="R107" i="50"/>
  <c r="Q107" i="50"/>
  <c r="P107" i="50"/>
  <c r="O107" i="50"/>
  <c r="N107" i="50"/>
  <c r="M107" i="50"/>
  <c r="L107" i="50"/>
  <c r="V107" i="51"/>
  <c r="U107" i="51"/>
  <c r="T107" i="51"/>
  <c r="S107" i="51"/>
  <c r="R107" i="51"/>
  <c r="Q107" i="51"/>
  <c r="P107" i="51"/>
  <c r="O107" i="51"/>
  <c r="N107" i="51"/>
  <c r="M107" i="51"/>
  <c r="L107" i="51"/>
  <c r="V107" i="52"/>
  <c r="U107" i="52"/>
  <c r="T107" i="52"/>
  <c r="S107" i="52"/>
  <c r="R107" i="52"/>
  <c r="Q107" i="52"/>
  <c r="P107" i="52"/>
  <c r="O107" i="52"/>
  <c r="N107" i="52"/>
  <c r="M107" i="52"/>
  <c r="L107" i="52"/>
  <c r="V100" i="3"/>
  <c r="V99" i="3" s="1"/>
  <c r="U100" i="3"/>
  <c r="U99" i="3" s="1"/>
  <c r="T100" i="3"/>
  <c r="T99" i="3" s="1"/>
  <c r="S100" i="3"/>
  <c r="S99" i="3" s="1"/>
  <c r="R100" i="3"/>
  <c r="R99" i="3" s="1"/>
  <c r="Q100" i="3"/>
  <c r="P100" i="3"/>
  <c r="P99" i="3" s="1"/>
  <c r="O100" i="3"/>
  <c r="O99" i="3" s="1"/>
  <c r="N100" i="3"/>
  <c r="N99" i="3" s="1"/>
  <c r="M100" i="3"/>
  <c r="M99" i="3" s="1"/>
  <c r="L100" i="3"/>
  <c r="L99" i="3" s="1"/>
  <c r="V100" i="28"/>
  <c r="V99" i="28" s="1"/>
  <c r="U100" i="28"/>
  <c r="U99" i="28" s="1"/>
  <c r="T100" i="28"/>
  <c r="T99" i="28" s="1"/>
  <c r="S100" i="28"/>
  <c r="S99" i="28" s="1"/>
  <c r="R100" i="28"/>
  <c r="R99" i="28" s="1"/>
  <c r="Q100" i="28"/>
  <c r="Q99" i="28" s="1"/>
  <c r="P100" i="28"/>
  <c r="P99" i="28" s="1"/>
  <c r="O100" i="28"/>
  <c r="N100" i="28"/>
  <c r="N99" i="28" s="1"/>
  <c r="M100" i="28"/>
  <c r="M99" i="28" s="1"/>
  <c r="L100" i="28"/>
  <c r="L99" i="28" s="1"/>
  <c r="V100" i="30"/>
  <c r="V99" i="30" s="1"/>
  <c r="U100" i="30"/>
  <c r="U99" i="30" s="1"/>
  <c r="T100" i="30"/>
  <c r="T99" i="30" s="1"/>
  <c r="S100" i="30"/>
  <c r="S99" i="30" s="1"/>
  <c r="R100" i="30"/>
  <c r="R99" i="30" s="1"/>
  <c r="Q100" i="30"/>
  <c r="Q99" i="30" s="1"/>
  <c r="P100" i="30"/>
  <c r="P99" i="30" s="1"/>
  <c r="O100" i="30"/>
  <c r="O99" i="30" s="1"/>
  <c r="N100" i="30"/>
  <c r="N99" i="30" s="1"/>
  <c r="M100" i="30"/>
  <c r="M99" i="30" s="1"/>
  <c r="L100" i="30"/>
  <c r="L99" i="30" s="1"/>
  <c r="V100" i="31"/>
  <c r="V99" i="31" s="1"/>
  <c r="U100" i="31"/>
  <c r="U99" i="31" s="1"/>
  <c r="T100" i="31"/>
  <c r="T99" i="31" s="1"/>
  <c r="S100" i="31"/>
  <c r="S99" i="31" s="1"/>
  <c r="R100" i="31"/>
  <c r="R99" i="31" s="1"/>
  <c r="Q100" i="31"/>
  <c r="Q99" i="31" s="1"/>
  <c r="P100" i="31"/>
  <c r="P99" i="31" s="1"/>
  <c r="O100" i="31"/>
  <c r="O99" i="31" s="1"/>
  <c r="N100" i="31"/>
  <c r="M100" i="31"/>
  <c r="M99" i="31" s="1"/>
  <c r="L100" i="31"/>
  <c r="L99" i="31" s="1"/>
  <c r="V100" i="50"/>
  <c r="V99" i="50" s="1"/>
  <c r="U100" i="50"/>
  <c r="U99" i="50" s="1"/>
  <c r="T100" i="50"/>
  <c r="T99" i="50" s="1"/>
  <c r="S100" i="50"/>
  <c r="S99" i="50" s="1"/>
  <c r="R100" i="50"/>
  <c r="R99" i="50" s="1"/>
  <c r="Q100" i="50"/>
  <c r="Q99" i="50" s="1"/>
  <c r="P100" i="50"/>
  <c r="P99" i="50" s="1"/>
  <c r="O100" i="50"/>
  <c r="O99" i="50" s="1"/>
  <c r="N100" i="50"/>
  <c r="N99" i="50" s="1"/>
  <c r="M100" i="50"/>
  <c r="M99" i="50" s="1"/>
  <c r="L100" i="50"/>
  <c r="L99" i="50" s="1"/>
  <c r="V100" i="51"/>
  <c r="V99" i="51" s="1"/>
  <c r="U100" i="51"/>
  <c r="U99" i="51" s="1"/>
  <c r="T100" i="51"/>
  <c r="T99" i="51" s="1"/>
  <c r="S100" i="51"/>
  <c r="S99" i="51" s="1"/>
  <c r="R100" i="51"/>
  <c r="R99" i="51" s="1"/>
  <c r="Q100" i="51"/>
  <c r="Q99" i="51" s="1"/>
  <c r="P100" i="51"/>
  <c r="O100" i="51"/>
  <c r="O99" i="51" s="1"/>
  <c r="N100" i="51"/>
  <c r="N99" i="51" s="1"/>
  <c r="M100" i="51"/>
  <c r="M99" i="51" s="1"/>
  <c r="L100" i="51"/>
  <c r="V100" i="52"/>
  <c r="U100" i="52"/>
  <c r="U99" i="52" s="1"/>
  <c r="T100" i="52"/>
  <c r="T99" i="52" s="1"/>
  <c r="S100" i="52"/>
  <c r="S99" i="52" s="1"/>
  <c r="R100" i="52"/>
  <c r="R99" i="52" s="1"/>
  <c r="Q100" i="52"/>
  <c r="Q99" i="52" s="1"/>
  <c r="P100" i="52"/>
  <c r="P99" i="52" s="1"/>
  <c r="O100" i="52"/>
  <c r="O99" i="52" s="1"/>
  <c r="N100" i="52"/>
  <c r="N99" i="52" s="1"/>
  <c r="M100" i="52"/>
  <c r="M99" i="52" s="1"/>
  <c r="L100" i="52"/>
  <c r="L99" i="52" s="1"/>
  <c r="Q99" i="3"/>
  <c r="O99" i="28"/>
  <c r="N99" i="31"/>
  <c r="P99" i="51"/>
  <c r="L99" i="51"/>
  <c r="V99" i="52"/>
  <c r="V85" i="3"/>
  <c r="U85" i="3"/>
  <c r="T85" i="3"/>
  <c r="S85" i="3"/>
  <c r="R85" i="3"/>
  <c r="Q85" i="3"/>
  <c r="P85" i="3"/>
  <c r="O85" i="3"/>
  <c r="N85" i="3"/>
  <c r="M85" i="3"/>
  <c r="L85" i="3"/>
  <c r="V85" i="28"/>
  <c r="U85" i="28"/>
  <c r="T85" i="28"/>
  <c r="S85" i="28"/>
  <c r="R85" i="28"/>
  <c r="Q85" i="28"/>
  <c r="P85" i="28"/>
  <c r="O85" i="28"/>
  <c r="N85" i="28"/>
  <c r="M85" i="28"/>
  <c r="L85" i="28"/>
  <c r="V85" i="30"/>
  <c r="U85" i="30"/>
  <c r="T85" i="30"/>
  <c r="S85" i="30"/>
  <c r="R85" i="30"/>
  <c r="Q85" i="30"/>
  <c r="P85" i="30"/>
  <c r="O85" i="30"/>
  <c r="N85" i="30"/>
  <c r="M85" i="30"/>
  <c r="L85" i="30"/>
  <c r="V85" i="31"/>
  <c r="U85" i="31"/>
  <c r="T85" i="31"/>
  <c r="S85" i="31"/>
  <c r="R85" i="31"/>
  <c r="Q85" i="31"/>
  <c r="P85" i="31"/>
  <c r="O85" i="31"/>
  <c r="N85" i="31"/>
  <c r="M85" i="31"/>
  <c r="L85" i="31"/>
  <c r="V85" i="50"/>
  <c r="U85" i="50"/>
  <c r="T85" i="50"/>
  <c r="S85" i="50"/>
  <c r="R85" i="50"/>
  <c r="Q85" i="50"/>
  <c r="P85" i="50"/>
  <c r="O85" i="50"/>
  <c r="N85" i="50"/>
  <c r="M85" i="50"/>
  <c r="L85" i="50"/>
  <c r="V85" i="51"/>
  <c r="U85" i="51"/>
  <c r="T85" i="51"/>
  <c r="S85" i="51"/>
  <c r="R85" i="51"/>
  <c r="Q85" i="51"/>
  <c r="P85" i="51"/>
  <c r="O85" i="51"/>
  <c r="N85" i="51"/>
  <c r="M85" i="51"/>
  <c r="L85" i="51"/>
  <c r="V85" i="52"/>
  <c r="U85" i="52"/>
  <c r="T85" i="52"/>
  <c r="S85" i="52"/>
  <c r="R85" i="52"/>
  <c r="Q85" i="52"/>
  <c r="P85" i="52"/>
  <c r="O85" i="52"/>
  <c r="N85" i="52"/>
  <c r="M85" i="52"/>
  <c r="L85" i="52"/>
  <c r="V80" i="3"/>
  <c r="U80" i="3"/>
  <c r="T80" i="3"/>
  <c r="S80" i="3"/>
  <c r="R80" i="3"/>
  <c r="Q80" i="3"/>
  <c r="P80" i="3"/>
  <c r="O80" i="3"/>
  <c r="N80" i="3"/>
  <c r="M80" i="3"/>
  <c r="L80" i="3"/>
  <c r="V80" i="28"/>
  <c r="U80" i="28"/>
  <c r="T80" i="28"/>
  <c r="S80" i="28"/>
  <c r="R80" i="28"/>
  <c r="Q80" i="28"/>
  <c r="P80" i="28"/>
  <c r="O80" i="28"/>
  <c r="N80" i="28"/>
  <c r="M80" i="28"/>
  <c r="L80" i="28"/>
  <c r="V80" i="30"/>
  <c r="U80" i="30"/>
  <c r="T80" i="30"/>
  <c r="S80" i="30"/>
  <c r="R80" i="30"/>
  <c r="Q80" i="30"/>
  <c r="P80" i="30"/>
  <c r="O80" i="30"/>
  <c r="N80" i="30"/>
  <c r="M80" i="30"/>
  <c r="L80" i="30"/>
  <c r="V80" i="31"/>
  <c r="U80" i="31"/>
  <c r="T80" i="31"/>
  <c r="S80" i="31"/>
  <c r="R80" i="31"/>
  <c r="Q80" i="31"/>
  <c r="P80" i="31"/>
  <c r="O80" i="31"/>
  <c r="N80" i="31"/>
  <c r="M80" i="31"/>
  <c r="L80" i="31"/>
  <c r="V80" i="50"/>
  <c r="U80" i="50"/>
  <c r="T80" i="50"/>
  <c r="S80" i="50"/>
  <c r="R80" i="50"/>
  <c r="Q80" i="50"/>
  <c r="P80" i="50"/>
  <c r="O80" i="50"/>
  <c r="N80" i="50"/>
  <c r="M80" i="50"/>
  <c r="L80" i="50"/>
  <c r="V80" i="51"/>
  <c r="U80" i="51"/>
  <c r="T80" i="51"/>
  <c r="S80" i="51"/>
  <c r="R80" i="51"/>
  <c r="Q80" i="51"/>
  <c r="P80" i="51"/>
  <c r="O80" i="51"/>
  <c r="N80" i="51"/>
  <c r="M80" i="51"/>
  <c r="L80" i="51"/>
  <c r="V80" i="52"/>
  <c r="U80" i="52"/>
  <c r="T80" i="52"/>
  <c r="S80" i="52"/>
  <c r="R80" i="52"/>
  <c r="Q80" i="52"/>
  <c r="P80" i="52"/>
  <c r="O80" i="52"/>
  <c r="N80" i="52"/>
  <c r="M80" i="52"/>
  <c r="L80" i="52"/>
  <c r="K80" i="3"/>
  <c r="K80" i="28"/>
  <c r="K80" i="30"/>
  <c r="K80" i="31"/>
  <c r="K80" i="50"/>
  <c r="K80" i="51"/>
  <c r="K80" i="52"/>
  <c r="V72" i="3"/>
  <c r="U72" i="3"/>
  <c r="T72" i="3"/>
  <c r="S72" i="3"/>
  <c r="R72" i="3"/>
  <c r="Q72" i="3"/>
  <c r="P72" i="3"/>
  <c r="O72" i="3"/>
  <c r="N72" i="3"/>
  <c r="M72" i="3"/>
  <c r="L72" i="3"/>
  <c r="V72" i="28"/>
  <c r="U72" i="28"/>
  <c r="T72" i="28"/>
  <c r="S72" i="28"/>
  <c r="R72" i="28"/>
  <c r="Q72" i="28"/>
  <c r="P72" i="28"/>
  <c r="O72" i="28"/>
  <c r="N72" i="28"/>
  <c r="M72" i="28"/>
  <c r="L72" i="28"/>
  <c r="V72" i="30"/>
  <c r="U72" i="30"/>
  <c r="T72" i="30"/>
  <c r="S72" i="30"/>
  <c r="R72" i="30"/>
  <c r="Q72" i="30"/>
  <c r="P72" i="30"/>
  <c r="O72" i="30"/>
  <c r="N72" i="30"/>
  <c r="M72" i="30"/>
  <c r="L72" i="30"/>
  <c r="V72" i="31"/>
  <c r="U72" i="31"/>
  <c r="T72" i="31"/>
  <c r="S72" i="31"/>
  <c r="R72" i="31"/>
  <c r="Q72" i="31"/>
  <c r="P72" i="31"/>
  <c r="O72" i="31"/>
  <c r="N72" i="31"/>
  <c r="M72" i="31"/>
  <c r="L72" i="31"/>
  <c r="V72" i="50"/>
  <c r="U72" i="50"/>
  <c r="T72" i="50"/>
  <c r="S72" i="50"/>
  <c r="R72" i="50"/>
  <c r="Q72" i="50"/>
  <c r="P72" i="50"/>
  <c r="O72" i="50"/>
  <c r="N72" i="50"/>
  <c r="M72" i="50"/>
  <c r="L72" i="50"/>
  <c r="V72" i="51"/>
  <c r="U72" i="51"/>
  <c r="T72" i="51"/>
  <c r="S72" i="51"/>
  <c r="R72" i="51"/>
  <c r="Q72" i="51"/>
  <c r="P72" i="51"/>
  <c r="O72" i="51"/>
  <c r="N72" i="51"/>
  <c r="M72" i="51"/>
  <c r="L72" i="51"/>
  <c r="V72" i="52"/>
  <c r="U72" i="52"/>
  <c r="T72" i="52"/>
  <c r="S72" i="52"/>
  <c r="R72" i="52"/>
  <c r="Q72" i="52"/>
  <c r="P72" i="52"/>
  <c r="O72" i="52"/>
  <c r="N72" i="52"/>
  <c r="M72" i="52"/>
  <c r="L72" i="52"/>
  <c r="K72" i="3"/>
  <c r="K72" i="28"/>
  <c r="K72" i="30"/>
  <c r="K72" i="31"/>
  <c r="K72" i="50"/>
  <c r="K72" i="51"/>
  <c r="K72" i="52"/>
  <c r="V67" i="3"/>
  <c r="U67" i="3"/>
  <c r="T67" i="3"/>
  <c r="S67" i="3"/>
  <c r="R67" i="3"/>
  <c r="Q67" i="3"/>
  <c r="P67" i="3"/>
  <c r="O67" i="3"/>
  <c r="N67" i="3"/>
  <c r="M67" i="3"/>
  <c r="L67" i="3"/>
  <c r="V67" i="28"/>
  <c r="U67" i="28"/>
  <c r="T67" i="28"/>
  <c r="S67" i="28"/>
  <c r="R67" i="28"/>
  <c r="Q67" i="28"/>
  <c r="P67" i="28"/>
  <c r="O67" i="28"/>
  <c r="N67" i="28"/>
  <c r="M67" i="28"/>
  <c r="L67" i="28"/>
  <c r="V67" i="30"/>
  <c r="U67" i="30"/>
  <c r="T67" i="30"/>
  <c r="S67" i="30"/>
  <c r="R67" i="30"/>
  <c r="Q67" i="30"/>
  <c r="P67" i="30"/>
  <c r="O67" i="30"/>
  <c r="N67" i="30"/>
  <c r="M67" i="30"/>
  <c r="L67" i="30"/>
  <c r="V67" i="31"/>
  <c r="U67" i="31"/>
  <c r="T67" i="31"/>
  <c r="S67" i="31"/>
  <c r="R67" i="31"/>
  <c r="Q67" i="31"/>
  <c r="P67" i="31"/>
  <c r="O67" i="31"/>
  <c r="N67" i="31"/>
  <c r="M67" i="31"/>
  <c r="L67" i="31"/>
  <c r="V67" i="50"/>
  <c r="U67" i="50"/>
  <c r="T67" i="50"/>
  <c r="S67" i="50"/>
  <c r="R67" i="50"/>
  <c r="Q67" i="50"/>
  <c r="P67" i="50"/>
  <c r="O67" i="50"/>
  <c r="N67" i="50"/>
  <c r="M67" i="50"/>
  <c r="L67" i="50"/>
  <c r="V67" i="51"/>
  <c r="U67" i="51"/>
  <c r="T67" i="51"/>
  <c r="S67" i="51"/>
  <c r="R67" i="51"/>
  <c r="Q67" i="51"/>
  <c r="P67" i="51"/>
  <c r="O67" i="51"/>
  <c r="N67" i="51"/>
  <c r="M67" i="51"/>
  <c r="L67" i="51"/>
  <c r="V67" i="52"/>
  <c r="U67" i="52"/>
  <c r="T67" i="52"/>
  <c r="S67" i="52"/>
  <c r="R67" i="52"/>
  <c r="Q67" i="52"/>
  <c r="P67" i="52"/>
  <c r="O67" i="52"/>
  <c r="N67" i="52"/>
  <c r="M67" i="52"/>
  <c r="L67" i="52"/>
  <c r="K67" i="3"/>
  <c r="K67" i="28"/>
  <c r="K67" i="30"/>
  <c r="K67" i="31"/>
  <c r="K67" i="50"/>
  <c r="K67" i="51"/>
  <c r="K67" i="52"/>
  <c r="K58" i="3"/>
  <c r="K58" i="28"/>
  <c r="K58" i="30"/>
  <c r="K58" i="31"/>
  <c r="K58" i="50"/>
  <c r="K58" i="51"/>
  <c r="W58" i="51" s="1"/>
  <c r="K58" i="52"/>
  <c r="V58" i="3"/>
  <c r="U58" i="3"/>
  <c r="T58" i="3"/>
  <c r="S58" i="3"/>
  <c r="R58" i="3"/>
  <c r="Q58" i="3"/>
  <c r="P58" i="3"/>
  <c r="O58" i="3"/>
  <c r="N58" i="3"/>
  <c r="M58" i="3"/>
  <c r="L58" i="3"/>
  <c r="V58" i="28"/>
  <c r="U58" i="28"/>
  <c r="T58" i="28"/>
  <c r="S58" i="28"/>
  <c r="R58" i="28"/>
  <c r="Q58" i="28"/>
  <c r="P58" i="28"/>
  <c r="O58" i="28"/>
  <c r="N58" i="28"/>
  <c r="M58" i="28"/>
  <c r="L58" i="28"/>
  <c r="V58" i="30"/>
  <c r="U58" i="30"/>
  <c r="T58" i="30"/>
  <c r="S58" i="30"/>
  <c r="R58" i="30"/>
  <c r="Q58" i="30"/>
  <c r="P58" i="30"/>
  <c r="O58" i="30"/>
  <c r="N58" i="30"/>
  <c r="M58" i="30"/>
  <c r="L58" i="30"/>
  <c r="V58" i="31"/>
  <c r="U58" i="31"/>
  <c r="T58" i="31"/>
  <c r="S58" i="31"/>
  <c r="R58" i="31"/>
  <c r="Q58" i="31"/>
  <c r="P58" i="31"/>
  <c r="O58" i="31"/>
  <c r="N58" i="31"/>
  <c r="M58" i="31"/>
  <c r="L58" i="31"/>
  <c r="V58" i="50"/>
  <c r="U58" i="50"/>
  <c r="T58" i="50"/>
  <c r="S58" i="50"/>
  <c r="R58" i="50"/>
  <c r="Q58" i="50"/>
  <c r="P58" i="50"/>
  <c r="O58" i="50"/>
  <c r="N58" i="50"/>
  <c r="M58" i="50"/>
  <c r="L58" i="50"/>
  <c r="V58" i="51"/>
  <c r="U58" i="51"/>
  <c r="T58" i="51"/>
  <c r="S58" i="51"/>
  <c r="R58" i="51"/>
  <c r="Q58" i="51"/>
  <c r="P58" i="51"/>
  <c r="O58" i="51"/>
  <c r="N58" i="51"/>
  <c r="M58" i="51"/>
  <c r="L58" i="51"/>
  <c r="V58" i="52"/>
  <c r="U58" i="52"/>
  <c r="T58" i="52"/>
  <c r="S58" i="52"/>
  <c r="R58" i="52"/>
  <c r="Q58" i="52"/>
  <c r="P58" i="52"/>
  <c r="O58" i="52"/>
  <c r="N58" i="52"/>
  <c r="M58" i="52"/>
  <c r="L58" i="52"/>
  <c r="K50" i="3"/>
  <c r="K50" i="28"/>
  <c r="K50" i="30"/>
  <c r="K50" i="31"/>
  <c r="K50" i="50"/>
  <c r="K50" i="51"/>
  <c r="K50" i="52"/>
  <c r="V50" i="3"/>
  <c r="U50" i="3"/>
  <c r="T50" i="3"/>
  <c r="S50" i="3"/>
  <c r="R50" i="3"/>
  <c r="Q50" i="3"/>
  <c r="P50" i="3"/>
  <c r="O50" i="3"/>
  <c r="N50" i="3"/>
  <c r="M50" i="3"/>
  <c r="L50" i="3"/>
  <c r="V50" i="28"/>
  <c r="U50" i="28"/>
  <c r="T50" i="28"/>
  <c r="S50" i="28"/>
  <c r="R50" i="28"/>
  <c r="Q50" i="28"/>
  <c r="P50" i="28"/>
  <c r="O50" i="28"/>
  <c r="N50" i="28"/>
  <c r="M50" i="28"/>
  <c r="L50" i="28"/>
  <c r="V50" i="30"/>
  <c r="U50" i="30"/>
  <c r="T50" i="30"/>
  <c r="S50" i="30"/>
  <c r="R50" i="30"/>
  <c r="Q50" i="30"/>
  <c r="P50" i="30"/>
  <c r="O50" i="30"/>
  <c r="N50" i="30"/>
  <c r="M50" i="30"/>
  <c r="L50" i="30"/>
  <c r="V50" i="31"/>
  <c r="U50" i="31"/>
  <c r="T50" i="31"/>
  <c r="S50" i="31"/>
  <c r="R50" i="31"/>
  <c r="Q50" i="31"/>
  <c r="P50" i="31"/>
  <c r="O50" i="31"/>
  <c r="N50" i="31"/>
  <c r="M50" i="31"/>
  <c r="L50" i="31"/>
  <c r="V50" i="50"/>
  <c r="U50" i="50"/>
  <c r="T50" i="50"/>
  <c r="S50" i="50"/>
  <c r="R50" i="50"/>
  <c r="Q50" i="50"/>
  <c r="P50" i="50"/>
  <c r="O50" i="50"/>
  <c r="N50" i="50"/>
  <c r="M50" i="50"/>
  <c r="L50" i="50"/>
  <c r="V50" i="51"/>
  <c r="U50" i="51"/>
  <c r="T50" i="51"/>
  <c r="S50" i="51"/>
  <c r="R50" i="51"/>
  <c r="Q50" i="51"/>
  <c r="P50" i="51"/>
  <c r="O50" i="51"/>
  <c r="N50" i="51"/>
  <c r="M50" i="51"/>
  <c r="L50" i="51"/>
  <c r="V50" i="52"/>
  <c r="U50" i="52"/>
  <c r="T50" i="52"/>
  <c r="S50" i="52"/>
  <c r="R50" i="52"/>
  <c r="Q50" i="52"/>
  <c r="P50" i="52"/>
  <c r="O50" i="52"/>
  <c r="N50" i="52"/>
  <c r="M50" i="52"/>
  <c r="L50" i="52"/>
  <c r="V46" i="3"/>
  <c r="U46" i="3"/>
  <c r="T46" i="3"/>
  <c r="S46" i="3"/>
  <c r="R46" i="3"/>
  <c r="Q46" i="3"/>
  <c r="P46" i="3"/>
  <c r="O46" i="3"/>
  <c r="N46" i="3"/>
  <c r="M46" i="3"/>
  <c r="L46" i="3"/>
  <c r="V46" i="28"/>
  <c r="U46" i="28"/>
  <c r="T46" i="28"/>
  <c r="S46" i="28"/>
  <c r="R46" i="28"/>
  <c r="Q46" i="28"/>
  <c r="P46" i="28"/>
  <c r="O46" i="28"/>
  <c r="N46" i="28"/>
  <c r="M46" i="28"/>
  <c r="L46" i="28"/>
  <c r="V46" i="30"/>
  <c r="U46" i="30"/>
  <c r="T46" i="30"/>
  <c r="S46" i="30"/>
  <c r="R46" i="30"/>
  <c r="R37" i="30" s="1"/>
  <c r="R97" i="30" s="1"/>
  <c r="Q46" i="30"/>
  <c r="P46" i="30"/>
  <c r="O46" i="30"/>
  <c r="N46" i="30"/>
  <c r="M46" i="30"/>
  <c r="L46" i="30"/>
  <c r="V46" i="31"/>
  <c r="U46" i="31"/>
  <c r="T46" i="31"/>
  <c r="S46" i="31"/>
  <c r="R46" i="31"/>
  <c r="Q46" i="31"/>
  <c r="Q37" i="31" s="1"/>
  <c r="P46" i="31"/>
  <c r="O46" i="31"/>
  <c r="N46" i="31"/>
  <c r="M46" i="31"/>
  <c r="L46" i="31"/>
  <c r="V46" i="50"/>
  <c r="U46" i="50"/>
  <c r="T46" i="50"/>
  <c r="S46" i="50"/>
  <c r="R46" i="50"/>
  <c r="Q46" i="50"/>
  <c r="P46" i="50"/>
  <c r="O46" i="50"/>
  <c r="N46" i="50"/>
  <c r="M46" i="50"/>
  <c r="L46" i="50"/>
  <c r="V46" i="51"/>
  <c r="U46" i="51"/>
  <c r="T46" i="51"/>
  <c r="S46" i="51"/>
  <c r="R46" i="51"/>
  <c r="Q46" i="51"/>
  <c r="P46" i="51"/>
  <c r="O46" i="51"/>
  <c r="N46" i="51"/>
  <c r="M46" i="51"/>
  <c r="L46" i="51"/>
  <c r="V46" i="52"/>
  <c r="U46" i="52"/>
  <c r="T46" i="52"/>
  <c r="S46" i="52"/>
  <c r="R46" i="52"/>
  <c r="Q46" i="52"/>
  <c r="P46" i="52"/>
  <c r="O46" i="52"/>
  <c r="N46" i="52"/>
  <c r="M46" i="52"/>
  <c r="L46" i="52"/>
  <c r="V41" i="3"/>
  <c r="U41" i="3"/>
  <c r="T41" i="3"/>
  <c r="S41" i="3"/>
  <c r="R41" i="3"/>
  <c r="Q41" i="3"/>
  <c r="P41" i="3"/>
  <c r="O41" i="3"/>
  <c r="N41" i="3"/>
  <c r="M41" i="3"/>
  <c r="L41" i="3"/>
  <c r="V41" i="28"/>
  <c r="U41" i="28"/>
  <c r="T41" i="28"/>
  <c r="S41" i="28"/>
  <c r="R41" i="28"/>
  <c r="Q41" i="28"/>
  <c r="P41" i="28"/>
  <c r="O41" i="28"/>
  <c r="N41" i="28"/>
  <c r="M41" i="28"/>
  <c r="L41" i="28"/>
  <c r="V41" i="30"/>
  <c r="U41" i="30"/>
  <c r="T41" i="30"/>
  <c r="S41" i="30"/>
  <c r="R41" i="30"/>
  <c r="Q41" i="30"/>
  <c r="P41" i="30"/>
  <c r="O41" i="30"/>
  <c r="N41" i="30"/>
  <c r="M41" i="30"/>
  <c r="L41" i="30"/>
  <c r="V41" i="31"/>
  <c r="U41" i="31"/>
  <c r="T41" i="31"/>
  <c r="S41" i="31"/>
  <c r="R41" i="31"/>
  <c r="Q41" i="31"/>
  <c r="P41" i="31"/>
  <c r="O41" i="31"/>
  <c r="N41" i="31"/>
  <c r="M41" i="31"/>
  <c r="L41" i="31"/>
  <c r="V41" i="50"/>
  <c r="U41" i="50"/>
  <c r="T41" i="50"/>
  <c r="S41" i="50"/>
  <c r="R41" i="50"/>
  <c r="Q41" i="50"/>
  <c r="P41" i="50"/>
  <c r="O41" i="50"/>
  <c r="N41" i="50"/>
  <c r="M41" i="50"/>
  <c r="L41" i="50"/>
  <c r="V41" i="51"/>
  <c r="U41" i="51"/>
  <c r="T41" i="51"/>
  <c r="S41" i="51"/>
  <c r="R41" i="51"/>
  <c r="Q41" i="51"/>
  <c r="P41" i="51"/>
  <c r="O41" i="51"/>
  <c r="N41" i="51"/>
  <c r="M41" i="51"/>
  <c r="L41" i="51"/>
  <c r="V41" i="52"/>
  <c r="U41" i="52"/>
  <c r="T41" i="52"/>
  <c r="S41" i="52"/>
  <c r="R41" i="52"/>
  <c r="Q41" i="52"/>
  <c r="P41" i="52"/>
  <c r="O41" i="52"/>
  <c r="N41" i="52"/>
  <c r="M41" i="52"/>
  <c r="L41" i="52"/>
  <c r="T18" i="3"/>
  <c r="V6" i="3"/>
  <c r="V18" i="3" s="1"/>
  <c r="U6" i="3"/>
  <c r="U18" i="3" s="1"/>
  <c r="T6" i="3"/>
  <c r="S6" i="3"/>
  <c r="S18" i="3" s="1"/>
  <c r="R6" i="3"/>
  <c r="R18" i="3" s="1"/>
  <c r="Q6" i="3"/>
  <c r="Q18" i="3" s="1"/>
  <c r="P6" i="3"/>
  <c r="P18" i="3" s="1"/>
  <c r="O6" i="3"/>
  <c r="O18" i="3" s="1"/>
  <c r="N6" i="3"/>
  <c r="N18" i="3" s="1"/>
  <c r="M6" i="3"/>
  <c r="M18" i="3" s="1"/>
  <c r="L6" i="3"/>
  <c r="L18" i="3" s="1"/>
  <c r="V6" i="28"/>
  <c r="U6" i="28"/>
  <c r="T6" i="28"/>
  <c r="S6" i="28"/>
  <c r="R6" i="28"/>
  <c r="Q6" i="28"/>
  <c r="P6" i="28"/>
  <c r="O6" i="28"/>
  <c r="N6" i="28"/>
  <c r="M6" i="28"/>
  <c r="L6" i="28"/>
  <c r="V6" i="30"/>
  <c r="U6" i="30"/>
  <c r="T6" i="30"/>
  <c r="S6" i="30"/>
  <c r="R6" i="30"/>
  <c r="Q6" i="30"/>
  <c r="P6" i="30"/>
  <c r="O6" i="30"/>
  <c r="N6" i="30"/>
  <c r="M6" i="30"/>
  <c r="L6" i="30"/>
  <c r="V6" i="31"/>
  <c r="U6" i="31"/>
  <c r="T6" i="31"/>
  <c r="S6" i="31"/>
  <c r="R6" i="31"/>
  <c r="Q6" i="31"/>
  <c r="P6" i="31"/>
  <c r="O6" i="31"/>
  <c r="N6" i="31"/>
  <c r="M6" i="31"/>
  <c r="L6" i="31"/>
  <c r="V6" i="50"/>
  <c r="U6" i="50"/>
  <c r="T6" i="50"/>
  <c r="S6" i="50"/>
  <c r="R6" i="50"/>
  <c r="Q6" i="50"/>
  <c r="P6" i="50"/>
  <c r="O6" i="50"/>
  <c r="N6" i="50"/>
  <c r="M6" i="50"/>
  <c r="L6" i="50"/>
  <c r="V6" i="51"/>
  <c r="U6" i="51"/>
  <c r="T6" i="51"/>
  <c r="S6" i="51"/>
  <c r="R6" i="51"/>
  <c r="Q6" i="51"/>
  <c r="P6" i="51"/>
  <c r="O6" i="51"/>
  <c r="N6" i="51"/>
  <c r="M6" i="51"/>
  <c r="L6" i="51"/>
  <c r="V6" i="52"/>
  <c r="V18" i="52" s="1"/>
  <c r="U6" i="52"/>
  <c r="U18" i="52" s="1"/>
  <c r="T6" i="52"/>
  <c r="T18" i="52" s="1"/>
  <c r="S6" i="52"/>
  <c r="S18" i="52" s="1"/>
  <c r="R6" i="52"/>
  <c r="R18" i="52" s="1"/>
  <c r="Q6" i="52"/>
  <c r="Q18" i="52" s="1"/>
  <c r="P6" i="52"/>
  <c r="O6" i="52"/>
  <c r="N6" i="52"/>
  <c r="M6" i="52"/>
  <c r="L6" i="52"/>
  <c r="W72" i="52" l="1"/>
  <c r="W67" i="52"/>
  <c r="W58" i="52"/>
  <c r="W72" i="51"/>
  <c r="W67" i="51"/>
  <c r="W50" i="51"/>
  <c r="W72" i="50"/>
  <c r="W67" i="50"/>
  <c r="W58" i="50"/>
  <c r="W50" i="50"/>
  <c r="W67" i="31"/>
  <c r="W72" i="30"/>
  <c r="W67" i="30"/>
  <c r="W72" i="28"/>
  <c r="W67" i="28"/>
  <c r="W58" i="28"/>
  <c r="W50" i="28"/>
  <c r="W80" i="3"/>
  <c r="W67" i="3"/>
  <c r="W58" i="3"/>
  <c r="S116" i="60"/>
  <c r="N37" i="52"/>
  <c r="N97" i="52" s="1"/>
  <c r="P37" i="50"/>
  <c r="P97" i="50" s="1"/>
  <c r="S37" i="28"/>
  <c r="S97" i="28" s="1"/>
  <c r="R37" i="52"/>
  <c r="R97" i="52" s="1"/>
  <c r="R98" i="52" s="1"/>
  <c r="R111" i="52" s="1"/>
  <c r="R118" i="52" s="1"/>
  <c r="S37" i="51"/>
  <c r="S97" i="51" s="1"/>
  <c r="T37" i="50"/>
  <c r="T97" i="50" s="1"/>
  <c r="U37" i="31"/>
  <c r="U97" i="31" s="1"/>
  <c r="V37" i="30"/>
  <c r="V97" i="30" s="1"/>
  <c r="U37" i="52"/>
  <c r="U97" i="52" s="1"/>
  <c r="U98" i="52" s="1"/>
  <c r="U111" i="52" s="1"/>
  <c r="U118" i="52" s="1"/>
  <c r="L37" i="31"/>
  <c r="L97" i="31" s="1"/>
  <c r="M37" i="30"/>
  <c r="M97" i="30" s="1"/>
  <c r="N37" i="28"/>
  <c r="N97" i="28" s="1"/>
  <c r="O37" i="3"/>
  <c r="O97" i="3" s="1"/>
  <c r="O98" i="3" s="1"/>
  <c r="O111" i="3" s="1"/>
  <c r="O118" i="3" s="1"/>
  <c r="V37" i="52"/>
  <c r="V97" i="52" s="1"/>
  <c r="V98" i="52" s="1"/>
  <c r="V111" i="52" s="1"/>
  <c r="V118" i="52" s="1"/>
  <c r="L37" i="50"/>
  <c r="L97" i="50" s="1"/>
  <c r="M37" i="31"/>
  <c r="M97" i="31" s="1"/>
  <c r="N37" i="30"/>
  <c r="N97" i="30" s="1"/>
  <c r="O37" i="28"/>
  <c r="O97" i="28" s="1"/>
  <c r="BT113" i="60"/>
  <c r="BT116" i="60"/>
  <c r="X21" i="52"/>
  <c r="AU22" i="60" s="1"/>
  <c r="Q37" i="52"/>
  <c r="Q97" i="52" s="1"/>
  <c r="Q98" i="52" s="1"/>
  <c r="Q111" i="52" s="1"/>
  <c r="Q118" i="52" s="1"/>
  <c r="S37" i="50"/>
  <c r="S97" i="50" s="1"/>
  <c r="T37" i="31"/>
  <c r="T97" i="31" s="1"/>
  <c r="U37" i="30"/>
  <c r="U97" i="30" s="1"/>
  <c r="V37" i="28"/>
  <c r="S81" i="60"/>
  <c r="O37" i="50"/>
  <c r="O97" i="50" s="1"/>
  <c r="P37" i="31"/>
  <c r="P97" i="31" s="1"/>
  <c r="Q37" i="30"/>
  <c r="Q97" i="30" s="1"/>
  <c r="R37" i="28"/>
  <c r="R97" i="28" s="1"/>
  <c r="I81" i="60"/>
  <c r="M37" i="52"/>
  <c r="M97" i="52" s="1"/>
  <c r="AH113" i="60"/>
  <c r="AI116" i="60"/>
  <c r="N113" i="60"/>
  <c r="N116" i="60"/>
  <c r="Q97" i="31"/>
  <c r="S37" i="3"/>
  <c r="S97" i="3" s="1"/>
  <c r="S98" i="3" s="1"/>
  <c r="S111" i="3" s="1"/>
  <c r="S118" i="3" s="1"/>
  <c r="N37" i="51"/>
  <c r="N97" i="51" s="1"/>
  <c r="AW70" i="60"/>
  <c r="AU70" i="60"/>
  <c r="AP81" i="60"/>
  <c r="AU58" i="60"/>
  <c r="AW58" i="60"/>
  <c r="P37" i="3"/>
  <c r="P97" i="3" s="1"/>
  <c r="P98" i="3" s="1"/>
  <c r="P111" i="3" s="1"/>
  <c r="P118" i="3" s="1"/>
  <c r="AW46" i="60"/>
  <c r="AU46" i="60"/>
  <c r="AW33" i="60"/>
  <c r="AU33" i="60"/>
  <c r="AX26" i="60"/>
  <c r="AZ26" i="60" s="1"/>
  <c r="AI17" i="60"/>
  <c r="AH17" i="60"/>
  <c r="AF17" i="60"/>
  <c r="AI34" i="60"/>
  <c r="AH34" i="60"/>
  <c r="AF34" i="60"/>
  <c r="T37" i="3"/>
  <c r="T97" i="3" s="1"/>
  <c r="T98" i="3" s="1"/>
  <c r="T111" i="3" s="1"/>
  <c r="T118" i="3" s="1"/>
  <c r="AW94" i="60"/>
  <c r="AU94" i="60"/>
  <c r="AW82" i="60"/>
  <c r="AU82" i="60"/>
  <c r="L37" i="3"/>
  <c r="L97" i="3" s="1"/>
  <c r="L98" i="3" s="1"/>
  <c r="L111" i="3" s="1"/>
  <c r="L118" i="3" s="1"/>
  <c r="AR116" i="60"/>
  <c r="AW13" i="60"/>
  <c r="AU13" i="60"/>
  <c r="AW41" i="60"/>
  <c r="AU41" i="60"/>
  <c r="AW53" i="60"/>
  <c r="AU53" i="60"/>
  <c r="AW65" i="60"/>
  <c r="AU65" i="60"/>
  <c r="AW77" i="60"/>
  <c r="AU77" i="60"/>
  <c r="AW89" i="60"/>
  <c r="AU89" i="60"/>
  <c r="AW103" i="60"/>
  <c r="AU103" i="60"/>
  <c r="AP34" i="60"/>
  <c r="AI12" i="60"/>
  <c r="AF12" i="60"/>
  <c r="AH12" i="60"/>
  <c r="AI28" i="60"/>
  <c r="AH28" i="60"/>
  <c r="AF28" i="60"/>
  <c r="AH55" i="60"/>
  <c r="AI55" i="60"/>
  <c r="AF55" i="60"/>
  <c r="AF67" i="60"/>
  <c r="AI67" i="60"/>
  <c r="AH67" i="60"/>
  <c r="AH80" i="60"/>
  <c r="AI80" i="60"/>
  <c r="AF80" i="60"/>
  <c r="AI92" i="60"/>
  <c r="AF92" i="60"/>
  <c r="AH92" i="60"/>
  <c r="AI106" i="60"/>
  <c r="AF106" i="60"/>
  <c r="AH106" i="60"/>
  <c r="Q8" i="60"/>
  <c r="S8" i="60"/>
  <c r="S21" i="60"/>
  <c r="Q21" i="60"/>
  <c r="S34" i="60"/>
  <c r="Q34" i="60"/>
  <c r="Q46" i="60"/>
  <c r="S46" i="60"/>
  <c r="S58" i="60"/>
  <c r="Q58" i="60"/>
  <c r="S70" i="60"/>
  <c r="Q70" i="60"/>
  <c r="S82" i="60"/>
  <c r="Q82" i="60"/>
  <c r="Q94" i="60"/>
  <c r="S94" i="60"/>
  <c r="N10" i="60"/>
  <c r="L10" i="60"/>
  <c r="N26" i="60"/>
  <c r="L26" i="60"/>
  <c r="N50" i="60"/>
  <c r="L50" i="60"/>
  <c r="N62" i="60"/>
  <c r="L62" i="60"/>
  <c r="N74" i="60"/>
  <c r="L74" i="60"/>
  <c r="G14" i="60"/>
  <c r="I14" i="60"/>
  <c r="T14" i="60"/>
  <c r="I28" i="60"/>
  <c r="G28" i="60"/>
  <c r="T28" i="60"/>
  <c r="G41" i="60"/>
  <c r="T41" i="60"/>
  <c r="I41" i="60"/>
  <c r="G54" i="60"/>
  <c r="I54" i="60"/>
  <c r="T54" i="60"/>
  <c r="I66" i="60"/>
  <c r="G66" i="60"/>
  <c r="T66" i="60"/>
  <c r="I78" i="60"/>
  <c r="G78" i="60"/>
  <c r="T78" i="60"/>
  <c r="I90" i="60"/>
  <c r="G90" i="60"/>
  <c r="T90" i="60"/>
  <c r="T104" i="60"/>
  <c r="I104" i="60"/>
  <c r="G104" i="60"/>
  <c r="I117" i="60"/>
  <c r="G117" i="60"/>
  <c r="T117" i="60"/>
  <c r="BV18" i="60"/>
  <c r="BT18" i="60"/>
  <c r="BV31" i="60"/>
  <c r="BT31" i="60"/>
  <c r="BV44" i="60"/>
  <c r="BT44" i="60"/>
  <c r="BV56" i="60"/>
  <c r="BT56" i="60"/>
  <c r="BV69" i="60"/>
  <c r="BT69" i="60"/>
  <c r="BT82" i="60"/>
  <c r="BV82" i="60"/>
  <c r="BT94" i="60"/>
  <c r="BV94" i="60"/>
  <c r="AU14" i="60"/>
  <c r="AW14" i="60"/>
  <c r="AU28" i="60"/>
  <c r="AW28" i="60"/>
  <c r="AW54" i="60"/>
  <c r="AU54" i="60"/>
  <c r="AU66" i="60"/>
  <c r="AW66" i="60"/>
  <c r="AW78" i="60"/>
  <c r="AU78" i="60"/>
  <c r="AU90" i="60"/>
  <c r="AW90" i="60"/>
  <c r="AW104" i="60"/>
  <c r="AU104" i="60"/>
  <c r="AW117" i="60"/>
  <c r="AU117" i="60"/>
  <c r="AR35" i="60"/>
  <c r="AI13" i="60"/>
  <c r="AH13" i="60"/>
  <c r="AF13" i="60"/>
  <c r="AI29" i="60"/>
  <c r="AH29" i="60"/>
  <c r="AF29" i="60"/>
  <c r="AH43" i="60"/>
  <c r="AI43" i="60"/>
  <c r="AF43" i="60"/>
  <c r="AH56" i="60"/>
  <c r="AF56" i="60"/>
  <c r="AI56" i="60"/>
  <c r="AI69" i="60"/>
  <c r="AF69" i="60"/>
  <c r="AH69" i="60"/>
  <c r="AF93" i="60"/>
  <c r="AI93" i="60"/>
  <c r="AH93" i="60"/>
  <c r="AF107" i="60"/>
  <c r="AI107" i="60"/>
  <c r="AH107" i="60"/>
  <c r="S9" i="60"/>
  <c r="Q9" i="60"/>
  <c r="Q22" i="60"/>
  <c r="S22" i="60"/>
  <c r="Q35" i="60"/>
  <c r="S35" i="60"/>
  <c r="S71" i="60"/>
  <c r="Q71" i="60"/>
  <c r="S83" i="60"/>
  <c r="Q83" i="60"/>
  <c r="S95" i="60"/>
  <c r="Q95" i="60"/>
  <c r="S109" i="60"/>
  <c r="Q109" i="60"/>
  <c r="L11" i="60"/>
  <c r="N11" i="60"/>
  <c r="L27" i="60"/>
  <c r="N27" i="60"/>
  <c r="L39" i="60"/>
  <c r="N39" i="60"/>
  <c r="L63" i="60"/>
  <c r="N63" i="60"/>
  <c r="N75" i="60"/>
  <c r="L75" i="60"/>
  <c r="N87" i="60"/>
  <c r="L87" i="60"/>
  <c r="N114" i="60"/>
  <c r="L114" i="60"/>
  <c r="I15" i="60"/>
  <c r="G15" i="60"/>
  <c r="T15" i="60"/>
  <c r="I29" i="60"/>
  <c r="G29" i="60"/>
  <c r="T29" i="60"/>
  <c r="I55" i="60"/>
  <c r="G55" i="60"/>
  <c r="T55" i="60"/>
  <c r="I67" i="60"/>
  <c r="T67" i="60"/>
  <c r="G67" i="60"/>
  <c r="I79" i="60"/>
  <c r="G79" i="60"/>
  <c r="T79" i="60"/>
  <c r="I91" i="60"/>
  <c r="G91" i="60"/>
  <c r="T91" i="60"/>
  <c r="I105" i="60"/>
  <c r="T105" i="60"/>
  <c r="G105" i="60"/>
  <c r="I118" i="60"/>
  <c r="G118" i="60"/>
  <c r="T118" i="60"/>
  <c r="BV45" i="60"/>
  <c r="BT45" i="60"/>
  <c r="BV57" i="60"/>
  <c r="BT57" i="60"/>
  <c r="BT70" i="60"/>
  <c r="BV70" i="60"/>
  <c r="BV83" i="60"/>
  <c r="BT83" i="60"/>
  <c r="BT95" i="60"/>
  <c r="BV95" i="60"/>
  <c r="BV109" i="60"/>
  <c r="BT109" i="60"/>
  <c r="AW15" i="60"/>
  <c r="AU15" i="60"/>
  <c r="AW29" i="60"/>
  <c r="AU29" i="60"/>
  <c r="AW43" i="60"/>
  <c r="AU43" i="60"/>
  <c r="AW55" i="60"/>
  <c r="AU55" i="60"/>
  <c r="AW67" i="60"/>
  <c r="AU67" i="60"/>
  <c r="AW79" i="60"/>
  <c r="AU79" i="60"/>
  <c r="AW91" i="60"/>
  <c r="AU91" i="60"/>
  <c r="AW105" i="60"/>
  <c r="AU105" i="60"/>
  <c r="AW118" i="60"/>
  <c r="AU118" i="60"/>
  <c r="AI14" i="60"/>
  <c r="AH14" i="60"/>
  <c r="AF14" i="60"/>
  <c r="AI30" i="60"/>
  <c r="AH30" i="60"/>
  <c r="AF30" i="60"/>
  <c r="AI44" i="60"/>
  <c r="AH44" i="60"/>
  <c r="AF44" i="60"/>
  <c r="AI57" i="60"/>
  <c r="AH57" i="60"/>
  <c r="AF57" i="60"/>
  <c r="AH70" i="60"/>
  <c r="AI70" i="60"/>
  <c r="AF70" i="60"/>
  <c r="AI82" i="60"/>
  <c r="AH82" i="60"/>
  <c r="AF82" i="60"/>
  <c r="AI94" i="60"/>
  <c r="AF94" i="60"/>
  <c r="AH94" i="60"/>
  <c r="Q10" i="60"/>
  <c r="S10" i="60"/>
  <c r="S24" i="60"/>
  <c r="Q24" i="60"/>
  <c r="S36" i="60"/>
  <c r="Q36" i="60"/>
  <c r="Q48" i="60"/>
  <c r="S48" i="60"/>
  <c r="S60" i="60"/>
  <c r="Q60" i="60"/>
  <c r="S72" i="60"/>
  <c r="Q72" i="60"/>
  <c r="S84" i="60"/>
  <c r="Q84" i="60"/>
  <c r="Q96" i="60"/>
  <c r="S96" i="60"/>
  <c r="S110" i="60"/>
  <c r="Q110" i="60"/>
  <c r="N12" i="60"/>
  <c r="L12" i="60"/>
  <c r="N28" i="60"/>
  <c r="L28" i="60"/>
  <c r="N40" i="60"/>
  <c r="L40" i="60"/>
  <c r="N52" i="60"/>
  <c r="L52" i="60"/>
  <c r="L64" i="60"/>
  <c r="N64" i="60"/>
  <c r="L76" i="60"/>
  <c r="N76" i="60"/>
  <c r="N88" i="60"/>
  <c r="L88" i="60"/>
  <c r="N102" i="60"/>
  <c r="L102" i="60"/>
  <c r="N115" i="60"/>
  <c r="L115" i="60"/>
  <c r="G16" i="60"/>
  <c r="I16" i="60"/>
  <c r="T16" i="60"/>
  <c r="G30" i="60"/>
  <c r="T30" i="60"/>
  <c r="I30" i="60"/>
  <c r="I43" i="60"/>
  <c r="G43" i="60"/>
  <c r="T43" i="60"/>
  <c r="G56" i="60"/>
  <c r="T56" i="60"/>
  <c r="I56" i="60"/>
  <c r="I80" i="60"/>
  <c r="G80" i="60"/>
  <c r="T80" i="60"/>
  <c r="T92" i="60"/>
  <c r="I92" i="60"/>
  <c r="G92" i="60"/>
  <c r="I106" i="60"/>
  <c r="G106" i="60"/>
  <c r="T106" i="60"/>
  <c r="BV8" i="60"/>
  <c r="BT8" i="60"/>
  <c r="BV21" i="60"/>
  <c r="BT21" i="60"/>
  <c r="BV33" i="60"/>
  <c r="BT33" i="60"/>
  <c r="BT46" i="60"/>
  <c r="BV46" i="60"/>
  <c r="BT58" i="60"/>
  <c r="BV58" i="60"/>
  <c r="BV71" i="60"/>
  <c r="BT71" i="60"/>
  <c r="BV84" i="60"/>
  <c r="BT84" i="60"/>
  <c r="BV96" i="60"/>
  <c r="BT96" i="60"/>
  <c r="BT110" i="60"/>
  <c r="BV110" i="60"/>
  <c r="AU16" i="60"/>
  <c r="AW16" i="60"/>
  <c r="AW44" i="60"/>
  <c r="AU44" i="60"/>
  <c r="AW56" i="60"/>
  <c r="AU56" i="60"/>
  <c r="AW80" i="60"/>
  <c r="AU80" i="60"/>
  <c r="AU92" i="60"/>
  <c r="AW92" i="60"/>
  <c r="AW106" i="60"/>
  <c r="AU106" i="60"/>
  <c r="AP24" i="60"/>
  <c r="AI15" i="60"/>
  <c r="AH15" i="60"/>
  <c r="AF15" i="60"/>
  <c r="AH31" i="60"/>
  <c r="AI31" i="60"/>
  <c r="AF31" i="60"/>
  <c r="AI45" i="60"/>
  <c r="AF45" i="60"/>
  <c r="AH45" i="60"/>
  <c r="AH58" i="60"/>
  <c r="AI58" i="60"/>
  <c r="AF58" i="60"/>
  <c r="AH71" i="60"/>
  <c r="AI71" i="60"/>
  <c r="AF71" i="60"/>
  <c r="AH83" i="60"/>
  <c r="AF83" i="60"/>
  <c r="AI83" i="60"/>
  <c r="AF95" i="60"/>
  <c r="AH95" i="60"/>
  <c r="AI95" i="60"/>
  <c r="AI109" i="60"/>
  <c r="AH109" i="60"/>
  <c r="AF109" i="60"/>
  <c r="S11" i="60"/>
  <c r="Q11" i="60"/>
  <c r="S25" i="60"/>
  <c r="Q25" i="60"/>
  <c r="S37" i="60"/>
  <c r="Q37" i="60"/>
  <c r="S49" i="60"/>
  <c r="Q49" i="60"/>
  <c r="S61" i="60"/>
  <c r="Q61" i="60"/>
  <c r="S85" i="60"/>
  <c r="Q85" i="60"/>
  <c r="S97" i="60"/>
  <c r="Q97" i="60"/>
  <c r="S111" i="60"/>
  <c r="Q111" i="60"/>
  <c r="L13" i="60"/>
  <c r="N13" i="60"/>
  <c r="L29" i="60"/>
  <c r="N29" i="60"/>
  <c r="N41" i="60"/>
  <c r="L41" i="60"/>
  <c r="N53" i="60"/>
  <c r="L53" i="60"/>
  <c r="L65" i="60"/>
  <c r="N65" i="60"/>
  <c r="N77" i="60"/>
  <c r="L77" i="60"/>
  <c r="N89" i="60"/>
  <c r="L89" i="60"/>
  <c r="L103" i="60"/>
  <c r="N103" i="60"/>
  <c r="G17" i="60"/>
  <c r="I17" i="60"/>
  <c r="T17" i="60"/>
  <c r="I31" i="60"/>
  <c r="T31" i="60"/>
  <c r="G31" i="60"/>
  <c r="I44" i="60"/>
  <c r="G44" i="60"/>
  <c r="T44" i="60"/>
  <c r="G57" i="60"/>
  <c r="T57" i="60"/>
  <c r="I57" i="60"/>
  <c r="I69" i="60"/>
  <c r="G69" i="60"/>
  <c r="T69" i="60"/>
  <c r="I93" i="60"/>
  <c r="T93" i="60"/>
  <c r="G93" i="60"/>
  <c r="I107" i="60"/>
  <c r="G107" i="60"/>
  <c r="T107" i="60"/>
  <c r="BV9" i="60"/>
  <c r="BT9" i="60"/>
  <c r="BT22" i="60"/>
  <c r="BV22" i="60"/>
  <c r="BT34" i="60"/>
  <c r="BV34" i="60"/>
  <c r="BV72" i="60"/>
  <c r="BT72" i="60"/>
  <c r="BV85" i="60"/>
  <c r="BT85" i="60"/>
  <c r="BV97" i="60"/>
  <c r="BT97" i="60"/>
  <c r="BV111" i="60"/>
  <c r="BT111" i="60"/>
  <c r="AW17" i="60"/>
  <c r="AU17" i="60"/>
  <c r="AW45" i="60"/>
  <c r="AU45" i="60"/>
  <c r="AW57" i="60"/>
  <c r="AU57" i="60"/>
  <c r="AW69" i="60"/>
  <c r="AU69" i="60"/>
  <c r="AW93" i="60"/>
  <c r="AU93" i="60"/>
  <c r="AW107" i="60"/>
  <c r="AU107" i="60"/>
  <c r="AR25" i="60"/>
  <c r="AH16" i="60"/>
  <c r="AI16" i="60"/>
  <c r="AF16" i="60"/>
  <c r="AI33" i="60"/>
  <c r="AH33" i="60"/>
  <c r="AF33" i="60"/>
  <c r="AI46" i="60"/>
  <c r="AF46" i="60"/>
  <c r="AH46" i="60"/>
  <c r="AF72" i="60"/>
  <c r="AI72" i="60"/>
  <c r="AH72" i="60"/>
  <c r="AH84" i="60"/>
  <c r="AF84" i="60"/>
  <c r="AI84" i="60"/>
  <c r="AI96" i="60"/>
  <c r="AH96" i="60"/>
  <c r="AF96" i="60"/>
  <c r="AI110" i="60"/>
  <c r="AH110" i="60"/>
  <c r="AF110" i="60"/>
  <c r="S12" i="60"/>
  <c r="Q12" i="60"/>
  <c r="Q26" i="60"/>
  <c r="S26" i="60"/>
  <c r="Q50" i="60"/>
  <c r="S50" i="60"/>
  <c r="Q62" i="60"/>
  <c r="S62" i="60"/>
  <c r="Q74" i="60"/>
  <c r="S74" i="60"/>
  <c r="N14" i="60"/>
  <c r="L14" i="60"/>
  <c r="N30" i="60"/>
  <c r="L30" i="60"/>
  <c r="N54" i="60"/>
  <c r="L54" i="60"/>
  <c r="N66" i="60"/>
  <c r="L66" i="60"/>
  <c r="N78" i="60"/>
  <c r="L78" i="60"/>
  <c r="N90" i="60"/>
  <c r="L90" i="60"/>
  <c r="N104" i="60"/>
  <c r="L104" i="60"/>
  <c r="N117" i="60"/>
  <c r="L117" i="60"/>
  <c r="T45" i="60"/>
  <c r="I45" i="60"/>
  <c r="G45" i="60"/>
  <c r="G58" i="60"/>
  <c r="T58" i="60"/>
  <c r="I58" i="60"/>
  <c r="I70" i="60"/>
  <c r="G70" i="60"/>
  <c r="T70" i="60"/>
  <c r="I82" i="60"/>
  <c r="T82" i="60"/>
  <c r="G82" i="60"/>
  <c r="G94" i="60"/>
  <c r="I94" i="60"/>
  <c r="T94" i="60"/>
  <c r="BT10" i="60"/>
  <c r="BV10" i="60"/>
  <c r="BT35" i="60"/>
  <c r="BV35" i="60"/>
  <c r="BV48" i="60"/>
  <c r="BT48" i="60"/>
  <c r="BV60" i="60"/>
  <c r="BT60" i="60"/>
  <c r="AF60" i="60"/>
  <c r="AI60" i="60"/>
  <c r="AH60" i="60"/>
  <c r="AI85" i="60"/>
  <c r="AH85" i="60"/>
  <c r="AF85" i="60"/>
  <c r="AI97" i="60"/>
  <c r="AH97" i="60"/>
  <c r="AF97" i="60"/>
  <c r="AF111" i="60"/>
  <c r="AI111" i="60"/>
  <c r="AH111" i="60"/>
  <c r="S13" i="60"/>
  <c r="Q13" i="60"/>
  <c r="S39" i="60"/>
  <c r="Q39" i="60"/>
  <c r="S63" i="60"/>
  <c r="Q63" i="60"/>
  <c r="Q75" i="60"/>
  <c r="S75" i="60"/>
  <c r="S87" i="60"/>
  <c r="Q87" i="60"/>
  <c r="S114" i="60"/>
  <c r="Q114" i="60"/>
  <c r="L15" i="60"/>
  <c r="N15" i="60"/>
  <c r="N31" i="60"/>
  <c r="L31" i="60"/>
  <c r="N43" i="60"/>
  <c r="L43" i="60"/>
  <c r="L55" i="60"/>
  <c r="N55" i="60"/>
  <c r="N67" i="60"/>
  <c r="L67" i="60"/>
  <c r="N79" i="60"/>
  <c r="L79" i="60"/>
  <c r="L91" i="60"/>
  <c r="N91" i="60"/>
  <c r="N105" i="60"/>
  <c r="L105" i="60"/>
  <c r="N118" i="60"/>
  <c r="L118" i="60"/>
  <c r="T33" i="60"/>
  <c r="G33" i="60"/>
  <c r="I33" i="60"/>
  <c r="I46" i="60"/>
  <c r="T46" i="60"/>
  <c r="G46" i="60"/>
  <c r="I71" i="60"/>
  <c r="T71" i="60"/>
  <c r="G71" i="60"/>
  <c r="I83" i="60"/>
  <c r="G83" i="60"/>
  <c r="T83" i="60"/>
  <c r="I95" i="60"/>
  <c r="T95" i="60"/>
  <c r="G95" i="60"/>
  <c r="I109" i="60"/>
  <c r="G109" i="60"/>
  <c r="T109" i="60"/>
  <c r="BV11" i="60"/>
  <c r="BT11" i="60"/>
  <c r="BV24" i="60"/>
  <c r="BT24" i="60"/>
  <c r="BV36" i="60"/>
  <c r="BT36" i="60"/>
  <c r="BV49" i="60"/>
  <c r="BT49" i="60"/>
  <c r="BV61" i="60"/>
  <c r="BT61" i="60"/>
  <c r="BT74" i="60"/>
  <c r="BV74" i="60"/>
  <c r="BV87" i="60"/>
  <c r="BT87" i="60"/>
  <c r="BT114" i="60"/>
  <c r="BV114" i="60"/>
  <c r="AW34" i="60"/>
  <c r="AU34" i="60"/>
  <c r="AW71" i="60"/>
  <c r="AU71" i="60"/>
  <c r="AW83" i="60"/>
  <c r="AU83" i="60"/>
  <c r="AW95" i="60"/>
  <c r="AU95" i="60"/>
  <c r="AW109" i="60"/>
  <c r="AU109" i="60"/>
  <c r="AI21" i="60"/>
  <c r="AH21" i="60"/>
  <c r="AF21" i="60"/>
  <c r="AH35" i="60"/>
  <c r="AF35" i="60"/>
  <c r="AI35" i="60"/>
  <c r="AH48" i="60"/>
  <c r="AI48" i="60"/>
  <c r="AF48" i="60"/>
  <c r="AI61" i="60"/>
  <c r="AH61" i="60"/>
  <c r="AF61" i="60"/>
  <c r="AI74" i="60"/>
  <c r="AH74" i="60"/>
  <c r="AF74" i="60"/>
  <c r="Q14" i="60"/>
  <c r="S14" i="60"/>
  <c r="Q28" i="60"/>
  <c r="S28" i="60"/>
  <c r="S40" i="60"/>
  <c r="Q40" i="60"/>
  <c r="Q52" i="60"/>
  <c r="S52" i="60"/>
  <c r="S64" i="60"/>
  <c r="Q64" i="60"/>
  <c r="S76" i="60"/>
  <c r="Q76" i="60"/>
  <c r="S88" i="60"/>
  <c r="Q88" i="60"/>
  <c r="S102" i="60"/>
  <c r="Q102" i="60"/>
  <c r="S115" i="60"/>
  <c r="Q115" i="60"/>
  <c r="N16" i="60"/>
  <c r="L16" i="60"/>
  <c r="N44" i="60"/>
  <c r="L44" i="60"/>
  <c r="N56" i="60"/>
  <c r="L56" i="60"/>
  <c r="L80" i="60"/>
  <c r="N80" i="60"/>
  <c r="N92" i="60"/>
  <c r="L92" i="60"/>
  <c r="N106" i="60"/>
  <c r="L106" i="60"/>
  <c r="G8" i="60"/>
  <c r="I8" i="60"/>
  <c r="T8" i="60"/>
  <c r="I21" i="60"/>
  <c r="G21" i="60"/>
  <c r="T21" i="60"/>
  <c r="G34" i="60"/>
  <c r="T34" i="60"/>
  <c r="I34" i="60"/>
  <c r="I60" i="60"/>
  <c r="G60" i="60"/>
  <c r="T60" i="60"/>
  <c r="I72" i="60"/>
  <c r="T72" i="60"/>
  <c r="G72" i="60"/>
  <c r="G84" i="60"/>
  <c r="I84" i="60"/>
  <c r="T84" i="60"/>
  <c r="T96" i="60"/>
  <c r="I96" i="60"/>
  <c r="G96" i="60"/>
  <c r="G110" i="60"/>
  <c r="I110" i="60"/>
  <c r="T110" i="60"/>
  <c r="BV12" i="60"/>
  <c r="BT12" i="60"/>
  <c r="BV25" i="60"/>
  <c r="BT25" i="60"/>
  <c r="BV37" i="60"/>
  <c r="BT37" i="60"/>
  <c r="BT50" i="60"/>
  <c r="BV50" i="60"/>
  <c r="BT62" i="60"/>
  <c r="BV62" i="60"/>
  <c r="BV75" i="60"/>
  <c r="BT75" i="60"/>
  <c r="BT88" i="60"/>
  <c r="BV88" i="60"/>
  <c r="BT102" i="60"/>
  <c r="BV102" i="60"/>
  <c r="BV115" i="60"/>
  <c r="BT115" i="60"/>
  <c r="AW8" i="60"/>
  <c r="AU8" i="60"/>
  <c r="AW35" i="60"/>
  <c r="AU35" i="60"/>
  <c r="AW48" i="60"/>
  <c r="AU48" i="60"/>
  <c r="AU60" i="60"/>
  <c r="AW60" i="60"/>
  <c r="AU72" i="60"/>
  <c r="AW72" i="60"/>
  <c r="AU84" i="60"/>
  <c r="AW84" i="60"/>
  <c r="AU96" i="60"/>
  <c r="AW96" i="60"/>
  <c r="AW110" i="60"/>
  <c r="AU110" i="60"/>
  <c r="AR28" i="60"/>
  <c r="AI22" i="60"/>
  <c r="AH22" i="60"/>
  <c r="AF22" i="60"/>
  <c r="AF36" i="60"/>
  <c r="AH36" i="60"/>
  <c r="AI36" i="60"/>
  <c r="AI49" i="60"/>
  <c r="AH49" i="60"/>
  <c r="AF49" i="60"/>
  <c r="AI62" i="60"/>
  <c r="AH62" i="60"/>
  <c r="AF62" i="60"/>
  <c r="AI75" i="60"/>
  <c r="AH75" i="60"/>
  <c r="AF75" i="60"/>
  <c r="AH87" i="60"/>
  <c r="AF87" i="60"/>
  <c r="AI87" i="60"/>
  <c r="AI114" i="60"/>
  <c r="AF114" i="60"/>
  <c r="AH114" i="60"/>
  <c r="S15" i="60"/>
  <c r="Q15" i="60"/>
  <c r="S29" i="60"/>
  <c r="Q29" i="60"/>
  <c r="S41" i="60"/>
  <c r="Q41" i="60"/>
  <c r="S53" i="60"/>
  <c r="Q53" i="60"/>
  <c r="S65" i="60"/>
  <c r="Q65" i="60"/>
  <c r="S77" i="60"/>
  <c r="Q77" i="60"/>
  <c r="S89" i="60"/>
  <c r="Q89" i="60"/>
  <c r="S103" i="60"/>
  <c r="Q103" i="60"/>
  <c r="N17" i="60"/>
  <c r="L17" i="60"/>
  <c r="N33" i="60"/>
  <c r="L33" i="60"/>
  <c r="L45" i="60"/>
  <c r="N45" i="60"/>
  <c r="N57" i="60"/>
  <c r="L57" i="60"/>
  <c r="L69" i="60"/>
  <c r="N69" i="60"/>
  <c r="L93" i="60"/>
  <c r="N93" i="60"/>
  <c r="N107" i="60"/>
  <c r="L107" i="60"/>
  <c r="G9" i="60"/>
  <c r="I9" i="60"/>
  <c r="T9" i="60"/>
  <c r="G22" i="60"/>
  <c r="T22" i="60"/>
  <c r="I22" i="60"/>
  <c r="I35" i="60"/>
  <c r="T35" i="60"/>
  <c r="G35" i="60"/>
  <c r="G48" i="60"/>
  <c r="I48" i="60"/>
  <c r="T48" i="60"/>
  <c r="I61" i="60"/>
  <c r="G61" i="60"/>
  <c r="T61" i="60"/>
  <c r="I85" i="60"/>
  <c r="G85" i="60"/>
  <c r="T85" i="60"/>
  <c r="I97" i="60"/>
  <c r="T97" i="60"/>
  <c r="G97" i="60"/>
  <c r="I111" i="60"/>
  <c r="T111" i="60"/>
  <c r="G111" i="60"/>
  <c r="BV13" i="60"/>
  <c r="BT13" i="60"/>
  <c r="BT26" i="60"/>
  <c r="BV26" i="60"/>
  <c r="BT39" i="60"/>
  <c r="BV39" i="60"/>
  <c r="BV63" i="60"/>
  <c r="BT63" i="60"/>
  <c r="BV76" i="60"/>
  <c r="BT76" i="60"/>
  <c r="BV89" i="60"/>
  <c r="BT89" i="60"/>
  <c r="BT103" i="60"/>
  <c r="BV103" i="60"/>
  <c r="AW9" i="60"/>
  <c r="AU9" i="60"/>
  <c r="AW49" i="60"/>
  <c r="AU49" i="60"/>
  <c r="AW61" i="60"/>
  <c r="AU61" i="60"/>
  <c r="AW85" i="60"/>
  <c r="AU85" i="60"/>
  <c r="AW97" i="60"/>
  <c r="AU97" i="60"/>
  <c r="AW111" i="60"/>
  <c r="AU111" i="60"/>
  <c r="AP29" i="60"/>
  <c r="AI8" i="60"/>
  <c r="AF8" i="60"/>
  <c r="AH8" i="60"/>
  <c r="AH24" i="60"/>
  <c r="AF24" i="60"/>
  <c r="AI24" i="60"/>
  <c r="AI37" i="60"/>
  <c r="AF37" i="60"/>
  <c r="AH37" i="60"/>
  <c r="AI50" i="60"/>
  <c r="AH50" i="60"/>
  <c r="AF50" i="60"/>
  <c r="AI63" i="60"/>
  <c r="AH63" i="60"/>
  <c r="AF63" i="60"/>
  <c r="AH76" i="60"/>
  <c r="AF76" i="60"/>
  <c r="AI76" i="60"/>
  <c r="AF88" i="60"/>
  <c r="AI88" i="60"/>
  <c r="AH88" i="60"/>
  <c r="AI102" i="60"/>
  <c r="AF102" i="60"/>
  <c r="AH102" i="60"/>
  <c r="AF115" i="60"/>
  <c r="AH115" i="60"/>
  <c r="AI115" i="60"/>
  <c r="Q16" i="60"/>
  <c r="S16" i="60"/>
  <c r="Q30" i="60"/>
  <c r="S30" i="60"/>
  <c r="S54" i="60"/>
  <c r="Q54" i="60"/>
  <c r="S66" i="60"/>
  <c r="Q66" i="60"/>
  <c r="Q78" i="60"/>
  <c r="S78" i="60"/>
  <c r="S90" i="60"/>
  <c r="Q90" i="60"/>
  <c r="S104" i="60"/>
  <c r="Q104" i="60"/>
  <c r="S117" i="60"/>
  <c r="Q117" i="60"/>
  <c r="N21" i="60"/>
  <c r="L21" i="60"/>
  <c r="N34" i="60"/>
  <c r="L34" i="60"/>
  <c r="L46" i="60"/>
  <c r="N46" i="60"/>
  <c r="N58" i="60"/>
  <c r="L58" i="60"/>
  <c r="N70" i="60"/>
  <c r="L70" i="60"/>
  <c r="N82" i="60"/>
  <c r="L82" i="60"/>
  <c r="N94" i="60"/>
  <c r="L94" i="60"/>
  <c r="I10" i="60"/>
  <c r="G10" i="60"/>
  <c r="T10" i="60"/>
  <c r="G24" i="60"/>
  <c r="I24" i="60"/>
  <c r="T24" i="60"/>
  <c r="I36" i="60"/>
  <c r="G36" i="60"/>
  <c r="T36" i="60"/>
  <c r="I49" i="60"/>
  <c r="G49" i="60"/>
  <c r="T49" i="60"/>
  <c r="I62" i="60"/>
  <c r="T62" i="60"/>
  <c r="G62" i="60"/>
  <c r="I74" i="60"/>
  <c r="G74" i="60"/>
  <c r="T74" i="60"/>
  <c r="BV14" i="60"/>
  <c r="BT14" i="60"/>
  <c r="BV27" i="60"/>
  <c r="BT27" i="60"/>
  <c r="BV40" i="60"/>
  <c r="BT40" i="60"/>
  <c r="BV52" i="60"/>
  <c r="BT52" i="60"/>
  <c r="BV64" i="60"/>
  <c r="BT64" i="60"/>
  <c r="BV77" i="60"/>
  <c r="BT77" i="60"/>
  <c r="BT90" i="60"/>
  <c r="BV90" i="60"/>
  <c r="BV104" i="60"/>
  <c r="BT104" i="60"/>
  <c r="BV117" i="60"/>
  <c r="BT117" i="60"/>
  <c r="AW10" i="60"/>
  <c r="AU10" i="60"/>
  <c r="AW24" i="60"/>
  <c r="AU24" i="60"/>
  <c r="AU50" i="60"/>
  <c r="AW50" i="60"/>
  <c r="AW62" i="60"/>
  <c r="AU62" i="60"/>
  <c r="AW74" i="60"/>
  <c r="AU74" i="60"/>
  <c r="AI9" i="60"/>
  <c r="AH9" i="60"/>
  <c r="AF9" i="60"/>
  <c r="AI25" i="60"/>
  <c r="AF25" i="60"/>
  <c r="AH25" i="60"/>
  <c r="AH39" i="60"/>
  <c r="AI39" i="60"/>
  <c r="AF39" i="60"/>
  <c r="AF52" i="60"/>
  <c r="AI52" i="60"/>
  <c r="AH52" i="60"/>
  <c r="AH64" i="60"/>
  <c r="AI64" i="60"/>
  <c r="AF64" i="60"/>
  <c r="AI77" i="60"/>
  <c r="AF77" i="60"/>
  <c r="AH77" i="60"/>
  <c r="AI89" i="60"/>
  <c r="AF89" i="60"/>
  <c r="AH89" i="60"/>
  <c r="AF103" i="60"/>
  <c r="AH103" i="60"/>
  <c r="AI103" i="60"/>
  <c r="S17" i="60"/>
  <c r="Q17" i="60"/>
  <c r="Q31" i="60"/>
  <c r="S31" i="60"/>
  <c r="Q43" i="60"/>
  <c r="S43" i="60"/>
  <c r="S55" i="60"/>
  <c r="Q55" i="60"/>
  <c r="S67" i="60"/>
  <c r="Q67" i="60"/>
  <c r="S79" i="60"/>
  <c r="Q79" i="60"/>
  <c r="S91" i="60"/>
  <c r="Q91" i="60"/>
  <c r="S105" i="60"/>
  <c r="Q105" i="60"/>
  <c r="S118" i="60"/>
  <c r="Q118" i="60"/>
  <c r="N22" i="60"/>
  <c r="L22" i="60"/>
  <c r="L35" i="60"/>
  <c r="N35" i="60"/>
  <c r="N71" i="60"/>
  <c r="L71" i="60"/>
  <c r="N83" i="60"/>
  <c r="L83" i="60"/>
  <c r="N95" i="60"/>
  <c r="L95" i="60"/>
  <c r="N109" i="60"/>
  <c r="L109" i="60"/>
  <c r="I11" i="60"/>
  <c r="T11" i="60"/>
  <c r="G11" i="60"/>
  <c r="G25" i="60"/>
  <c r="T25" i="60"/>
  <c r="I25" i="60"/>
  <c r="I37" i="60"/>
  <c r="T37" i="60"/>
  <c r="G37" i="60"/>
  <c r="G50" i="60"/>
  <c r="I50" i="60"/>
  <c r="T50" i="60"/>
  <c r="I63" i="60"/>
  <c r="G63" i="60"/>
  <c r="T63" i="60"/>
  <c r="I75" i="60"/>
  <c r="G75" i="60"/>
  <c r="T75" i="60"/>
  <c r="BW75" i="60" s="1"/>
  <c r="I87" i="60"/>
  <c r="G87" i="60"/>
  <c r="T87" i="60"/>
  <c r="G114" i="60"/>
  <c r="T114" i="60"/>
  <c r="I114" i="60"/>
  <c r="BV15" i="60"/>
  <c r="BT15" i="60"/>
  <c r="BV28" i="60"/>
  <c r="BT28" i="60"/>
  <c r="BV41" i="60"/>
  <c r="BT41" i="60"/>
  <c r="BV53" i="60"/>
  <c r="BT53" i="60"/>
  <c r="BV65" i="60"/>
  <c r="BT65" i="60"/>
  <c r="BT78" i="60"/>
  <c r="BV78" i="60"/>
  <c r="BT91" i="60"/>
  <c r="BV91" i="60"/>
  <c r="BV105" i="60"/>
  <c r="BT105" i="60"/>
  <c r="BT118" i="60"/>
  <c r="BV118" i="60"/>
  <c r="AW11" i="60"/>
  <c r="AU11" i="60"/>
  <c r="AW25" i="60"/>
  <c r="AU25" i="60"/>
  <c r="AW39" i="60"/>
  <c r="AU39" i="60"/>
  <c r="AW63" i="60"/>
  <c r="AU63" i="60"/>
  <c r="AW75" i="60"/>
  <c r="AU75" i="60"/>
  <c r="AW87" i="60"/>
  <c r="AU87" i="60"/>
  <c r="AW114" i="60"/>
  <c r="AU114" i="60"/>
  <c r="AI10" i="60"/>
  <c r="AH10" i="60"/>
  <c r="AF10" i="60"/>
  <c r="AH26" i="60"/>
  <c r="AI26" i="60"/>
  <c r="AF26" i="60"/>
  <c r="AF40" i="60"/>
  <c r="AI40" i="60"/>
  <c r="AH40" i="60"/>
  <c r="AI53" i="60"/>
  <c r="AH53" i="60"/>
  <c r="AF53" i="60"/>
  <c r="AI65" i="60"/>
  <c r="AH65" i="60"/>
  <c r="AF65" i="60"/>
  <c r="AI78" i="60"/>
  <c r="AF78" i="60"/>
  <c r="AH78" i="60"/>
  <c r="AI90" i="60"/>
  <c r="AH90" i="60"/>
  <c r="AF90" i="60"/>
  <c r="AF104" i="60"/>
  <c r="AI104" i="60"/>
  <c r="AH104" i="60"/>
  <c r="AF117" i="60"/>
  <c r="AI117" i="60"/>
  <c r="AH117" i="60"/>
  <c r="S44" i="60"/>
  <c r="Q44" i="60"/>
  <c r="Q56" i="60"/>
  <c r="S56" i="60"/>
  <c r="S80" i="60"/>
  <c r="Q80" i="60"/>
  <c r="S92" i="60"/>
  <c r="Q92" i="60"/>
  <c r="Q106" i="60"/>
  <c r="S106" i="60"/>
  <c r="N8" i="60"/>
  <c r="L8" i="60"/>
  <c r="N24" i="60"/>
  <c r="L24" i="60"/>
  <c r="N36" i="60"/>
  <c r="L36" i="60"/>
  <c r="N48" i="60"/>
  <c r="L48" i="60"/>
  <c r="N60" i="60"/>
  <c r="L60" i="60"/>
  <c r="L72" i="60"/>
  <c r="N72" i="60"/>
  <c r="N84" i="60"/>
  <c r="L84" i="60"/>
  <c r="L96" i="60"/>
  <c r="N96" i="60"/>
  <c r="N110" i="60"/>
  <c r="L110" i="60"/>
  <c r="I12" i="60"/>
  <c r="T12" i="60"/>
  <c r="G12" i="60"/>
  <c r="I26" i="60"/>
  <c r="T26" i="60"/>
  <c r="G26" i="60"/>
  <c r="I39" i="60"/>
  <c r="T39" i="60"/>
  <c r="G39" i="60"/>
  <c r="I52" i="60"/>
  <c r="G52" i="60"/>
  <c r="T52" i="60"/>
  <c r="I64" i="60"/>
  <c r="T64" i="60"/>
  <c r="G64" i="60"/>
  <c r="I76" i="60"/>
  <c r="T76" i="60"/>
  <c r="G76" i="60"/>
  <c r="I88" i="60"/>
  <c r="G88" i="60"/>
  <c r="T88" i="60"/>
  <c r="I102" i="60"/>
  <c r="G102" i="60"/>
  <c r="T102" i="60"/>
  <c r="I115" i="60"/>
  <c r="T115" i="60"/>
  <c r="G115" i="60"/>
  <c r="BV16" i="60"/>
  <c r="BT16" i="60"/>
  <c r="BV29" i="60"/>
  <c r="BT29" i="60"/>
  <c r="BT54" i="60"/>
  <c r="BV54" i="60"/>
  <c r="BT66" i="60"/>
  <c r="BV66" i="60"/>
  <c r="BV79" i="60"/>
  <c r="BT79" i="60"/>
  <c r="BV92" i="60"/>
  <c r="BT92" i="60"/>
  <c r="BT106" i="60"/>
  <c r="BV106" i="60"/>
  <c r="AW12" i="60"/>
  <c r="AU12" i="60"/>
  <c r="AW26" i="60"/>
  <c r="AU26" i="60"/>
  <c r="AW40" i="60"/>
  <c r="AU40" i="60"/>
  <c r="AU52" i="60"/>
  <c r="AW52" i="60"/>
  <c r="AW64" i="60"/>
  <c r="AU64" i="60"/>
  <c r="AU76" i="60"/>
  <c r="AW76" i="60"/>
  <c r="AU88" i="60"/>
  <c r="AW88" i="60"/>
  <c r="AW102" i="60"/>
  <c r="AU102" i="60"/>
  <c r="AW115" i="60"/>
  <c r="AU115" i="60"/>
  <c r="AR33" i="60"/>
  <c r="AI11" i="60"/>
  <c r="AH11" i="60"/>
  <c r="AF11" i="60"/>
  <c r="AH27" i="60"/>
  <c r="AF27" i="60"/>
  <c r="AI27" i="60"/>
  <c r="AI41" i="60"/>
  <c r="AH41" i="60"/>
  <c r="AF41" i="60"/>
  <c r="AH54" i="60"/>
  <c r="AF54" i="60"/>
  <c r="AI54" i="60"/>
  <c r="AI66" i="60"/>
  <c r="AH66" i="60"/>
  <c r="AF66" i="60"/>
  <c r="AH79" i="60"/>
  <c r="AF79" i="60"/>
  <c r="AI79" i="60"/>
  <c r="AI91" i="60"/>
  <c r="AH91" i="60"/>
  <c r="AF91" i="60"/>
  <c r="AI105" i="60"/>
  <c r="AH105" i="60"/>
  <c r="AF105" i="60"/>
  <c r="AI118" i="60"/>
  <c r="AH118" i="60"/>
  <c r="AF118" i="60"/>
  <c r="S33" i="60"/>
  <c r="Q33" i="60"/>
  <c r="S45" i="60"/>
  <c r="Q45" i="60"/>
  <c r="S57" i="60"/>
  <c r="Q57" i="60"/>
  <c r="S69" i="60"/>
  <c r="Q69" i="60"/>
  <c r="S93" i="60"/>
  <c r="Q93" i="60"/>
  <c r="S107" i="60"/>
  <c r="Q107" i="60"/>
  <c r="N9" i="60"/>
  <c r="L9" i="60"/>
  <c r="N25" i="60"/>
  <c r="L25" i="60"/>
  <c r="N37" i="60"/>
  <c r="L37" i="60"/>
  <c r="N49" i="60"/>
  <c r="L49" i="60"/>
  <c r="L61" i="60"/>
  <c r="N61" i="60"/>
  <c r="N85" i="60"/>
  <c r="L85" i="60"/>
  <c r="N97" i="60"/>
  <c r="L97" i="60"/>
  <c r="N111" i="60"/>
  <c r="L111" i="60"/>
  <c r="I13" i="60"/>
  <c r="G13" i="60"/>
  <c r="T13" i="60"/>
  <c r="I27" i="60"/>
  <c r="G27" i="60"/>
  <c r="G40" i="60"/>
  <c r="I40" i="60"/>
  <c r="T40" i="60"/>
  <c r="I53" i="60"/>
  <c r="T53" i="60"/>
  <c r="G53" i="60"/>
  <c r="T65" i="60"/>
  <c r="G65" i="60"/>
  <c r="I65" i="60"/>
  <c r="T77" i="60"/>
  <c r="I77" i="60"/>
  <c r="G77" i="60"/>
  <c r="T89" i="60"/>
  <c r="G89" i="60"/>
  <c r="I89" i="60"/>
  <c r="I103" i="60"/>
  <c r="G103" i="60"/>
  <c r="T103" i="60"/>
  <c r="BV17" i="60"/>
  <c r="BT17" i="60"/>
  <c r="BT30" i="60"/>
  <c r="BV30" i="60"/>
  <c r="BV43" i="60"/>
  <c r="BT43" i="60"/>
  <c r="BV55" i="60"/>
  <c r="BT55" i="60"/>
  <c r="BV67" i="60"/>
  <c r="BT67" i="60"/>
  <c r="BT80" i="60"/>
  <c r="BV80" i="60"/>
  <c r="BV93" i="60"/>
  <c r="BT93" i="60"/>
  <c r="BT107" i="60"/>
  <c r="BV107" i="60"/>
  <c r="AR11" i="60"/>
  <c r="AX11" i="60"/>
  <c r="AZ11" i="60" s="1"/>
  <c r="AP11" i="60"/>
  <c r="AR15" i="60"/>
  <c r="AP15" i="60"/>
  <c r="AX15" i="60"/>
  <c r="AZ15" i="60" s="1"/>
  <c r="AP22" i="60"/>
  <c r="AR22" i="60"/>
  <c r="AR40" i="60"/>
  <c r="AP40" i="60"/>
  <c r="AX40" i="60"/>
  <c r="AZ40" i="60" s="1"/>
  <c r="AR44" i="60"/>
  <c r="AP44" i="60"/>
  <c r="AX44" i="60"/>
  <c r="AZ44" i="60" s="1"/>
  <c r="AX48" i="60"/>
  <c r="AZ48" i="60" s="1"/>
  <c r="AR48" i="60"/>
  <c r="AP48" i="60"/>
  <c r="AR53" i="60"/>
  <c r="AX53" i="60"/>
  <c r="AZ53" i="60" s="1"/>
  <c r="AP53" i="60"/>
  <c r="AX57" i="60"/>
  <c r="AZ57" i="60" s="1"/>
  <c r="AR57" i="60"/>
  <c r="AP57" i="60"/>
  <c r="AX61" i="60"/>
  <c r="AZ61" i="60" s="1"/>
  <c r="AP61" i="60"/>
  <c r="AR61" i="60"/>
  <c r="AX65" i="60"/>
  <c r="AZ65" i="60" s="1"/>
  <c r="AP65" i="60"/>
  <c r="AR65" i="60"/>
  <c r="AX70" i="60"/>
  <c r="AZ70" i="60" s="1"/>
  <c r="AR70" i="60"/>
  <c r="AP70" i="60"/>
  <c r="AX75" i="60"/>
  <c r="AZ75" i="60" s="1"/>
  <c r="AR75" i="60"/>
  <c r="AP75" i="60"/>
  <c r="AR79" i="60"/>
  <c r="AX79" i="60"/>
  <c r="AZ79" i="60" s="1"/>
  <c r="AP79" i="60"/>
  <c r="AP83" i="60"/>
  <c r="AR83" i="60"/>
  <c r="AX83" i="60"/>
  <c r="AZ83" i="60" s="1"/>
  <c r="AX88" i="60"/>
  <c r="AZ88" i="60" s="1"/>
  <c r="AR88" i="60"/>
  <c r="AP88" i="60"/>
  <c r="AX92" i="60"/>
  <c r="AZ92" i="60" s="1"/>
  <c r="AR92" i="60"/>
  <c r="AP92" i="60"/>
  <c r="AX96" i="60"/>
  <c r="AZ96" i="60" s="1"/>
  <c r="AR96" i="60"/>
  <c r="AP96" i="60"/>
  <c r="AX102" i="60"/>
  <c r="AZ102" i="60" s="1"/>
  <c r="AR102" i="60"/>
  <c r="AP102" i="60"/>
  <c r="AX106" i="60"/>
  <c r="AZ106" i="60" s="1"/>
  <c r="AR106" i="60"/>
  <c r="AP106" i="60"/>
  <c r="AX110" i="60"/>
  <c r="AZ110" i="60" s="1"/>
  <c r="AR110" i="60"/>
  <c r="AP110" i="60"/>
  <c r="AX115" i="60"/>
  <c r="AZ115" i="60" s="1"/>
  <c r="AP115" i="60"/>
  <c r="AR115" i="60"/>
  <c r="O37" i="51"/>
  <c r="O97" i="51" s="1"/>
  <c r="AR8" i="60"/>
  <c r="AX8" i="60"/>
  <c r="AZ8" i="60" s="1"/>
  <c r="AP8" i="60"/>
  <c r="AR12" i="60"/>
  <c r="AX12" i="60"/>
  <c r="AZ12" i="60" s="1"/>
  <c r="AP12" i="60"/>
  <c r="AR16" i="60"/>
  <c r="AX16" i="60"/>
  <c r="AZ16" i="60" s="1"/>
  <c r="AP16" i="60"/>
  <c r="AP41" i="60"/>
  <c r="AX41" i="60"/>
  <c r="AZ41" i="60" s="1"/>
  <c r="AR41" i="60"/>
  <c r="AR45" i="60"/>
  <c r="AP45" i="60"/>
  <c r="AX45" i="60"/>
  <c r="AZ45" i="60" s="1"/>
  <c r="AX49" i="60"/>
  <c r="AZ49" i="60" s="1"/>
  <c r="AP49" i="60"/>
  <c r="AR49" i="60"/>
  <c r="AR54" i="60"/>
  <c r="AX54" i="60"/>
  <c r="AZ54" i="60" s="1"/>
  <c r="AP54" i="60"/>
  <c r="AR58" i="60"/>
  <c r="AX58" i="60"/>
  <c r="AZ58" i="60" s="1"/>
  <c r="AP58" i="60"/>
  <c r="AX62" i="60"/>
  <c r="AZ62" i="60" s="1"/>
  <c r="AR62" i="60"/>
  <c r="AP62" i="60"/>
  <c r="AR66" i="60"/>
  <c r="AP66" i="60"/>
  <c r="AX66" i="60"/>
  <c r="AZ66" i="60" s="1"/>
  <c r="AP71" i="60"/>
  <c r="AR71" i="60"/>
  <c r="AX71" i="60"/>
  <c r="AZ71" i="60" s="1"/>
  <c r="AR76" i="60"/>
  <c r="AP76" i="60"/>
  <c r="AX76" i="60"/>
  <c r="AZ76" i="60" s="1"/>
  <c r="AX80" i="60"/>
  <c r="AZ80" i="60" s="1"/>
  <c r="AR80" i="60"/>
  <c r="AP80" i="60"/>
  <c r="AX84" i="60"/>
  <c r="AZ84" i="60" s="1"/>
  <c r="AR84" i="60"/>
  <c r="AP84" i="60"/>
  <c r="AX89" i="60"/>
  <c r="AZ89" i="60" s="1"/>
  <c r="AR89" i="60"/>
  <c r="AP89" i="60"/>
  <c r="AX93" i="60"/>
  <c r="AZ93" i="60" s="1"/>
  <c r="AP93" i="60"/>
  <c r="AR93" i="60"/>
  <c r="AR97" i="60"/>
  <c r="AX97" i="60"/>
  <c r="AZ97" i="60" s="1"/>
  <c r="AP97" i="60"/>
  <c r="AP103" i="60"/>
  <c r="AR103" i="60"/>
  <c r="AX103" i="60"/>
  <c r="AZ103" i="60" s="1"/>
  <c r="AP107" i="60"/>
  <c r="AR107" i="60"/>
  <c r="AX107" i="60"/>
  <c r="AZ107" i="60" s="1"/>
  <c r="AX111" i="60"/>
  <c r="AZ111" i="60" s="1"/>
  <c r="AR111" i="60"/>
  <c r="AP111" i="60"/>
  <c r="R37" i="51"/>
  <c r="R97" i="51" s="1"/>
  <c r="V37" i="51"/>
  <c r="V97" i="51" s="1"/>
  <c r="AX9" i="60"/>
  <c r="AZ9" i="60" s="1"/>
  <c r="AR9" i="60"/>
  <c r="AP9" i="60"/>
  <c r="AX13" i="60"/>
  <c r="AZ13" i="60" s="1"/>
  <c r="AP13" i="60"/>
  <c r="AR13" i="60"/>
  <c r="AX17" i="60"/>
  <c r="AZ17" i="60" s="1"/>
  <c r="AP17" i="60"/>
  <c r="AR17" i="60"/>
  <c r="AX46" i="60"/>
  <c r="AZ46" i="60" s="1"/>
  <c r="AR46" i="60"/>
  <c r="AP46" i="60"/>
  <c r="AR50" i="60"/>
  <c r="AP50" i="60"/>
  <c r="AX50" i="60"/>
  <c r="AZ50" i="60" s="1"/>
  <c r="AP55" i="60"/>
  <c r="AX55" i="60"/>
  <c r="AZ55" i="60" s="1"/>
  <c r="AR55" i="60"/>
  <c r="AR63" i="60"/>
  <c r="AX63" i="60"/>
  <c r="AZ63" i="60" s="1"/>
  <c r="AP63" i="60"/>
  <c r="AR67" i="60"/>
  <c r="AX67" i="60"/>
  <c r="AZ67" i="60" s="1"/>
  <c r="AP67" i="60"/>
  <c r="AP72" i="60"/>
  <c r="AX72" i="60"/>
  <c r="AZ72" i="60" s="1"/>
  <c r="AR72" i="60"/>
  <c r="AX77" i="60"/>
  <c r="AZ77" i="60" s="1"/>
  <c r="AP77" i="60"/>
  <c r="AR77" i="60"/>
  <c r="AR85" i="60"/>
  <c r="AX85" i="60"/>
  <c r="AZ85" i="60" s="1"/>
  <c r="AP85" i="60"/>
  <c r="AR90" i="60"/>
  <c r="AP90" i="60"/>
  <c r="AX90" i="60"/>
  <c r="AZ90" i="60" s="1"/>
  <c r="AX94" i="60"/>
  <c r="AZ94" i="60" s="1"/>
  <c r="AR94" i="60"/>
  <c r="AP94" i="60"/>
  <c r="AX104" i="60"/>
  <c r="AZ104" i="60" s="1"/>
  <c r="AR104" i="60"/>
  <c r="AP104" i="60"/>
  <c r="AP117" i="60"/>
  <c r="AX117" i="60"/>
  <c r="AZ117" i="60" s="1"/>
  <c r="AR117" i="60"/>
  <c r="AR10" i="60"/>
  <c r="AX10" i="60"/>
  <c r="AZ10" i="60" s="1"/>
  <c r="AP10" i="60"/>
  <c r="AX14" i="60"/>
  <c r="AZ14" i="60" s="1"/>
  <c r="AP14" i="60"/>
  <c r="AR14" i="60"/>
  <c r="AP21" i="60"/>
  <c r="AR21" i="60"/>
  <c r="AR43" i="60"/>
  <c r="AX43" i="60"/>
  <c r="AZ43" i="60" s="1"/>
  <c r="AP43" i="60"/>
  <c r="AX52" i="60"/>
  <c r="AZ52" i="60" s="1"/>
  <c r="AR52" i="60"/>
  <c r="AP52" i="60"/>
  <c r="AX56" i="60"/>
  <c r="AZ56" i="60" s="1"/>
  <c r="AR56" i="60"/>
  <c r="AP56" i="60"/>
  <c r="AR60" i="60"/>
  <c r="AX60" i="60"/>
  <c r="AZ60" i="60" s="1"/>
  <c r="AP60" i="60"/>
  <c r="AX64" i="60"/>
  <c r="AZ64" i="60" s="1"/>
  <c r="AP64" i="60"/>
  <c r="AR64" i="60"/>
  <c r="AP69" i="60"/>
  <c r="AX69" i="60"/>
  <c r="AZ69" i="60" s="1"/>
  <c r="AR69" i="60"/>
  <c r="AR78" i="60"/>
  <c r="AX78" i="60"/>
  <c r="AZ78" i="60" s="1"/>
  <c r="AP78" i="60"/>
  <c r="AX82" i="60"/>
  <c r="AZ82" i="60" s="1"/>
  <c r="AR82" i="60"/>
  <c r="AP82" i="60"/>
  <c r="AP87" i="60"/>
  <c r="AX87" i="60"/>
  <c r="AZ87" i="60" s="1"/>
  <c r="AR87" i="60"/>
  <c r="AX91" i="60"/>
  <c r="AZ91" i="60" s="1"/>
  <c r="AP91" i="60"/>
  <c r="AR91" i="60"/>
  <c r="AR95" i="60"/>
  <c r="AX95" i="60"/>
  <c r="AZ95" i="60" s="1"/>
  <c r="AP95" i="60"/>
  <c r="AX105" i="60"/>
  <c r="AZ105" i="60" s="1"/>
  <c r="AR105" i="60"/>
  <c r="AP105" i="60"/>
  <c r="AR109" i="60"/>
  <c r="AX109" i="60"/>
  <c r="AZ109" i="60" s="1"/>
  <c r="AP109" i="60"/>
  <c r="AX114" i="60"/>
  <c r="AZ114" i="60" s="1"/>
  <c r="AR114" i="60"/>
  <c r="AP114" i="60"/>
  <c r="AX118" i="60"/>
  <c r="AZ118" i="60" s="1"/>
  <c r="AR118" i="60"/>
  <c r="AP118" i="60"/>
  <c r="V97" i="28"/>
  <c r="R37" i="50"/>
  <c r="O37" i="52"/>
  <c r="O97" i="52" s="1"/>
  <c r="S37" i="52"/>
  <c r="S97" i="52" s="1"/>
  <c r="S98" i="52" s="1"/>
  <c r="S111" i="52" s="1"/>
  <c r="S118" i="52" s="1"/>
  <c r="L37" i="51"/>
  <c r="L97" i="51" s="1"/>
  <c r="P37" i="51"/>
  <c r="P97" i="51" s="1"/>
  <c r="T37" i="51"/>
  <c r="T97" i="51" s="1"/>
  <c r="M37" i="50"/>
  <c r="M97" i="50" s="1"/>
  <c r="Q37" i="50"/>
  <c r="Q97" i="50" s="1"/>
  <c r="U37" i="50"/>
  <c r="U97" i="50" s="1"/>
  <c r="N37" i="31"/>
  <c r="N97" i="31" s="1"/>
  <c r="R37" i="31"/>
  <c r="R97" i="31" s="1"/>
  <c r="V37" i="31"/>
  <c r="V97" i="31" s="1"/>
  <c r="O37" i="30"/>
  <c r="O97" i="30" s="1"/>
  <c r="S37" i="30"/>
  <c r="S97" i="30" s="1"/>
  <c r="L37" i="28"/>
  <c r="L97" i="28" s="1"/>
  <c r="P37" i="28"/>
  <c r="P97" i="28" s="1"/>
  <c r="T37" i="28"/>
  <c r="T97" i="28" s="1"/>
  <c r="M37" i="3"/>
  <c r="M97" i="3" s="1"/>
  <c r="M98" i="3" s="1"/>
  <c r="M111" i="3" s="1"/>
  <c r="M118" i="3" s="1"/>
  <c r="Q37" i="3"/>
  <c r="Q97" i="3" s="1"/>
  <c r="Q98" i="3" s="1"/>
  <c r="Q111" i="3" s="1"/>
  <c r="Q118" i="3" s="1"/>
  <c r="U37" i="3"/>
  <c r="U97" i="3" s="1"/>
  <c r="U98" i="3" s="1"/>
  <c r="U111" i="3" s="1"/>
  <c r="U118" i="3" s="1"/>
  <c r="M37" i="51"/>
  <c r="M97" i="51" s="1"/>
  <c r="L37" i="30"/>
  <c r="L97" i="30" s="1"/>
  <c r="Q37" i="28"/>
  <c r="Q97" i="28" s="1"/>
  <c r="V37" i="3"/>
  <c r="V97" i="3" s="1"/>
  <c r="V98" i="3" s="1"/>
  <c r="V111" i="3" s="1"/>
  <c r="V118" i="3" s="1"/>
  <c r="L37" i="52"/>
  <c r="L97" i="52" s="1"/>
  <c r="P37" i="52"/>
  <c r="P97" i="52" s="1"/>
  <c r="T37" i="52"/>
  <c r="T97" i="52" s="1"/>
  <c r="T98" i="52" s="1"/>
  <c r="T111" i="52" s="1"/>
  <c r="T118" i="52" s="1"/>
  <c r="Q37" i="51"/>
  <c r="Q97" i="51" s="1"/>
  <c r="U37" i="51"/>
  <c r="U97" i="51" s="1"/>
  <c r="N37" i="50"/>
  <c r="N97" i="50" s="1"/>
  <c r="V37" i="50"/>
  <c r="O37" i="31"/>
  <c r="O97" i="31" s="1"/>
  <c r="S37" i="31"/>
  <c r="S97" i="31" s="1"/>
  <c r="P37" i="30"/>
  <c r="P97" i="30" s="1"/>
  <c r="T37" i="30"/>
  <c r="T97" i="30" s="1"/>
  <c r="M37" i="28"/>
  <c r="M97" i="28" s="1"/>
  <c r="U37" i="28"/>
  <c r="N37" i="3"/>
  <c r="N97" i="3" s="1"/>
  <c r="N98" i="3" s="1"/>
  <c r="N111" i="3" s="1"/>
  <c r="N118" i="3" s="1"/>
  <c r="R37" i="3"/>
  <c r="R97" i="3" s="1"/>
  <c r="R98" i="3" s="1"/>
  <c r="R111" i="3" s="1"/>
  <c r="R118" i="3" s="1"/>
  <c r="BW76" i="60" l="1"/>
  <c r="BW26" i="60"/>
  <c r="BW49" i="60"/>
  <c r="BW48" i="60"/>
  <c r="BW72" i="60"/>
  <c r="BW57" i="60"/>
  <c r="BW56" i="60"/>
  <c r="BW110" i="60"/>
  <c r="BW60" i="60"/>
  <c r="BW46" i="60"/>
  <c r="BW107" i="60"/>
  <c r="BW44" i="60"/>
  <c r="BW106" i="60"/>
  <c r="BW43" i="60"/>
  <c r="BW118" i="60"/>
  <c r="BW87" i="60"/>
  <c r="BW8" i="60"/>
  <c r="BW71" i="60"/>
  <c r="BW45" i="60"/>
  <c r="BW79" i="60"/>
  <c r="BW15" i="60"/>
  <c r="BW77" i="60"/>
  <c r="BW13" i="60"/>
  <c r="BW111" i="60"/>
  <c r="BW109" i="60"/>
  <c r="BW82" i="60"/>
  <c r="BW54" i="60"/>
  <c r="BW115" i="60"/>
  <c r="BW64" i="60"/>
  <c r="BW12" i="60"/>
  <c r="BW70" i="60"/>
  <c r="BW67" i="60"/>
  <c r="BW104" i="60"/>
  <c r="BW65" i="60"/>
  <c r="BW97" i="60"/>
  <c r="BW90" i="60"/>
  <c r="BW103" i="60"/>
  <c r="BW102" i="60"/>
  <c r="BW52" i="60"/>
  <c r="BW63" i="60"/>
  <c r="BW95" i="60"/>
  <c r="BW55" i="60"/>
  <c r="BW41" i="60"/>
  <c r="BW53" i="60"/>
  <c r="BW11" i="60"/>
  <c r="BW85" i="60"/>
  <c r="BW93" i="60"/>
  <c r="BW105" i="60"/>
  <c r="BW96" i="60"/>
  <c r="BW83" i="60"/>
  <c r="BW58" i="60"/>
  <c r="BW92" i="60"/>
  <c r="BW78" i="60"/>
  <c r="BW40" i="60"/>
  <c r="BW88" i="60"/>
  <c r="BW50" i="60"/>
  <c r="BW84" i="60"/>
  <c r="BW69" i="60"/>
  <c r="BW17" i="60"/>
  <c r="BW80" i="60"/>
  <c r="BW16" i="60"/>
  <c r="BW91" i="60"/>
  <c r="BW114" i="60"/>
  <c r="BW10" i="60"/>
  <c r="BW61" i="60"/>
  <c r="BW9" i="60"/>
  <c r="BW94" i="60"/>
  <c r="BW89" i="60"/>
  <c r="BW62" i="60"/>
  <c r="BW117" i="60"/>
  <c r="BW66" i="60"/>
  <c r="BW14" i="60"/>
  <c r="AP28" i="60"/>
  <c r="AR81" i="60"/>
  <c r="AX81" i="60"/>
  <c r="AZ81" i="60" s="1"/>
  <c r="AX22" i="60"/>
  <c r="AZ22" i="60" s="1"/>
  <c r="AX34" i="60"/>
  <c r="AZ34" i="60" s="1"/>
  <c r="AR34" i="60"/>
  <c r="AH116" i="60"/>
  <c r="AF116" i="60"/>
  <c r="AI113" i="60"/>
  <c r="AK113" i="60" s="1"/>
  <c r="Q116" i="60"/>
  <c r="Q81" i="60"/>
  <c r="BV116" i="60"/>
  <c r="AP116" i="60"/>
  <c r="AR26" i="60"/>
  <c r="AX25" i="60"/>
  <c r="AZ25" i="60" s="1"/>
  <c r="AP26" i="60"/>
  <c r="BV113" i="60"/>
  <c r="G81" i="60"/>
  <c r="AF113" i="60"/>
  <c r="AP35" i="60"/>
  <c r="L116" i="60"/>
  <c r="AX35" i="60"/>
  <c r="AZ35" i="60" s="1"/>
  <c r="L113" i="60"/>
  <c r="AR24" i="60"/>
  <c r="AX24" i="60"/>
  <c r="AZ24" i="60" s="1"/>
  <c r="AW22" i="60"/>
  <c r="AX28" i="60"/>
  <c r="AZ28" i="60" s="1"/>
  <c r="AX29" i="60"/>
  <c r="AZ29" i="60" s="1"/>
  <c r="AP25" i="60"/>
  <c r="AX116" i="60"/>
  <c r="AZ116" i="60" s="1"/>
  <c r="AR29" i="60"/>
  <c r="V97" i="50"/>
  <c r="X39" i="60"/>
  <c r="V39" i="60"/>
  <c r="AM77" i="60"/>
  <c r="AK77" i="60"/>
  <c r="X85" i="60"/>
  <c r="V85" i="60"/>
  <c r="AK34" i="60"/>
  <c r="AM34" i="60"/>
  <c r="AK103" i="60"/>
  <c r="AM103" i="60"/>
  <c r="R97" i="50"/>
  <c r="AX33" i="60"/>
  <c r="AZ33" i="60" s="1"/>
  <c r="AM54" i="60"/>
  <c r="AK54" i="60"/>
  <c r="AK89" i="60"/>
  <c r="AM89" i="60"/>
  <c r="AK102" i="60"/>
  <c r="AM102" i="60"/>
  <c r="AK50" i="60"/>
  <c r="AM50" i="60"/>
  <c r="X71" i="60"/>
  <c r="V71" i="60"/>
  <c r="AM60" i="60"/>
  <c r="AK60" i="60"/>
  <c r="V45" i="60"/>
  <c r="X45" i="60"/>
  <c r="AM107" i="60"/>
  <c r="AK107" i="60"/>
  <c r="AK43" i="60"/>
  <c r="AM43" i="60"/>
  <c r="AK12" i="60"/>
  <c r="AM12" i="60"/>
  <c r="T73" i="60"/>
  <c r="I73" i="60"/>
  <c r="G73" i="60"/>
  <c r="L68" i="60"/>
  <c r="N68" i="60"/>
  <c r="S113" i="60"/>
  <c r="Q113" i="60"/>
  <c r="S68" i="60"/>
  <c r="Q68" i="60"/>
  <c r="BV68" i="60"/>
  <c r="BT68" i="60"/>
  <c r="X77" i="60"/>
  <c r="V77" i="60"/>
  <c r="AK26" i="60"/>
  <c r="AM26" i="60"/>
  <c r="V50" i="60"/>
  <c r="X50" i="60"/>
  <c r="X49" i="60"/>
  <c r="V49" i="60"/>
  <c r="X97" i="60"/>
  <c r="V97" i="60"/>
  <c r="X35" i="60"/>
  <c r="V35" i="60"/>
  <c r="AM74" i="60"/>
  <c r="AK74" i="60"/>
  <c r="AK21" i="60"/>
  <c r="AM21" i="60"/>
  <c r="AM72" i="60"/>
  <c r="AK72" i="60"/>
  <c r="X30" i="60"/>
  <c r="V30" i="60"/>
  <c r="AK70" i="60"/>
  <c r="AM70" i="60"/>
  <c r="X91" i="60"/>
  <c r="V91" i="60"/>
  <c r="X29" i="60"/>
  <c r="V29" i="60"/>
  <c r="S59" i="60"/>
  <c r="Q59" i="60"/>
  <c r="AW73" i="60"/>
  <c r="AU73" i="60"/>
  <c r="AM15" i="60"/>
  <c r="AK15" i="60"/>
  <c r="V16" i="60"/>
  <c r="X16" i="60"/>
  <c r="V13" i="60"/>
  <c r="X13" i="60"/>
  <c r="AM105" i="60"/>
  <c r="AK105" i="60"/>
  <c r="X88" i="60"/>
  <c r="V88" i="60"/>
  <c r="AM78" i="60"/>
  <c r="AK78" i="60"/>
  <c r="X114" i="60"/>
  <c r="V114" i="60"/>
  <c r="AM88" i="60"/>
  <c r="AK88" i="60"/>
  <c r="AM62" i="60"/>
  <c r="AK62" i="60"/>
  <c r="V8" i="60"/>
  <c r="X8" i="60"/>
  <c r="V109" i="60"/>
  <c r="X109" i="60"/>
  <c r="X82" i="60"/>
  <c r="V82" i="60"/>
  <c r="AM71" i="60"/>
  <c r="AK71" i="60"/>
  <c r="X92" i="60"/>
  <c r="V92" i="60"/>
  <c r="AM14" i="60"/>
  <c r="AK14" i="60"/>
  <c r="V54" i="60"/>
  <c r="X54" i="60"/>
  <c r="AM67" i="60"/>
  <c r="AK67" i="60"/>
  <c r="AW51" i="60"/>
  <c r="AU51" i="60"/>
  <c r="AI59" i="60"/>
  <c r="AH59" i="60"/>
  <c r="AF59" i="60"/>
  <c r="AK37" i="60"/>
  <c r="AM37" i="60"/>
  <c r="X65" i="60"/>
  <c r="V65" i="60"/>
  <c r="AK117" i="60"/>
  <c r="AM117" i="60"/>
  <c r="V87" i="60"/>
  <c r="X87" i="60"/>
  <c r="V36" i="60"/>
  <c r="X36" i="60"/>
  <c r="AM76" i="60"/>
  <c r="AK76" i="60"/>
  <c r="AM24" i="60"/>
  <c r="AK24" i="60"/>
  <c r="X22" i="60"/>
  <c r="V22" i="60"/>
  <c r="AM61" i="60"/>
  <c r="AK61" i="60"/>
  <c r="V70" i="60"/>
  <c r="X70" i="60"/>
  <c r="V79" i="60"/>
  <c r="X79" i="60"/>
  <c r="V15" i="60"/>
  <c r="X15" i="60"/>
  <c r="AM29" i="60"/>
  <c r="AK29" i="60"/>
  <c r="V104" i="60"/>
  <c r="X104" i="60"/>
  <c r="Q51" i="60"/>
  <c r="S51" i="60"/>
  <c r="I113" i="60"/>
  <c r="G113" i="60"/>
  <c r="T113" i="60"/>
  <c r="AF81" i="60"/>
  <c r="AI81" i="60"/>
  <c r="AH81" i="60"/>
  <c r="AU68" i="60"/>
  <c r="AW68" i="60"/>
  <c r="V103" i="60"/>
  <c r="X103" i="60"/>
  <c r="AK91" i="60"/>
  <c r="AM91" i="60"/>
  <c r="AK41" i="60"/>
  <c r="AM41" i="60"/>
  <c r="AM65" i="60"/>
  <c r="AK65" i="60"/>
  <c r="AK10" i="60"/>
  <c r="AM10" i="60"/>
  <c r="V37" i="60"/>
  <c r="X37" i="60"/>
  <c r="AK64" i="60"/>
  <c r="AM64" i="60"/>
  <c r="AM114" i="60"/>
  <c r="AK114" i="60"/>
  <c r="AK49" i="60"/>
  <c r="AM49" i="60"/>
  <c r="X110" i="60"/>
  <c r="V110" i="60"/>
  <c r="V60" i="60"/>
  <c r="X60" i="60"/>
  <c r="AM110" i="60"/>
  <c r="AK110" i="60"/>
  <c r="AM46" i="60"/>
  <c r="AK46" i="60"/>
  <c r="X69" i="60"/>
  <c r="V69" i="60"/>
  <c r="X17" i="60"/>
  <c r="V17" i="60"/>
  <c r="AM58" i="60"/>
  <c r="AK58" i="60"/>
  <c r="AK57" i="60"/>
  <c r="AM57" i="60"/>
  <c r="X90" i="60"/>
  <c r="V90" i="60"/>
  <c r="AM55" i="60"/>
  <c r="AK55" i="60"/>
  <c r="AH51" i="60"/>
  <c r="AF51" i="60"/>
  <c r="AI51" i="60"/>
  <c r="BV81" i="60"/>
  <c r="BT81" i="60"/>
  <c r="AM116" i="60"/>
  <c r="AK116" i="60"/>
  <c r="AW113" i="60"/>
  <c r="AU113" i="60"/>
  <c r="BV59" i="60"/>
  <c r="BT59" i="60"/>
  <c r="AM25" i="60"/>
  <c r="AK25" i="60"/>
  <c r="V72" i="60"/>
  <c r="X72" i="60"/>
  <c r="X46" i="60"/>
  <c r="V46" i="60"/>
  <c r="V93" i="60"/>
  <c r="X93" i="60"/>
  <c r="V53" i="60"/>
  <c r="X53" i="60"/>
  <c r="AM79" i="60"/>
  <c r="AK79" i="60"/>
  <c r="AK27" i="60"/>
  <c r="AM27" i="60"/>
  <c r="V76" i="60"/>
  <c r="X76" i="60"/>
  <c r="X26" i="60"/>
  <c r="V26" i="60"/>
  <c r="AK9" i="60"/>
  <c r="AM9" i="60"/>
  <c r="X61" i="60"/>
  <c r="V61" i="60"/>
  <c r="X9" i="60"/>
  <c r="V9" i="60"/>
  <c r="AM87" i="60"/>
  <c r="AK87" i="60"/>
  <c r="AM36" i="60"/>
  <c r="AK36" i="60"/>
  <c r="AK48" i="60"/>
  <c r="AM48" i="60"/>
  <c r="V95" i="60"/>
  <c r="X95" i="60"/>
  <c r="AM109" i="60"/>
  <c r="AK109" i="60"/>
  <c r="V41" i="60"/>
  <c r="X41" i="60"/>
  <c r="AM106" i="60"/>
  <c r="AK106" i="60"/>
  <c r="AM17" i="60"/>
  <c r="AK17" i="60"/>
  <c r="V80" i="60"/>
  <c r="X80" i="60"/>
  <c r="AM104" i="60"/>
  <c r="AK104" i="60"/>
  <c r="X75" i="60"/>
  <c r="V75" i="60"/>
  <c r="X74" i="60"/>
  <c r="V74" i="60"/>
  <c r="X24" i="60"/>
  <c r="V24" i="60"/>
  <c r="AK115" i="60"/>
  <c r="AM115" i="60"/>
  <c r="V33" i="60"/>
  <c r="X33" i="60"/>
  <c r="AM97" i="60"/>
  <c r="AK97" i="60"/>
  <c r="AM95" i="60"/>
  <c r="AK95" i="60"/>
  <c r="X56" i="60"/>
  <c r="V56" i="60"/>
  <c r="X118" i="60"/>
  <c r="V118" i="60"/>
  <c r="AM69" i="60"/>
  <c r="AK69" i="60"/>
  <c r="AK13" i="60"/>
  <c r="AM13" i="60"/>
  <c r="BV73" i="60"/>
  <c r="BT73" i="60"/>
  <c r="AI73" i="60"/>
  <c r="AF73" i="60"/>
  <c r="AH73" i="60"/>
  <c r="BV51" i="60"/>
  <c r="BT51" i="60"/>
  <c r="I68" i="60"/>
  <c r="T68" i="60"/>
  <c r="G68" i="60"/>
  <c r="AK93" i="60"/>
  <c r="AM93" i="60"/>
  <c r="T116" i="60"/>
  <c r="I116" i="60"/>
  <c r="G116" i="60"/>
  <c r="X40" i="60"/>
  <c r="V40" i="60"/>
  <c r="AM53" i="60"/>
  <c r="AK53" i="60"/>
  <c r="V25" i="60"/>
  <c r="X25" i="60"/>
  <c r="AK52" i="60"/>
  <c r="AM52" i="60"/>
  <c r="AM35" i="60"/>
  <c r="AK35" i="60"/>
  <c r="V83" i="60"/>
  <c r="X83" i="60"/>
  <c r="X58" i="60"/>
  <c r="V58" i="60"/>
  <c r="AM96" i="60"/>
  <c r="AK96" i="60"/>
  <c r="AM33" i="60"/>
  <c r="AK33" i="60"/>
  <c r="AM94" i="60"/>
  <c r="AK94" i="60"/>
  <c r="AK44" i="60"/>
  <c r="AM44" i="60"/>
  <c r="X67" i="60"/>
  <c r="V67" i="60"/>
  <c r="AM56" i="60"/>
  <c r="AK56" i="60"/>
  <c r="X78" i="60"/>
  <c r="V78" i="60"/>
  <c r="V28" i="60"/>
  <c r="X28" i="60"/>
  <c r="N81" i="60"/>
  <c r="L81" i="60"/>
  <c r="I51" i="60"/>
  <c r="T51" i="60"/>
  <c r="G51" i="60"/>
  <c r="AM111" i="60"/>
  <c r="AK111" i="60"/>
  <c r="V31" i="60"/>
  <c r="X31" i="60"/>
  <c r="X115" i="60"/>
  <c r="V115" i="60"/>
  <c r="V64" i="60"/>
  <c r="X64" i="60"/>
  <c r="V12" i="60"/>
  <c r="X12" i="60"/>
  <c r="AM63" i="60"/>
  <c r="AK63" i="60"/>
  <c r="AM8" i="60"/>
  <c r="AK8" i="60"/>
  <c r="V48" i="60"/>
  <c r="X48" i="60"/>
  <c r="X34" i="60"/>
  <c r="V34" i="60"/>
  <c r="AK84" i="60"/>
  <c r="AM84" i="60"/>
  <c r="X57" i="60"/>
  <c r="V57" i="60"/>
  <c r="AK45" i="60"/>
  <c r="AM45" i="60"/>
  <c r="V106" i="60"/>
  <c r="X106" i="60"/>
  <c r="V43" i="60"/>
  <c r="X43" i="60"/>
  <c r="AM92" i="60"/>
  <c r="AK92" i="60"/>
  <c r="AK28" i="60"/>
  <c r="AM28" i="60"/>
  <c r="N59" i="60"/>
  <c r="L59" i="60"/>
  <c r="T81" i="60"/>
  <c r="BW81" i="60" s="1"/>
  <c r="S73" i="60"/>
  <c r="Q73" i="60"/>
  <c r="AW116" i="60"/>
  <c r="AU116" i="60"/>
  <c r="AP33" i="60"/>
  <c r="X89" i="60"/>
  <c r="V89" i="60"/>
  <c r="AK40" i="60"/>
  <c r="AM40" i="60"/>
  <c r="V63" i="60"/>
  <c r="X63" i="60"/>
  <c r="X10" i="60"/>
  <c r="V10" i="60"/>
  <c r="V111" i="60"/>
  <c r="X111" i="60"/>
  <c r="V96" i="60"/>
  <c r="X96" i="60"/>
  <c r="AM85" i="60"/>
  <c r="AK85" i="60"/>
  <c r="X94" i="60"/>
  <c r="V94" i="60"/>
  <c r="AM16" i="60"/>
  <c r="AK16" i="60"/>
  <c r="AK83" i="60"/>
  <c r="AM83" i="60"/>
  <c r="X55" i="60"/>
  <c r="V55" i="60"/>
  <c r="X20" i="52"/>
  <c r="L73" i="60"/>
  <c r="N73" i="60"/>
  <c r="AW81" i="60"/>
  <c r="AU81" i="60"/>
  <c r="I59" i="60"/>
  <c r="T59" i="60"/>
  <c r="G59" i="60"/>
  <c r="AM118" i="60"/>
  <c r="AK118" i="60"/>
  <c r="AK66" i="60"/>
  <c r="AM66" i="60"/>
  <c r="AM11" i="60"/>
  <c r="AK11" i="60"/>
  <c r="X102" i="60"/>
  <c r="V102" i="60"/>
  <c r="V52" i="60"/>
  <c r="X52" i="60"/>
  <c r="AK90" i="60"/>
  <c r="AM90" i="60"/>
  <c r="V11" i="60"/>
  <c r="X11" i="60"/>
  <c r="AK39" i="60"/>
  <c r="AM39" i="60"/>
  <c r="X62" i="60"/>
  <c r="V62" i="60"/>
  <c r="AM75" i="60"/>
  <c r="AK75" i="60"/>
  <c r="AM22" i="60"/>
  <c r="AK22" i="60"/>
  <c r="X84" i="60"/>
  <c r="V84" i="60"/>
  <c r="V21" i="60"/>
  <c r="X21" i="60"/>
  <c r="X107" i="60"/>
  <c r="V107" i="60"/>
  <c r="V44" i="60"/>
  <c r="X44" i="60"/>
  <c r="AM31" i="60"/>
  <c r="AK31" i="60"/>
  <c r="AM82" i="60"/>
  <c r="AK82" i="60"/>
  <c r="AK30" i="60"/>
  <c r="AM30" i="60"/>
  <c r="V105" i="60"/>
  <c r="X105" i="60"/>
  <c r="V117" i="60"/>
  <c r="X117" i="60"/>
  <c r="X66" i="60"/>
  <c r="V66" i="60"/>
  <c r="X14" i="60"/>
  <c r="V14" i="60"/>
  <c r="AM80" i="60"/>
  <c r="AK80" i="60"/>
  <c r="L51" i="60"/>
  <c r="N51" i="60"/>
  <c r="AW59" i="60"/>
  <c r="AU59" i="60"/>
  <c r="AF68" i="60"/>
  <c r="AI68" i="60"/>
  <c r="AH68" i="60"/>
  <c r="AX73" i="60"/>
  <c r="AZ73" i="60" s="1"/>
  <c r="AR73" i="60"/>
  <c r="AP73" i="60"/>
  <c r="BB60" i="60"/>
  <c r="BB56" i="60"/>
  <c r="BB26" i="60"/>
  <c r="BB104" i="60"/>
  <c r="BB90" i="60"/>
  <c r="BB85" i="60"/>
  <c r="BB77" i="60"/>
  <c r="BB63" i="60"/>
  <c r="BB55" i="60"/>
  <c r="BB9" i="60"/>
  <c r="BB111" i="60"/>
  <c r="BB103" i="60"/>
  <c r="BB97" i="60"/>
  <c r="BB93" i="60"/>
  <c r="BB66" i="60"/>
  <c r="BB110" i="60"/>
  <c r="BB92" i="60"/>
  <c r="BB83" i="60"/>
  <c r="BB79" i="60"/>
  <c r="BB75" i="60"/>
  <c r="BB57" i="60"/>
  <c r="AR51" i="60"/>
  <c r="AP51" i="60"/>
  <c r="AX51" i="60"/>
  <c r="AZ51" i="60" s="1"/>
  <c r="BB114" i="60"/>
  <c r="BB95" i="60"/>
  <c r="BB91" i="60"/>
  <c r="BB78" i="60"/>
  <c r="BB43" i="60"/>
  <c r="BB10" i="60"/>
  <c r="AP113" i="60"/>
  <c r="AX113" i="60"/>
  <c r="AZ113" i="60" s="1"/>
  <c r="AR113" i="60"/>
  <c r="BB67" i="60"/>
  <c r="BB13" i="60"/>
  <c r="BB107" i="60"/>
  <c r="BB80" i="60"/>
  <c r="BB71" i="60"/>
  <c r="BB62" i="60"/>
  <c r="BB8" i="60"/>
  <c r="BB115" i="60"/>
  <c r="BB96" i="60"/>
  <c r="BB61" i="60"/>
  <c r="BB15" i="60"/>
  <c r="BB11" i="60"/>
  <c r="BB118" i="60"/>
  <c r="BB69" i="60"/>
  <c r="BB64" i="60"/>
  <c r="BB72" i="60"/>
  <c r="AX59" i="60"/>
  <c r="AZ59" i="60" s="1"/>
  <c r="AP59" i="60"/>
  <c r="AR59" i="60"/>
  <c r="BB50" i="60"/>
  <c r="BB29" i="60"/>
  <c r="BB17" i="60"/>
  <c r="BB84" i="60"/>
  <c r="BB76" i="60"/>
  <c r="BB54" i="60"/>
  <c r="BB49" i="60"/>
  <c r="BB12" i="60"/>
  <c r="BB102" i="60"/>
  <c r="BB65" i="60"/>
  <c r="BB53" i="60"/>
  <c r="BB48" i="60"/>
  <c r="BB40" i="60"/>
  <c r="BB81" i="60"/>
  <c r="BB109" i="60"/>
  <c r="BB105" i="60"/>
  <c r="BB87" i="60"/>
  <c r="BB82" i="60"/>
  <c r="AX74" i="60"/>
  <c r="AZ74" i="60" s="1"/>
  <c r="AR74" i="60"/>
  <c r="AP74" i="60"/>
  <c r="BB52" i="60"/>
  <c r="AP39" i="60"/>
  <c r="AR39" i="60"/>
  <c r="AX39" i="60"/>
  <c r="AZ39" i="60" s="1"/>
  <c r="BB14" i="60"/>
  <c r="BB117" i="60"/>
  <c r="BB94" i="60"/>
  <c r="BB46" i="60"/>
  <c r="BB89" i="60"/>
  <c r="BB58" i="60"/>
  <c r="BB45" i="60"/>
  <c r="BB41" i="60"/>
  <c r="BB16" i="60"/>
  <c r="BB106" i="60"/>
  <c r="BB88" i="60"/>
  <c r="BB70" i="60"/>
  <c r="BB44" i="60"/>
  <c r="AX68" i="60"/>
  <c r="AZ68" i="60" s="1"/>
  <c r="AR68" i="60"/>
  <c r="AP68" i="60"/>
  <c r="U97" i="28"/>
  <c r="BW116" i="60" l="1"/>
  <c r="BW35" i="60"/>
  <c r="BW22" i="60"/>
  <c r="BW73" i="60"/>
  <c r="BW24" i="60"/>
  <c r="BW74" i="60"/>
  <c r="BW59" i="60"/>
  <c r="BW51" i="60"/>
  <c r="BW68" i="60"/>
  <c r="BW113" i="60"/>
  <c r="BW25" i="60"/>
  <c r="BY25" i="60" s="1"/>
  <c r="BW33" i="60"/>
  <c r="BW39" i="60"/>
  <c r="BW28" i="60"/>
  <c r="BY28" i="60" s="1"/>
  <c r="BW34" i="60"/>
  <c r="BW29" i="60"/>
  <c r="BY29" i="60" s="1"/>
  <c r="AM113" i="60"/>
  <c r="BB34" i="60"/>
  <c r="BB22" i="60"/>
  <c r="BB25" i="60"/>
  <c r="BY81" i="60"/>
  <c r="BY35" i="60"/>
  <c r="BB24" i="60"/>
  <c r="BB28" i="60"/>
  <c r="BB35" i="60"/>
  <c r="BB116" i="60"/>
  <c r="BY116" i="60"/>
  <c r="BB33" i="60"/>
  <c r="BY75" i="60"/>
  <c r="BY17" i="60"/>
  <c r="BY117" i="60"/>
  <c r="BY14" i="60"/>
  <c r="BY87" i="60"/>
  <c r="BY48" i="60"/>
  <c r="BY49" i="60"/>
  <c r="AM51" i="60"/>
  <c r="AK51" i="60"/>
  <c r="BY70" i="60"/>
  <c r="BY58" i="60"/>
  <c r="BY105" i="60"/>
  <c r="BY53" i="60"/>
  <c r="BY54" i="60"/>
  <c r="BY10" i="60"/>
  <c r="BY95" i="60"/>
  <c r="BY104" i="60"/>
  <c r="BY96" i="60"/>
  <c r="BY88" i="60"/>
  <c r="BY89" i="60"/>
  <c r="BY109" i="60"/>
  <c r="BY65" i="60"/>
  <c r="BY76" i="60"/>
  <c r="BY50" i="60"/>
  <c r="BY114" i="60"/>
  <c r="AM68" i="60"/>
  <c r="AK68" i="60"/>
  <c r="V59" i="60"/>
  <c r="X59" i="60"/>
  <c r="X81" i="60"/>
  <c r="V81" i="60"/>
  <c r="X116" i="60"/>
  <c r="V116" i="60"/>
  <c r="BY45" i="60"/>
  <c r="BY69" i="60"/>
  <c r="BY9" i="60"/>
  <c r="X51" i="60"/>
  <c r="V51" i="60"/>
  <c r="BY118" i="60"/>
  <c r="BY115" i="60"/>
  <c r="BY93" i="60"/>
  <c r="BY63" i="60"/>
  <c r="V73" i="60"/>
  <c r="X73" i="60"/>
  <c r="BY55" i="60"/>
  <c r="BY11" i="60"/>
  <c r="BY13" i="60"/>
  <c r="BY83" i="60"/>
  <c r="BY26" i="60"/>
  <c r="BY102" i="60"/>
  <c r="BY84" i="60"/>
  <c r="AM73" i="60"/>
  <c r="AK73" i="60"/>
  <c r="AM81" i="60"/>
  <c r="AK81" i="60"/>
  <c r="BY61" i="60"/>
  <c r="BY107" i="60"/>
  <c r="BY52" i="60"/>
  <c r="BY106" i="60"/>
  <c r="BY15" i="60"/>
  <c r="BY92" i="60"/>
  <c r="BY97" i="60"/>
  <c r="BY77" i="60"/>
  <c r="BY56" i="60"/>
  <c r="BY94" i="60"/>
  <c r="V113" i="60"/>
  <c r="X113" i="60"/>
  <c r="BY12" i="60"/>
  <c r="BY43" i="60"/>
  <c r="BY16" i="60"/>
  <c r="BY67" i="60"/>
  <c r="BY110" i="60"/>
  <c r="BY103" i="60"/>
  <c r="BY85" i="60"/>
  <c r="BY60" i="60"/>
  <c r="AM59" i="60"/>
  <c r="AK59" i="60"/>
  <c r="BY80" i="60"/>
  <c r="BY41" i="60"/>
  <c r="BY82" i="60"/>
  <c r="BY78" i="60"/>
  <c r="AW21" i="60"/>
  <c r="AU21" i="60"/>
  <c r="AX21" i="60"/>
  <c r="BW21" i="60" s="1"/>
  <c r="BY64" i="60"/>
  <c r="BY71" i="60"/>
  <c r="BY57" i="60"/>
  <c r="BY111" i="60"/>
  <c r="BY90" i="60"/>
  <c r="X68" i="60"/>
  <c r="V68" i="60"/>
  <c r="BY46" i="60"/>
  <c r="BY40" i="60"/>
  <c r="BY8" i="60"/>
  <c r="BY79" i="60"/>
  <c r="BY66" i="60"/>
  <c r="BY91" i="60"/>
  <c r="BY44" i="60"/>
  <c r="BY72" i="60"/>
  <c r="BY62" i="60"/>
  <c r="BB59" i="60"/>
  <c r="BB68" i="60"/>
  <c r="BB39" i="60"/>
  <c r="BB74" i="60"/>
  <c r="BB113" i="60"/>
  <c r="BB51" i="60"/>
  <c r="BB73" i="60"/>
  <c r="BZ120" i="60"/>
  <c r="BZ121" i="60" s="1"/>
  <c r="BX120" i="60"/>
  <c r="BX121" i="60" s="1"/>
  <c r="BY22" i="60" l="1"/>
  <c r="BY34" i="60"/>
  <c r="BY24" i="60"/>
  <c r="BY33" i="60"/>
  <c r="BY73" i="60"/>
  <c r="AZ21" i="60"/>
  <c r="BB21" i="60"/>
  <c r="BY113" i="60"/>
  <c r="BY74" i="60"/>
  <c r="BY51" i="60"/>
  <c r="BY39" i="60"/>
  <c r="BY59" i="60"/>
  <c r="BY68" i="60"/>
  <c r="CA33" i="60"/>
  <c r="CA13" i="60"/>
  <c r="CA29" i="60"/>
  <c r="BY21" i="60" l="1"/>
  <c r="CA22" i="60"/>
  <c r="CA75" i="60"/>
  <c r="CA109" i="60"/>
  <c r="CA17" i="60"/>
  <c r="CA45" i="60"/>
  <c r="CA117" i="60"/>
  <c r="CA78" i="60"/>
  <c r="CA62" i="60"/>
  <c r="CA91" i="60"/>
  <c r="CA92" i="60"/>
  <c r="CA94" i="60"/>
  <c r="CA60" i="60"/>
  <c r="CA97" i="60"/>
  <c r="CA65" i="60"/>
  <c r="CA76" i="60"/>
  <c r="CA89" i="60"/>
  <c r="CA57" i="60"/>
  <c r="CA93" i="60"/>
  <c r="CA77" i="60"/>
  <c r="CA61" i="60"/>
  <c r="CA34" i="60"/>
  <c r="CA105" i="60"/>
  <c r="CA70" i="60"/>
  <c r="CA118" i="60"/>
  <c r="CA107" i="60"/>
  <c r="CA111" i="60"/>
  <c r="CA64" i="60"/>
  <c r="CA53" i="60"/>
  <c r="CA114" i="60"/>
  <c r="CA106" i="60"/>
  <c r="CA95" i="60"/>
  <c r="CA85" i="60"/>
  <c r="CA50" i="60"/>
  <c r="CA83" i="60"/>
  <c r="CA43" i="60"/>
  <c r="CA11" i="60"/>
  <c r="CA87" i="60"/>
  <c r="CA55" i="60"/>
  <c r="CA48" i="60"/>
  <c r="CA16" i="60"/>
  <c r="CA56" i="60"/>
  <c r="CA14" i="60"/>
  <c r="CA25" i="60"/>
  <c r="CA15" i="60"/>
  <c r="CA88" i="60"/>
  <c r="CA9" i="60"/>
  <c r="CA115" i="60"/>
  <c r="CA104" i="60"/>
  <c r="CA96" i="60"/>
  <c r="CA82" i="60"/>
  <c r="CA79" i="60"/>
  <c r="CA69" i="60"/>
  <c r="CA110" i="60"/>
  <c r="CA54" i="60"/>
  <c r="CA39" i="60"/>
  <c r="CA90" i="60"/>
  <c r="CA58" i="60"/>
  <c r="CA44" i="60"/>
  <c r="CA28" i="60"/>
  <c r="CA12" i="60"/>
  <c r="CA84" i="60"/>
  <c r="CA10" i="60"/>
  <c r="CA72" i="60"/>
  <c r="CA41" i="60"/>
  <c r="CA74" i="60"/>
  <c r="CA21" i="60"/>
  <c r="CA103" i="60"/>
  <c r="CA102" i="60"/>
  <c r="CA80" i="60"/>
  <c r="CA66" i="60"/>
  <c r="CA63" i="60"/>
  <c r="CA67" i="60"/>
  <c r="CA49" i="60"/>
  <c r="CA35" i="60"/>
  <c r="CA71" i="60"/>
  <c r="CA40" i="60"/>
  <c r="CA24" i="60"/>
  <c r="CA8" i="60"/>
  <c r="CA26" i="60"/>
  <c r="CA46" i="60"/>
  <c r="CA52" i="60"/>
  <c r="K107" i="3" l="1"/>
  <c r="K107" i="28"/>
  <c r="K107" i="30"/>
  <c r="K107" i="31"/>
  <c r="K107" i="50"/>
  <c r="K107" i="51"/>
  <c r="K107" i="52"/>
  <c r="K100" i="3"/>
  <c r="K100" i="28"/>
  <c r="K100" i="30"/>
  <c r="K100" i="31"/>
  <c r="K100" i="50"/>
  <c r="K100" i="51"/>
  <c r="K100" i="52"/>
  <c r="K85" i="3"/>
  <c r="K85" i="28"/>
  <c r="K85" i="30"/>
  <c r="K85" i="31"/>
  <c r="K85" i="50"/>
  <c r="K85" i="51"/>
  <c r="K85" i="52"/>
  <c r="K41" i="3"/>
  <c r="K41" i="28"/>
  <c r="K41" i="30"/>
  <c r="K41" i="31"/>
  <c r="K41" i="50"/>
  <c r="K41" i="51"/>
  <c r="K41" i="52"/>
  <c r="K31" i="3"/>
  <c r="K31" i="28"/>
  <c r="K31" i="30"/>
  <c r="K31" i="31"/>
  <c r="K31" i="50"/>
  <c r="W31" i="50" s="1"/>
  <c r="K31" i="51"/>
  <c r="W31" i="51" s="1"/>
  <c r="K31" i="52"/>
  <c r="K22" i="3"/>
  <c r="W22" i="3" s="1"/>
  <c r="K22" i="28"/>
  <c r="W22" i="28" s="1"/>
  <c r="K22" i="30"/>
  <c r="K22" i="31"/>
  <c r="K22" i="51"/>
  <c r="W22" i="51" s="1"/>
  <c r="K22" i="52"/>
  <c r="W22" i="52" s="1"/>
  <c r="K6" i="3"/>
  <c r="W6" i="3" s="1"/>
  <c r="K6" i="28"/>
  <c r="K6" i="30"/>
  <c r="K6" i="31"/>
  <c r="K6" i="50"/>
  <c r="K6" i="51"/>
  <c r="K6" i="52"/>
  <c r="K26" i="52"/>
  <c r="W107" i="52" l="1"/>
  <c r="W85" i="52"/>
  <c r="W41" i="52"/>
  <c r="W107" i="51"/>
  <c r="W85" i="51"/>
  <c r="W41" i="51"/>
  <c r="W85" i="50"/>
  <c r="W41" i="50"/>
  <c r="W85" i="31"/>
  <c r="W41" i="31"/>
  <c r="Q42" i="60" s="1"/>
  <c r="W85" i="30"/>
  <c r="W41" i="30"/>
  <c r="K19" i="30"/>
  <c r="W19" i="30" s="1"/>
  <c r="W22" i="30"/>
  <c r="W85" i="28"/>
  <c r="W41" i="28"/>
  <c r="W31" i="28"/>
  <c r="W85" i="3"/>
  <c r="W31" i="3"/>
  <c r="K19" i="28"/>
  <c r="W19" i="28" s="1"/>
  <c r="K19" i="3"/>
  <c r="W6" i="52"/>
  <c r="AU7" i="60" s="1"/>
  <c r="X1" i="52"/>
  <c r="W6" i="51"/>
  <c r="X1" i="51"/>
  <c r="W6" i="50"/>
  <c r="AI7" i="60" s="1"/>
  <c r="X1" i="50"/>
  <c r="W6" i="31"/>
  <c r="Q7" i="60" s="1"/>
  <c r="X1" i="31"/>
  <c r="W6" i="30"/>
  <c r="N7" i="60" s="1"/>
  <c r="X1" i="30"/>
  <c r="W6" i="28"/>
  <c r="I7" i="60" s="1"/>
  <c r="X1" i="28"/>
  <c r="K19" i="52"/>
  <c r="W19" i="52" s="1"/>
  <c r="AI32" i="60"/>
  <c r="K19" i="50"/>
  <c r="W19" i="50" s="1"/>
  <c r="K19" i="51"/>
  <c r="W19" i="51" s="1"/>
  <c r="K99" i="52"/>
  <c r="AF108" i="60"/>
  <c r="AH108" i="60"/>
  <c r="AI108" i="60"/>
  <c r="BV7" i="60"/>
  <c r="BT7" i="60"/>
  <c r="K99" i="50"/>
  <c r="BT42" i="60"/>
  <c r="BV42" i="60"/>
  <c r="S108" i="60"/>
  <c r="Q108" i="60"/>
  <c r="K99" i="31"/>
  <c r="L108" i="60"/>
  <c r="N108" i="60"/>
  <c r="K99" i="30"/>
  <c r="T108" i="60"/>
  <c r="I108" i="60"/>
  <c r="G108" i="60"/>
  <c r="K99" i="28"/>
  <c r="BV108" i="60"/>
  <c r="BT108" i="60"/>
  <c r="L42" i="60"/>
  <c r="N42" i="60"/>
  <c r="K99" i="3"/>
  <c r="Q32" i="60"/>
  <c r="S32" i="60"/>
  <c r="N32" i="60"/>
  <c r="L32" i="60"/>
  <c r="K99" i="51"/>
  <c r="W99" i="51" s="1"/>
  <c r="W99" i="52" l="1"/>
  <c r="AU108" i="60"/>
  <c r="AW108" i="60"/>
  <c r="AW7" i="60"/>
  <c r="AW86" i="60"/>
  <c r="AU86" i="60"/>
  <c r="AU42" i="60"/>
  <c r="AW42" i="60"/>
  <c r="AP108" i="60"/>
  <c r="AX108" i="60"/>
  <c r="AZ108" i="60" s="1"/>
  <c r="AR108" i="60"/>
  <c r="AX86" i="60"/>
  <c r="AZ86" i="60" s="1"/>
  <c r="AP86" i="60"/>
  <c r="AR86" i="60"/>
  <c r="AX42" i="60"/>
  <c r="AZ42" i="60" s="1"/>
  <c r="AP42" i="60"/>
  <c r="AR42" i="60"/>
  <c r="W99" i="50"/>
  <c r="AH86" i="60"/>
  <c r="AI86" i="60"/>
  <c r="AM86" i="60" s="1"/>
  <c r="AF86" i="60"/>
  <c r="AI42" i="60"/>
  <c r="AK42" i="60" s="1"/>
  <c r="AF42" i="60"/>
  <c r="AH42" i="60"/>
  <c r="S7" i="60"/>
  <c r="Q86" i="60"/>
  <c r="S86" i="60"/>
  <c r="S42" i="60"/>
  <c r="W99" i="30"/>
  <c r="W1" i="3"/>
  <c r="N86" i="60"/>
  <c r="L86" i="60"/>
  <c r="W99" i="28"/>
  <c r="G7" i="60"/>
  <c r="I86" i="60"/>
  <c r="T86" i="60"/>
  <c r="G86" i="60"/>
  <c r="I42" i="60"/>
  <c r="T42" i="60"/>
  <c r="G42" i="60"/>
  <c r="I32" i="60"/>
  <c r="T32" i="60"/>
  <c r="V32" i="60" s="1"/>
  <c r="G32" i="60"/>
  <c r="W99" i="3"/>
  <c r="BV86" i="60"/>
  <c r="BT86" i="60"/>
  <c r="BV32" i="60"/>
  <c r="BT32" i="60"/>
  <c r="W19" i="3"/>
  <c r="AH7" i="60"/>
  <c r="AF7" i="60"/>
  <c r="L7" i="60"/>
  <c r="AH32" i="60"/>
  <c r="AF32" i="60"/>
  <c r="T7" i="60"/>
  <c r="X33" i="52"/>
  <c r="X28" i="52"/>
  <c r="X25" i="52"/>
  <c r="X27" i="52"/>
  <c r="X34" i="52"/>
  <c r="AH23" i="60"/>
  <c r="AF23" i="60"/>
  <c r="AI23" i="60"/>
  <c r="AI101" i="60"/>
  <c r="AH101" i="60"/>
  <c r="AF101" i="60"/>
  <c r="BV101" i="60"/>
  <c r="BT101" i="60"/>
  <c r="AM7" i="60"/>
  <c r="AK7" i="60"/>
  <c r="S101" i="60"/>
  <c r="Q101" i="60"/>
  <c r="AW101" i="60"/>
  <c r="AU101" i="60"/>
  <c r="N20" i="60"/>
  <c r="L20" i="60"/>
  <c r="I101" i="60"/>
  <c r="G101" i="60"/>
  <c r="T101" i="60"/>
  <c r="S23" i="60"/>
  <c r="Q23" i="60"/>
  <c r="N23" i="60"/>
  <c r="L23" i="60"/>
  <c r="V108" i="60"/>
  <c r="X108" i="60"/>
  <c r="AK32" i="60"/>
  <c r="AM32" i="60"/>
  <c r="AK108" i="60"/>
  <c r="AM108" i="60"/>
  <c r="I23" i="60"/>
  <c r="T23" i="60"/>
  <c r="G23" i="60"/>
  <c r="S100" i="60"/>
  <c r="Q100" i="60"/>
  <c r="BV23" i="60"/>
  <c r="BT23" i="60"/>
  <c r="N101" i="60"/>
  <c r="L101" i="60"/>
  <c r="X32" i="60"/>
  <c r="AP101" i="60"/>
  <c r="AR101" i="60"/>
  <c r="AX101" i="60"/>
  <c r="AZ101" i="60" s="1"/>
  <c r="AP7" i="60"/>
  <c r="AX7" i="60"/>
  <c r="AZ7" i="60" s="1"/>
  <c r="AR7" i="60"/>
  <c r="CA116" i="60"/>
  <c r="CA113" i="60"/>
  <c r="CA81" i="60"/>
  <c r="CA73" i="60"/>
  <c r="CA68" i="60"/>
  <c r="CA59" i="60"/>
  <c r="CA51" i="60"/>
  <c r="BW42" i="60" l="1"/>
  <c r="AM42" i="60"/>
  <c r="V7" i="60"/>
  <c r="BW7" i="60"/>
  <c r="BW101" i="60"/>
  <c r="V86" i="60"/>
  <c r="BW86" i="60"/>
  <c r="BW108" i="60"/>
  <c r="CA108" i="60" s="1"/>
  <c r="AK86" i="60"/>
  <c r="AU100" i="60"/>
  <c r="AW100" i="60"/>
  <c r="BB108" i="60"/>
  <c r="BB86" i="60"/>
  <c r="BB42" i="60"/>
  <c r="AF100" i="60"/>
  <c r="AH100" i="60"/>
  <c r="AI100" i="60"/>
  <c r="AM100" i="60" s="1"/>
  <c r="X86" i="60"/>
  <c r="X42" i="60"/>
  <c r="V42" i="60"/>
  <c r="L100" i="60"/>
  <c r="N100" i="60"/>
  <c r="I100" i="60"/>
  <c r="G100" i="60"/>
  <c r="T100" i="60"/>
  <c r="BT100" i="60"/>
  <c r="BV100" i="60"/>
  <c r="BV20" i="60"/>
  <c r="BT20" i="60"/>
  <c r="X7" i="60"/>
  <c r="CA42" i="60"/>
  <c r="X24" i="52"/>
  <c r="BY7" i="60"/>
  <c r="X29" i="52"/>
  <c r="V23" i="60"/>
  <c r="X23" i="60"/>
  <c r="X36" i="52"/>
  <c r="AF20" i="60"/>
  <c r="AI20" i="60"/>
  <c r="AH20" i="60"/>
  <c r="X35" i="52"/>
  <c r="I20" i="60"/>
  <c r="G20" i="60"/>
  <c r="AM101" i="60"/>
  <c r="AK101" i="60"/>
  <c r="AM23" i="60"/>
  <c r="AK23" i="60"/>
  <c r="X30" i="52"/>
  <c r="X26" i="52"/>
  <c r="V101" i="60"/>
  <c r="X101" i="60"/>
  <c r="X32" i="52"/>
  <c r="X23" i="52"/>
  <c r="BY42" i="60"/>
  <c r="BB101" i="60"/>
  <c r="BY101" i="60"/>
  <c r="BB7" i="60"/>
  <c r="X100" i="60" l="1"/>
  <c r="BY108" i="60"/>
  <c r="BY86" i="60"/>
  <c r="CA86" i="60"/>
  <c r="AK100" i="60"/>
  <c r="V100" i="60"/>
  <c r="X22" i="52"/>
  <c r="AP37" i="60"/>
  <c r="AR37" i="60"/>
  <c r="AX37" i="60"/>
  <c r="BW37" i="60" s="1"/>
  <c r="AW36" i="60"/>
  <c r="AU36" i="60"/>
  <c r="AP36" i="60"/>
  <c r="AX36" i="60"/>
  <c r="BW36" i="60" s="1"/>
  <c r="AR36" i="60"/>
  <c r="X31" i="52"/>
  <c r="AP31" i="60"/>
  <c r="AX31" i="60"/>
  <c r="BW31" i="60" s="1"/>
  <c r="AR31" i="60"/>
  <c r="AU30" i="60"/>
  <c r="AW30" i="60"/>
  <c r="AW27" i="60"/>
  <c r="AU27" i="60"/>
  <c r="AM20" i="60"/>
  <c r="AK20" i="60"/>
  <c r="AP30" i="60"/>
  <c r="AX30" i="60"/>
  <c r="BW30" i="60" s="1"/>
  <c r="AR30" i="60"/>
  <c r="AR27" i="60"/>
  <c r="AX27" i="60"/>
  <c r="AP27" i="60"/>
  <c r="AW31" i="60"/>
  <c r="AU31" i="60"/>
  <c r="AW37" i="60"/>
  <c r="AU37" i="60"/>
  <c r="CA101" i="60"/>
  <c r="CA7" i="60"/>
  <c r="AX100" i="60"/>
  <c r="AZ100" i="60" s="1"/>
  <c r="AR100" i="60"/>
  <c r="AP100" i="60"/>
  <c r="BW100" i="60" l="1"/>
  <c r="AZ30" i="60"/>
  <c r="BB30" i="60"/>
  <c r="AZ31" i="60"/>
  <c r="BB31" i="60"/>
  <c r="AZ37" i="60"/>
  <c r="BB37" i="60"/>
  <c r="AW32" i="60"/>
  <c r="AU32" i="60"/>
  <c r="AX32" i="60"/>
  <c r="BW32" i="60" s="1"/>
  <c r="AR32" i="60"/>
  <c r="AP32" i="60"/>
  <c r="AW23" i="60"/>
  <c r="AU23" i="60"/>
  <c r="AP23" i="60"/>
  <c r="AX23" i="60"/>
  <c r="BW23" i="60" s="1"/>
  <c r="AR23" i="60"/>
  <c r="AZ36" i="60"/>
  <c r="BB36" i="60"/>
  <c r="X19" i="52"/>
  <c r="AZ27" i="60"/>
  <c r="BB27" i="60"/>
  <c r="BY100" i="60"/>
  <c r="BB100" i="60"/>
  <c r="AX20" i="60" l="1"/>
  <c r="AZ32" i="60"/>
  <c r="BB32" i="60"/>
  <c r="AZ23" i="60"/>
  <c r="BB23" i="60"/>
  <c r="AW20" i="60"/>
  <c r="AU20" i="60"/>
  <c r="AR20" i="60"/>
  <c r="AP20" i="60"/>
  <c r="BY30" i="60"/>
  <c r="CA30" i="60"/>
  <c r="BY37" i="60"/>
  <c r="CA37" i="60"/>
  <c r="BY36" i="60"/>
  <c r="CA36" i="60"/>
  <c r="BY31" i="60"/>
  <c r="CA31" i="60"/>
  <c r="CA100" i="60"/>
  <c r="BY23" i="60" l="1"/>
  <c r="CA23" i="60"/>
  <c r="AZ20" i="60"/>
  <c r="BB20" i="60"/>
  <c r="CA32" i="60"/>
  <c r="BY32" i="60"/>
  <c r="K46" i="52" l="1"/>
  <c r="K18" i="52"/>
  <c r="P18" i="52"/>
  <c r="P98" i="52" s="1"/>
  <c r="P111" i="52" s="1"/>
  <c r="P118" i="52" s="1"/>
  <c r="O18" i="52"/>
  <c r="O98" i="52" s="1"/>
  <c r="O111" i="52" s="1"/>
  <c r="O118" i="52" s="1"/>
  <c r="N18" i="52"/>
  <c r="N98" i="52" s="1"/>
  <c r="N111" i="52" s="1"/>
  <c r="N118" i="52" s="1"/>
  <c r="M18" i="52"/>
  <c r="M98" i="52" s="1"/>
  <c r="M111" i="52" s="1"/>
  <c r="M118" i="52" s="1"/>
  <c r="W17" i="52"/>
  <c r="K46" i="51"/>
  <c r="W46" i="51" s="1"/>
  <c r="V17" i="51"/>
  <c r="V18" i="51" s="1"/>
  <c r="V98" i="51" s="1"/>
  <c r="V111" i="51" s="1"/>
  <c r="V118" i="51" s="1"/>
  <c r="U17" i="51"/>
  <c r="U18" i="51" s="1"/>
  <c r="U98" i="51" s="1"/>
  <c r="U111" i="51" s="1"/>
  <c r="U118" i="51" s="1"/>
  <c r="T17" i="51"/>
  <c r="T18" i="51" s="1"/>
  <c r="T98" i="51" s="1"/>
  <c r="T111" i="51" s="1"/>
  <c r="T118" i="51" s="1"/>
  <c r="S18" i="51"/>
  <c r="S98" i="51" s="1"/>
  <c r="S111" i="51" s="1"/>
  <c r="S118" i="51" s="1"/>
  <c r="R18" i="51"/>
  <c r="R98" i="51" s="1"/>
  <c r="R111" i="51" s="1"/>
  <c r="R118" i="51" s="1"/>
  <c r="Q18" i="51"/>
  <c r="Q98" i="51" s="1"/>
  <c r="Q111" i="51" s="1"/>
  <c r="Q118" i="51" s="1"/>
  <c r="P18" i="51"/>
  <c r="P98" i="51" s="1"/>
  <c r="P111" i="51" s="1"/>
  <c r="P118" i="51" s="1"/>
  <c r="O18" i="51"/>
  <c r="O98" i="51" s="1"/>
  <c r="O111" i="51" s="1"/>
  <c r="O118" i="51" s="1"/>
  <c r="N18" i="51"/>
  <c r="N98" i="51" s="1"/>
  <c r="N111" i="51" s="1"/>
  <c r="N118" i="51" s="1"/>
  <c r="M18" i="51"/>
  <c r="M98" i="51" s="1"/>
  <c r="M111" i="51" s="1"/>
  <c r="M118" i="51" s="1"/>
  <c r="L18" i="51"/>
  <c r="L98" i="51" s="1"/>
  <c r="L111" i="51" s="1"/>
  <c r="L118" i="51" s="1"/>
  <c r="K46" i="50"/>
  <c r="V17" i="50"/>
  <c r="V18" i="50" s="1"/>
  <c r="V98" i="50" s="1"/>
  <c r="V111" i="50" s="1"/>
  <c r="V118" i="50" s="1"/>
  <c r="U17" i="50"/>
  <c r="U18" i="50" s="1"/>
  <c r="U98" i="50" s="1"/>
  <c r="U111" i="50" s="1"/>
  <c r="U118" i="50" s="1"/>
  <c r="T17" i="50"/>
  <c r="T18" i="50" s="1"/>
  <c r="T98" i="50" s="1"/>
  <c r="T111" i="50" s="1"/>
  <c r="T118" i="50" s="1"/>
  <c r="S18" i="50"/>
  <c r="S98" i="50" s="1"/>
  <c r="S111" i="50" s="1"/>
  <c r="S118" i="50" s="1"/>
  <c r="R18" i="50"/>
  <c r="R98" i="50" s="1"/>
  <c r="R111" i="50" s="1"/>
  <c r="R118" i="50" s="1"/>
  <c r="Q18" i="50"/>
  <c r="Q98" i="50" s="1"/>
  <c r="Q111" i="50" s="1"/>
  <c r="Q118" i="50" s="1"/>
  <c r="P18" i="50"/>
  <c r="P98" i="50" s="1"/>
  <c r="P111" i="50" s="1"/>
  <c r="P118" i="50" s="1"/>
  <c r="O18" i="50"/>
  <c r="O98" i="50" s="1"/>
  <c r="O111" i="50" s="1"/>
  <c r="O118" i="50" s="1"/>
  <c r="N18" i="50"/>
  <c r="N98" i="50" s="1"/>
  <c r="N111" i="50" s="1"/>
  <c r="N118" i="50" s="1"/>
  <c r="M18" i="50"/>
  <c r="M98" i="50" s="1"/>
  <c r="M111" i="50" s="1"/>
  <c r="M118" i="50" s="1"/>
  <c r="L18" i="50"/>
  <c r="L98" i="50" s="1"/>
  <c r="L111" i="50" s="1"/>
  <c r="L118" i="50" s="1"/>
  <c r="K46" i="31"/>
  <c r="K26" i="31"/>
  <c r="K19" i="31" s="1"/>
  <c r="V17" i="31"/>
  <c r="V18" i="31" s="1"/>
  <c r="V98" i="31" s="1"/>
  <c r="V111" i="31" s="1"/>
  <c r="V118" i="31" s="1"/>
  <c r="U17" i="31"/>
  <c r="U18" i="31" s="1"/>
  <c r="U98" i="31" s="1"/>
  <c r="U111" i="31" s="1"/>
  <c r="U118" i="31" s="1"/>
  <c r="T17" i="31"/>
  <c r="T18" i="31" s="1"/>
  <c r="T98" i="31" s="1"/>
  <c r="T111" i="31" s="1"/>
  <c r="T118" i="31" s="1"/>
  <c r="S17" i="31"/>
  <c r="S18" i="31" s="1"/>
  <c r="S98" i="31" s="1"/>
  <c r="S111" i="31" s="1"/>
  <c r="S118" i="31" s="1"/>
  <c r="R17" i="31"/>
  <c r="R18" i="31" s="1"/>
  <c r="R98" i="31" s="1"/>
  <c r="R111" i="31" s="1"/>
  <c r="R118" i="31" s="1"/>
  <c r="Q17" i="31"/>
  <c r="Q18" i="31" s="1"/>
  <c r="Q98" i="31" s="1"/>
  <c r="Q111" i="31" s="1"/>
  <c r="Q118" i="31" s="1"/>
  <c r="P17" i="31"/>
  <c r="P18" i="31" s="1"/>
  <c r="P98" i="31" s="1"/>
  <c r="P111" i="31" s="1"/>
  <c r="P118" i="31" s="1"/>
  <c r="O17" i="31"/>
  <c r="O18" i="31" s="1"/>
  <c r="O98" i="31" s="1"/>
  <c r="O111" i="31" s="1"/>
  <c r="O118" i="31" s="1"/>
  <c r="N17" i="31"/>
  <c r="N18" i="31" s="1"/>
  <c r="N98" i="31" s="1"/>
  <c r="N111" i="31" s="1"/>
  <c r="N118" i="31" s="1"/>
  <c r="M17" i="31"/>
  <c r="M18" i="31" s="1"/>
  <c r="M98" i="31" s="1"/>
  <c r="M111" i="31" s="1"/>
  <c r="M118" i="31" s="1"/>
  <c r="L17" i="31"/>
  <c r="L18" i="31" s="1"/>
  <c r="L98" i="31" s="1"/>
  <c r="L111" i="31" s="1"/>
  <c r="L118" i="31" s="1"/>
  <c r="K17" i="31"/>
  <c r="K46" i="30"/>
  <c r="V17" i="30"/>
  <c r="U17" i="30"/>
  <c r="T17" i="30"/>
  <c r="W17" i="30"/>
  <c r="K46" i="28"/>
  <c r="V17" i="28"/>
  <c r="U17" i="28"/>
  <c r="T17" i="28"/>
  <c r="K46" i="3"/>
  <c r="K37" i="3" s="1"/>
  <c r="K18" i="3"/>
  <c r="W46" i="52" l="1"/>
  <c r="W17" i="51"/>
  <c r="K18" i="50"/>
  <c r="W18" i="50" s="1"/>
  <c r="W17" i="50"/>
  <c r="W46" i="50"/>
  <c r="K18" i="31"/>
  <c r="W18" i="31" s="1"/>
  <c r="W17" i="31"/>
  <c r="W46" i="31"/>
  <c r="L47" i="60"/>
  <c r="W46" i="30"/>
  <c r="K18" i="28"/>
  <c r="W17" i="28"/>
  <c r="W46" i="28"/>
  <c r="K97" i="3"/>
  <c r="W97" i="3" s="1"/>
  <c r="W37" i="3"/>
  <c r="L18" i="52"/>
  <c r="L98" i="52" s="1"/>
  <c r="L111" i="52" s="1"/>
  <c r="L118" i="52" s="1"/>
  <c r="U18" i="28"/>
  <c r="N18" i="28"/>
  <c r="AW47" i="60"/>
  <c r="AU47" i="60"/>
  <c r="K37" i="31"/>
  <c r="W37" i="31" s="1"/>
  <c r="K37" i="52"/>
  <c r="O18" i="28"/>
  <c r="Q18" i="28"/>
  <c r="P18" i="28"/>
  <c r="R18" i="28"/>
  <c r="K37" i="50"/>
  <c r="V18" i="28"/>
  <c r="S18" i="28"/>
  <c r="AH47" i="60"/>
  <c r="AI47" i="60"/>
  <c r="AF47" i="60"/>
  <c r="L18" i="28"/>
  <c r="M18" i="28"/>
  <c r="T18" i="28"/>
  <c r="K18" i="51"/>
  <c r="W18" i="51" s="1"/>
  <c r="S18" i="30"/>
  <c r="T18" i="30"/>
  <c r="O18" i="30"/>
  <c r="M18" i="30"/>
  <c r="U18" i="30"/>
  <c r="L18" i="30"/>
  <c r="P18" i="30"/>
  <c r="Q18" i="30"/>
  <c r="K18" i="30"/>
  <c r="N18" i="30"/>
  <c r="R18" i="30"/>
  <c r="V18" i="30"/>
  <c r="K37" i="51"/>
  <c r="K37" i="30"/>
  <c r="W37" i="30" s="1"/>
  <c r="K37" i="28"/>
  <c r="W37" i="28" s="1"/>
  <c r="AX18" i="60" l="1"/>
  <c r="AZ18" i="60" s="1"/>
  <c r="W18" i="52"/>
  <c r="AW19" i="60" s="1"/>
  <c r="K97" i="52"/>
  <c r="W97" i="52" s="1"/>
  <c r="W37" i="52"/>
  <c r="AW38" i="60" s="1"/>
  <c r="K97" i="51"/>
  <c r="W97" i="51" s="1"/>
  <c r="W37" i="51"/>
  <c r="K97" i="50"/>
  <c r="W97" i="50" s="1"/>
  <c r="W37" i="50"/>
  <c r="AF38" i="60" s="1"/>
  <c r="S47" i="60"/>
  <c r="Q47" i="60"/>
  <c r="W18" i="30"/>
  <c r="N47" i="60"/>
  <c r="W18" i="28"/>
  <c r="T47" i="60"/>
  <c r="G47" i="60"/>
  <c r="I47" i="60"/>
  <c r="S38" i="60"/>
  <c r="K97" i="31"/>
  <c r="K97" i="28"/>
  <c r="W97" i="28" s="1"/>
  <c r="N38" i="60"/>
  <c r="K97" i="30"/>
  <c r="W97" i="30" s="1"/>
  <c r="I19" i="60"/>
  <c r="R98" i="28"/>
  <c r="N98" i="28"/>
  <c r="P98" i="28"/>
  <c r="S98" i="28"/>
  <c r="V47" i="60"/>
  <c r="U98" i="28"/>
  <c r="Q98" i="28"/>
  <c r="N18" i="60"/>
  <c r="L18" i="60"/>
  <c r="T98" i="28"/>
  <c r="V98" i="28"/>
  <c r="AK47" i="60"/>
  <c r="AM47" i="60"/>
  <c r="O98" i="28"/>
  <c r="M98" i="28"/>
  <c r="AP18" i="60"/>
  <c r="S19" i="60"/>
  <c r="Q19" i="60"/>
  <c r="AH19" i="60"/>
  <c r="AI19" i="60"/>
  <c r="AF19" i="60"/>
  <c r="L98" i="28"/>
  <c r="AR18" i="60"/>
  <c r="AH18" i="60"/>
  <c r="AI18" i="60"/>
  <c r="AF18" i="60"/>
  <c r="S18" i="60"/>
  <c r="Q18" i="60"/>
  <c r="AW18" i="60"/>
  <c r="AU18" i="60"/>
  <c r="N98" i="30"/>
  <c r="P98" i="30"/>
  <c r="M98" i="30"/>
  <c r="T98" i="30"/>
  <c r="V98" i="30"/>
  <c r="R98" i="30"/>
  <c r="Q98" i="30"/>
  <c r="L98" i="30"/>
  <c r="U98" i="30"/>
  <c r="O98" i="30"/>
  <c r="S98" i="30"/>
  <c r="K98" i="3"/>
  <c r="W98" i="3" s="1"/>
  <c r="X47" i="60" l="1"/>
  <c r="G19" i="60"/>
  <c r="BB18" i="60"/>
  <c r="K98" i="50"/>
  <c r="W98" i="50" s="1"/>
  <c r="AH98" i="60"/>
  <c r="AF98" i="60"/>
  <c r="AI98" i="60"/>
  <c r="AK98" i="60" s="1"/>
  <c r="Q38" i="60"/>
  <c r="W97" i="31"/>
  <c r="K98" i="31"/>
  <c r="AI38" i="60"/>
  <c r="AM38" i="60" s="1"/>
  <c r="AH38" i="60"/>
  <c r="L38" i="60"/>
  <c r="AU19" i="60"/>
  <c r="AU99" i="60"/>
  <c r="AU38" i="60"/>
  <c r="BV47" i="60"/>
  <c r="BT47" i="60"/>
  <c r="L111" i="28"/>
  <c r="N111" i="28"/>
  <c r="Q111" i="28"/>
  <c r="M111" i="28"/>
  <c r="S111" i="28"/>
  <c r="BV19" i="60"/>
  <c r="BT19" i="60"/>
  <c r="AK18" i="60"/>
  <c r="AM18" i="60"/>
  <c r="V111" i="28"/>
  <c r="R111" i="28"/>
  <c r="AK19" i="60"/>
  <c r="AM19" i="60"/>
  <c r="N19" i="60"/>
  <c r="L19" i="60"/>
  <c r="O111" i="28"/>
  <c r="BT38" i="60"/>
  <c r="BV38" i="60"/>
  <c r="I18" i="60"/>
  <c r="G18" i="60"/>
  <c r="T18" i="60"/>
  <c r="BW18" i="60" s="1"/>
  <c r="S27" i="60"/>
  <c r="Q27" i="60"/>
  <c r="T27" i="60"/>
  <c r="BW27" i="60" s="1"/>
  <c r="U111" i="28"/>
  <c r="T19" i="60"/>
  <c r="BW19" i="60" s="1"/>
  <c r="G38" i="60"/>
  <c r="T38" i="60"/>
  <c r="I38" i="60"/>
  <c r="T111" i="28"/>
  <c r="P111" i="28"/>
  <c r="AR38" i="60"/>
  <c r="AX38" i="60"/>
  <c r="AZ38" i="60" s="1"/>
  <c r="AP38" i="60"/>
  <c r="AP19" i="60"/>
  <c r="AR19" i="60"/>
  <c r="AX19" i="60"/>
  <c r="AZ19" i="60" s="1"/>
  <c r="AP47" i="60"/>
  <c r="AR47" i="60"/>
  <c r="AX47" i="60"/>
  <c r="AZ47" i="60" s="1"/>
  <c r="O111" i="30"/>
  <c r="L111" i="30"/>
  <c r="R111" i="30"/>
  <c r="T111" i="30"/>
  <c r="S111" i="30"/>
  <c r="U111" i="30"/>
  <c r="Q111" i="30"/>
  <c r="V111" i="30"/>
  <c r="M111" i="30"/>
  <c r="P111" i="30"/>
  <c r="N111" i="30"/>
  <c r="K111" i="31"/>
  <c r="W111" i="31" s="1"/>
  <c r="K98" i="52"/>
  <c r="W98" i="52" s="1"/>
  <c r="K98" i="51"/>
  <c r="W98" i="51" s="1"/>
  <c r="K98" i="30"/>
  <c r="W98" i="30" s="1"/>
  <c r="K98" i="28"/>
  <c r="W98" i="28" s="1"/>
  <c r="K111" i="3"/>
  <c r="W111" i="3" s="1"/>
  <c r="BW38" i="60" l="1"/>
  <c r="BW47" i="60"/>
  <c r="K111" i="50"/>
  <c r="W111" i="50" s="1"/>
  <c r="AM98" i="60"/>
  <c r="Q98" i="60"/>
  <c r="S98" i="60"/>
  <c r="W98" i="31"/>
  <c r="AU98" i="60"/>
  <c r="AK38" i="60"/>
  <c r="AW99" i="60"/>
  <c r="AW112" i="60"/>
  <c r="AW98" i="60"/>
  <c r="T118" i="28"/>
  <c r="V18" i="60"/>
  <c r="X18" i="60"/>
  <c r="CA18" i="60"/>
  <c r="Q118" i="28"/>
  <c r="G98" i="60"/>
  <c r="T98" i="60"/>
  <c r="BW98" i="60" s="1"/>
  <c r="I98" i="60"/>
  <c r="X38" i="60"/>
  <c r="V38" i="60"/>
  <c r="R118" i="28"/>
  <c r="N118" i="28"/>
  <c r="V19" i="60"/>
  <c r="X19" i="60"/>
  <c r="O118" i="28"/>
  <c r="S118" i="28"/>
  <c r="AF99" i="60"/>
  <c r="AH99" i="60"/>
  <c r="AI99" i="60"/>
  <c r="L118" i="28"/>
  <c r="U118" i="28"/>
  <c r="K118" i="31"/>
  <c r="X27" i="60"/>
  <c r="V27" i="60"/>
  <c r="V118" i="28"/>
  <c r="S20" i="60"/>
  <c r="Q20" i="60"/>
  <c r="T20" i="60"/>
  <c r="BW20" i="60" s="1"/>
  <c r="N98" i="60"/>
  <c r="L98" i="60"/>
  <c r="P118" i="28"/>
  <c r="BT98" i="60"/>
  <c r="BV98" i="60"/>
  <c r="M118" i="28"/>
  <c r="BB19" i="60"/>
  <c r="BB38" i="60"/>
  <c r="BB47" i="60"/>
  <c r="BY47" i="60"/>
  <c r="AX98" i="60"/>
  <c r="AZ98" i="60" s="1"/>
  <c r="AR98" i="60"/>
  <c r="AP98" i="60"/>
  <c r="R118" i="30"/>
  <c r="O118" i="30"/>
  <c r="N118" i="30"/>
  <c r="M118" i="30"/>
  <c r="Q118" i="30"/>
  <c r="S118" i="30"/>
  <c r="T118" i="30"/>
  <c r="L118" i="30"/>
  <c r="P118" i="30"/>
  <c r="V118" i="30"/>
  <c r="U118" i="30"/>
  <c r="K118" i="3"/>
  <c r="W118" i="3" s="1"/>
  <c r="K111" i="52"/>
  <c r="W111" i="52" s="1"/>
  <c r="K111" i="51"/>
  <c r="W111" i="51" s="1"/>
  <c r="K111" i="30"/>
  <c r="W111" i="30" s="1"/>
  <c r="K111" i="28"/>
  <c r="W111" i="28" s="1"/>
  <c r="K118" i="50" l="1"/>
  <c r="W118" i="50" s="1"/>
  <c r="S99" i="60"/>
  <c r="Q99" i="60"/>
  <c r="W118" i="31"/>
  <c r="AU119" i="60"/>
  <c r="AU112" i="60"/>
  <c r="AI112" i="60"/>
  <c r="AF112" i="60"/>
  <c r="AH112" i="60"/>
  <c r="X98" i="60"/>
  <c r="V98" i="60"/>
  <c r="L99" i="60"/>
  <c r="N99" i="60"/>
  <c r="S112" i="60"/>
  <c r="Q112" i="60"/>
  <c r="BV99" i="60"/>
  <c r="BT99" i="60"/>
  <c r="I99" i="60"/>
  <c r="T99" i="60"/>
  <c r="G99" i="60"/>
  <c r="V20" i="60"/>
  <c r="X20" i="60"/>
  <c r="BY18" i="60"/>
  <c r="AM99" i="60"/>
  <c r="AK99" i="60"/>
  <c r="BY27" i="60"/>
  <c r="CA27" i="60"/>
  <c r="BY38" i="60"/>
  <c r="CA38" i="60"/>
  <c r="CA19" i="60"/>
  <c r="BY19" i="60"/>
  <c r="CA47" i="60"/>
  <c r="AX99" i="60"/>
  <c r="AZ99" i="60" s="1"/>
  <c r="AR99" i="60"/>
  <c r="AP99" i="60"/>
  <c r="BB98" i="60"/>
  <c r="BY98" i="60"/>
  <c r="K118" i="52"/>
  <c r="W118" i="52" s="1"/>
  <c r="K118" i="51"/>
  <c r="W118" i="51" s="1"/>
  <c r="K118" i="30"/>
  <c r="K118" i="28"/>
  <c r="BW99" i="60" l="1"/>
  <c r="AI119" i="60"/>
  <c r="AM119" i="60" s="1"/>
  <c r="AF119" i="60"/>
  <c r="AH119" i="60"/>
  <c r="Q119" i="60"/>
  <c r="S119" i="60"/>
  <c r="W118" i="30"/>
  <c r="W118" i="28"/>
  <c r="AW119" i="60"/>
  <c r="N112" i="60"/>
  <c r="L112" i="60"/>
  <c r="X99" i="60"/>
  <c r="V99" i="60"/>
  <c r="AK112" i="60"/>
  <c r="AM112" i="60"/>
  <c r="T112" i="60"/>
  <c r="I112" i="60"/>
  <c r="G112" i="60"/>
  <c r="BY20" i="60"/>
  <c r="CA20" i="60"/>
  <c r="BV112" i="60"/>
  <c r="BT112" i="60"/>
  <c r="AP119" i="60"/>
  <c r="AX119" i="60"/>
  <c r="AZ119" i="60" s="1"/>
  <c r="AR119" i="60"/>
  <c r="CA98" i="60"/>
  <c r="AR112" i="60"/>
  <c r="AX112" i="60"/>
  <c r="AZ112" i="60" s="1"/>
  <c r="AP112" i="60"/>
  <c r="BB99" i="60"/>
  <c r="BY99" i="60"/>
  <c r="BW120" i="60"/>
  <c r="BW112" i="60" l="1"/>
  <c r="AK119" i="60"/>
  <c r="N119" i="60"/>
  <c r="L119" i="60"/>
  <c r="I119" i="60"/>
  <c r="T119" i="60"/>
  <c r="BW119" i="60" s="1"/>
  <c r="G119" i="60"/>
  <c r="X112" i="60"/>
  <c r="V112" i="60"/>
  <c r="V119" i="60"/>
  <c r="BT119" i="60"/>
  <c r="BV119" i="60"/>
  <c r="BB119" i="60"/>
  <c r="BB112" i="60"/>
  <c r="BY112" i="60"/>
  <c r="CA99" i="60"/>
  <c r="CA120" i="60"/>
  <c r="BY120" i="60"/>
  <c r="X119" i="60" l="1"/>
  <c r="BY119" i="60"/>
  <c r="CA119" i="60"/>
  <c r="CA112" i="60"/>
  <c r="BW121" i="60"/>
  <c r="CA121" i="60" l="1"/>
  <c r="BY121" i="60"/>
</calcChain>
</file>

<file path=xl/sharedStrings.xml><?xml version="1.0" encoding="utf-8"?>
<sst xmlns="http://schemas.openxmlformats.org/spreadsheetml/2006/main" count="2512" uniqueCount="266">
  <si>
    <t>コード</t>
  </si>
  <si>
    <t>名称</t>
  </si>
  <si>
    <t>①当期実績</t>
  </si>
  <si>
    <t>10000</t>
  </si>
  <si>
    <t>総売上高</t>
  </si>
  <si>
    <t>10001</t>
  </si>
  <si>
    <t>売上</t>
  </si>
  <si>
    <t>10002</t>
  </si>
  <si>
    <t>損保代理店収入</t>
  </si>
  <si>
    <t>10003</t>
  </si>
  <si>
    <t>販売手数料収入</t>
  </si>
  <si>
    <t>10004</t>
  </si>
  <si>
    <t>索道収入</t>
  </si>
  <si>
    <t>10005</t>
  </si>
  <si>
    <t>地代収入</t>
  </si>
  <si>
    <t>10006</t>
  </si>
  <si>
    <t>家賃収入</t>
  </si>
  <si>
    <t>10007</t>
  </si>
  <si>
    <t>駐車場収入</t>
  </si>
  <si>
    <t>10008</t>
  </si>
  <si>
    <t>受託料</t>
  </si>
  <si>
    <t>10009</t>
  </si>
  <si>
    <t>利用料金収入</t>
  </si>
  <si>
    <t>10010</t>
  </si>
  <si>
    <t>管理手数料収入</t>
  </si>
  <si>
    <t>20000</t>
  </si>
  <si>
    <t>売上原価</t>
  </si>
  <si>
    <t>30000</t>
  </si>
  <si>
    <t>売上総利益</t>
  </si>
  <si>
    <t>41000</t>
  </si>
  <si>
    <t>人件費</t>
  </si>
  <si>
    <t>41010</t>
  </si>
  <si>
    <t>役員報酬</t>
  </si>
  <si>
    <t>41020</t>
  </si>
  <si>
    <t>社員給与費</t>
  </si>
  <si>
    <t>41030</t>
  </si>
  <si>
    <t>専門等給与費</t>
  </si>
  <si>
    <t>41031</t>
  </si>
  <si>
    <t>専門</t>
  </si>
  <si>
    <t>41032</t>
  </si>
  <si>
    <t>臨時</t>
  </si>
  <si>
    <t>41033</t>
  </si>
  <si>
    <t>パート</t>
  </si>
  <si>
    <t>41040</t>
  </si>
  <si>
    <t>退職金</t>
  </si>
  <si>
    <t>41041</t>
  </si>
  <si>
    <t>役員</t>
  </si>
  <si>
    <t>41042</t>
  </si>
  <si>
    <t>社員</t>
  </si>
  <si>
    <t>41050</t>
  </si>
  <si>
    <t>法定福利費</t>
  </si>
  <si>
    <t>41060</t>
  </si>
  <si>
    <t>退職年金掛金</t>
  </si>
  <si>
    <t>41070</t>
  </si>
  <si>
    <t>福利厚生費</t>
  </si>
  <si>
    <t>41071</t>
  </si>
  <si>
    <t>41072</t>
  </si>
  <si>
    <t>被服費</t>
  </si>
  <si>
    <t>41073</t>
  </si>
  <si>
    <t>研修費</t>
  </si>
  <si>
    <t>41080</t>
  </si>
  <si>
    <t>通勤費</t>
  </si>
  <si>
    <t>41090</t>
  </si>
  <si>
    <t>引当金繰入額</t>
  </si>
  <si>
    <t>42000</t>
  </si>
  <si>
    <t>物件費</t>
  </si>
  <si>
    <t>42010</t>
  </si>
  <si>
    <t>消耗品費</t>
  </si>
  <si>
    <t>42020</t>
  </si>
  <si>
    <t>事務用品費</t>
  </si>
  <si>
    <t>42030</t>
  </si>
  <si>
    <t>図書購入費</t>
  </si>
  <si>
    <t>42040</t>
  </si>
  <si>
    <t>賃借料</t>
  </si>
  <si>
    <t>42041</t>
  </si>
  <si>
    <t>土地使用料</t>
  </si>
  <si>
    <t>42042</t>
  </si>
  <si>
    <t>建物使用料</t>
  </si>
  <si>
    <t>42043</t>
  </si>
  <si>
    <t>施設使用料</t>
  </si>
  <si>
    <t>42044</t>
  </si>
  <si>
    <t>リース料</t>
  </si>
  <si>
    <t>42050</t>
  </si>
  <si>
    <t>保険料</t>
  </si>
  <si>
    <t>42051</t>
  </si>
  <si>
    <t>火災保険料</t>
  </si>
  <si>
    <t>42052</t>
  </si>
  <si>
    <t>賠償保険料</t>
  </si>
  <si>
    <t>42053</t>
  </si>
  <si>
    <t>動産保険料</t>
  </si>
  <si>
    <t>42060</t>
  </si>
  <si>
    <t>修繕費</t>
  </si>
  <si>
    <t>42061</t>
  </si>
  <si>
    <t>建物</t>
  </si>
  <si>
    <t>42062</t>
  </si>
  <si>
    <t>建物付属設備</t>
  </si>
  <si>
    <t>42063</t>
  </si>
  <si>
    <t>構築物</t>
  </si>
  <si>
    <t>42064</t>
  </si>
  <si>
    <t>機械</t>
  </si>
  <si>
    <t>42065</t>
  </si>
  <si>
    <t>器具備品</t>
  </si>
  <si>
    <t>42066</t>
  </si>
  <si>
    <t>車両</t>
  </si>
  <si>
    <t>42070</t>
  </si>
  <si>
    <t>車両運搬費</t>
  </si>
  <si>
    <t>42080</t>
  </si>
  <si>
    <t>印刷製本費</t>
  </si>
  <si>
    <t>42081</t>
  </si>
  <si>
    <t>42082</t>
  </si>
  <si>
    <t>乗車券帳票費</t>
  </si>
  <si>
    <t>42090</t>
  </si>
  <si>
    <t>清掃衛生費</t>
  </si>
  <si>
    <t>42100</t>
  </si>
  <si>
    <t>事務会議費</t>
  </si>
  <si>
    <t>42110</t>
  </si>
  <si>
    <t>租税公課</t>
  </si>
  <si>
    <t>42120</t>
  </si>
  <si>
    <t>会費負担金</t>
  </si>
  <si>
    <t>42130</t>
  </si>
  <si>
    <t>委託料</t>
  </si>
  <si>
    <t>42140</t>
  </si>
  <si>
    <t>除雪費</t>
  </si>
  <si>
    <t>42150</t>
  </si>
  <si>
    <t>販売促進費</t>
  </si>
  <si>
    <t>42151</t>
  </si>
  <si>
    <t>42152</t>
  </si>
  <si>
    <t>乗車券販売手数料</t>
  </si>
  <si>
    <t>42160</t>
  </si>
  <si>
    <t>旅費交通費</t>
  </si>
  <si>
    <t>42170</t>
  </si>
  <si>
    <t>通信連絡費</t>
  </si>
  <si>
    <t>42180</t>
  </si>
  <si>
    <t>水道光熱費</t>
  </si>
  <si>
    <t>42181</t>
  </si>
  <si>
    <t>電灯使用料</t>
  </si>
  <si>
    <t>42182</t>
  </si>
  <si>
    <t>水道使用料</t>
  </si>
  <si>
    <t>42183</t>
  </si>
  <si>
    <t>ガス使用料</t>
  </si>
  <si>
    <t>42184</t>
  </si>
  <si>
    <t>暖房燃料費</t>
  </si>
  <si>
    <t>42185</t>
  </si>
  <si>
    <t>電力使用料</t>
  </si>
  <si>
    <t>42190</t>
  </si>
  <si>
    <t>諸手数料</t>
  </si>
  <si>
    <t>42200</t>
  </si>
  <si>
    <t>広告宣伝費</t>
  </si>
  <si>
    <t>42210</t>
  </si>
  <si>
    <t>交際費</t>
  </si>
  <si>
    <t>42211</t>
  </si>
  <si>
    <t>接待交際費</t>
  </si>
  <si>
    <t>42212</t>
  </si>
  <si>
    <t>贈答用品費</t>
  </si>
  <si>
    <t>42220</t>
  </si>
  <si>
    <t>寄付金</t>
  </si>
  <si>
    <t>42230</t>
  </si>
  <si>
    <t>雑費用</t>
  </si>
  <si>
    <t>43000</t>
  </si>
  <si>
    <t>減価償却費</t>
  </si>
  <si>
    <t>43010</t>
  </si>
  <si>
    <t>43020</t>
  </si>
  <si>
    <t>建物附属設備</t>
  </si>
  <si>
    <t>43030</t>
  </si>
  <si>
    <t>43040</t>
  </si>
  <si>
    <t>機械・装置</t>
  </si>
  <si>
    <t>43050</t>
  </si>
  <si>
    <t>43060</t>
  </si>
  <si>
    <t>43070</t>
  </si>
  <si>
    <t>少額資産</t>
  </si>
  <si>
    <t>43080</t>
  </si>
  <si>
    <t>商標権</t>
  </si>
  <si>
    <t>43090</t>
  </si>
  <si>
    <t>ソフトウェア</t>
  </si>
  <si>
    <t>43100</t>
  </si>
  <si>
    <t>長期前払費用</t>
  </si>
  <si>
    <t>43110</t>
  </si>
  <si>
    <t>リース資産</t>
  </si>
  <si>
    <t>40000</t>
  </si>
  <si>
    <t>販売費・一般管理費</t>
  </si>
  <si>
    <t>50000</t>
  </si>
  <si>
    <t>営業利益</t>
  </si>
  <si>
    <t>61000</t>
  </si>
  <si>
    <t>営業外収益</t>
  </si>
  <si>
    <t>61010</t>
  </si>
  <si>
    <t>受取利息</t>
  </si>
  <si>
    <t>61011</t>
  </si>
  <si>
    <t>定期預金</t>
  </si>
  <si>
    <t>61012</t>
  </si>
  <si>
    <t>有価証券</t>
  </si>
  <si>
    <t>61013</t>
  </si>
  <si>
    <t>その他</t>
  </si>
  <si>
    <t>61020</t>
  </si>
  <si>
    <t>受取配当金</t>
  </si>
  <si>
    <t>61030</t>
  </si>
  <si>
    <t>雑収入</t>
  </si>
  <si>
    <t>61040</t>
  </si>
  <si>
    <t>62000</t>
  </si>
  <si>
    <t>営業外費用</t>
  </si>
  <si>
    <t>62010</t>
  </si>
  <si>
    <t>支払利息</t>
  </si>
  <si>
    <t>62020</t>
  </si>
  <si>
    <t>雑損失</t>
  </si>
  <si>
    <t>62030</t>
  </si>
  <si>
    <t>70000</t>
  </si>
  <si>
    <t>経常利益</t>
  </si>
  <si>
    <t>81000</t>
  </si>
  <si>
    <t>特別利益</t>
  </si>
  <si>
    <t>81010</t>
  </si>
  <si>
    <t>固定資産売却益</t>
  </si>
  <si>
    <t>81020</t>
  </si>
  <si>
    <t>82000</t>
  </si>
  <si>
    <t>特別損失</t>
  </si>
  <si>
    <t>82010</t>
  </si>
  <si>
    <t>固定資産除却損</t>
  </si>
  <si>
    <t>82020</t>
  </si>
  <si>
    <t>90000</t>
  </si>
  <si>
    <t>税引前当期利益</t>
  </si>
  <si>
    <t>部門                      料飲共通</t>
  </si>
  <si>
    <t>部門                      ﾇｰﾍﾞﾙﾌﾟｰｽ</t>
  </si>
  <si>
    <t>部門                      ｶﾌｪﾙﾎﾟ</t>
  </si>
  <si>
    <t>部門                      ｶﾌｪｾﾚｽﾃ</t>
  </si>
  <si>
    <t>部門                      ｼﾞｭｴﾙｽﾞ</t>
  </si>
  <si>
    <t>部門                      ｶﾞｰﾃﾞﾝ</t>
  </si>
  <si>
    <t>部門                      ﾋﾞｱｶﾞｰﾃﾞﾝ</t>
  </si>
  <si>
    <t>合計</t>
    <rPh sb="0" eb="2">
      <t>ゴウケイ</t>
    </rPh>
    <phoneticPr fontId="2"/>
  </si>
  <si>
    <t>令和  7年  4月</t>
    <phoneticPr fontId="2"/>
  </si>
  <si>
    <t>令和  7年  5月</t>
  </si>
  <si>
    <t>令和  7年  6月</t>
  </si>
  <si>
    <t>令和  7年  7月</t>
  </si>
  <si>
    <t>令和  7年  8月</t>
  </si>
  <si>
    <t>令和  7年  9月</t>
  </si>
  <si>
    <t>令和  7年  10月</t>
  </si>
  <si>
    <t>令和  7年  11月</t>
  </si>
  <si>
    <t>令和  7年  12月</t>
  </si>
  <si>
    <t>令和  8年  1月</t>
    <phoneticPr fontId="2"/>
  </si>
  <si>
    <t>令和  8年  2月</t>
  </si>
  <si>
    <t>令和  8年  3月</t>
  </si>
  <si>
    <t>0</t>
    <phoneticPr fontId="2"/>
  </si>
  <si>
    <t>管理手数料収入</t>
    <rPh sb="0" eb="7">
      <t>カンリテスウリョウシュウニュウ</t>
    </rPh>
    <phoneticPr fontId="2"/>
  </si>
  <si>
    <t>料飲共通</t>
  </si>
  <si>
    <t>ﾇｰﾍﾞﾙﾌﾟｰｽ</t>
  </si>
  <si>
    <t>大倉山ｶﾌｪ</t>
  </si>
  <si>
    <t>大倉山ﾗｳﾝｼﾞ</t>
  </si>
  <si>
    <t>ｽｷｰﾛｯｼﾞ食堂</t>
  </si>
  <si>
    <t>藻岩山レストラン</t>
  </si>
  <si>
    <t>ｶﾞｰﾃﾞﾝ</t>
  </si>
  <si>
    <t>ﾋﾞｱｶﾞｰﾃﾞﾝ</t>
  </si>
  <si>
    <t>①R7予算</t>
    <rPh sb="3" eb="5">
      <t>ヨサン</t>
    </rPh>
    <phoneticPr fontId="2"/>
  </si>
  <si>
    <t>大倉山</t>
    <rPh sb="0" eb="3">
      <t>オオクラヤマ</t>
    </rPh>
    <phoneticPr fontId="2"/>
  </si>
  <si>
    <t>藻岩山</t>
    <phoneticPr fontId="2"/>
  </si>
  <si>
    <t>テレビ塔</t>
    <rPh sb="3" eb="4">
      <t>トウ</t>
    </rPh>
    <phoneticPr fontId="2"/>
  </si>
  <si>
    <t>ブリック</t>
    <phoneticPr fontId="2"/>
  </si>
  <si>
    <t>料飲部合計</t>
    <rPh sb="0" eb="2">
      <t>リョウイン</t>
    </rPh>
    <rPh sb="2" eb="3">
      <t>ブ</t>
    </rPh>
    <rPh sb="3" eb="5">
      <t>ゴウケイ</t>
    </rPh>
    <phoneticPr fontId="2"/>
  </si>
  <si>
    <t>[単位：千円(税抜)]</t>
    <phoneticPr fontId="2"/>
  </si>
  <si>
    <t>料飲計</t>
    <rPh sb="0" eb="2">
      <t>リョウイン</t>
    </rPh>
    <rPh sb="2" eb="3">
      <t>ケイ</t>
    </rPh>
    <phoneticPr fontId="2"/>
  </si>
  <si>
    <t>部門                      ﾌﾞﾘｯｸ</t>
    <phoneticPr fontId="2"/>
  </si>
  <si>
    <t>部門                      ﾙｽﾂ羊蹄ぶた</t>
    <rPh sb="27" eb="29">
      <t>ヨウテイ</t>
    </rPh>
    <phoneticPr fontId="2"/>
  </si>
  <si>
    <t>■（Ｒ７年度）決見入力用</t>
    <rPh sb="7" eb="9">
      <t>ケツミ</t>
    </rPh>
    <rPh sb="9" eb="11">
      <t>ニュウリョク</t>
    </rPh>
    <phoneticPr fontId="2"/>
  </si>
  <si>
    <t>②R7決見</t>
    <rPh sb="3" eb="5">
      <t>ケツミ</t>
    </rPh>
    <phoneticPr fontId="2"/>
  </si>
  <si>
    <t>③R6実績</t>
    <rPh sb="3" eb="5">
      <t>ジッセキ</t>
    </rPh>
    <phoneticPr fontId="2"/>
  </si>
  <si>
    <t>②－①</t>
    <phoneticPr fontId="2"/>
  </si>
  <si>
    <t>②－③</t>
    <phoneticPr fontId="2"/>
  </si>
  <si>
    <t>２０２５(令和７)年度　第６９期　決算見込　損益計算書</t>
    <rPh sb="5" eb="7">
      <t>レイワ</t>
    </rPh>
    <rPh sb="12" eb="13">
      <t>ダイ</t>
    </rPh>
    <rPh sb="15" eb="16">
      <t>キ</t>
    </rPh>
    <rPh sb="17" eb="19">
      <t>ケッサン</t>
    </rPh>
    <rPh sb="19" eb="21">
      <t>ミコ</t>
    </rPh>
    <phoneticPr fontId="2"/>
  </si>
  <si>
    <t>赤れんがテラス</t>
    <rPh sb="0" eb="1">
      <t>アカ</t>
    </rPh>
    <phoneticPr fontId="2"/>
  </si>
  <si>
    <t>羊蹄ぶた</t>
    <rPh sb="0" eb="2">
      <t>ヨウテイ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</si>
</sst>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#,##0_ ;\-#,##0\ "/>
    <numFmt numFmtId="177" formatCode="#,##0_ "/>
    <numFmt numFmtId="178" formatCode="#,##0.0000000_ ;\-#,##0.0000000\ "/>
  </numFmts>
  <fonts count="15">
    <font>
      <sz val="11"/>
      <color theme="1"/>
      <name val="游ゴシック"/>
      <family val="2"/>
      <charset val="128"/>
      <scheme val="minor"/>
    </font>
    <font>
      <sz val="14"/>
      <color theme="1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9"/>
      <color theme="1"/>
      <name val="ＭＳ ゴシック"/>
      <family val="3"/>
      <charset val="128"/>
    </font>
    <font>
      <sz val="9"/>
      <color rgb="FF000000"/>
      <name val="ＭＳ ゴシック"/>
      <family val="3"/>
      <charset val="128"/>
    </font>
    <font>
      <sz val="11"/>
      <name val="ＭＳ Ｐゴシック"/>
      <family val="3"/>
      <charset val="128"/>
    </font>
    <font>
      <b/>
      <u/>
      <sz val="18"/>
      <color theme="1"/>
      <name val="游ゴシック"/>
      <family val="3"/>
      <charset val="128"/>
      <scheme val="minor"/>
    </font>
    <font>
      <sz val="10.4"/>
      <color theme="1"/>
      <name val="游ゴシック"/>
      <family val="2"/>
      <charset val="128"/>
      <scheme val="minor"/>
    </font>
    <font>
      <sz val="10.4"/>
      <color rgb="FF000000"/>
      <name val="游ゴシック"/>
      <family val="2"/>
      <charset val="128"/>
      <scheme val="minor"/>
    </font>
    <font>
      <sz val="10.4"/>
      <color theme="1"/>
      <name val="ＭＳ ゴシック"/>
      <family val="3"/>
      <charset val="128"/>
    </font>
    <font>
      <sz val="10.4"/>
      <color rgb="FF000000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12"/>
      <color theme="1"/>
      <name val="ＭＳ ゴシック"/>
      <family val="3"/>
      <charset val="128"/>
    </font>
    <font>
      <b/>
      <sz val="9"/>
      <color rgb="FFFF0000"/>
      <name val="ＭＳ 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2">
    <xf numFmtId="0" fontId="0" fillId="0" borderId="0">
      <alignment vertical="center"/>
    </xf>
    <xf numFmtId="0" fontId="6" fillId="0" borderId="0">
      <alignment vertical="center"/>
    </xf>
    <xf numFmtId="38" fontId="12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6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6" fontId="6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38" fontId="12" fillId="0" borderId="0" applyFont="0" applyFill="0" applyBorder="0" applyAlignment="0" applyProtection="0">
      <alignment vertical="center"/>
    </xf>
  </cellStyleXfs>
  <cellXfs count="267">
    <xf numFmtId="0" fontId="0" fillId="0" borderId="0" xfId="0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49" fontId="4" fillId="0" borderId="1" xfId="0" applyNumberFormat="1" applyFont="1" applyBorder="1">
      <alignment vertical="center"/>
    </xf>
    <xf numFmtId="49" fontId="4" fillId="2" borderId="5" xfId="0" applyNumberFormat="1" applyFont="1" applyFill="1" applyBorder="1">
      <alignment vertical="center"/>
    </xf>
    <xf numFmtId="49" fontId="4" fillId="2" borderId="12" xfId="0" applyNumberFormat="1" applyFont="1" applyFill="1" applyBorder="1">
      <alignment vertical="center"/>
    </xf>
    <xf numFmtId="49" fontId="4" fillId="2" borderId="6" xfId="0" applyNumberFormat="1" applyFont="1" applyFill="1" applyBorder="1">
      <alignment vertical="center"/>
    </xf>
    <xf numFmtId="176" fontId="4" fillId="2" borderId="11" xfId="0" applyNumberFormat="1" applyFont="1" applyFill="1" applyBorder="1">
      <alignment vertical="center"/>
    </xf>
    <xf numFmtId="0" fontId="5" fillId="0" borderId="0" xfId="0" applyFont="1">
      <alignment vertical="center"/>
    </xf>
    <xf numFmtId="49" fontId="4" fillId="0" borderId="13" xfId="0" applyNumberFormat="1" applyFont="1" applyBorder="1">
      <alignment vertical="center"/>
    </xf>
    <xf numFmtId="49" fontId="4" fillId="0" borderId="2" xfId="0" applyNumberFormat="1" applyFont="1" applyBorder="1">
      <alignment vertical="center"/>
    </xf>
    <xf numFmtId="49" fontId="4" fillId="0" borderId="14" xfId="0" applyNumberFormat="1" applyFont="1" applyBorder="1">
      <alignment vertical="center"/>
    </xf>
    <xf numFmtId="176" fontId="4" fillId="0" borderId="13" xfId="0" applyNumberFormat="1" applyFont="1" applyBorder="1">
      <alignment vertical="center"/>
    </xf>
    <xf numFmtId="49" fontId="4" fillId="0" borderId="15" xfId="0" applyNumberFormat="1" applyFont="1" applyBorder="1">
      <alignment vertical="center"/>
    </xf>
    <xf numFmtId="49" fontId="4" fillId="3" borderId="16" xfId="0" applyNumberFormat="1" applyFont="1" applyFill="1" applyBorder="1">
      <alignment vertical="center"/>
    </xf>
    <xf numFmtId="49" fontId="4" fillId="3" borderId="17" xfId="0" applyNumberFormat="1" applyFont="1" applyFill="1" applyBorder="1">
      <alignment vertical="center"/>
    </xf>
    <xf numFmtId="49" fontId="4" fillId="3" borderId="18" xfId="0" applyNumberFormat="1" applyFont="1" applyFill="1" applyBorder="1">
      <alignment vertical="center"/>
    </xf>
    <xf numFmtId="176" fontId="4" fillId="3" borderId="19" xfId="0" applyNumberFormat="1" applyFont="1" applyFill="1" applyBorder="1">
      <alignment vertical="center"/>
    </xf>
    <xf numFmtId="49" fontId="4" fillId="4" borderId="2" xfId="0" applyNumberFormat="1" applyFont="1" applyFill="1" applyBorder="1">
      <alignment vertical="center"/>
    </xf>
    <xf numFmtId="49" fontId="4" fillId="4" borderId="3" xfId="0" applyNumberFormat="1" applyFont="1" applyFill="1" applyBorder="1">
      <alignment vertical="center"/>
    </xf>
    <xf numFmtId="49" fontId="4" fillId="4" borderId="4" xfId="0" applyNumberFormat="1" applyFont="1" applyFill="1" applyBorder="1">
      <alignment vertical="center"/>
    </xf>
    <xf numFmtId="176" fontId="4" fillId="4" borderId="1" xfId="0" applyNumberFormat="1" applyFont="1" applyFill="1" applyBorder="1">
      <alignment vertical="center"/>
    </xf>
    <xf numFmtId="49" fontId="4" fillId="4" borderId="5" xfId="0" applyNumberFormat="1" applyFont="1" applyFill="1" applyBorder="1">
      <alignment vertical="center"/>
    </xf>
    <xf numFmtId="49" fontId="4" fillId="4" borderId="12" xfId="0" applyNumberFormat="1" applyFont="1" applyFill="1" applyBorder="1">
      <alignment vertical="center"/>
    </xf>
    <xf numFmtId="49" fontId="4" fillId="4" borderId="6" xfId="0" applyNumberFormat="1" applyFont="1" applyFill="1" applyBorder="1">
      <alignment vertical="center"/>
    </xf>
    <xf numFmtId="176" fontId="4" fillId="4" borderId="11" xfId="0" applyNumberFormat="1" applyFont="1" applyFill="1" applyBorder="1">
      <alignment vertical="center"/>
    </xf>
    <xf numFmtId="49" fontId="4" fillId="5" borderId="16" xfId="0" applyNumberFormat="1" applyFont="1" applyFill="1" applyBorder="1">
      <alignment vertical="center"/>
    </xf>
    <xf numFmtId="49" fontId="4" fillId="5" borderId="17" xfId="0" applyNumberFormat="1" applyFont="1" applyFill="1" applyBorder="1">
      <alignment vertical="center"/>
    </xf>
    <xf numFmtId="49" fontId="4" fillId="5" borderId="18" xfId="0" applyNumberFormat="1" applyFont="1" applyFill="1" applyBorder="1">
      <alignment vertical="center"/>
    </xf>
    <xf numFmtId="176" fontId="4" fillId="5" borderId="19" xfId="0" applyNumberFormat="1" applyFont="1" applyFill="1" applyBorder="1">
      <alignment vertical="center"/>
    </xf>
    <xf numFmtId="49" fontId="4" fillId="6" borderId="20" xfId="0" applyNumberFormat="1" applyFont="1" applyFill="1" applyBorder="1">
      <alignment vertical="center"/>
    </xf>
    <xf numFmtId="49" fontId="4" fillId="6" borderId="21" xfId="0" applyNumberFormat="1" applyFont="1" applyFill="1" applyBorder="1">
      <alignment vertical="center"/>
    </xf>
    <xf numFmtId="49" fontId="4" fillId="6" borderId="22" xfId="0" applyNumberFormat="1" applyFont="1" applyFill="1" applyBorder="1">
      <alignment vertical="center"/>
    </xf>
    <xf numFmtId="176" fontId="4" fillId="6" borderId="23" xfId="0" applyNumberFormat="1" applyFont="1" applyFill="1" applyBorder="1">
      <alignment vertical="center"/>
    </xf>
    <xf numFmtId="49" fontId="4" fillId="7" borderId="24" xfId="0" applyNumberFormat="1" applyFont="1" applyFill="1" applyBorder="1">
      <alignment vertical="center"/>
    </xf>
    <xf numFmtId="49" fontId="4" fillId="7" borderId="25" xfId="0" applyNumberFormat="1" applyFont="1" applyFill="1" applyBorder="1">
      <alignment vertical="center"/>
    </xf>
    <xf numFmtId="49" fontId="4" fillId="7" borderId="26" xfId="0" applyNumberFormat="1" applyFont="1" applyFill="1" applyBorder="1">
      <alignment vertical="center"/>
    </xf>
    <xf numFmtId="176" fontId="4" fillId="7" borderId="27" xfId="0" applyNumberFormat="1" applyFont="1" applyFill="1" applyBorder="1">
      <alignment vertical="center"/>
    </xf>
    <xf numFmtId="49" fontId="4" fillId="7" borderId="5" xfId="0" applyNumberFormat="1" applyFont="1" applyFill="1" applyBorder="1">
      <alignment vertical="center"/>
    </xf>
    <xf numFmtId="49" fontId="4" fillId="7" borderId="12" xfId="0" applyNumberFormat="1" applyFont="1" applyFill="1" applyBorder="1">
      <alignment vertical="center"/>
    </xf>
    <xf numFmtId="49" fontId="4" fillId="7" borderId="6" xfId="0" applyNumberFormat="1" applyFont="1" applyFill="1" applyBorder="1">
      <alignment vertical="center"/>
    </xf>
    <xf numFmtId="176" fontId="4" fillId="7" borderId="11" xfId="0" applyNumberFormat="1" applyFont="1" applyFill="1" applyBorder="1">
      <alignment vertical="center"/>
    </xf>
    <xf numFmtId="49" fontId="4" fillId="0" borderId="7" xfId="0" applyNumberFormat="1" applyFont="1" applyBorder="1">
      <alignment vertical="center"/>
    </xf>
    <xf numFmtId="49" fontId="4" fillId="6" borderId="24" xfId="0" applyNumberFormat="1" applyFont="1" applyFill="1" applyBorder="1">
      <alignment vertical="center"/>
    </xf>
    <xf numFmtId="49" fontId="4" fillId="6" borderId="25" xfId="0" applyNumberFormat="1" applyFont="1" applyFill="1" applyBorder="1">
      <alignment vertical="center"/>
    </xf>
    <xf numFmtId="49" fontId="4" fillId="6" borderId="26" xfId="0" applyNumberFormat="1" applyFont="1" applyFill="1" applyBorder="1">
      <alignment vertical="center"/>
    </xf>
    <xf numFmtId="176" fontId="4" fillId="6" borderId="27" xfId="0" applyNumberFormat="1" applyFont="1" applyFill="1" applyBorder="1">
      <alignment vertical="center"/>
    </xf>
    <xf numFmtId="176" fontId="4" fillId="0" borderId="13" xfId="0" applyNumberFormat="1" applyFont="1" applyBorder="1" applyProtection="1">
      <alignment vertical="center"/>
      <protection locked="0"/>
    </xf>
    <xf numFmtId="176" fontId="4" fillId="2" borderId="1" xfId="0" applyNumberFormat="1" applyFont="1" applyFill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9" fontId="4" fillId="0" borderId="11" xfId="0" applyNumberFormat="1" applyFont="1" applyBorder="1" applyAlignment="1" applyProtection="1">
      <alignment vertical="top" wrapText="1"/>
      <protection locked="0"/>
    </xf>
    <xf numFmtId="0" fontId="3" fillId="0" borderId="0" xfId="0" applyFont="1" applyProtection="1">
      <alignment vertical="center"/>
      <protection locked="0"/>
    </xf>
    <xf numFmtId="49" fontId="4" fillId="0" borderId="11" xfId="0" applyNumberFormat="1" applyFont="1" applyBorder="1" applyAlignment="1" applyProtection="1">
      <alignment horizontal="center" vertical="top"/>
      <protection locked="0"/>
    </xf>
    <xf numFmtId="176" fontId="4" fillId="0" borderId="7" xfId="0" applyNumberFormat="1" applyFont="1" applyBorder="1" applyProtection="1">
      <alignment vertical="center"/>
      <protection locked="0"/>
    </xf>
    <xf numFmtId="177" fontId="0" fillId="0" borderId="0" xfId="0" applyNumberFormat="1">
      <alignment vertical="center"/>
    </xf>
    <xf numFmtId="49" fontId="4" fillId="0" borderId="5" xfId="0" applyNumberFormat="1" applyFont="1" applyBorder="1" applyAlignment="1" applyProtection="1">
      <alignment vertical="top"/>
      <protection locked="0"/>
    </xf>
    <xf numFmtId="49" fontId="1" fillId="0" borderId="0" xfId="0" applyNumberFormat="1" applyFont="1" applyProtection="1">
      <alignment vertical="center"/>
      <protection locked="0"/>
    </xf>
    <xf numFmtId="49" fontId="4" fillId="0" borderId="0" xfId="0" applyNumberFormat="1" applyFont="1" applyProtection="1">
      <alignment vertical="center"/>
      <protection locked="0"/>
    </xf>
    <xf numFmtId="49" fontId="5" fillId="0" borderId="0" xfId="0" applyNumberFormat="1" applyFont="1" applyProtection="1">
      <alignment vertical="center"/>
      <protection locked="0"/>
    </xf>
    <xf numFmtId="49" fontId="4" fillId="0" borderId="13" xfId="0" applyNumberFormat="1" applyFont="1" applyBorder="1" applyProtection="1">
      <alignment vertical="center"/>
      <protection locked="0"/>
    </xf>
    <xf numFmtId="49" fontId="4" fillId="0" borderId="1" xfId="0" applyNumberFormat="1" applyFont="1" applyBorder="1" applyProtection="1">
      <alignment vertical="center"/>
      <protection locked="0"/>
    </xf>
    <xf numFmtId="49" fontId="4" fillId="0" borderId="2" xfId="0" applyNumberFormat="1" applyFont="1" applyBorder="1" applyProtection="1">
      <alignment vertical="center"/>
      <protection locked="0"/>
    </xf>
    <xf numFmtId="49" fontId="4" fillId="0" borderId="14" xfId="0" applyNumberFormat="1" applyFont="1" applyBorder="1" applyProtection="1">
      <alignment vertical="center"/>
      <protection locked="0"/>
    </xf>
    <xf numFmtId="0" fontId="5" fillId="0" borderId="0" xfId="0" applyFont="1" applyProtection="1">
      <alignment vertical="center"/>
      <protection locked="0"/>
    </xf>
    <xf numFmtId="49" fontId="4" fillId="0" borderId="15" xfId="0" applyNumberFormat="1" applyFont="1" applyBorder="1" applyProtection="1">
      <alignment vertical="center"/>
      <protection locked="0"/>
    </xf>
    <xf numFmtId="49" fontId="4" fillId="2" borderId="2" xfId="0" applyNumberFormat="1" applyFont="1" applyFill="1" applyBorder="1" applyProtection="1">
      <alignment vertical="center"/>
      <protection locked="0"/>
    </xf>
    <xf numFmtId="49" fontId="4" fillId="2" borderId="3" xfId="0" applyNumberFormat="1" applyFont="1" applyFill="1" applyBorder="1" applyProtection="1">
      <alignment vertical="center"/>
      <protection locked="0"/>
    </xf>
    <xf numFmtId="49" fontId="4" fillId="2" borderId="4" xfId="0" applyNumberFormat="1" applyFont="1" applyFill="1" applyBorder="1" applyProtection="1">
      <alignment vertical="center"/>
      <protection locked="0"/>
    </xf>
    <xf numFmtId="0" fontId="8" fillId="0" borderId="30" xfId="0" applyFont="1" applyBorder="1">
      <alignment vertical="center"/>
    </xf>
    <xf numFmtId="0" fontId="9" fillId="0" borderId="0" xfId="0" applyFont="1">
      <alignment vertical="center"/>
    </xf>
    <xf numFmtId="49" fontId="10" fillId="0" borderId="32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right" vertical="center"/>
    </xf>
    <xf numFmtId="0" fontId="8" fillId="0" borderId="29" xfId="0" applyFont="1" applyBorder="1" applyAlignment="1">
      <alignment horizontal="right" vertical="center"/>
    </xf>
    <xf numFmtId="49" fontId="10" fillId="0" borderId="0" xfId="0" applyNumberFormat="1" applyFont="1" applyAlignment="1">
      <alignment horizontal="center" vertical="center"/>
    </xf>
    <xf numFmtId="49" fontId="10" fillId="0" borderId="34" xfId="0" applyNumberFormat="1" applyFont="1" applyBorder="1" applyAlignment="1">
      <alignment horizontal="center" vertical="center" wrapText="1"/>
    </xf>
    <xf numFmtId="49" fontId="11" fillId="0" borderId="0" xfId="0" applyNumberFormat="1" applyFont="1">
      <alignment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38" xfId="0" applyNumberFormat="1" applyFont="1" applyBorder="1" applyAlignment="1">
      <alignment horizontal="center" vertical="center" wrapText="1"/>
    </xf>
    <xf numFmtId="49" fontId="10" fillId="9" borderId="38" xfId="0" applyNumberFormat="1" applyFont="1" applyFill="1" applyBorder="1" applyAlignment="1">
      <alignment horizontal="center" vertical="center" wrapText="1"/>
    </xf>
    <xf numFmtId="49" fontId="10" fillId="9" borderId="35" xfId="0" applyNumberFormat="1" applyFont="1" applyFill="1" applyBorder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/>
    </xf>
    <xf numFmtId="49" fontId="10" fillId="2" borderId="42" xfId="0" applyNumberFormat="1" applyFont="1" applyFill="1" applyBorder="1">
      <alignment vertical="center"/>
    </xf>
    <xf numFmtId="49" fontId="10" fillId="2" borderId="12" xfId="0" applyNumberFormat="1" applyFont="1" applyFill="1" applyBorder="1">
      <alignment vertical="center"/>
    </xf>
    <xf numFmtId="0" fontId="11" fillId="0" borderId="0" xfId="0" applyFont="1">
      <alignment vertical="center"/>
    </xf>
    <xf numFmtId="49" fontId="10" fillId="2" borderId="43" xfId="0" applyNumberFormat="1" applyFont="1" applyFill="1" applyBorder="1">
      <alignment vertical="center"/>
    </xf>
    <xf numFmtId="49" fontId="10" fillId="0" borderId="15" xfId="0" applyNumberFormat="1" applyFont="1" applyBorder="1">
      <alignment vertical="center"/>
    </xf>
    <xf numFmtId="49" fontId="10" fillId="0" borderId="0" xfId="0" applyNumberFormat="1" applyFont="1">
      <alignment vertical="center"/>
    </xf>
    <xf numFmtId="49" fontId="10" fillId="0" borderId="46" xfId="0" applyNumberFormat="1" applyFont="1" applyBorder="1">
      <alignment vertical="center"/>
    </xf>
    <xf numFmtId="49" fontId="10" fillId="0" borderId="47" xfId="0" applyNumberFormat="1" applyFont="1" applyBorder="1">
      <alignment vertical="center"/>
    </xf>
    <xf numFmtId="49" fontId="10" fillId="10" borderId="42" xfId="0" applyNumberFormat="1" applyFont="1" applyFill="1" applyBorder="1">
      <alignment vertical="center"/>
    </xf>
    <xf numFmtId="49" fontId="10" fillId="10" borderId="3" xfId="0" applyNumberFormat="1" applyFont="1" applyFill="1" applyBorder="1">
      <alignment vertical="center"/>
    </xf>
    <xf numFmtId="49" fontId="10" fillId="3" borderId="53" xfId="0" applyNumberFormat="1" applyFont="1" applyFill="1" applyBorder="1">
      <alignment vertical="center"/>
    </xf>
    <xf numFmtId="49" fontId="10" fillId="3" borderId="17" xfId="0" applyNumberFormat="1" applyFont="1" applyFill="1" applyBorder="1">
      <alignment vertical="center"/>
    </xf>
    <xf numFmtId="49" fontId="10" fillId="4" borderId="31" xfId="0" applyNumberFormat="1" applyFont="1" applyFill="1" applyBorder="1">
      <alignment vertical="center"/>
    </xf>
    <xf numFmtId="49" fontId="10" fillId="4" borderId="25" xfId="0" applyNumberFormat="1" applyFont="1" applyFill="1" applyBorder="1">
      <alignment vertical="center"/>
    </xf>
    <xf numFmtId="49" fontId="10" fillId="4" borderId="43" xfId="0" applyNumberFormat="1" applyFont="1" applyFill="1" applyBorder="1">
      <alignment vertical="center"/>
    </xf>
    <xf numFmtId="49" fontId="10" fillId="0" borderId="57" xfId="0" applyNumberFormat="1" applyFont="1" applyBorder="1">
      <alignment vertical="center"/>
    </xf>
    <xf numFmtId="49" fontId="10" fillId="7" borderId="42" xfId="0" applyNumberFormat="1" applyFont="1" applyFill="1" applyBorder="1">
      <alignment vertical="center"/>
    </xf>
    <xf numFmtId="49" fontId="10" fillId="7" borderId="12" xfId="0" applyNumberFormat="1" applyFont="1" applyFill="1" applyBorder="1">
      <alignment vertical="center"/>
    </xf>
    <xf numFmtId="49" fontId="10" fillId="7" borderId="43" xfId="0" applyNumberFormat="1" applyFont="1" applyFill="1" applyBorder="1">
      <alignment vertical="center"/>
    </xf>
    <xf numFmtId="49" fontId="10" fillId="10" borderId="12" xfId="0" applyNumberFormat="1" applyFont="1" applyFill="1" applyBorder="1">
      <alignment vertical="center"/>
    </xf>
    <xf numFmtId="49" fontId="10" fillId="10" borderId="43" xfId="0" applyNumberFormat="1" applyFont="1" applyFill="1" applyBorder="1">
      <alignment vertical="center"/>
    </xf>
    <xf numFmtId="49" fontId="10" fillId="0" borderId="2" xfId="0" applyNumberFormat="1" applyFont="1" applyBorder="1">
      <alignment vertical="center"/>
    </xf>
    <xf numFmtId="49" fontId="10" fillId="5" borderId="53" xfId="0" applyNumberFormat="1" applyFont="1" applyFill="1" applyBorder="1">
      <alignment vertical="center"/>
    </xf>
    <xf numFmtId="49" fontId="10" fillId="5" borderId="17" xfId="0" applyNumberFormat="1" applyFont="1" applyFill="1" applyBorder="1">
      <alignment vertical="center"/>
    </xf>
    <xf numFmtId="49" fontId="10" fillId="6" borderId="28" xfId="0" applyNumberFormat="1" applyFont="1" applyFill="1" applyBorder="1">
      <alignment vertical="center"/>
    </xf>
    <xf numFmtId="49" fontId="10" fillId="6" borderId="21" xfId="0" applyNumberFormat="1" applyFont="1" applyFill="1" applyBorder="1">
      <alignment vertical="center"/>
    </xf>
    <xf numFmtId="49" fontId="10" fillId="0" borderId="36" xfId="0" applyNumberFormat="1" applyFont="1" applyBorder="1">
      <alignment vertical="center"/>
    </xf>
    <xf numFmtId="49" fontId="10" fillId="0" borderId="25" xfId="0" applyNumberFormat="1" applyFont="1" applyBorder="1">
      <alignment vertical="center"/>
    </xf>
    <xf numFmtId="49" fontId="10" fillId="0" borderId="59" xfId="0" applyNumberFormat="1" applyFont="1" applyBorder="1">
      <alignment vertical="center"/>
    </xf>
    <xf numFmtId="49" fontId="10" fillId="0" borderId="43" xfId="0" applyNumberFormat="1" applyFont="1" applyBorder="1">
      <alignment vertical="center"/>
    </xf>
    <xf numFmtId="49" fontId="10" fillId="0" borderId="13" xfId="0" applyNumberFormat="1" applyFont="1" applyBorder="1">
      <alignment vertical="center"/>
    </xf>
    <xf numFmtId="49" fontId="10" fillId="0" borderId="40" xfId="0" applyNumberFormat="1" applyFont="1" applyBorder="1">
      <alignment vertical="center"/>
    </xf>
    <xf numFmtId="49" fontId="10" fillId="0" borderId="12" xfId="0" applyNumberFormat="1" applyFont="1" applyBorder="1">
      <alignment vertical="center"/>
    </xf>
    <xf numFmtId="0" fontId="0" fillId="0" borderId="32" xfId="0" applyBorder="1">
      <alignment vertical="center"/>
    </xf>
    <xf numFmtId="177" fontId="0" fillId="5" borderId="0" xfId="0" applyNumberFormat="1" applyFill="1">
      <alignment vertical="center"/>
    </xf>
    <xf numFmtId="0" fontId="8" fillId="0" borderId="32" xfId="0" applyFont="1" applyBorder="1" applyAlignment="1">
      <alignment horizontal="right" vertical="center"/>
    </xf>
    <xf numFmtId="0" fontId="8" fillId="0" borderId="6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Continuous" vertical="center"/>
    </xf>
    <xf numFmtId="0" fontId="8" fillId="0" borderId="28" xfId="0" applyFont="1" applyBorder="1" applyAlignment="1">
      <alignment horizontal="right" vertical="center"/>
    </xf>
    <xf numFmtId="0" fontId="8" fillId="0" borderId="45" xfId="0" applyFont="1" applyBorder="1" applyAlignment="1">
      <alignment horizontal="right" vertical="center"/>
    </xf>
    <xf numFmtId="49" fontId="10" fillId="9" borderId="9" xfId="0" applyNumberFormat="1" applyFont="1" applyFill="1" applyBorder="1" applyAlignment="1">
      <alignment horizontal="center" vertical="center" wrapText="1"/>
    </xf>
    <xf numFmtId="0" fontId="8" fillId="11" borderId="28" xfId="0" applyFont="1" applyFill="1" applyBorder="1" applyAlignment="1">
      <alignment horizontal="right" vertical="center"/>
    </xf>
    <xf numFmtId="0" fontId="8" fillId="11" borderId="21" xfId="0" applyFont="1" applyFill="1" applyBorder="1" applyAlignment="1">
      <alignment horizontal="right" vertical="center"/>
    </xf>
    <xf numFmtId="0" fontId="8" fillId="12" borderId="31" xfId="0" applyFont="1" applyFill="1" applyBorder="1" applyAlignment="1">
      <alignment horizontal="right" vertical="center"/>
    </xf>
    <xf numFmtId="0" fontId="8" fillId="12" borderId="32" xfId="0" applyFont="1" applyFill="1" applyBorder="1" applyAlignment="1">
      <alignment horizontal="right" vertical="center"/>
    </xf>
    <xf numFmtId="0" fontId="8" fillId="13" borderId="32" xfId="0" applyFont="1" applyFill="1" applyBorder="1" applyAlignment="1">
      <alignment horizontal="right" vertical="center"/>
    </xf>
    <xf numFmtId="0" fontId="8" fillId="13" borderId="21" xfId="0" applyFont="1" applyFill="1" applyBorder="1" applyAlignment="1">
      <alignment horizontal="right" vertical="center"/>
    </xf>
    <xf numFmtId="0" fontId="8" fillId="8" borderId="32" xfId="0" applyFont="1" applyFill="1" applyBorder="1" applyAlignment="1">
      <alignment horizontal="right" vertical="center"/>
    </xf>
    <xf numFmtId="0" fontId="8" fillId="8" borderId="60" xfId="0" applyFont="1" applyFill="1" applyBorder="1" applyAlignment="1">
      <alignment horizontal="right" vertical="center"/>
    </xf>
    <xf numFmtId="176" fontId="5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49" fontId="4" fillId="0" borderId="0" xfId="0" applyNumberFormat="1" applyFont="1" applyAlignment="1" applyProtection="1">
      <alignment horizontal="center" vertical="top"/>
      <protection locked="0"/>
    </xf>
    <xf numFmtId="49" fontId="4" fillId="0" borderId="0" xfId="0" applyNumberFormat="1" applyFont="1" applyAlignment="1" applyProtection="1">
      <alignment vertical="top" wrapText="1"/>
      <protection locked="0"/>
    </xf>
    <xf numFmtId="176" fontId="4" fillId="0" borderId="0" xfId="0" applyNumberFormat="1" applyFont="1" applyProtection="1">
      <alignment vertical="center"/>
      <protection locked="0"/>
    </xf>
    <xf numFmtId="0" fontId="14" fillId="0" borderId="0" xfId="0" applyFont="1">
      <alignment vertical="center"/>
    </xf>
    <xf numFmtId="38" fontId="3" fillId="0" borderId="0" xfId="2" applyFont="1">
      <alignment vertical="center"/>
    </xf>
    <xf numFmtId="38" fontId="3" fillId="14" borderId="0" xfId="0" applyNumberFormat="1" applyFont="1" applyFill="1" applyProtection="1">
      <alignment vertical="center"/>
      <protection locked="0"/>
    </xf>
    <xf numFmtId="178" fontId="14" fillId="0" borderId="0" xfId="0" applyNumberFormat="1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49" fontId="10" fillId="0" borderId="31" xfId="0" applyNumberFormat="1" applyFont="1" applyBorder="1" applyAlignment="1">
      <alignment horizontal="center" vertical="center"/>
    </xf>
    <xf numFmtId="49" fontId="10" fillId="0" borderId="32" xfId="0" applyNumberFormat="1" applyFont="1" applyBorder="1" applyAlignment="1">
      <alignment horizontal="center" vertical="center"/>
    </xf>
    <xf numFmtId="49" fontId="10" fillId="0" borderId="33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10" fillId="0" borderId="34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64" xfId="0" applyNumberFormat="1" applyFont="1" applyBorder="1" applyAlignment="1">
      <alignment horizontal="center" vertical="center" wrapText="1"/>
    </xf>
    <xf numFmtId="0" fontId="8" fillId="0" borderId="64" xfId="0" applyFont="1" applyBorder="1" applyAlignment="1">
      <alignment horizontal="center" vertical="center" wrapText="1"/>
    </xf>
    <xf numFmtId="0" fontId="8" fillId="0" borderId="66" xfId="0" applyFont="1" applyBorder="1" applyAlignment="1">
      <alignment horizontal="center" vertical="center" wrapText="1"/>
    </xf>
    <xf numFmtId="49" fontId="10" fillId="0" borderId="63" xfId="0" applyNumberFormat="1" applyFont="1" applyBorder="1" applyAlignment="1">
      <alignment horizontal="center" vertical="center" wrapText="1"/>
    </xf>
    <xf numFmtId="49" fontId="10" fillId="0" borderId="61" xfId="0" applyNumberFormat="1" applyFont="1" applyBorder="1" applyAlignment="1">
      <alignment horizontal="center" vertical="center" wrapText="1"/>
    </xf>
    <xf numFmtId="49" fontId="10" fillId="0" borderId="69" xfId="0" applyNumberFormat="1" applyFont="1" applyBorder="1" applyAlignment="1">
      <alignment horizontal="center" vertical="center" wrapText="1"/>
    </xf>
    <xf numFmtId="0" fontId="8" fillId="0" borderId="67" xfId="0" applyFont="1" applyBorder="1" applyAlignment="1">
      <alignment horizontal="center" vertical="center" wrapText="1"/>
    </xf>
    <xf numFmtId="49" fontId="10" fillId="0" borderId="70" xfId="0" applyNumberFormat="1" applyFont="1" applyBorder="1" applyAlignment="1">
      <alignment horizontal="center" vertical="center" wrapText="1"/>
    </xf>
    <xf numFmtId="0" fontId="8" fillId="0" borderId="71" xfId="0" applyFont="1" applyBorder="1" applyAlignment="1">
      <alignment horizontal="center" vertical="center" wrapText="1"/>
    </xf>
    <xf numFmtId="49" fontId="13" fillId="11" borderId="32" xfId="0" applyNumberFormat="1" applyFont="1" applyFill="1" applyBorder="1" applyAlignment="1">
      <alignment horizontal="center" vertical="center" wrapText="1"/>
    </xf>
    <xf numFmtId="49" fontId="13" fillId="11" borderId="60" xfId="0" applyNumberFormat="1" applyFont="1" applyFill="1" applyBorder="1" applyAlignment="1">
      <alignment horizontal="center" vertical="center" wrapText="1"/>
    </xf>
    <xf numFmtId="49" fontId="13" fillId="11" borderId="67" xfId="0" applyNumberFormat="1" applyFont="1" applyFill="1" applyBorder="1" applyAlignment="1">
      <alignment horizontal="center" vertical="center" wrapText="1"/>
    </xf>
    <xf numFmtId="49" fontId="13" fillId="11" borderId="68" xfId="0" applyNumberFormat="1" applyFont="1" applyFill="1" applyBorder="1" applyAlignment="1">
      <alignment horizontal="center" vertical="center" wrapText="1"/>
    </xf>
    <xf numFmtId="0" fontId="8" fillId="0" borderId="30" xfId="0" applyFont="1" applyBorder="1" applyAlignment="1">
      <alignment horizontal="right" vertical="center"/>
    </xf>
    <xf numFmtId="0" fontId="8" fillId="0" borderId="65" xfId="0" applyFont="1" applyBorder="1" applyAlignment="1">
      <alignment horizontal="center" vertical="center" wrapText="1"/>
    </xf>
    <xf numFmtId="49" fontId="13" fillId="13" borderId="32" xfId="0" applyNumberFormat="1" applyFont="1" applyFill="1" applyBorder="1" applyAlignment="1">
      <alignment horizontal="center" vertical="center" wrapText="1"/>
    </xf>
    <xf numFmtId="49" fontId="13" fillId="13" borderId="60" xfId="0" applyNumberFormat="1" applyFont="1" applyFill="1" applyBorder="1" applyAlignment="1">
      <alignment horizontal="center" vertical="center" wrapText="1"/>
    </xf>
    <xf numFmtId="49" fontId="13" fillId="13" borderId="69" xfId="0" applyNumberFormat="1" applyFont="1" applyFill="1" applyBorder="1" applyAlignment="1">
      <alignment horizontal="center" vertical="center" wrapText="1"/>
    </xf>
    <xf numFmtId="49" fontId="13" fillId="13" borderId="67" xfId="0" applyNumberFormat="1" applyFont="1" applyFill="1" applyBorder="1" applyAlignment="1">
      <alignment horizontal="center" vertical="center" wrapText="1"/>
    </xf>
    <xf numFmtId="49" fontId="13" fillId="13" borderId="68" xfId="0" applyNumberFormat="1" applyFont="1" applyFill="1" applyBorder="1" applyAlignment="1">
      <alignment horizontal="center" vertical="center" wrapText="1"/>
    </xf>
    <xf numFmtId="49" fontId="13" fillId="12" borderId="32" xfId="0" applyNumberFormat="1" applyFont="1" applyFill="1" applyBorder="1" applyAlignment="1">
      <alignment horizontal="center" vertical="center" wrapText="1"/>
    </xf>
    <xf numFmtId="49" fontId="13" fillId="12" borderId="60" xfId="0" applyNumberFormat="1" applyFont="1" applyFill="1" applyBorder="1" applyAlignment="1">
      <alignment horizontal="center" vertical="center" wrapText="1"/>
    </xf>
    <xf numFmtId="49" fontId="13" fillId="12" borderId="67" xfId="0" applyNumberFormat="1" applyFont="1" applyFill="1" applyBorder="1" applyAlignment="1">
      <alignment horizontal="center" vertical="center" wrapText="1"/>
    </xf>
    <xf numFmtId="49" fontId="13" fillId="12" borderId="68" xfId="0" applyNumberFormat="1" applyFont="1" applyFill="1" applyBorder="1" applyAlignment="1">
      <alignment horizontal="center" vertical="center" wrapText="1"/>
    </xf>
    <xf numFmtId="49" fontId="10" fillId="8" borderId="67" xfId="0" applyNumberFormat="1" applyFont="1" applyFill="1" applyBorder="1" applyAlignment="1">
      <alignment horizontal="center" vertical="center" wrapText="1"/>
    </xf>
    <xf numFmtId="0" fontId="8" fillId="8" borderId="67" xfId="0" applyFont="1" applyFill="1" applyBorder="1" applyAlignment="1">
      <alignment horizontal="center" vertical="center" wrapText="1"/>
    </xf>
    <xf numFmtId="0" fontId="8" fillId="8" borderId="68" xfId="0" applyFont="1" applyFill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 wrapText="1"/>
    </xf>
    <xf numFmtId="49" fontId="4" fillId="0" borderId="1" xfId="0" applyNumberFormat="1" applyFont="1" applyBorder="1" applyAlignment="1" applyProtection="1">
      <alignment vertical="top"/>
      <protection locked="0"/>
    </xf>
    <xf numFmtId="0" fontId="0" fillId="0" borderId="7" xfId="0" applyBorder="1" applyAlignment="1" applyProtection="1">
      <alignment vertical="top"/>
      <protection locked="0"/>
    </xf>
    <xf numFmtId="49" fontId="4" fillId="0" borderId="2" xfId="0" applyNumberFormat="1" applyFont="1" applyBorder="1" applyAlignment="1" applyProtection="1">
      <alignment vertical="top"/>
      <protection locked="0"/>
    </xf>
    <xf numFmtId="0" fontId="0" fillId="0" borderId="3" xfId="0" applyBorder="1" applyAlignment="1" applyProtection="1">
      <alignment vertical="top"/>
      <protection locked="0"/>
    </xf>
    <xf numFmtId="0" fontId="0" fillId="0" borderId="4" xfId="0" applyBorder="1" applyAlignment="1" applyProtection="1">
      <alignment vertical="top"/>
      <protection locked="0"/>
    </xf>
    <xf numFmtId="0" fontId="0" fillId="0" borderId="8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177" fontId="4" fillId="2" borderId="40" xfId="0" applyNumberFormat="1" applyFont="1" applyFill="1" applyBorder="1">
      <alignment vertical="center"/>
    </xf>
    <xf numFmtId="177" fontId="4" fillId="2" borderId="39" xfId="0" applyNumberFormat="1" applyFont="1" applyFill="1" applyBorder="1">
      <alignment vertical="center"/>
    </xf>
    <xf numFmtId="177" fontId="4" fillId="2" borderId="12" xfId="0" applyNumberFormat="1" applyFont="1" applyFill="1" applyBorder="1">
      <alignment vertical="center"/>
    </xf>
    <xf numFmtId="177" fontId="4" fillId="2" borderId="5" xfId="0" applyNumberFormat="1" applyFont="1" applyFill="1" applyBorder="1">
      <alignment vertical="center"/>
    </xf>
    <xf numFmtId="177" fontId="4" fillId="2" borderId="6" xfId="0" applyNumberFormat="1" applyFont="1" applyFill="1" applyBorder="1">
      <alignment vertical="center"/>
    </xf>
    <xf numFmtId="177" fontId="4" fillId="2" borderId="41" xfId="0" applyNumberFormat="1" applyFont="1" applyFill="1" applyBorder="1">
      <alignment vertical="center"/>
    </xf>
    <xf numFmtId="177" fontId="4" fillId="0" borderId="33" xfId="0" applyNumberFormat="1" applyFont="1" applyBorder="1">
      <alignment vertical="center"/>
    </xf>
    <xf numFmtId="177" fontId="4" fillId="0" borderId="44" xfId="0" applyNumberFormat="1" applyFont="1" applyBorder="1">
      <alignment vertical="center"/>
    </xf>
    <xf numFmtId="177" fontId="4" fillId="9" borderId="44" xfId="0" applyNumberFormat="1" applyFont="1" applyFill="1" applyBorder="1">
      <alignment vertical="center"/>
    </xf>
    <xf numFmtId="177" fontId="4" fillId="9" borderId="0" xfId="0" applyNumberFormat="1" applyFont="1" applyFill="1">
      <alignment vertical="center"/>
    </xf>
    <xf numFmtId="177" fontId="4" fillId="0" borderId="15" xfId="0" applyNumberFormat="1" applyFont="1" applyBorder="1">
      <alignment vertical="center"/>
    </xf>
    <xf numFmtId="177" fontId="4" fillId="9" borderId="14" xfId="0" applyNumberFormat="1" applyFont="1" applyFill="1" applyBorder="1">
      <alignment vertical="center"/>
    </xf>
    <xf numFmtId="177" fontId="4" fillId="0" borderId="0" xfId="0" applyNumberFormat="1" applyFont="1">
      <alignment vertical="center"/>
    </xf>
    <xf numFmtId="177" fontId="4" fillId="9" borderId="45" xfId="0" applyNumberFormat="1" applyFont="1" applyFill="1" applyBorder="1">
      <alignment vertical="center"/>
    </xf>
    <xf numFmtId="177" fontId="4" fillId="0" borderId="48" xfId="0" applyNumberFormat="1" applyFont="1" applyBorder="1">
      <alignment vertical="center"/>
    </xf>
    <xf numFmtId="177" fontId="4" fillId="0" borderId="49" xfId="0" applyNumberFormat="1" applyFont="1" applyBorder="1">
      <alignment vertical="center"/>
    </xf>
    <xf numFmtId="177" fontId="4" fillId="9" borderId="49" xfId="0" applyNumberFormat="1" applyFont="1" applyFill="1" applyBorder="1">
      <alignment vertical="center"/>
    </xf>
    <xf numFmtId="177" fontId="4" fillId="9" borderId="47" xfId="0" applyNumberFormat="1" applyFont="1" applyFill="1" applyBorder="1">
      <alignment vertical="center"/>
    </xf>
    <xf numFmtId="177" fontId="4" fillId="0" borderId="46" xfId="0" applyNumberFormat="1" applyFont="1" applyBorder="1">
      <alignment vertical="center"/>
    </xf>
    <xf numFmtId="177" fontId="4" fillId="9" borderId="62" xfId="0" applyNumberFormat="1" applyFont="1" applyFill="1" applyBorder="1">
      <alignment vertical="center"/>
    </xf>
    <xf numFmtId="177" fontId="4" fillId="0" borderId="47" xfId="0" applyNumberFormat="1" applyFont="1" applyBorder="1">
      <alignment vertical="center"/>
    </xf>
    <xf numFmtId="177" fontId="4" fillId="9" borderId="50" xfId="0" applyNumberFormat="1" applyFont="1" applyFill="1" applyBorder="1">
      <alignment vertical="center"/>
    </xf>
    <xf numFmtId="177" fontId="4" fillId="10" borderId="42" xfId="0" applyNumberFormat="1" applyFont="1" applyFill="1" applyBorder="1">
      <alignment vertical="center"/>
    </xf>
    <xf numFmtId="177" fontId="4" fillId="10" borderId="51" xfId="0" applyNumberFormat="1" applyFont="1" applyFill="1" applyBorder="1">
      <alignment vertical="center"/>
    </xf>
    <xf numFmtId="177" fontId="4" fillId="10" borderId="3" xfId="0" applyNumberFormat="1" applyFont="1" applyFill="1" applyBorder="1">
      <alignment vertical="center"/>
    </xf>
    <xf numFmtId="177" fontId="4" fillId="10" borderId="2" xfId="0" applyNumberFormat="1" applyFont="1" applyFill="1" applyBorder="1">
      <alignment vertical="center"/>
    </xf>
    <xf numFmtId="177" fontId="4" fillId="10" borderId="4" xfId="0" applyNumberFormat="1" applyFont="1" applyFill="1" applyBorder="1">
      <alignment vertical="center"/>
    </xf>
    <xf numFmtId="177" fontId="4" fillId="10" borderId="52" xfId="0" applyNumberFormat="1" applyFont="1" applyFill="1" applyBorder="1">
      <alignment vertical="center"/>
    </xf>
    <xf numFmtId="177" fontId="4" fillId="3" borderId="53" xfId="0" applyNumberFormat="1" applyFont="1" applyFill="1" applyBorder="1">
      <alignment vertical="center"/>
    </xf>
    <xf numFmtId="177" fontId="4" fillId="3" borderId="54" xfId="0" applyNumberFormat="1" applyFont="1" applyFill="1" applyBorder="1">
      <alignment vertical="center"/>
    </xf>
    <xf numFmtId="177" fontId="4" fillId="3" borderId="17" xfId="0" applyNumberFormat="1" applyFont="1" applyFill="1" applyBorder="1">
      <alignment vertical="center"/>
    </xf>
    <xf numFmtId="177" fontId="4" fillId="3" borderId="16" xfId="0" applyNumberFormat="1" applyFont="1" applyFill="1" applyBorder="1">
      <alignment vertical="center"/>
    </xf>
    <xf numFmtId="177" fontId="4" fillId="3" borderId="18" xfId="0" applyNumberFormat="1" applyFont="1" applyFill="1" applyBorder="1">
      <alignment vertical="center"/>
    </xf>
    <xf numFmtId="177" fontId="4" fillId="3" borderId="55" xfId="0" applyNumberFormat="1" applyFont="1" applyFill="1" applyBorder="1">
      <alignment vertical="center"/>
    </xf>
    <xf numFmtId="177" fontId="4" fillId="4" borderId="36" xfId="0" applyNumberFormat="1" applyFont="1" applyFill="1" applyBorder="1">
      <alignment vertical="center"/>
    </xf>
    <xf numFmtId="177" fontId="4" fillId="4" borderId="56" xfId="0" applyNumberFormat="1" applyFont="1" applyFill="1" applyBorder="1">
      <alignment vertical="center"/>
    </xf>
    <xf numFmtId="177" fontId="4" fillId="4" borderId="25" xfId="0" applyNumberFormat="1" applyFont="1" applyFill="1" applyBorder="1">
      <alignment vertical="center"/>
    </xf>
    <xf numFmtId="177" fontId="4" fillId="4" borderId="24" xfId="0" applyNumberFormat="1" applyFont="1" applyFill="1" applyBorder="1">
      <alignment vertical="center"/>
    </xf>
    <xf numFmtId="177" fontId="4" fillId="4" borderId="26" xfId="0" applyNumberFormat="1" applyFont="1" applyFill="1" applyBorder="1">
      <alignment vertical="center"/>
    </xf>
    <xf numFmtId="177" fontId="4" fillId="4" borderId="37" xfId="0" applyNumberFormat="1" applyFont="1" applyFill="1" applyBorder="1">
      <alignment vertical="center"/>
    </xf>
    <xf numFmtId="177" fontId="4" fillId="7" borderId="40" xfId="0" applyNumberFormat="1" applyFont="1" applyFill="1" applyBorder="1">
      <alignment vertical="center"/>
    </xf>
    <xf numFmtId="177" fontId="4" fillId="7" borderId="39" xfId="0" applyNumberFormat="1" applyFont="1" applyFill="1" applyBorder="1">
      <alignment vertical="center"/>
    </xf>
    <xf numFmtId="177" fontId="4" fillId="7" borderId="12" xfId="0" applyNumberFormat="1" applyFont="1" applyFill="1" applyBorder="1">
      <alignment vertical="center"/>
    </xf>
    <xf numFmtId="177" fontId="4" fillId="7" borderId="5" xfId="0" applyNumberFormat="1" applyFont="1" applyFill="1" applyBorder="1">
      <alignment vertical="center"/>
    </xf>
    <xf numFmtId="177" fontId="4" fillId="7" borderId="6" xfId="0" applyNumberFormat="1" applyFont="1" applyFill="1" applyBorder="1">
      <alignment vertical="center"/>
    </xf>
    <xf numFmtId="177" fontId="4" fillId="7" borderId="41" xfId="0" applyNumberFormat="1" applyFont="1" applyFill="1" applyBorder="1">
      <alignment vertical="center"/>
    </xf>
    <xf numFmtId="177" fontId="4" fillId="10" borderId="40" xfId="0" applyNumberFormat="1" applyFont="1" applyFill="1" applyBorder="1">
      <alignment vertical="center"/>
    </xf>
    <xf numFmtId="177" fontId="4" fillId="10" borderId="39" xfId="0" applyNumberFormat="1" applyFont="1" applyFill="1" applyBorder="1">
      <alignment vertical="center"/>
    </xf>
    <xf numFmtId="177" fontId="4" fillId="10" borderId="12" xfId="0" applyNumberFormat="1" applyFont="1" applyFill="1" applyBorder="1">
      <alignment vertical="center"/>
    </xf>
    <xf numFmtId="177" fontId="4" fillId="10" borderId="5" xfId="0" applyNumberFormat="1" applyFont="1" applyFill="1" applyBorder="1">
      <alignment vertical="center"/>
    </xf>
    <xf numFmtId="177" fontId="4" fillId="10" borderId="6" xfId="0" applyNumberFormat="1" applyFont="1" applyFill="1" applyBorder="1">
      <alignment vertical="center"/>
    </xf>
    <xf numFmtId="177" fontId="4" fillId="10" borderId="41" xfId="0" applyNumberFormat="1" applyFont="1" applyFill="1" applyBorder="1">
      <alignment vertical="center"/>
    </xf>
    <xf numFmtId="177" fontId="4" fillId="5" borderId="53" xfId="0" applyNumberFormat="1" applyFont="1" applyFill="1" applyBorder="1">
      <alignment vertical="center"/>
    </xf>
    <xf numFmtId="177" fontId="4" fillId="5" borderId="54" xfId="0" applyNumberFormat="1" applyFont="1" applyFill="1" applyBorder="1">
      <alignment vertical="center"/>
    </xf>
    <xf numFmtId="177" fontId="4" fillId="5" borderId="17" xfId="0" applyNumberFormat="1" applyFont="1" applyFill="1" applyBorder="1">
      <alignment vertical="center"/>
    </xf>
    <xf numFmtId="177" fontId="4" fillId="5" borderId="16" xfId="0" applyNumberFormat="1" applyFont="1" applyFill="1" applyBorder="1">
      <alignment vertical="center"/>
    </xf>
    <xf numFmtId="177" fontId="4" fillId="5" borderId="18" xfId="0" applyNumberFormat="1" applyFont="1" applyFill="1" applyBorder="1">
      <alignment vertical="center"/>
    </xf>
    <xf numFmtId="177" fontId="4" fillId="5" borderId="55" xfId="0" applyNumberFormat="1" applyFont="1" applyFill="1" applyBorder="1">
      <alignment vertical="center"/>
    </xf>
    <xf numFmtId="177" fontId="4" fillId="6" borderId="28" xfId="0" applyNumberFormat="1" applyFont="1" applyFill="1" applyBorder="1">
      <alignment vertical="center"/>
    </xf>
    <xf numFmtId="177" fontId="4" fillId="6" borderId="58" xfId="0" applyNumberFormat="1" applyFont="1" applyFill="1" applyBorder="1">
      <alignment vertical="center"/>
    </xf>
    <xf numFmtId="177" fontId="4" fillId="6" borderId="21" xfId="0" applyNumberFormat="1" applyFont="1" applyFill="1" applyBorder="1">
      <alignment vertical="center"/>
    </xf>
    <xf numFmtId="177" fontId="4" fillId="6" borderId="20" xfId="0" applyNumberFormat="1" applyFont="1" applyFill="1" applyBorder="1">
      <alignment vertical="center"/>
    </xf>
    <xf numFmtId="177" fontId="4" fillId="6" borderId="22" xfId="0" applyNumberFormat="1" applyFont="1" applyFill="1" applyBorder="1">
      <alignment vertical="center"/>
    </xf>
    <xf numFmtId="177" fontId="4" fillId="6" borderId="29" xfId="0" applyNumberFormat="1" applyFont="1" applyFill="1" applyBorder="1">
      <alignment vertical="center"/>
    </xf>
    <xf numFmtId="177" fontId="4" fillId="0" borderId="36" xfId="0" applyNumberFormat="1" applyFont="1" applyBorder="1">
      <alignment vertical="center"/>
    </xf>
    <xf numFmtId="177" fontId="4" fillId="0" borderId="56" xfId="0" applyNumberFormat="1" applyFont="1" applyBorder="1">
      <alignment vertical="center"/>
    </xf>
    <xf numFmtId="177" fontId="4" fillId="9" borderId="56" xfId="0" applyNumberFormat="1" applyFont="1" applyFill="1" applyBorder="1">
      <alignment vertical="center"/>
    </xf>
    <xf numFmtId="177" fontId="4" fillId="9" borderId="25" xfId="0" applyNumberFormat="1" applyFont="1" applyFill="1" applyBorder="1">
      <alignment vertical="center"/>
    </xf>
    <xf numFmtId="177" fontId="4" fillId="0" borderId="24" xfId="0" applyNumberFormat="1" applyFont="1" applyBorder="1">
      <alignment vertical="center"/>
    </xf>
    <xf numFmtId="177" fontId="4" fillId="9" borderId="26" xfId="0" applyNumberFormat="1" applyFont="1" applyFill="1" applyBorder="1">
      <alignment vertical="center"/>
    </xf>
    <xf numFmtId="177" fontId="4" fillId="0" borderId="25" xfId="0" applyNumberFormat="1" applyFont="1" applyBorder="1">
      <alignment vertical="center"/>
    </xf>
    <xf numFmtId="177" fontId="4" fillId="9" borderId="37" xfId="0" applyNumberFormat="1" applyFont="1" applyFill="1" applyBorder="1">
      <alignment vertical="center"/>
    </xf>
    <xf numFmtId="177" fontId="4" fillId="0" borderId="40" xfId="0" applyNumberFormat="1" applyFont="1" applyBorder="1">
      <alignment vertical="center"/>
    </xf>
    <xf numFmtId="177" fontId="4" fillId="0" borderId="39" xfId="0" applyNumberFormat="1" applyFont="1" applyBorder="1">
      <alignment vertical="center"/>
    </xf>
    <xf numFmtId="177" fontId="4" fillId="9" borderId="39" xfId="0" applyNumberFormat="1" applyFont="1" applyFill="1" applyBorder="1">
      <alignment vertical="center"/>
    </xf>
    <xf numFmtId="177" fontId="4" fillId="9" borderId="12" xfId="0" applyNumberFormat="1" applyFont="1" applyFill="1" applyBorder="1">
      <alignment vertical="center"/>
    </xf>
    <xf numFmtId="177" fontId="4" fillId="0" borderId="5" xfId="0" applyNumberFormat="1" applyFont="1" applyBorder="1">
      <alignment vertical="center"/>
    </xf>
    <xf numFmtId="177" fontId="4" fillId="9" borderId="6" xfId="0" applyNumberFormat="1" applyFont="1" applyFill="1" applyBorder="1">
      <alignment vertical="center"/>
    </xf>
    <xf numFmtId="177" fontId="4" fillId="0" borderId="12" xfId="0" applyNumberFormat="1" applyFont="1" applyBorder="1">
      <alignment vertical="center"/>
    </xf>
    <xf numFmtId="177" fontId="4" fillId="9" borderId="41" xfId="0" applyNumberFormat="1" applyFont="1" applyFill="1" applyBorder="1">
      <alignment vertical="center"/>
    </xf>
    <xf numFmtId="177" fontId="4" fillId="0" borderId="14" xfId="0" applyNumberFormat="1" applyFont="1" applyBorder="1">
      <alignment vertical="center"/>
    </xf>
    <xf numFmtId="177" fontId="4" fillId="0" borderId="45" xfId="0" applyNumberFormat="1" applyFont="1" applyBorder="1">
      <alignment vertical="center"/>
    </xf>
  </cellXfs>
  <cellStyles count="12">
    <cellStyle name="桁区切り" xfId="2" builtinId="6"/>
    <cellStyle name="桁区切り 2" xfId="5" xr:uid="{BE86822A-F34C-423B-ADBE-127E5DB964DD}"/>
    <cellStyle name="桁区切り 3" xfId="11" xr:uid="{C4BD9A23-EA5D-4417-A92F-6FEEAB330574}"/>
    <cellStyle name="桁区切り 4" xfId="3" xr:uid="{48E53343-B642-4042-A356-48965906472E}"/>
    <cellStyle name="通貨 2" xfId="4" xr:uid="{98D77B8F-BEDC-40AE-BE7E-B61405F36263}"/>
    <cellStyle name="通貨 2 2" xfId="7" xr:uid="{A07BFE91-55BC-4DB7-B88A-6195F2654E9C}"/>
    <cellStyle name="標準" xfId="0" builtinId="0"/>
    <cellStyle name="標準 2" xfId="1" xr:uid="{6A2A3D9D-9CF7-406C-AC3F-356BF66FDFAF}"/>
    <cellStyle name="標準 3" xfId="6" xr:uid="{E7CC4FEC-3C9D-49A6-AE19-5BFEACEBCE91}"/>
    <cellStyle name="標準 3 2" xfId="8" xr:uid="{9611F58B-3DAA-4350-A27A-C34C9C7A7090}"/>
    <cellStyle name="標準 4" xfId="9" xr:uid="{EF219394-A785-473A-8306-7B326D7E532E}"/>
    <cellStyle name="標準 4 2" xfId="10" xr:uid="{553A1A97-921B-4393-949C-AF1080B88957}"/>
  </cellStyles>
  <dxfs count="0"/>
  <tableStyles count="0" defaultTableStyle="TableStyleMedium2" defaultPivotStyle="PivotStyleLight16"/>
  <colors>
    <mruColors>
      <color rgb="FFE0C2DC"/>
      <color rgb="FFDEBAD7"/>
      <color rgb="FFC5C2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2D02B-B5BC-4AEE-98BD-97013239F318}">
  <sheetPr>
    <tabColor rgb="FF00B0F0"/>
    <pageSetUpPr fitToPage="1"/>
  </sheetPr>
  <dimension ref="A1:CA122"/>
  <sheetViews>
    <sheetView showGridLines="0" tabSelected="1" view="pageBreakPreview" zoomScale="61" zoomScaleNormal="90" zoomScaleSheetLayoutView="90" workbookViewId="0">
      <pane xSplit="4" ySplit="6" topLeftCell="BJ7" activePane="bottomRight" state="frozen"/>
      <selection activeCell="O16" sqref="O16"/>
      <selection pane="topRight" activeCell="O16" sqref="O16"/>
      <selection pane="bottomLeft" activeCell="O16" sqref="O16"/>
      <selection pane="bottomRight" activeCell="P79" sqref="P79"/>
    </sheetView>
  </sheetViews>
  <sheetFormatPr baseColWidth="10" defaultColWidth="9" defaultRowHeight="18" outlineLevelRow="1"/>
  <cols>
    <col min="1" max="1" width="2.33203125" customWidth="1"/>
    <col min="2" max="2" width="3.83203125" customWidth="1"/>
    <col min="3" max="3" width="9.6640625" customWidth="1"/>
    <col min="4" max="4" width="2.1640625" customWidth="1"/>
    <col min="5" max="5" width="12" bestFit="1" customWidth="1"/>
    <col min="6" max="6" width="12.5" bestFit="1" customWidth="1"/>
    <col min="7" max="8" width="12" bestFit="1" customWidth="1"/>
    <col min="9" max="9" width="11.1640625" bestFit="1" customWidth="1"/>
    <col min="10" max="10" width="10.1640625" bestFit="1" customWidth="1"/>
    <col min="11" max="13" width="11.1640625" bestFit="1" customWidth="1"/>
    <col min="14" max="14" width="9.1640625" bestFit="1" customWidth="1"/>
    <col min="15" max="18" width="11.1640625" bestFit="1" customWidth="1"/>
    <col min="19" max="19" width="9.1640625" bestFit="1" customWidth="1"/>
    <col min="20" max="23" width="12" bestFit="1" customWidth="1"/>
    <col min="24" max="24" width="11.1640625" bestFit="1" customWidth="1"/>
    <col min="25" max="26" width="8.5" bestFit="1" customWidth="1"/>
    <col min="27" max="27" width="8.6640625" bestFit="1" customWidth="1"/>
    <col min="28" max="28" width="11.1640625" bestFit="1" customWidth="1"/>
    <col min="29" max="31" width="12" bestFit="1" customWidth="1"/>
    <col min="32" max="32" width="11.1640625" bestFit="1" customWidth="1"/>
    <col min="33" max="33" width="12" bestFit="1" customWidth="1"/>
    <col min="34" max="34" width="11.1640625" bestFit="1" customWidth="1"/>
    <col min="35" max="36" width="12" bestFit="1" customWidth="1"/>
    <col min="37" max="37" width="11.1640625" bestFit="1" customWidth="1"/>
    <col min="38" max="54" width="12" bestFit="1" customWidth="1"/>
    <col min="55" max="55" width="11.1640625" bestFit="1" customWidth="1"/>
    <col min="56" max="57" width="12" bestFit="1" customWidth="1"/>
    <col min="58" max="58" width="8.5" bestFit="1" customWidth="1"/>
    <col min="59" max="62" width="11.1640625" bestFit="1" customWidth="1"/>
    <col min="63" max="63" width="8.5" bestFit="1" customWidth="1"/>
    <col min="64" max="64" width="11.1640625" bestFit="1" customWidth="1"/>
    <col min="65" max="67" width="12" bestFit="1" customWidth="1"/>
    <col min="68" max="68" width="8.6640625" bestFit="1" customWidth="1"/>
    <col min="69" max="73" width="12" bestFit="1" customWidth="1"/>
    <col min="74" max="74" width="11.1640625" bestFit="1" customWidth="1"/>
    <col min="75" max="79" width="12" bestFit="1" customWidth="1"/>
    <col min="80" max="16384" width="9" style="1"/>
  </cols>
  <sheetData>
    <row r="1" spans="1:79" ht="31">
      <c r="B1" s="119"/>
      <c r="C1" s="119"/>
      <c r="D1" s="119"/>
      <c r="F1" s="141" t="s">
        <v>263</v>
      </c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40"/>
      <c r="BS1" s="140"/>
      <c r="BT1" s="119"/>
      <c r="BU1" s="119"/>
      <c r="BV1" s="119"/>
      <c r="BW1" s="119"/>
      <c r="BX1" s="119"/>
      <c r="BY1" s="119"/>
      <c r="BZ1" s="119"/>
      <c r="CA1" s="119"/>
    </row>
    <row r="2" spans="1:79" s="69" customFormat="1" ht="19.5" customHeight="1" thickBo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162" t="s">
        <v>254</v>
      </c>
      <c r="AL2" s="162"/>
      <c r="AM2" s="162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162" t="s">
        <v>254</v>
      </c>
      <c r="BZ2" s="162"/>
      <c r="CA2" s="162"/>
    </row>
    <row r="3" spans="1:79" s="69" customFormat="1" ht="22" customHeight="1" thickBot="1">
      <c r="A3" s="143" t="s">
        <v>1</v>
      </c>
      <c r="B3" s="144"/>
      <c r="C3" s="70"/>
      <c r="D3" s="70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71"/>
      <c r="Z3" s="116"/>
      <c r="AA3" s="116"/>
      <c r="AB3" s="116"/>
      <c r="AC3" s="116"/>
      <c r="AD3" s="71"/>
      <c r="AE3" s="116"/>
      <c r="AF3" s="116"/>
      <c r="AG3" s="116"/>
      <c r="AH3" s="71"/>
      <c r="AI3" s="71"/>
      <c r="AJ3" s="116"/>
      <c r="AK3" s="116"/>
      <c r="AL3" s="116"/>
      <c r="AM3" s="72"/>
      <c r="AN3" s="120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20"/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  <c r="BQ3" s="116"/>
      <c r="BR3" s="71"/>
      <c r="BS3" s="116"/>
      <c r="BT3" s="116"/>
      <c r="BU3" s="116"/>
      <c r="BV3" s="116"/>
      <c r="BW3" s="116"/>
      <c r="BX3" s="116"/>
      <c r="BY3" s="116"/>
      <c r="BZ3" s="116"/>
      <c r="CA3" s="117"/>
    </row>
    <row r="4" spans="1:79" s="69" customFormat="1" ht="22" customHeight="1" thickBot="1">
      <c r="A4" s="145"/>
      <c r="B4" s="146"/>
      <c r="C4" s="73"/>
      <c r="D4" s="73"/>
      <c r="E4" s="123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58" t="s">
        <v>249</v>
      </c>
      <c r="U4" s="158"/>
      <c r="V4" s="158"/>
      <c r="W4" s="158"/>
      <c r="X4" s="159"/>
      <c r="Y4" s="127"/>
      <c r="Z4" s="127"/>
      <c r="AA4" s="127"/>
      <c r="AB4" s="127"/>
      <c r="AC4" s="127"/>
      <c r="AD4" s="127"/>
      <c r="AE4" s="127"/>
      <c r="AF4" s="127"/>
      <c r="AG4" s="127"/>
      <c r="AH4" s="128"/>
      <c r="AI4" s="164" t="s">
        <v>250</v>
      </c>
      <c r="AJ4" s="164"/>
      <c r="AK4" s="164"/>
      <c r="AL4" s="164"/>
      <c r="AM4" s="165"/>
      <c r="AN4" s="125"/>
      <c r="AO4" s="126"/>
      <c r="AP4" s="126"/>
      <c r="AQ4" s="126"/>
      <c r="AR4" s="126"/>
      <c r="AS4" s="126"/>
      <c r="AT4" s="126"/>
      <c r="AU4" s="126"/>
      <c r="AV4" s="126"/>
      <c r="AW4" s="126"/>
      <c r="AX4" s="169" t="s">
        <v>251</v>
      </c>
      <c r="AY4" s="169"/>
      <c r="AZ4" s="169"/>
      <c r="BA4" s="169"/>
      <c r="BB4" s="170"/>
      <c r="BC4" s="125"/>
      <c r="BD4" s="126"/>
      <c r="BE4" s="126"/>
      <c r="BF4" s="126"/>
      <c r="BG4" s="126"/>
      <c r="BH4" s="126"/>
      <c r="BI4" s="126"/>
      <c r="BJ4" s="126"/>
      <c r="BK4" s="126"/>
      <c r="BL4" s="126"/>
      <c r="BM4" s="169" t="s">
        <v>264</v>
      </c>
      <c r="BN4" s="169"/>
      <c r="BO4" s="169"/>
      <c r="BP4" s="169"/>
      <c r="BQ4" s="170"/>
      <c r="BR4" s="129"/>
      <c r="BS4" s="129"/>
      <c r="BT4" s="129"/>
      <c r="BU4" s="129"/>
      <c r="BV4" s="130"/>
      <c r="BW4" s="142"/>
      <c r="BX4" s="142"/>
      <c r="BY4" s="142"/>
      <c r="BZ4" s="142"/>
      <c r="CA4" s="121"/>
    </row>
    <row r="5" spans="1:79" s="75" customFormat="1" ht="22" customHeight="1" thickBot="1">
      <c r="A5" s="145"/>
      <c r="B5" s="146"/>
      <c r="C5" s="73"/>
      <c r="D5" s="73"/>
      <c r="E5" s="154" t="s">
        <v>241</v>
      </c>
      <c r="F5" s="155"/>
      <c r="G5" s="155"/>
      <c r="H5" s="155"/>
      <c r="I5" s="155"/>
      <c r="J5" s="156" t="s">
        <v>242</v>
      </c>
      <c r="K5" s="155"/>
      <c r="L5" s="155"/>
      <c r="M5" s="155"/>
      <c r="N5" s="157"/>
      <c r="O5" s="153" t="s">
        <v>243</v>
      </c>
      <c r="P5" s="150"/>
      <c r="Q5" s="150"/>
      <c r="R5" s="150"/>
      <c r="S5" s="151"/>
      <c r="T5" s="160"/>
      <c r="U5" s="160"/>
      <c r="V5" s="160"/>
      <c r="W5" s="160"/>
      <c r="X5" s="161"/>
      <c r="Y5" s="149" t="s">
        <v>244</v>
      </c>
      <c r="Z5" s="150"/>
      <c r="AA5" s="150"/>
      <c r="AB5" s="150"/>
      <c r="AC5" s="163"/>
      <c r="AD5" s="149" t="s">
        <v>245</v>
      </c>
      <c r="AE5" s="150"/>
      <c r="AF5" s="150"/>
      <c r="AG5" s="150"/>
      <c r="AH5" s="151"/>
      <c r="AI5" s="166"/>
      <c r="AJ5" s="167"/>
      <c r="AK5" s="167"/>
      <c r="AL5" s="167"/>
      <c r="AM5" s="168"/>
      <c r="AN5" s="152" t="s">
        <v>246</v>
      </c>
      <c r="AO5" s="150"/>
      <c r="AP5" s="150"/>
      <c r="AQ5" s="150"/>
      <c r="AR5" s="150"/>
      <c r="AS5" s="153" t="s">
        <v>247</v>
      </c>
      <c r="AT5" s="150"/>
      <c r="AU5" s="150"/>
      <c r="AV5" s="150"/>
      <c r="AW5" s="151"/>
      <c r="AX5" s="171"/>
      <c r="AY5" s="171"/>
      <c r="AZ5" s="171"/>
      <c r="BA5" s="171"/>
      <c r="BB5" s="172"/>
      <c r="BC5" s="152" t="s">
        <v>252</v>
      </c>
      <c r="BD5" s="150"/>
      <c r="BE5" s="150"/>
      <c r="BF5" s="150"/>
      <c r="BG5" s="150"/>
      <c r="BH5" s="153" t="s">
        <v>265</v>
      </c>
      <c r="BI5" s="150"/>
      <c r="BJ5" s="150"/>
      <c r="BK5" s="150"/>
      <c r="BL5" s="151"/>
      <c r="BM5" s="171"/>
      <c r="BN5" s="171"/>
      <c r="BO5" s="171"/>
      <c r="BP5" s="171"/>
      <c r="BQ5" s="172"/>
      <c r="BR5" s="173" t="s">
        <v>240</v>
      </c>
      <c r="BS5" s="174"/>
      <c r="BT5" s="174"/>
      <c r="BU5" s="174"/>
      <c r="BV5" s="175"/>
      <c r="BW5" s="154" t="s">
        <v>253</v>
      </c>
      <c r="BX5" s="155"/>
      <c r="BY5" s="155"/>
      <c r="BZ5" s="155"/>
      <c r="CA5" s="176"/>
    </row>
    <row r="6" spans="1:79" s="80" customFormat="1" ht="22" customHeight="1" thickTop="1">
      <c r="A6" s="147"/>
      <c r="B6" s="148"/>
      <c r="C6" s="76"/>
      <c r="D6" s="76"/>
      <c r="E6" s="74" t="s">
        <v>248</v>
      </c>
      <c r="F6" s="77" t="s">
        <v>259</v>
      </c>
      <c r="G6" s="78" t="s">
        <v>261</v>
      </c>
      <c r="H6" s="77" t="s">
        <v>260</v>
      </c>
      <c r="I6" s="122" t="s">
        <v>262</v>
      </c>
      <c r="J6" s="74" t="s">
        <v>248</v>
      </c>
      <c r="K6" s="77" t="s">
        <v>259</v>
      </c>
      <c r="L6" s="78" t="s">
        <v>261</v>
      </c>
      <c r="M6" s="77" t="s">
        <v>260</v>
      </c>
      <c r="N6" s="122" t="s">
        <v>262</v>
      </c>
      <c r="O6" s="74" t="s">
        <v>248</v>
      </c>
      <c r="P6" s="77" t="s">
        <v>259</v>
      </c>
      <c r="Q6" s="78" t="s">
        <v>261</v>
      </c>
      <c r="R6" s="77" t="s">
        <v>260</v>
      </c>
      <c r="S6" s="122" t="s">
        <v>262</v>
      </c>
      <c r="T6" s="74" t="s">
        <v>248</v>
      </c>
      <c r="U6" s="77" t="s">
        <v>259</v>
      </c>
      <c r="V6" s="78" t="s">
        <v>261</v>
      </c>
      <c r="W6" s="77" t="s">
        <v>260</v>
      </c>
      <c r="X6" s="122" t="s">
        <v>262</v>
      </c>
      <c r="Y6" s="74" t="s">
        <v>248</v>
      </c>
      <c r="Z6" s="77" t="s">
        <v>259</v>
      </c>
      <c r="AA6" s="78" t="s">
        <v>261</v>
      </c>
      <c r="AB6" s="77" t="s">
        <v>260</v>
      </c>
      <c r="AC6" s="122" t="s">
        <v>262</v>
      </c>
      <c r="AD6" s="74" t="s">
        <v>248</v>
      </c>
      <c r="AE6" s="77" t="s">
        <v>259</v>
      </c>
      <c r="AF6" s="78" t="s">
        <v>261</v>
      </c>
      <c r="AG6" s="77" t="s">
        <v>260</v>
      </c>
      <c r="AH6" s="122" t="s">
        <v>262</v>
      </c>
      <c r="AI6" s="74" t="s">
        <v>248</v>
      </c>
      <c r="AJ6" s="77" t="s">
        <v>259</v>
      </c>
      <c r="AK6" s="78" t="s">
        <v>261</v>
      </c>
      <c r="AL6" s="77" t="s">
        <v>260</v>
      </c>
      <c r="AM6" s="122" t="s">
        <v>262</v>
      </c>
      <c r="AN6" s="74" t="s">
        <v>248</v>
      </c>
      <c r="AO6" s="77" t="s">
        <v>259</v>
      </c>
      <c r="AP6" s="78" t="s">
        <v>261</v>
      </c>
      <c r="AQ6" s="77" t="s">
        <v>260</v>
      </c>
      <c r="AR6" s="122" t="s">
        <v>262</v>
      </c>
      <c r="AS6" s="74" t="s">
        <v>248</v>
      </c>
      <c r="AT6" s="77" t="s">
        <v>259</v>
      </c>
      <c r="AU6" s="78" t="s">
        <v>261</v>
      </c>
      <c r="AV6" s="77" t="s">
        <v>260</v>
      </c>
      <c r="AW6" s="122" t="s">
        <v>262</v>
      </c>
      <c r="AX6" s="74" t="s">
        <v>248</v>
      </c>
      <c r="AY6" s="77" t="s">
        <v>259</v>
      </c>
      <c r="AZ6" s="78" t="s">
        <v>261</v>
      </c>
      <c r="BA6" s="77" t="s">
        <v>260</v>
      </c>
      <c r="BB6" s="122" t="s">
        <v>262</v>
      </c>
      <c r="BC6" s="74" t="s">
        <v>248</v>
      </c>
      <c r="BD6" s="77" t="s">
        <v>259</v>
      </c>
      <c r="BE6" s="78" t="s">
        <v>261</v>
      </c>
      <c r="BF6" s="77" t="s">
        <v>260</v>
      </c>
      <c r="BG6" s="122" t="s">
        <v>262</v>
      </c>
      <c r="BH6" s="74" t="s">
        <v>248</v>
      </c>
      <c r="BI6" s="77" t="s">
        <v>259</v>
      </c>
      <c r="BJ6" s="78" t="s">
        <v>261</v>
      </c>
      <c r="BK6" s="77" t="s">
        <v>260</v>
      </c>
      <c r="BL6" s="122" t="s">
        <v>262</v>
      </c>
      <c r="BM6" s="74" t="s">
        <v>248</v>
      </c>
      <c r="BN6" s="77" t="s">
        <v>259</v>
      </c>
      <c r="BO6" s="78" t="s">
        <v>261</v>
      </c>
      <c r="BP6" s="77" t="s">
        <v>260</v>
      </c>
      <c r="BQ6" s="122" t="s">
        <v>262</v>
      </c>
      <c r="BR6" s="74" t="s">
        <v>248</v>
      </c>
      <c r="BS6" s="77" t="s">
        <v>259</v>
      </c>
      <c r="BT6" s="78" t="s">
        <v>261</v>
      </c>
      <c r="BU6" s="77" t="s">
        <v>260</v>
      </c>
      <c r="BV6" s="122" t="s">
        <v>262</v>
      </c>
      <c r="BW6" s="74" t="s">
        <v>248</v>
      </c>
      <c r="BX6" s="77" t="s">
        <v>259</v>
      </c>
      <c r="BY6" s="78" t="s">
        <v>261</v>
      </c>
      <c r="BZ6" s="77" t="s">
        <v>260</v>
      </c>
      <c r="CA6" s="79" t="s">
        <v>262</v>
      </c>
    </row>
    <row r="7" spans="1:79" s="83" customFormat="1" ht="22" customHeight="1">
      <c r="A7" s="81" t="s">
        <v>4</v>
      </c>
      <c r="B7" s="82"/>
      <c r="C7" s="82"/>
      <c r="D7" s="82"/>
      <c r="E7" s="185">
        <v>98216.5</v>
      </c>
      <c r="F7" s="186">
        <f>+ﾇｰﾍﾞﾙﾌﾟｰｽ!W6/1000</f>
        <v>101506.705</v>
      </c>
      <c r="G7" s="186">
        <f>+E7-F7</f>
        <v>-3290.2050000000017</v>
      </c>
      <c r="H7" s="186">
        <v>100726</v>
      </c>
      <c r="I7" s="187">
        <f>+E7-H7</f>
        <v>-2509.5</v>
      </c>
      <c r="J7" s="188">
        <v>9212.0969999999998</v>
      </c>
      <c r="K7" s="186">
        <f>+ｶﾌｪﾙﾎﾟ!W6/1000</f>
        <v>8565.6260000000002</v>
      </c>
      <c r="L7" s="186">
        <f>+J7-K7</f>
        <v>646.47099999999955</v>
      </c>
      <c r="M7" s="186">
        <v>8389</v>
      </c>
      <c r="N7" s="189">
        <f>+J7-M7</f>
        <v>823.09699999999975</v>
      </c>
      <c r="O7" s="187">
        <v>19649</v>
      </c>
      <c r="P7" s="186">
        <f>+ｶﾌｪｾﾚｽﾃ!W6/1000</f>
        <v>20165.808000000001</v>
      </c>
      <c r="Q7" s="186">
        <f>+O7-P7</f>
        <v>-516.8080000000009</v>
      </c>
      <c r="R7" s="186">
        <v>19505</v>
      </c>
      <c r="S7" s="187">
        <f>+O7-R7</f>
        <v>144</v>
      </c>
      <c r="T7" s="185">
        <f>+E7+J7+O7</f>
        <v>127077.59699999999</v>
      </c>
      <c r="U7" s="186">
        <f>+F7+K7+P7</f>
        <v>130238.13900000001</v>
      </c>
      <c r="V7" s="186">
        <f>+T7-U7</f>
        <v>-3160.5420000000158</v>
      </c>
      <c r="W7" s="186">
        <f>+H7+M7+R7</f>
        <v>128620</v>
      </c>
      <c r="X7" s="190">
        <f>+T7-W7</f>
        <v>-1542.4030000000057</v>
      </c>
      <c r="Y7" s="187"/>
      <c r="Z7" s="186"/>
      <c r="AA7" s="186">
        <f>+Y7-Z7</f>
        <v>0</v>
      </c>
      <c r="AB7" s="186">
        <v>23760</v>
      </c>
      <c r="AC7" s="189">
        <f>+Y7-AB7</f>
        <v>-23760</v>
      </c>
      <c r="AD7" s="187">
        <v>164317.96599999999</v>
      </c>
      <c r="AE7" s="186">
        <f>+ｼﾞｭｴﾙｽﾞ!W6/1000</f>
        <v>167135.97099999999</v>
      </c>
      <c r="AF7" s="186">
        <f>+AD7-AE7</f>
        <v>-2818.0050000000047</v>
      </c>
      <c r="AG7" s="186">
        <v>162532</v>
      </c>
      <c r="AH7" s="190">
        <f>+AD7-AG7</f>
        <v>1785.9659999999858</v>
      </c>
      <c r="AI7" s="185">
        <f>+Y7+AD7</f>
        <v>164317.96599999999</v>
      </c>
      <c r="AJ7" s="186">
        <f>+Z7+AE7</f>
        <v>167135.97099999999</v>
      </c>
      <c r="AK7" s="186">
        <f>+AI7-AJ7</f>
        <v>-2818.0050000000047</v>
      </c>
      <c r="AL7" s="186">
        <f>+AB7+AG7</f>
        <v>186292</v>
      </c>
      <c r="AM7" s="190">
        <f>+AI7-AL7</f>
        <v>-21974.034000000014</v>
      </c>
      <c r="AN7" s="185">
        <v>136763.17199999999</v>
      </c>
      <c r="AO7" s="186">
        <f>+ｶﾞｰﾃﾞﾝ!W6/1000</f>
        <v>154985.14300000001</v>
      </c>
      <c r="AP7" s="186">
        <f>+AN7-AO7</f>
        <v>-18221.97100000002</v>
      </c>
      <c r="AQ7" s="186">
        <v>136981</v>
      </c>
      <c r="AR7" s="187">
        <f>+AN7-AQ7</f>
        <v>-217.82800000000861</v>
      </c>
      <c r="AS7" s="188">
        <v>154408.29500000001</v>
      </c>
      <c r="AT7" s="186">
        <f>+ﾋﾞｱｶﾞｰﾃﾞﾝ!W6/1000</f>
        <v>178615.739</v>
      </c>
      <c r="AU7" s="186">
        <f>+AS7-AT7</f>
        <v>-24207.443999999989</v>
      </c>
      <c r="AV7" s="186">
        <v>139737</v>
      </c>
      <c r="AW7" s="190">
        <f>+AS7-AV7</f>
        <v>14671.295000000013</v>
      </c>
      <c r="AX7" s="185">
        <f>+AN7+AS7</f>
        <v>291171.467</v>
      </c>
      <c r="AY7" s="186">
        <f>+AO7+AT7</f>
        <v>333600.88199999998</v>
      </c>
      <c r="AZ7" s="186">
        <f>+AX7-AY7</f>
        <v>-42429.414999999979</v>
      </c>
      <c r="BA7" s="186">
        <f>+AQ7+AV7</f>
        <v>276718</v>
      </c>
      <c r="BB7" s="190">
        <f>+AX7-BA7</f>
        <v>14453.467000000004</v>
      </c>
      <c r="BC7" s="185">
        <v>75365.66</v>
      </c>
      <c r="BD7" s="186">
        <f>+ブリック!W6/1000</f>
        <v>61370.735000000001</v>
      </c>
      <c r="BE7" s="186">
        <f>+BC7-BD7</f>
        <v>13994.925000000003</v>
      </c>
      <c r="BF7" s="186"/>
      <c r="BG7" s="187">
        <f>+BC7-BF7</f>
        <v>75365.66</v>
      </c>
      <c r="BH7" s="188">
        <v>50302.400000000001</v>
      </c>
      <c r="BI7" s="186">
        <f>+ルスツ羊蹄ぶた!W6/1000</f>
        <v>34511.1</v>
      </c>
      <c r="BJ7" s="186">
        <f>+BH7-BI7</f>
        <v>15791.300000000003</v>
      </c>
      <c r="BK7" s="186"/>
      <c r="BL7" s="190">
        <f>+BH7-BK7</f>
        <v>50302.400000000001</v>
      </c>
      <c r="BM7" s="185">
        <f>+BC7+BH7</f>
        <v>125668.06</v>
      </c>
      <c r="BN7" s="186">
        <f>+BD7+BI7</f>
        <v>95881.834999999992</v>
      </c>
      <c r="BO7" s="186">
        <f>+BM7-BN7</f>
        <v>29786.225000000006</v>
      </c>
      <c r="BP7" s="186">
        <f>+BF7+BK7</f>
        <v>0</v>
      </c>
      <c r="BQ7" s="190">
        <f>+BM7-BP7</f>
        <v>125668.06</v>
      </c>
      <c r="BR7" s="185">
        <v>0</v>
      </c>
      <c r="BS7" s="186">
        <f>+料飲共通!W6/1000</f>
        <v>0</v>
      </c>
      <c r="BT7" s="186">
        <f>+BR7-BS7</f>
        <v>0</v>
      </c>
      <c r="BU7" s="186">
        <v>0</v>
      </c>
      <c r="BV7" s="190">
        <f>+BR7-BU7</f>
        <v>0</v>
      </c>
      <c r="BW7" s="185">
        <f>+T7+AI7+AX7+BM7+BR7</f>
        <v>708235.09000000008</v>
      </c>
      <c r="BX7" s="186">
        <f>+U7+AJ7+AY7+BN7+BS7</f>
        <v>726856.82699999993</v>
      </c>
      <c r="BY7" s="186">
        <f t="shared" ref="BY7:BY70" si="0">+BW7-BX7</f>
        <v>-18621.736999999848</v>
      </c>
      <c r="BZ7" s="186">
        <f>+W7+AL7+BA7+BP7+BU7</f>
        <v>591630</v>
      </c>
      <c r="CA7" s="190">
        <f>+BW7-BZ7</f>
        <v>116605.09000000008</v>
      </c>
    </row>
    <row r="8" spans="1:79" s="83" customFormat="1" ht="22" customHeight="1">
      <c r="A8" s="84"/>
      <c r="B8" s="85" t="s">
        <v>6</v>
      </c>
      <c r="C8" s="86"/>
      <c r="D8" s="86"/>
      <c r="E8" s="191">
        <v>98216.5</v>
      </c>
      <c r="F8" s="192">
        <f>+ﾇｰﾍﾞﾙﾌﾟｰｽ!W7/1000</f>
        <v>101506.705</v>
      </c>
      <c r="G8" s="193">
        <f t="shared" ref="G8:G71" si="1">+E8-F8</f>
        <v>-3290.2050000000017</v>
      </c>
      <c r="H8" s="192">
        <v>100726</v>
      </c>
      <c r="I8" s="194">
        <f t="shared" ref="I8:I71" si="2">+E8-H8</f>
        <v>-2509.5</v>
      </c>
      <c r="J8" s="195">
        <v>9212.0969999999998</v>
      </c>
      <c r="K8" s="192">
        <f>+ｶﾌｪﾙﾎﾟ!W7/1000</f>
        <v>8565.6260000000002</v>
      </c>
      <c r="L8" s="193">
        <f t="shared" ref="L8:L71" si="3">+J8-K8</f>
        <v>646.47099999999955</v>
      </c>
      <c r="M8" s="192">
        <v>8389</v>
      </c>
      <c r="N8" s="196">
        <f t="shared" ref="N8:N71" si="4">+J8-M8</f>
        <v>823.09699999999975</v>
      </c>
      <c r="O8" s="197">
        <v>19649</v>
      </c>
      <c r="P8" s="192">
        <f>+ｶﾌｪｾﾚｽﾃ!W7/1000</f>
        <v>20165.808000000001</v>
      </c>
      <c r="Q8" s="193">
        <f t="shared" ref="Q8:Q71" si="5">+O8-P8</f>
        <v>-516.8080000000009</v>
      </c>
      <c r="R8" s="192">
        <v>19505</v>
      </c>
      <c r="S8" s="194">
        <f t="shared" ref="S8:S71" si="6">+O8-R8</f>
        <v>144</v>
      </c>
      <c r="T8" s="191">
        <f t="shared" ref="T8:T71" si="7">+E8+J8+O8</f>
        <v>127077.59699999999</v>
      </c>
      <c r="U8" s="192">
        <f t="shared" ref="U8:U71" si="8">+F8+K8+P8</f>
        <v>130238.13900000001</v>
      </c>
      <c r="V8" s="193">
        <f t="shared" ref="V8:V71" si="9">+T8-U8</f>
        <v>-3160.5420000000158</v>
      </c>
      <c r="W8" s="192">
        <f t="shared" ref="W8:W71" si="10">+H8+M8+R8</f>
        <v>128620</v>
      </c>
      <c r="X8" s="198">
        <f t="shared" ref="X8:X71" si="11">+T8-W8</f>
        <v>-1542.4030000000057</v>
      </c>
      <c r="Y8" s="197"/>
      <c r="Z8" s="192"/>
      <c r="AA8" s="193">
        <f t="shared" ref="AA8:AA71" si="12">+Y8-Z8</f>
        <v>0</v>
      </c>
      <c r="AB8" s="192">
        <v>23760</v>
      </c>
      <c r="AC8" s="196">
        <f t="shared" ref="AC8:AC71" si="13">+Y8-AB8</f>
        <v>-23760</v>
      </c>
      <c r="AD8" s="197">
        <v>164317.96599999999</v>
      </c>
      <c r="AE8" s="192">
        <f>+ｼﾞｭｴﾙｽﾞ!W7/1000</f>
        <v>167135.97099999999</v>
      </c>
      <c r="AF8" s="193">
        <f t="shared" ref="AF8:AF71" si="14">+AD8-AE8</f>
        <v>-2818.0050000000047</v>
      </c>
      <c r="AG8" s="192">
        <v>162532</v>
      </c>
      <c r="AH8" s="198">
        <f t="shared" ref="AH8:AH71" si="15">+AD8-AG8</f>
        <v>1785.9659999999858</v>
      </c>
      <c r="AI8" s="191">
        <f>+Y8+AD8</f>
        <v>164317.96599999999</v>
      </c>
      <c r="AJ8" s="192">
        <f>+Z8+AE8</f>
        <v>167135.97099999999</v>
      </c>
      <c r="AK8" s="193">
        <f>+AI8-AJ8</f>
        <v>-2818.0050000000047</v>
      </c>
      <c r="AL8" s="192">
        <f>+AB8+AG8</f>
        <v>186292</v>
      </c>
      <c r="AM8" s="198">
        <f>+AI8-AL8</f>
        <v>-21974.034000000014</v>
      </c>
      <c r="AN8" s="191">
        <v>136763.17199999999</v>
      </c>
      <c r="AO8" s="192">
        <f>+ｶﾞｰﾃﾞﾝ!W7/1000</f>
        <v>154985.14300000001</v>
      </c>
      <c r="AP8" s="193">
        <f t="shared" ref="AP8:AP71" si="16">+AN8-AO8</f>
        <v>-18221.97100000002</v>
      </c>
      <c r="AQ8" s="192">
        <v>136981</v>
      </c>
      <c r="AR8" s="194">
        <f t="shared" ref="AR8:AR71" si="17">+AN8-AQ8</f>
        <v>-217.82800000000861</v>
      </c>
      <c r="AS8" s="195">
        <v>154408.29500000001</v>
      </c>
      <c r="AT8" s="192">
        <f>+ﾋﾞｱｶﾞｰﾃﾞﾝ!W7/1000</f>
        <v>178615.739</v>
      </c>
      <c r="AU8" s="193">
        <f t="shared" ref="AU8:AU71" si="18">+AS8-AT8</f>
        <v>-24207.443999999989</v>
      </c>
      <c r="AV8" s="192">
        <v>139737</v>
      </c>
      <c r="AW8" s="198">
        <f t="shared" ref="AW8:AW71" si="19">+AS8-AV8</f>
        <v>14671.295000000013</v>
      </c>
      <c r="AX8" s="191">
        <f t="shared" ref="AX8:AX71" si="20">+AN8+AS8</f>
        <v>291171.467</v>
      </c>
      <c r="AY8" s="192">
        <f t="shared" ref="AY8:AY39" si="21">+AO8+AT8</f>
        <v>333600.88199999998</v>
      </c>
      <c r="AZ8" s="193">
        <f t="shared" ref="AZ8:AZ71" si="22">+AX8-AY8</f>
        <v>-42429.414999999979</v>
      </c>
      <c r="BA8" s="192">
        <f t="shared" ref="BA8:BA71" si="23">+AQ8+AV8</f>
        <v>276718</v>
      </c>
      <c r="BB8" s="198">
        <f t="shared" ref="BB8:BB71" si="24">+AX8-BA8</f>
        <v>14453.467000000004</v>
      </c>
      <c r="BC8" s="191">
        <v>75365.66</v>
      </c>
      <c r="BD8" s="192">
        <f>+ブリック!W7/1000</f>
        <v>61370.735000000001</v>
      </c>
      <c r="BE8" s="193">
        <f t="shared" ref="BE8:BE71" si="25">+BC8-BD8</f>
        <v>13994.925000000003</v>
      </c>
      <c r="BF8" s="192"/>
      <c r="BG8" s="194">
        <f t="shared" ref="BG8:BG71" si="26">+BC8-BF8</f>
        <v>75365.66</v>
      </c>
      <c r="BH8" s="195">
        <v>50302.400000000001</v>
      </c>
      <c r="BI8" s="192">
        <f>+ルスツ羊蹄ぶた!W7/1000</f>
        <v>34511.1</v>
      </c>
      <c r="BJ8" s="193">
        <f t="shared" ref="BJ8:BJ71" si="27">+BH8-BI8</f>
        <v>15791.300000000003</v>
      </c>
      <c r="BK8" s="192"/>
      <c r="BL8" s="198">
        <f t="shared" ref="BL8:BL71" si="28">+BH8-BK8</f>
        <v>50302.400000000001</v>
      </c>
      <c r="BM8" s="191">
        <f t="shared" ref="BM8:BM17" si="29">+BC8+BH8</f>
        <v>125668.06</v>
      </c>
      <c r="BN8" s="192">
        <f t="shared" ref="BN8:BN71" si="30">+BD8+BI8</f>
        <v>95881.834999999992</v>
      </c>
      <c r="BO8" s="193">
        <f t="shared" ref="BO8:BO71" si="31">+BM8-BN8</f>
        <v>29786.225000000006</v>
      </c>
      <c r="BP8" s="192">
        <f t="shared" ref="BP8:BP71" si="32">+BF8+BK8</f>
        <v>0</v>
      </c>
      <c r="BQ8" s="198">
        <f t="shared" ref="BQ8:BQ71" si="33">+BM8-BP8</f>
        <v>125668.06</v>
      </c>
      <c r="BR8" s="191">
        <v>0</v>
      </c>
      <c r="BS8" s="192">
        <f>+料飲共通!W7/1000</f>
        <v>0</v>
      </c>
      <c r="BT8" s="193">
        <f t="shared" ref="BT8:BT71" si="34">+BR8-BS8</f>
        <v>0</v>
      </c>
      <c r="BU8" s="192">
        <v>0</v>
      </c>
      <c r="BV8" s="198">
        <f t="shared" ref="BV8:BV71" si="35">+BR8-BU8</f>
        <v>0</v>
      </c>
      <c r="BW8" s="191">
        <f t="shared" ref="BW8:BW39" si="36">+T8+AI8+AX8+BM8+BR8</f>
        <v>708235.09000000008</v>
      </c>
      <c r="BX8" s="192">
        <f t="shared" ref="BX8:BX71" si="37">+U8+AJ8+AY8+BN8+BS8</f>
        <v>726856.82699999993</v>
      </c>
      <c r="BY8" s="193">
        <f t="shared" si="0"/>
        <v>-18621.736999999848</v>
      </c>
      <c r="BZ8" s="192">
        <f t="shared" ref="BZ8:BZ39" si="38">+W8+AL8+BA8+BU8</f>
        <v>591630</v>
      </c>
      <c r="CA8" s="198">
        <f t="shared" ref="CA8:CA71" si="39">+BW8-BZ8</f>
        <v>116605.09000000008</v>
      </c>
    </row>
    <row r="9" spans="1:79" s="83" customFormat="1" ht="22" customHeight="1">
      <c r="A9" s="84"/>
      <c r="B9" s="87" t="s">
        <v>8</v>
      </c>
      <c r="C9" s="88"/>
      <c r="D9" s="88"/>
      <c r="E9" s="199">
        <v>0</v>
      </c>
      <c r="F9" s="200">
        <f>+ﾇｰﾍﾞﾙﾌﾟｰｽ!W8/1000</f>
        <v>0</v>
      </c>
      <c r="G9" s="201">
        <f t="shared" si="1"/>
        <v>0</v>
      </c>
      <c r="H9" s="200">
        <v>0</v>
      </c>
      <c r="I9" s="202">
        <f t="shared" si="2"/>
        <v>0</v>
      </c>
      <c r="J9" s="203">
        <v>0</v>
      </c>
      <c r="K9" s="200">
        <f>+ｶﾌｪﾙﾎﾟ!W8/1000</f>
        <v>0</v>
      </c>
      <c r="L9" s="201">
        <f t="shared" si="3"/>
        <v>0</v>
      </c>
      <c r="M9" s="200">
        <v>0</v>
      </c>
      <c r="N9" s="204">
        <f t="shared" si="4"/>
        <v>0</v>
      </c>
      <c r="O9" s="205">
        <v>0</v>
      </c>
      <c r="P9" s="200">
        <f>+ｶﾌｪｾﾚｽﾃ!W8/1000</f>
        <v>0</v>
      </c>
      <c r="Q9" s="201">
        <f t="shared" si="5"/>
        <v>0</v>
      </c>
      <c r="R9" s="200">
        <v>0</v>
      </c>
      <c r="S9" s="202">
        <f t="shared" si="6"/>
        <v>0</v>
      </c>
      <c r="T9" s="199">
        <f t="shared" si="7"/>
        <v>0</v>
      </c>
      <c r="U9" s="200">
        <f t="shared" si="8"/>
        <v>0</v>
      </c>
      <c r="V9" s="201">
        <f t="shared" si="9"/>
        <v>0</v>
      </c>
      <c r="W9" s="200">
        <f t="shared" si="10"/>
        <v>0</v>
      </c>
      <c r="X9" s="206">
        <f t="shared" si="11"/>
        <v>0</v>
      </c>
      <c r="Y9" s="205"/>
      <c r="Z9" s="200"/>
      <c r="AA9" s="201">
        <f t="shared" si="12"/>
        <v>0</v>
      </c>
      <c r="AB9" s="200">
        <v>0</v>
      </c>
      <c r="AC9" s="204">
        <f t="shared" si="13"/>
        <v>0</v>
      </c>
      <c r="AD9" s="205">
        <v>0</v>
      </c>
      <c r="AE9" s="200">
        <f>+ｼﾞｭｴﾙｽﾞ!W8/1000</f>
        <v>0</v>
      </c>
      <c r="AF9" s="201">
        <f t="shared" si="14"/>
        <v>0</v>
      </c>
      <c r="AG9" s="200">
        <v>0</v>
      </c>
      <c r="AH9" s="206">
        <f t="shared" si="15"/>
        <v>0</v>
      </c>
      <c r="AI9" s="199">
        <f t="shared" ref="AI9:AI71" si="40">+Y9+AD9</f>
        <v>0</v>
      </c>
      <c r="AJ9" s="200">
        <f>+Z9+AE9</f>
        <v>0</v>
      </c>
      <c r="AK9" s="201">
        <f>+AI9-AJ9</f>
        <v>0</v>
      </c>
      <c r="AL9" s="200">
        <f>+AB9+AG9</f>
        <v>0</v>
      </c>
      <c r="AM9" s="206">
        <f>+AI9-AL9</f>
        <v>0</v>
      </c>
      <c r="AN9" s="199">
        <v>0</v>
      </c>
      <c r="AO9" s="200">
        <f>+ｶﾞｰﾃﾞﾝ!W8/1000</f>
        <v>0</v>
      </c>
      <c r="AP9" s="201">
        <f t="shared" si="16"/>
        <v>0</v>
      </c>
      <c r="AQ9" s="200">
        <v>0</v>
      </c>
      <c r="AR9" s="202">
        <f t="shared" si="17"/>
        <v>0</v>
      </c>
      <c r="AS9" s="203">
        <v>0</v>
      </c>
      <c r="AT9" s="200">
        <f>+ﾋﾞｱｶﾞｰﾃﾞﾝ!W8/1000</f>
        <v>0</v>
      </c>
      <c r="AU9" s="201">
        <f t="shared" si="18"/>
        <v>0</v>
      </c>
      <c r="AV9" s="200">
        <v>0</v>
      </c>
      <c r="AW9" s="206">
        <f t="shared" si="19"/>
        <v>0</v>
      </c>
      <c r="AX9" s="199">
        <f t="shared" si="20"/>
        <v>0</v>
      </c>
      <c r="AY9" s="200">
        <f t="shared" si="21"/>
        <v>0</v>
      </c>
      <c r="AZ9" s="201">
        <f t="shared" si="22"/>
        <v>0</v>
      </c>
      <c r="BA9" s="200">
        <f t="shared" si="23"/>
        <v>0</v>
      </c>
      <c r="BB9" s="206">
        <f t="shared" si="24"/>
        <v>0</v>
      </c>
      <c r="BC9" s="199">
        <v>0</v>
      </c>
      <c r="BD9" s="200">
        <f>+ブリック!W8/1000</f>
        <v>0</v>
      </c>
      <c r="BE9" s="201">
        <f t="shared" si="25"/>
        <v>0</v>
      </c>
      <c r="BF9" s="200"/>
      <c r="BG9" s="202">
        <f t="shared" si="26"/>
        <v>0</v>
      </c>
      <c r="BH9" s="203">
        <v>0</v>
      </c>
      <c r="BI9" s="200">
        <f>+ルスツ羊蹄ぶた!W8/1000</f>
        <v>0</v>
      </c>
      <c r="BJ9" s="201">
        <f t="shared" si="27"/>
        <v>0</v>
      </c>
      <c r="BK9" s="200"/>
      <c r="BL9" s="206">
        <f t="shared" si="28"/>
        <v>0</v>
      </c>
      <c r="BM9" s="199">
        <f t="shared" si="29"/>
        <v>0</v>
      </c>
      <c r="BN9" s="200">
        <f t="shared" si="30"/>
        <v>0</v>
      </c>
      <c r="BO9" s="201">
        <f t="shared" si="31"/>
        <v>0</v>
      </c>
      <c r="BP9" s="200">
        <f t="shared" si="32"/>
        <v>0</v>
      </c>
      <c r="BQ9" s="206">
        <f t="shared" si="33"/>
        <v>0</v>
      </c>
      <c r="BR9" s="199">
        <v>0</v>
      </c>
      <c r="BS9" s="200">
        <f>+料飲共通!W8/1000</f>
        <v>0</v>
      </c>
      <c r="BT9" s="201">
        <f t="shared" si="34"/>
        <v>0</v>
      </c>
      <c r="BU9" s="200">
        <v>0</v>
      </c>
      <c r="BV9" s="206">
        <f t="shared" si="35"/>
        <v>0</v>
      </c>
      <c r="BW9" s="199">
        <f t="shared" si="36"/>
        <v>0</v>
      </c>
      <c r="BX9" s="200">
        <f t="shared" si="37"/>
        <v>0</v>
      </c>
      <c r="BY9" s="201">
        <f t="shared" si="0"/>
        <v>0</v>
      </c>
      <c r="BZ9" s="200">
        <f t="shared" si="38"/>
        <v>0</v>
      </c>
      <c r="CA9" s="206">
        <f t="shared" si="39"/>
        <v>0</v>
      </c>
    </row>
    <row r="10" spans="1:79" s="83" customFormat="1" ht="22" customHeight="1">
      <c r="A10" s="84"/>
      <c r="B10" s="87" t="s">
        <v>10</v>
      </c>
      <c r="C10" s="88"/>
      <c r="D10" s="88"/>
      <c r="E10" s="199">
        <v>0</v>
      </c>
      <c r="F10" s="200">
        <f>+ﾇｰﾍﾞﾙﾌﾟｰｽ!W9/1000</f>
        <v>0</v>
      </c>
      <c r="G10" s="201">
        <f t="shared" si="1"/>
        <v>0</v>
      </c>
      <c r="H10" s="200">
        <v>0</v>
      </c>
      <c r="I10" s="202">
        <f t="shared" si="2"/>
        <v>0</v>
      </c>
      <c r="J10" s="203">
        <v>0</v>
      </c>
      <c r="K10" s="200">
        <f>+ｶﾌｪﾙﾎﾟ!W9/1000</f>
        <v>0</v>
      </c>
      <c r="L10" s="201">
        <f t="shared" si="3"/>
        <v>0</v>
      </c>
      <c r="M10" s="200">
        <v>0</v>
      </c>
      <c r="N10" s="204">
        <f t="shared" si="4"/>
        <v>0</v>
      </c>
      <c r="O10" s="205">
        <v>0</v>
      </c>
      <c r="P10" s="200">
        <f>+ｶﾌｪｾﾚｽﾃ!W9/1000</f>
        <v>0</v>
      </c>
      <c r="Q10" s="201">
        <f t="shared" si="5"/>
        <v>0</v>
      </c>
      <c r="R10" s="200">
        <v>0</v>
      </c>
      <c r="S10" s="202">
        <f t="shared" si="6"/>
        <v>0</v>
      </c>
      <c r="T10" s="199">
        <f t="shared" si="7"/>
        <v>0</v>
      </c>
      <c r="U10" s="200">
        <f t="shared" si="8"/>
        <v>0</v>
      </c>
      <c r="V10" s="201">
        <f t="shared" si="9"/>
        <v>0</v>
      </c>
      <c r="W10" s="200">
        <f t="shared" si="10"/>
        <v>0</v>
      </c>
      <c r="X10" s="206">
        <f t="shared" si="11"/>
        <v>0</v>
      </c>
      <c r="Y10" s="205"/>
      <c r="Z10" s="200"/>
      <c r="AA10" s="201">
        <f t="shared" si="12"/>
        <v>0</v>
      </c>
      <c r="AB10" s="200">
        <v>0</v>
      </c>
      <c r="AC10" s="204">
        <f t="shared" si="13"/>
        <v>0</v>
      </c>
      <c r="AD10" s="205">
        <v>0</v>
      </c>
      <c r="AE10" s="200">
        <f>+ｼﾞｭｴﾙｽﾞ!W9/1000</f>
        <v>0</v>
      </c>
      <c r="AF10" s="201">
        <f t="shared" si="14"/>
        <v>0</v>
      </c>
      <c r="AG10" s="200">
        <v>0</v>
      </c>
      <c r="AH10" s="206">
        <f t="shared" si="15"/>
        <v>0</v>
      </c>
      <c r="AI10" s="199">
        <f t="shared" si="40"/>
        <v>0</v>
      </c>
      <c r="AJ10" s="200">
        <f t="shared" ref="AJ10:AJ71" si="41">+Z10+AE10</f>
        <v>0</v>
      </c>
      <c r="AK10" s="201">
        <f t="shared" ref="AK10:AK71" si="42">+AI10-AJ10</f>
        <v>0</v>
      </c>
      <c r="AL10" s="200">
        <f t="shared" ref="AL10:AL71" si="43">+AB10+AG10</f>
        <v>0</v>
      </c>
      <c r="AM10" s="206">
        <f t="shared" ref="AM10:AM71" si="44">+AI10-AL10</f>
        <v>0</v>
      </c>
      <c r="AN10" s="199">
        <v>0</v>
      </c>
      <c r="AO10" s="200">
        <f>+ｶﾞｰﾃﾞﾝ!W9/1000</f>
        <v>0</v>
      </c>
      <c r="AP10" s="201">
        <f t="shared" si="16"/>
        <v>0</v>
      </c>
      <c r="AQ10" s="200">
        <v>0</v>
      </c>
      <c r="AR10" s="202">
        <f t="shared" si="17"/>
        <v>0</v>
      </c>
      <c r="AS10" s="203">
        <v>0</v>
      </c>
      <c r="AT10" s="200">
        <f>+ﾋﾞｱｶﾞｰﾃﾞﾝ!W9/1000</f>
        <v>0</v>
      </c>
      <c r="AU10" s="201">
        <f t="shared" si="18"/>
        <v>0</v>
      </c>
      <c r="AV10" s="200">
        <v>0</v>
      </c>
      <c r="AW10" s="206">
        <f t="shared" si="19"/>
        <v>0</v>
      </c>
      <c r="AX10" s="199">
        <f t="shared" si="20"/>
        <v>0</v>
      </c>
      <c r="AY10" s="200">
        <f t="shared" si="21"/>
        <v>0</v>
      </c>
      <c r="AZ10" s="201">
        <f t="shared" si="22"/>
        <v>0</v>
      </c>
      <c r="BA10" s="200">
        <f t="shared" si="23"/>
        <v>0</v>
      </c>
      <c r="BB10" s="206">
        <f t="shared" si="24"/>
        <v>0</v>
      </c>
      <c r="BC10" s="199">
        <v>0</v>
      </c>
      <c r="BD10" s="200">
        <f>+ブリック!W9/1000</f>
        <v>0</v>
      </c>
      <c r="BE10" s="201">
        <f t="shared" si="25"/>
        <v>0</v>
      </c>
      <c r="BF10" s="200"/>
      <c r="BG10" s="202">
        <f t="shared" si="26"/>
        <v>0</v>
      </c>
      <c r="BH10" s="203">
        <v>0</v>
      </c>
      <c r="BI10" s="200">
        <f>+ルスツ羊蹄ぶた!W9/1000</f>
        <v>0</v>
      </c>
      <c r="BJ10" s="201">
        <f t="shared" si="27"/>
        <v>0</v>
      </c>
      <c r="BK10" s="200"/>
      <c r="BL10" s="206">
        <f t="shared" si="28"/>
        <v>0</v>
      </c>
      <c r="BM10" s="199">
        <f t="shared" si="29"/>
        <v>0</v>
      </c>
      <c r="BN10" s="200">
        <f t="shared" si="30"/>
        <v>0</v>
      </c>
      <c r="BO10" s="201">
        <f t="shared" si="31"/>
        <v>0</v>
      </c>
      <c r="BP10" s="200">
        <f t="shared" si="32"/>
        <v>0</v>
      </c>
      <c r="BQ10" s="206">
        <f t="shared" si="33"/>
        <v>0</v>
      </c>
      <c r="BR10" s="199">
        <v>0</v>
      </c>
      <c r="BS10" s="200">
        <f>+料飲共通!W9/1000</f>
        <v>0</v>
      </c>
      <c r="BT10" s="201">
        <f t="shared" si="34"/>
        <v>0</v>
      </c>
      <c r="BU10" s="200">
        <v>0</v>
      </c>
      <c r="BV10" s="206">
        <f t="shared" si="35"/>
        <v>0</v>
      </c>
      <c r="BW10" s="199">
        <f t="shared" si="36"/>
        <v>0</v>
      </c>
      <c r="BX10" s="200">
        <f t="shared" si="37"/>
        <v>0</v>
      </c>
      <c r="BY10" s="201">
        <f t="shared" si="0"/>
        <v>0</v>
      </c>
      <c r="BZ10" s="200">
        <f t="shared" si="38"/>
        <v>0</v>
      </c>
      <c r="CA10" s="206">
        <f t="shared" si="39"/>
        <v>0</v>
      </c>
    </row>
    <row r="11" spans="1:79" s="83" customFormat="1" ht="22" customHeight="1">
      <c r="A11" s="84"/>
      <c r="B11" s="87" t="s">
        <v>12</v>
      </c>
      <c r="C11" s="88"/>
      <c r="D11" s="88"/>
      <c r="E11" s="199">
        <v>0</v>
      </c>
      <c r="F11" s="200">
        <f>+ﾇｰﾍﾞﾙﾌﾟｰｽ!W10/1000</f>
        <v>0</v>
      </c>
      <c r="G11" s="201">
        <f t="shared" si="1"/>
        <v>0</v>
      </c>
      <c r="H11" s="200">
        <v>0</v>
      </c>
      <c r="I11" s="202">
        <f t="shared" si="2"/>
        <v>0</v>
      </c>
      <c r="J11" s="203">
        <v>0</v>
      </c>
      <c r="K11" s="200">
        <f>+ｶﾌｪﾙﾎﾟ!W10/1000</f>
        <v>0</v>
      </c>
      <c r="L11" s="201">
        <f t="shared" si="3"/>
        <v>0</v>
      </c>
      <c r="M11" s="200">
        <v>0</v>
      </c>
      <c r="N11" s="204">
        <f t="shared" si="4"/>
        <v>0</v>
      </c>
      <c r="O11" s="205">
        <v>0</v>
      </c>
      <c r="P11" s="200">
        <f>+ｶﾌｪｾﾚｽﾃ!W10/1000</f>
        <v>0</v>
      </c>
      <c r="Q11" s="201">
        <f t="shared" si="5"/>
        <v>0</v>
      </c>
      <c r="R11" s="200">
        <v>0</v>
      </c>
      <c r="S11" s="202">
        <f t="shared" si="6"/>
        <v>0</v>
      </c>
      <c r="T11" s="199">
        <f t="shared" si="7"/>
        <v>0</v>
      </c>
      <c r="U11" s="200">
        <f t="shared" si="8"/>
        <v>0</v>
      </c>
      <c r="V11" s="201">
        <f t="shared" si="9"/>
        <v>0</v>
      </c>
      <c r="W11" s="200">
        <f t="shared" si="10"/>
        <v>0</v>
      </c>
      <c r="X11" s="206">
        <f t="shared" si="11"/>
        <v>0</v>
      </c>
      <c r="Y11" s="205"/>
      <c r="Z11" s="200"/>
      <c r="AA11" s="201">
        <f t="shared" si="12"/>
        <v>0</v>
      </c>
      <c r="AB11" s="200">
        <v>0</v>
      </c>
      <c r="AC11" s="204">
        <f t="shared" si="13"/>
        <v>0</v>
      </c>
      <c r="AD11" s="205">
        <v>0</v>
      </c>
      <c r="AE11" s="200">
        <f>+ｼﾞｭｴﾙｽﾞ!W10/1000</f>
        <v>0</v>
      </c>
      <c r="AF11" s="201">
        <f t="shared" si="14"/>
        <v>0</v>
      </c>
      <c r="AG11" s="200">
        <v>0</v>
      </c>
      <c r="AH11" s="206">
        <f t="shared" si="15"/>
        <v>0</v>
      </c>
      <c r="AI11" s="199">
        <f t="shared" si="40"/>
        <v>0</v>
      </c>
      <c r="AJ11" s="200">
        <f t="shared" si="41"/>
        <v>0</v>
      </c>
      <c r="AK11" s="201">
        <f t="shared" si="42"/>
        <v>0</v>
      </c>
      <c r="AL11" s="200">
        <f t="shared" si="43"/>
        <v>0</v>
      </c>
      <c r="AM11" s="206">
        <f t="shared" si="44"/>
        <v>0</v>
      </c>
      <c r="AN11" s="199">
        <v>0</v>
      </c>
      <c r="AO11" s="200">
        <f>+ｶﾞｰﾃﾞﾝ!W10/1000</f>
        <v>0</v>
      </c>
      <c r="AP11" s="201">
        <f t="shared" si="16"/>
        <v>0</v>
      </c>
      <c r="AQ11" s="200">
        <v>0</v>
      </c>
      <c r="AR11" s="202">
        <f t="shared" si="17"/>
        <v>0</v>
      </c>
      <c r="AS11" s="203">
        <v>0</v>
      </c>
      <c r="AT11" s="200">
        <f>+ﾋﾞｱｶﾞｰﾃﾞﾝ!W10/1000</f>
        <v>0</v>
      </c>
      <c r="AU11" s="201">
        <f t="shared" si="18"/>
        <v>0</v>
      </c>
      <c r="AV11" s="200">
        <v>0</v>
      </c>
      <c r="AW11" s="206">
        <f t="shared" si="19"/>
        <v>0</v>
      </c>
      <c r="AX11" s="199">
        <f t="shared" si="20"/>
        <v>0</v>
      </c>
      <c r="AY11" s="200">
        <f t="shared" si="21"/>
        <v>0</v>
      </c>
      <c r="AZ11" s="201">
        <f t="shared" si="22"/>
        <v>0</v>
      </c>
      <c r="BA11" s="200">
        <f t="shared" si="23"/>
        <v>0</v>
      </c>
      <c r="BB11" s="206">
        <f t="shared" si="24"/>
        <v>0</v>
      </c>
      <c r="BC11" s="199">
        <v>0</v>
      </c>
      <c r="BD11" s="200">
        <f>+ブリック!W10/1000</f>
        <v>0</v>
      </c>
      <c r="BE11" s="201">
        <f t="shared" si="25"/>
        <v>0</v>
      </c>
      <c r="BF11" s="200"/>
      <c r="BG11" s="202">
        <f t="shared" si="26"/>
        <v>0</v>
      </c>
      <c r="BH11" s="203">
        <v>0</v>
      </c>
      <c r="BI11" s="200">
        <f>+ルスツ羊蹄ぶた!W10/1000</f>
        <v>0</v>
      </c>
      <c r="BJ11" s="201">
        <f t="shared" si="27"/>
        <v>0</v>
      </c>
      <c r="BK11" s="200"/>
      <c r="BL11" s="206">
        <f t="shared" si="28"/>
        <v>0</v>
      </c>
      <c r="BM11" s="199">
        <f t="shared" si="29"/>
        <v>0</v>
      </c>
      <c r="BN11" s="200">
        <f t="shared" si="30"/>
        <v>0</v>
      </c>
      <c r="BO11" s="201">
        <f t="shared" si="31"/>
        <v>0</v>
      </c>
      <c r="BP11" s="200">
        <f t="shared" si="32"/>
        <v>0</v>
      </c>
      <c r="BQ11" s="206">
        <f t="shared" si="33"/>
        <v>0</v>
      </c>
      <c r="BR11" s="199">
        <v>0</v>
      </c>
      <c r="BS11" s="200">
        <f>+料飲共通!W10/1000</f>
        <v>0</v>
      </c>
      <c r="BT11" s="201">
        <f t="shared" si="34"/>
        <v>0</v>
      </c>
      <c r="BU11" s="200">
        <v>0</v>
      </c>
      <c r="BV11" s="206">
        <f t="shared" si="35"/>
        <v>0</v>
      </c>
      <c r="BW11" s="199">
        <f t="shared" si="36"/>
        <v>0</v>
      </c>
      <c r="BX11" s="200">
        <f t="shared" si="37"/>
        <v>0</v>
      </c>
      <c r="BY11" s="201">
        <f t="shared" si="0"/>
        <v>0</v>
      </c>
      <c r="BZ11" s="200">
        <f t="shared" si="38"/>
        <v>0</v>
      </c>
      <c r="CA11" s="206">
        <f t="shared" si="39"/>
        <v>0</v>
      </c>
    </row>
    <row r="12" spans="1:79" s="83" customFormat="1" ht="22" customHeight="1">
      <c r="A12" s="84"/>
      <c r="B12" s="87" t="s">
        <v>14</v>
      </c>
      <c r="C12" s="88"/>
      <c r="D12" s="88"/>
      <c r="E12" s="199">
        <v>0</v>
      </c>
      <c r="F12" s="200">
        <f>+ﾇｰﾍﾞﾙﾌﾟｰｽ!W11/1000</f>
        <v>0</v>
      </c>
      <c r="G12" s="201">
        <f t="shared" si="1"/>
        <v>0</v>
      </c>
      <c r="H12" s="200">
        <v>0</v>
      </c>
      <c r="I12" s="202">
        <f t="shared" si="2"/>
        <v>0</v>
      </c>
      <c r="J12" s="203">
        <v>0</v>
      </c>
      <c r="K12" s="200">
        <f>+ｶﾌｪﾙﾎﾟ!W11/1000</f>
        <v>0</v>
      </c>
      <c r="L12" s="201">
        <f t="shared" si="3"/>
        <v>0</v>
      </c>
      <c r="M12" s="200">
        <v>0</v>
      </c>
      <c r="N12" s="204">
        <f t="shared" si="4"/>
        <v>0</v>
      </c>
      <c r="O12" s="205">
        <v>0</v>
      </c>
      <c r="P12" s="200">
        <f>+ｶﾌｪｾﾚｽﾃ!W11/1000</f>
        <v>0</v>
      </c>
      <c r="Q12" s="201">
        <f t="shared" si="5"/>
        <v>0</v>
      </c>
      <c r="R12" s="200">
        <v>0</v>
      </c>
      <c r="S12" s="202">
        <f t="shared" si="6"/>
        <v>0</v>
      </c>
      <c r="T12" s="199">
        <f t="shared" si="7"/>
        <v>0</v>
      </c>
      <c r="U12" s="200">
        <f t="shared" si="8"/>
        <v>0</v>
      </c>
      <c r="V12" s="201">
        <f t="shared" si="9"/>
        <v>0</v>
      </c>
      <c r="W12" s="200">
        <f t="shared" si="10"/>
        <v>0</v>
      </c>
      <c r="X12" s="206">
        <f t="shared" si="11"/>
        <v>0</v>
      </c>
      <c r="Y12" s="205"/>
      <c r="Z12" s="200"/>
      <c r="AA12" s="201">
        <f t="shared" si="12"/>
        <v>0</v>
      </c>
      <c r="AB12" s="200">
        <v>0</v>
      </c>
      <c r="AC12" s="204">
        <f t="shared" si="13"/>
        <v>0</v>
      </c>
      <c r="AD12" s="205">
        <v>0</v>
      </c>
      <c r="AE12" s="200">
        <f>+ｼﾞｭｴﾙｽﾞ!W11/1000</f>
        <v>0</v>
      </c>
      <c r="AF12" s="201">
        <f t="shared" si="14"/>
        <v>0</v>
      </c>
      <c r="AG12" s="200">
        <v>0</v>
      </c>
      <c r="AH12" s="206">
        <f t="shared" si="15"/>
        <v>0</v>
      </c>
      <c r="AI12" s="199">
        <f t="shared" si="40"/>
        <v>0</v>
      </c>
      <c r="AJ12" s="200">
        <f t="shared" si="41"/>
        <v>0</v>
      </c>
      <c r="AK12" s="201">
        <f t="shared" si="42"/>
        <v>0</v>
      </c>
      <c r="AL12" s="200">
        <f t="shared" si="43"/>
        <v>0</v>
      </c>
      <c r="AM12" s="206">
        <f t="shared" si="44"/>
        <v>0</v>
      </c>
      <c r="AN12" s="199">
        <v>0</v>
      </c>
      <c r="AO12" s="200">
        <f>+ｶﾞｰﾃﾞﾝ!W11/1000</f>
        <v>0</v>
      </c>
      <c r="AP12" s="201">
        <f t="shared" si="16"/>
        <v>0</v>
      </c>
      <c r="AQ12" s="200">
        <v>0</v>
      </c>
      <c r="AR12" s="202">
        <f t="shared" si="17"/>
        <v>0</v>
      </c>
      <c r="AS12" s="203">
        <v>0</v>
      </c>
      <c r="AT12" s="200">
        <f>+ﾋﾞｱｶﾞｰﾃﾞﾝ!W11/1000</f>
        <v>0</v>
      </c>
      <c r="AU12" s="201">
        <f t="shared" si="18"/>
        <v>0</v>
      </c>
      <c r="AV12" s="200">
        <v>0</v>
      </c>
      <c r="AW12" s="206">
        <f t="shared" si="19"/>
        <v>0</v>
      </c>
      <c r="AX12" s="199">
        <f t="shared" si="20"/>
        <v>0</v>
      </c>
      <c r="AY12" s="200">
        <f t="shared" si="21"/>
        <v>0</v>
      </c>
      <c r="AZ12" s="201">
        <f t="shared" si="22"/>
        <v>0</v>
      </c>
      <c r="BA12" s="200">
        <f t="shared" si="23"/>
        <v>0</v>
      </c>
      <c r="BB12" s="206">
        <f t="shared" si="24"/>
        <v>0</v>
      </c>
      <c r="BC12" s="199">
        <v>0</v>
      </c>
      <c r="BD12" s="200">
        <f>+ブリック!W11/1000</f>
        <v>0</v>
      </c>
      <c r="BE12" s="201">
        <f t="shared" si="25"/>
        <v>0</v>
      </c>
      <c r="BF12" s="200"/>
      <c r="BG12" s="202">
        <f t="shared" si="26"/>
        <v>0</v>
      </c>
      <c r="BH12" s="203">
        <v>0</v>
      </c>
      <c r="BI12" s="200">
        <f>+ルスツ羊蹄ぶた!W11/1000</f>
        <v>0</v>
      </c>
      <c r="BJ12" s="201">
        <f t="shared" si="27"/>
        <v>0</v>
      </c>
      <c r="BK12" s="200"/>
      <c r="BL12" s="206">
        <f t="shared" si="28"/>
        <v>0</v>
      </c>
      <c r="BM12" s="199">
        <f t="shared" si="29"/>
        <v>0</v>
      </c>
      <c r="BN12" s="200">
        <f t="shared" si="30"/>
        <v>0</v>
      </c>
      <c r="BO12" s="201">
        <f t="shared" si="31"/>
        <v>0</v>
      </c>
      <c r="BP12" s="200">
        <f t="shared" si="32"/>
        <v>0</v>
      </c>
      <c r="BQ12" s="206">
        <f t="shared" si="33"/>
        <v>0</v>
      </c>
      <c r="BR12" s="199">
        <v>0</v>
      </c>
      <c r="BS12" s="200">
        <f>+料飲共通!W11/1000</f>
        <v>0</v>
      </c>
      <c r="BT12" s="201">
        <f t="shared" si="34"/>
        <v>0</v>
      </c>
      <c r="BU12" s="200">
        <v>0</v>
      </c>
      <c r="BV12" s="206">
        <f t="shared" si="35"/>
        <v>0</v>
      </c>
      <c r="BW12" s="199">
        <f t="shared" si="36"/>
        <v>0</v>
      </c>
      <c r="BX12" s="200">
        <f t="shared" si="37"/>
        <v>0</v>
      </c>
      <c r="BY12" s="201">
        <f t="shared" si="0"/>
        <v>0</v>
      </c>
      <c r="BZ12" s="200">
        <f t="shared" si="38"/>
        <v>0</v>
      </c>
      <c r="CA12" s="206">
        <f t="shared" si="39"/>
        <v>0</v>
      </c>
    </row>
    <row r="13" spans="1:79" s="83" customFormat="1" ht="22" customHeight="1">
      <c r="A13" s="84"/>
      <c r="B13" s="87" t="s">
        <v>16</v>
      </c>
      <c r="C13" s="88"/>
      <c r="D13" s="88"/>
      <c r="E13" s="199">
        <v>0</v>
      </c>
      <c r="F13" s="200">
        <f>+ﾇｰﾍﾞﾙﾌﾟｰｽ!W12/1000</f>
        <v>0</v>
      </c>
      <c r="G13" s="201">
        <f t="shared" si="1"/>
        <v>0</v>
      </c>
      <c r="H13" s="200">
        <v>0</v>
      </c>
      <c r="I13" s="202">
        <f t="shared" si="2"/>
        <v>0</v>
      </c>
      <c r="J13" s="203">
        <v>0</v>
      </c>
      <c r="K13" s="200">
        <f>+ｶﾌｪﾙﾎﾟ!W12/1000</f>
        <v>0</v>
      </c>
      <c r="L13" s="201">
        <f t="shared" si="3"/>
        <v>0</v>
      </c>
      <c r="M13" s="200">
        <v>0</v>
      </c>
      <c r="N13" s="204">
        <f t="shared" si="4"/>
        <v>0</v>
      </c>
      <c r="O13" s="205">
        <v>0</v>
      </c>
      <c r="P13" s="200">
        <f>+ｶﾌｪｾﾚｽﾃ!W12/1000</f>
        <v>0</v>
      </c>
      <c r="Q13" s="201">
        <f t="shared" si="5"/>
        <v>0</v>
      </c>
      <c r="R13" s="200">
        <v>0</v>
      </c>
      <c r="S13" s="202">
        <f t="shared" si="6"/>
        <v>0</v>
      </c>
      <c r="T13" s="199">
        <f t="shared" si="7"/>
        <v>0</v>
      </c>
      <c r="U13" s="200">
        <f t="shared" si="8"/>
        <v>0</v>
      </c>
      <c r="V13" s="201">
        <f t="shared" si="9"/>
        <v>0</v>
      </c>
      <c r="W13" s="200">
        <f t="shared" si="10"/>
        <v>0</v>
      </c>
      <c r="X13" s="206">
        <f t="shared" si="11"/>
        <v>0</v>
      </c>
      <c r="Y13" s="205"/>
      <c r="Z13" s="200"/>
      <c r="AA13" s="201">
        <f t="shared" si="12"/>
        <v>0</v>
      </c>
      <c r="AB13" s="200">
        <v>0</v>
      </c>
      <c r="AC13" s="204">
        <f t="shared" si="13"/>
        <v>0</v>
      </c>
      <c r="AD13" s="205">
        <v>0</v>
      </c>
      <c r="AE13" s="200">
        <f>+ｼﾞｭｴﾙｽﾞ!W12/1000</f>
        <v>0</v>
      </c>
      <c r="AF13" s="201">
        <f t="shared" si="14"/>
        <v>0</v>
      </c>
      <c r="AG13" s="200">
        <v>0</v>
      </c>
      <c r="AH13" s="206">
        <f t="shared" si="15"/>
        <v>0</v>
      </c>
      <c r="AI13" s="199">
        <f t="shared" si="40"/>
        <v>0</v>
      </c>
      <c r="AJ13" s="200">
        <f t="shared" si="41"/>
        <v>0</v>
      </c>
      <c r="AK13" s="201">
        <f t="shared" si="42"/>
        <v>0</v>
      </c>
      <c r="AL13" s="200">
        <f t="shared" si="43"/>
        <v>0</v>
      </c>
      <c r="AM13" s="206">
        <f t="shared" si="44"/>
        <v>0</v>
      </c>
      <c r="AN13" s="199">
        <v>0</v>
      </c>
      <c r="AO13" s="200">
        <f>+ｶﾞｰﾃﾞﾝ!W12/1000</f>
        <v>0</v>
      </c>
      <c r="AP13" s="201">
        <f t="shared" si="16"/>
        <v>0</v>
      </c>
      <c r="AQ13" s="200">
        <v>0</v>
      </c>
      <c r="AR13" s="202">
        <f t="shared" si="17"/>
        <v>0</v>
      </c>
      <c r="AS13" s="203">
        <v>0</v>
      </c>
      <c r="AT13" s="200">
        <f>+ﾋﾞｱｶﾞｰﾃﾞﾝ!W12/1000</f>
        <v>0</v>
      </c>
      <c r="AU13" s="201">
        <f t="shared" si="18"/>
        <v>0</v>
      </c>
      <c r="AV13" s="200">
        <v>0</v>
      </c>
      <c r="AW13" s="206">
        <f t="shared" si="19"/>
        <v>0</v>
      </c>
      <c r="AX13" s="199">
        <f t="shared" si="20"/>
        <v>0</v>
      </c>
      <c r="AY13" s="200">
        <f t="shared" si="21"/>
        <v>0</v>
      </c>
      <c r="AZ13" s="201">
        <f t="shared" si="22"/>
        <v>0</v>
      </c>
      <c r="BA13" s="200">
        <f t="shared" si="23"/>
        <v>0</v>
      </c>
      <c r="BB13" s="206">
        <f t="shared" si="24"/>
        <v>0</v>
      </c>
      <c r="BC13" s="199">
        <v>0</v>
      </c>
      <c r="BD13" s="200">
        <f>+ブリック!W12/1000</f>
        <v>0</v>
      </c>
      <c r="BE13" s="201">
        <f t="shared" si="25"/>
        <v>0</v>
      </c>
      <c r="BF13" s="200"/>
      <c r="BG13" s="202">
        <f t="shared" si="26"/>
        <v>0</v>
      </c>
      <c r="BH13" s="203">
        <v>0</v>
      </c>
      <c r="BI13" s="200">
        <f>+ルスツ羊蹄ぶた!W12/1000</f>
        <v>0</v>
      </c>
      <c r="BJ13" s="201">
        <f t="shared" si="27"/>
        <v>0</v>
      </c>
      <c r="BK13" s="200"/>
      <c r="BL13" s="206">
        <f t="shared" si="28"/>
        <v>0</v>
      </c>
      <c r="BM13" s="199">
        <f t="shared" si="29"/>
        <v>0</v>
      </c>
      <c r="BN13" s="200">
        <f t="shared" si="30"/>
        <v>0</v>
      </c>
      <c r="BO13" s="201">
        <f t="shared" si="31"/>
        <v>0</v>
      </c>
      <c r="BP13" s="200">
        <f t="shared" si="32"/>
        <v>0</v>
      </c>
      <c r="BQ13" s="206">
        <f t="shared" si="33"/>
        <v>0</v>
      </c>
      <c r="BR13" s="199">
        <v>0</v>
      </c>
      <c r="BS13" s="200">
        <f>+料飲共通!W12/1000</f>
        <v>0</v>
      </c>
      <c r="BT13" s="201">
        <f t="shared" si="34"/>
        <v>0</v>
      </c>
      <c r="BU13" s="200">
        <v>0</v>
      </c>
      <c r="BV13" s="206">
        <f t="shared" si="35"/>
        <v>0</v>
      </c>
      <c r="BW13" s="199">
        <f t="shared" si="36"/>
        <v>0</v>
      </c>
      <c r="BX13" s="200">
        <f t="shared" si="37"/>
        <v>0</v>
      </c>
      <c r="BY13" s="201">
        <f t="shared" si="0"/>
        <v>0</v>
      </c>
      <c r="BZ13" s="200">
        <f t="shared" si="38"/>
        <v>0</v>
      </c>
      <c r="CA13" s="206">
        <f t="shared" si="39"/>
        <v>0</v>
      </c>
    </row>
    <row r="14" spans="1:79" s="83" customFormat="1" ht="22" customHeight="1">
      <c r="A14" s="84"/>
      <c r="B14" s="87" t="s">
        <v>18</v>
      </c>
      <c r="C14" s="88"/>
      <c r="D14" s="88"/>
      <c r="E14" s="199">
        <v>0</v>
      </c>
      <c r="F14" s="200">
        <f>+ﾇｰﾍﾞﾙﾌﾟｰｽ!W13/1000</f>
        <v>0</v>
      </c>
      <c r="G14" s="201">
        <f t="shared" si="1"/>
        <v>0</v>
      </c>
      <c r="H14" s="200">
        <v>0</v>
      </c>
      <c r="I14" s="202">
        <f t="shared" si="2"/>
        <v>0</v>
      </c>
      <c r="J14" s="203">
        <v>0</v>
      </c>
      <c r="K14" s="200">
        <f>+ｶﾌｪﾙﾎﾟ!W13/1000</f>
        <v>0</v>
      </c>
      <c r="L14" s="201">
        <f t="shared" si="3"/>
        <v>0</v>
      </c>
      <c r="M14" s="200">
        <v>0</v>
      </c>
      <c r="N14" s="204">
        <f t="shared" si="4"/>
        <v>0</v>
      </c>
      <c r="O14" s="205">
        <v>0</v>
      </c>
      <c r="P14" s="200">
        <f>+ｶﾌｪｾﾚｽﾃ!W13/1000</f>
        <v>0</v>
      </c>
      <c r="Q14" s="201">
        <f t="shared" si="5"/>
        <v>0</v>
      </c>
      <c r="R14" s="200">
        <v>0</v>
      </c>
      <c r="S14" s="202">
        <f t="shared" si="6"/>
        <v>0</v>
      </c>
      <c r="T14" s="199">
        <f t="shared" si="7"/>
        <v>0</v>
      </c>
      <c r="U14" s="200">
        <f t="shared" si="8"/>
        <v>0</v>
      </c>
      <c r="V14" s="201">
        <f t="shared" si="9"/>
        <v>0</v>
      </c>
      <c r="W14" s="200">
        <f t="shared" si="10"/>
        <v>0</v>
      </c>
      <c r="X14" s="206">
        <f t="shared" si="11"/>
        <v>0</v>
      </c>
      <c r="Y14" s="205"/>
      <c r="Z14" s="200"/>
      <c r="AA14" s="201">
        <f t="shared" si="12"/>
        <v>0</v>
      </c>
      <c r="AB14" s="200">
        <v>0</v>
      </c>
      <c r="AC14" s="204">
        <f t="shared" si="13"/>
        <v>0</v>
      </c>
      <c r="AD14" s="205">
        <v>0</v>
      </c>
      <c r="AE14" s="200">
        <f>+ｼﾞｭｴﾙｽﾞ!W13/1000</f>
        <v>0</v>
      </c>
      <c r="AF14" s="201">
        <f t="shared" si="14"/>
        <v>0</v>
      </c>
      <c r="AG14" s="200">
        <v>0</v>
      </c>
      <c r="AH14" s="206">
        <f t="shared" si="15"/>
        <v>0</v>
      </c>
      <c r="AI14" s="199">
        <f t="shared" si="40"/>
        <v>0</v>
      </c>
      <c r="AJ14" s="200">
        <f t="shared" si="41"/>
        <v>0</v>
      </c>
      <c r="AK14" s="201">
        <f t="shared" si="42"/>
        <v>0</v>
      </c>
      <c r="AL14" s="200">
        <f t="shared" si="43"/>
        <v>0</v>
      </c>
      <c r="AM14" s="206">
        <f t="shared" si="44"/>
        <v>0</v>
      </c>
      <c r="AN14" s="199">
        <v>0</v>
      </c>
      <c r="AO14" s="200">
        <f>+ｶﾞｰﾃﾞﾝ!W13/1000</f>
        <v>0</v>
      </c>
      <c r="AP14" s="201">
        <f t="shared" si="16"/>
        <v>0</v>
      </c>
      <c r="AQ14" s="200">
        <v>0</v>
      </c>
      <c r="AR14" s="202">
        <f t="shared" si="17"/>
        <v>0</v>
      </c>
      <c r="AS14" s="203">
        <v>0</v>
      </c>
      <c r="AT14" s="200">
        <f>+ﾋﾞｱｶﾞｰﾃﾞﾝ!W13/1000</f>
        <v>0</v>
      </c>
      <c r="AU14" s="201">
        <f t="shared" si="18"/>
        <v>0</v>
      </c>
      <c r="AV14" s="200">
        <v>0</v>
      </c>
      <c r="AW14" s="206">
        <f t="shared" si="19"/>
        <v>0</v>
      </c>
      <c r="AX14" s="199">
        <f t="shared" si="20"/>
        <v>0</v>
      </c>
      <c r="AY14" s="200">
        <f t="shared" si="21"/>
        <v>0</v>
      </c>
      <c r="AZ14" s="201">
        <f t="shared" si="22"/>
        <v>0</v>
      </c>
      <c r="BA14" s="200">
        <f t="shared" si="23"/>
        <v>0</v>
      </c>
      <c r="BB14" s="206">
        <f t="shared" si="24"/>
        <v>0</v>
      </c>
      <c r="BC14" s="199">
        <v>0</v>
      </c>
      <c r="BD14" s="200">
        <f>+ブリック!W13/1000</f>
        <v>0</v>
      </c>
      <c r="BE14" s="201">
        <f t="shared" si="25"/>
        <v>0</v>
      </c>
      <c r="BF14" s="200"/>
      <c r="BG14" s="202">
        <f t="shared" si="26"/>
        <v>0</v>
      </c>
      <c r="BH14" s="203">
        <v>0</v>
      </c>
      <c r="BI14" s="200">
        <f>+ルスツ羊蹄ぶた!W13/1000</f>
        <v>0</v>
      </c>
      <c r="BJ14" s="201">
        <f t="shared" si="27"/>
        <v>0</v>
      </c>
      <c r="BK14" s="200"/>
      <c r="BL14" s="206">
        <f t="shared" si="28"/>
        <v>0</v>
      </c>
      <c r="BM14" s="199">
        <f t="shared" si="29"/>
        <v>0</v>
      </c>
      <c r="BN14" s="200">
        <f t="shared" si="30"/>
        <v>0</v>
      </c>
      <c r="BO14" s="201">
        <f t="shared" si="31"/>
        <v>0</v>
      </c>
      <c r="BP14" s="200">
        <f t="shared" si="32"/>
        <v>0</v>
      </c>
      <c r="BQ14" s="206">
        <f t="shared" si="33"/>
        <v>0</v>
      </c>
      <c r="BR14" s="199">
        <v>0</v>
      </c>
      <c r="BS14" s="200">
        <f>+料飲共通!W13/1000</f>
        <v>0</v>
      </c>
      <c r="BT14" s="201">
        <f t="shared" si="34"/>
        <v>0</v>
      </c>
      <c r="BU14" s="200">
        <v>0</v>
      </c>
      <c r="BV14" s="206">
        <f t="shared" si="35"/>
        <v>0</v>
      </c>
      <c r="BW14" s="199">
        <f t="shared" si="36"/>
        <v>0</v>
      </c>
      <c r="BX14" s="200">
        <f t="shared" si="37"/>
        <v>0</v>
      </c>
      <c r="BY14" s="201">
        <f t="shared" si="0"/>
        <v>0</v>
      </c>
      <c r="BZ14" s="200">
        <f t="shared" si="38"/>
        <v>0</v>
      </c>
      <c r="CA14" s="206">
        <f t="shared" si="39"/>
        <v>0</v>
      </c>
    </row>
    <row r="15" spans="1:79" s="83" customFormat="1" ht="22" customHeight="1">
      <c r="A15" s="84"/>
      <c r="B15" s="87" t="s">
        <v>20</v>
      </c>
      <c r="C15" s="88"/>
      <c r="D15" s="88"/>
      <c r="E15" s="199">
        <v>0</v>
      </c>
      <c r="F15" s="200">
        <f>+ﾇｰﾍﾞﾙﾌﾟｰｽ!W14/1000</f>
        <v>0</v>
      </c>
      <c r="G15" s="201">
        <f t="shared" si="1"/>
        <v>0</v>
      </c>
      <c r="H15" s="200">
        <v>0</v>
      </c>
      <c r="I15" s="202">
        <f t="shared" si="2"/>
        <v>0</v>
      </c>
      <c r="J15" s="203">
        <v>0</v>
      </c>
      <c r="K15" s="200">
        <f>+ｶﾌｪﾙﾎﾟ!W14/1000</f>
        <v>0</v>
      </c>
      <c r="L15" s="201">
        <f t="shared" si="3"/>
        <v>0</v>
      </c>
      <c r="M15" s="200">
        <v>0</v>
      </c>
      <c r="N15" s="204">
        <f t="shared" si="4"/>
        <v>0</v>
      </c>
      <c r="O15" s="205">
        <v>0</v>
      </c>
      <c r="P15" s="200">
        <f>+ｶﾌｪｾﾚｽﾃ!W14/1000</f>
        <v>0</v>
      </c>
      <c r="Q15" s="201">
        <f t="shared" si="5"/>
        <v>0</v>
      </c>
      <c r="R15" s="200">
        <v>0</v>
      </c>
      <c r="S15" s="202">
        <f t="shared" si="6"/>
        <v>0</v>
      </c>
      <c r="T15" s="199">
        <f t="shared" si="7"/>
        <v>0</v>
      </c>
      <c r="U15" s="200">
        <f t="shared" si="8"/>
        <v>0</v>
      </c>
      <c r="V15" s="201">
        <f t="shared" si="9"/>
        <v>0</v>
      </c>
      <c r="W15" s="200">
        <f t="shared" si="10"/>
        <v>0</v>
      </c>
      <c r="X15" s="206">
        <f t="shared" si="11"/>
        <v>0</v>
      </c>
      <c r="Y15" s="205"/>
      <c r="Z15" s="200"/>
      <c r="AA15" s="201">
        <f t="shared" si="12"/>
        <v>0</v>
      </c>
      <c r="AB15" s="200">
        <v>0</v>
      </c>
      <c r="AC15" s="204">
        <f t="shared" si="13"/>
        <v>0</v>
      </c>
      <c r="AD15" s="205">
        <v>0</v>
      </c>
      <c r="AE15" s="200">
        <f>+ｼﾞｭｴﾙｽﾞ!W14/1000</f>
        <v>0</v>
      </c>
      <c r="AF15" s="201">
        <f t="shared" si="14"/>
        <v>0</v>
      </c>
      <c r="AG15" s="200">
        <v>0</v>
      </c>
      <c r="AH15" s="206">
        <f t="shared" si="15"/>
        <v>0</v>
      </c>
      <c r="AI15" s="199">
        <f t="shared" si="40"/>
        <v>0</v>
      </c>
      <c r="AJ15" s="200">
        <f t="shared" si="41"/>
        <v>0</v>
      </c>
      <c r="AK15" s="201">
        <f t="shared" si="42"/>
        <v>0</v>
      </c>
      <c r="AL15" s="200">
        <f t="shared" si="43"/>
        <v>0</v>
      </c>
      <c r="AM15" s="206">
        <f t="shared" si="44"/>
        <v>0</v>
      </c>
      <c r="AN15" s="199">
        <v>0</v>
      </c>
      <c r="AO15" s="200">
        <f>+ｶﾞｰﾃﾞﾝ!W14/1000</f>
        <v>0</v>
      </c>
      <c r="AP15" s="201">
        <f t="shared" si="16"/>
        <v>0</v>
      </c>
      <c r="AQ15" s="200">
        <v>0</v>
      </c>
      <c r="AR15" s="202">
        <f t="shared" si="17"/>
        <v>0</v>
      </c>
      <c r="AS15" s="203">
        <v>0</v>
      </c>
      <c r="AT15" s="200">
        <f>+ﾋﾞｱｶﾞｰﾃﾞﾝ!W14/1000</f>
        <v>0</v>
      </c>
      <c r="AU15" s="201">
        <f t="shared" si="18"/>
        <v>0</v>
      </c>
      <c r="AV15" s="200">
        <v>0</v>
      </c>
      <c r="AW15" s="206">
        <f t="shared" si="19"/>
        <v>0</v>
      </c>
      <c r="AX15" s="199">
        <f t="shared" si="20"/>
        <v>0</v>
      </c>
      <c r="AY15" s="200">
        <f t="shared" si="21"/>
        <v>0</v>
      </c>
      <c r="AZ15" s="201">
        <f t="shared" si="22"/>
        <v>0</v>
      </c>
      <c r="BA15" s="200">
        <f t="shared" si="23"/>
        <v>0</v>
      </c>
      <c r="BB15" s="206">
        <f t="shared" si="24"/>
        <v>0</v>
      </c>
      <c r="BC15" s="199">
        <v>0</v>
      </c>
      <c r="BD15" s="200">
        <f>+ブリック!W14/1000</f>
        <v>0</v>
      </c>
      <c r="BE15" s="201">
        <f t="shared" si="25"/>
        <v>0</v>
      </c>
      <c r="BF15" s="200"/>
      <c r="BG15" s="202">
        <f t="shared" si="26"/>
        <v>0</v>
      </c>
      <c r="BH15" s="203">
        <v>0</v>
      </c>
      <c r="BI15" s="200">
        <f>+ルスツ羊蹄ぶた!W14/1000</f>
        <v>0</v>
      </c>
      <c r="BJ15" s="201">
        <f t="shared" si="27"/>
        <v>0</v>
      </c>
      <c r="BK15" s="200"/>
      <c r="BL15" s="206">
        <f t="shared" si="28"/>
        <v>0</v>
      </c>
      <c r="BM15" s="199">
        <f t="shared" si="29"/>
        <v>0</v>
      </c>
      <c r="BN15" s="200">
        <f t="shared" si="30"/>
        <v>0</v>
      </c>
      <c r="BO15" s="201">
        <f t="shared" si="31"/>
        <v>0</v>
      </c>
      <c r="BP15" s="200">
        <f t="shared" si="32"/>
        <v>0</v>
      </c>
      <c r="BQ15" s="206">
        <f t="shared" si="33"/>
        <v>0</v>
      </c>
      <c r="BR15" s="199">
        <v>0</v>
      </c>
      <c r="BS15" s="200">
        <f>+料飲共通!W14/1000</f>
        <v>0</v>
      </c>
      <c r="BT15" s="201">
        <f t="shared" si="34"/>
        <v>0</v>
      </c>
      <c r="BU15" s="200">
        <v>0</v>
      </c>
      <c r="BV15" s="206">
        <f t="shared" si="35"/>
        <v>0</v>
      </c>
      <c r="BW15" s="199">
        <f t="shared" si="36"/>
        <v>0</v>
      </c>
      <c r="BX15" s="200">
        <f t="shared" si="37"/>
        <v>0</v>
      </c>
      <c r="BY15" s="201">
        <f t="shared" si="0"/>
        <v>0</v>
      </c>
      <c r="BZ15" s="200">
        <f t="shared" si="38"/>
        <v>0</v>
      </c>
      <c r="CA15" s="206">
        <f t="shared" si="39"/>
        <v>0</v>
      </c>
    </row>
    <row r="16" spans="1:79" s="83" customFormat="1" ht="22" customHeight="1">
      <c r="A16" s="84"/>
      <c r="B16" s="87" t="s">
        <v>22</v>
      </c>
      <c r="C16" s="88"/>
      <c r="D16" s="88"/>
      <c r="E16" s="199">
        <v>0</v>
      </c>
      <c r="F16" s="200">
        <f>+ﾇｰﾍﾞﾙﾌﾟｰｽ!W15/1000</f>
        <v>0</v>
      </c>
      <c r="G16" s="201">
        <f t="shared" si="1"/>
        <v>0</v>
      </c>
      <c r="H16" s="200">
        <v>0</v>
      </c>
      <c r="I16" s="202">
        <f t="shared" si="2"/>
        <v>0</v>
      </c>
      <c r="J16" s="203">
        <v>0</v>
      </c>
      <c r="K16" s="200">
        <f>+ｶﾌｪﾙﾎﾟ!W15/1000</f>
        <v>0</v>
      </c>
      <c r="L16" s="201">
        <f t="shared" si="3"/>
        <v>0</v>
      </c>
      <c r="M16" s="200">
        <v>0</v>
      </c>
      <c r="N16" s="204">
        <f t="shared" si="4"/>
        <v>0</v>
      </c>
      <c r="O16" s="205">
        <v>0</v>
      </c>
      <c r="P16" s="200">
        <f>+ｶﾌｪｾﾚｽﾃ!W15/1000</f>
        <v>0</v>
      </c>
      <c r="Q16" s="201">
        <f t="shared" si="5"/>
        <v>0</v>
      </c>
      <c r="R16" s="200">
        <v>0</v>
      </c>
      <c r="S16" s="202">
        <f t="shared" si="6"/>
        <v>0</v>
      </c>
      <c r="T16" s="199">
        <f t="shared" si="7"/>
        <v>0</v>
      </c>
      <c r="U16" s="200">
        <f t="shared" si="8"/>
        <v>0</v>
      </c>
      <c r="V16" s="201">
        <f t="shared" si="9"/>
        <v>0</v>
      </c>
      <c r="W16" s="200">
        <f t="shared" si="10"/>
        <v>0</v>
      </c>
      <c r="X16" s="206">
        <f t="shared" si="11"/>
        <v>0</v>
      </c>
      <c r="Y16" s="205"/>
      <c r="Z16" s="200"/>
      <c r="AA16" s="201">
        <f t="shared" si="12"/>
        <v>0</v>
      </c>
      <c r="AB16" s="200">
        <v>0</v>
      </c>
      <c r="AC16" s="204">
        <f t="shared" si="13"/>
        <v>0</v>
      </c>
      <c r="AD16" s="205">
        <v>0</v>
      </c>
      <c r="AE16" s="200">
        <f>+ｼﾞｭｴﾙｽﾞ!W15/1000</f>
        <v>0</v>
      </c>
      <c r="AF16" s="201">
        <f t="shared" si="14"/>
        <v>0</v>
      </c>
      <c r="AG16" s="200">
        <v>0</v>
      </c>
      <c r="AH16" s="206">
        <f t="shared" si="15"/>
        <v>0</v>
      </c>
      <c r="AI16" s="199">
        <f t="shared" si="40"/>
        <v>0</v>
      </c>
      <c r="AJ16" s="200">
        <f t="shared" si="41"/>
        <v>0</v>
      </c>
      <c r="AK16" s="201">
        <f t="shared" si="42"/>
        <v>0</v>
      </c>
      <c r="AL16" s="200">
        <f t="shared" si="43"/>
        <v>0</v>
      </c>
      <c r="AM16" s="206">
        <f t="shared" si="44"/>
        <v>0</v>
      </c>
      <c r="AN16" s="199">
        <v>0</v>
      </c>
      <c r="AO16" s="200">
        <f>+ｶﾞｰﾃﾞﾝ!W15/1000</f>
        <v>0</v>
      </c>
      <c r="AP16" s="201">
        <f t="shared" si="16"/>
        <v>0</v>
      </c>
      <c r="AQ16" s="200">
        <v>0</v>
      </c>
      <c r="AR16" s="202">
        <f t="shared" si="17"/>
        <v>0</v>
      </c>
      <c r="AS16" s="203">
        <v>0</v>
      </c>
      <c r="AT16" s="200">
        <f>+ﾋﾞｱｶﾞｰﾃﾞﾝ!W15/1000</f>
        <v>0</v>
      </c>
      <c r="AU16" s="201">
        <f t="shared" si="18"/>
        <v>0</v>
      </c>
      <c r="AV16" s="200">
        <v>0</v>
      </c>
      <c r="AW16" s="206">
        <f t="shared" si="19"/>
        <v>0</v>
      </c>
      <c r="AX16" s="199">
        <f t="shared" si="20"/>
        <v>0</v>
      </c>
      <c r="AY16" s="200">
        <f t="shared" si="21"/>
        <v>0</v>
      </c>
      <c r="AZ16" s="201">
        <f t="shared" si="22"/>
        <v>0</v>
      </c>
      <c r="BA16" s="200">
        <f t="shared" si="23"/>
        <v>0</v>
      </c>
      <c r="BB16" s="206">
        <f t="shared" si="24"/>
        <v>0</v>
      </c>
      <c r="BC16" s="199">
        <v>0</v>
      </c>
      <c r="BD16" s="200">
        <f>+ブリック!W15/1000</f>
        <v>0</v>
      </c>
      <c r="BE16" s="201">
        <f t="shared" si="25"/>
        <v>0</v>
      </c>
      <c r="BF16" s="200"/>
      <c r="BG16" s="202">
        <f t="shared" si="26"/>
        <v>0</v>
      </c>
      <c r="BH16" s="203">
        <v>0</v>
      </c>
      <c r="BI16" s="200">
        <f>+ルスツ羊蹄ぶた!W15/1000</f>
        <v>0</v>
      </c>
      <c r="BJ16" s="201">
        <f t="shared" si="27"/>
        <v>0</v>
      </c>
      <c r="BK16" s="200"/>
      <c r="BL16" s="206">
        <f t="shared" si="28"/>
        <v>0</v>
      </c>
      <c r="BM16" s="199">
        <f t="shared" si="29"/>
        <v>0</v>
      </c>
      <c r="BN16" s="200">
        <f t="shared" si="30"/>
        <v>0</v>
      </c>
      <c r="BO16" s="201">
        <f t="shared" si="31"/>
        <v>0</v>
      </c>
      <c r="BP16" s="200">
        <f t="shared" si="32"/>
        <v>0</v>
      </c>
      <c r="BQ16" s="206">
        <f t="shared" si="33"/>
        <v>0</v>
      </c>
      <c r="BR16" s="199">
        <v>0</v>
      </c>
      <c r="BS16" s="200">
        <f>+料飲共通!W15/1000</f>
        <v>0</v>
      </c>
      <c r="BT16" s="201">
        <f t="shared" si="34"/>
        <v>0</v>
      </c>
      <c r="BU16" s="200">
        <v>0</v>
      </c>
      <c r="BV16" s="206">
        <f t="shared" si="35"/>
        <v>0</v>
      </c>
      <c r="BW16" s="199">
        <f t="shared" si="36"/>
        <v>0</v>
      </c>
      <c r="BX16" s="200">
        <f t="shared" si="37"/>
        <v>0</v>
      </c>
      <c r="BY16" s="201">
        <f t="shared" si="0"/>
        <v>0</v>
      </c>
      <c r="BZ16" s="200">
        <f t="shared" si="38"/>
        <v>0</v>
      </c>
      <c r="CA16" s="206">
        <f t="shared" si="39"/>
        <v>0</v>
      </c>
    </row>
    <row r="17" spans="1:79" s="83" customFormat="1" ht="22" customHeight="1">
      <c r="A17" s="84"/>
      <c r="B17" s="87" t="s">
        <v>239</v>
      </c>
      <c r="C17" s="88"/>
      <c r="D17" s="88"/>
      <c r="E17" s="199">
        <v>0</v>
      </c>
      <c r="F17" s="200">
        <f>+ﾇｰﾍﾞﾙﾌﾟｰｽ!W16/1000</f>
        <v>0</v>
      </c>
      <c r="G17" s="201">
        <f t="shared" si="1"/>
        <v>0</v>
      </c>
      <c r="H17" s="200">
        <v>0</v>
      </c>
      <c r="I17" s="202">
        <f t="shared" si="2"/>
        <v>0</v>
      </c>
      <c r="J17" s="203">
        <v>0</v>
      </c>
      <c r="K17" s="200">
        <f>+ｶﾌｪﾙﾎﾟ!W16/1000</f>
        <v>0</v>
      </c>
      <c r="L17" s="201">
        <f t="shared" si="3"/>
        <v>0</v>
      </c>
      <c r="M17" s="200">
        <v>0</v>
      </c>
      <c r="N17" s="204">
        <f t="shared" si="4"/>
        <v>0</v>
      </c>
      <c r="O17" s="205">
        <v>0</v>
      </c>
      <c r="P17" s="200">
        <f>+ｶﾌｪｾﾚｽﾃ!W16/1000</f>
        <v>0</v>
      </c>
      <c r="Q17" s="201">
        <f t="shared" si="5"/>
        <v>0</v>
      </c>
      <c r="R17" s="200">
        <v>0</v>
      </c>
      <c r="S17" s="202">
        <f t="shared" si="6"/>
        <v>0</v>
      </c>
      <c r="T17" s="199">
        <f t="shared" si="7"/>
        <v>0</v>
      </c>
      <c r="U17" s="200">
        <f t="shared" si="8"/>
        <v>0</v>
      </c>
      <c r="V17" s="201">
        <f t="shared" si="9"/>
        <v>0</v>
      </c>
      <c r="W17" s="200">
        <f t="shared" si="10"/>
        <v>0</v>
      </c>
      <c r="X17" s="206">
        <f t="shared" si="11"/>
        <v>0</v>
      </c>
      <c r="Y17" s="205"/>
      <c r="Z17" s="200"/>
      <c r="AA17" s="201">
        <f t="shared" si="12"/>
        <v>0</v>
      </c>
      <c r="AB17" s="200">
        <v>0</v>
      </c>
      <c r="AC17" s="204">
        <f t="shared" si="13"/>
        <v>0</v>
      </c>
      <c r="AD17" s="205">
        <v>0</v>
      </c>
      <c r="AE17" s="200">
        <f>+ｼﾞｭｴﾙｽﾞ!W16/1000</f>
        <v>0</v>
      </c>
      <c r="AF17" s="201">
        <f t="shared" si="14"/>
        <v>0</v>
      </c>
      <c r="AG17" s="200">
        <v>0</v>
      </c>
      <c r="AH17" s="206">
        <f t="shared" si="15"/>
        <v>0</v>
      </c>
      <c r="AI17" s="199">
        <f t="shared" si="40"/>
        <v>0</v>
      </c>
      <c r="AJ17" s="200">
        <f t="shared" si="41"/>
        <v>0</v>
      </c>
      <c r="AK17" s="201">
        <f t="shared" si="42"/>
        <v>0</v>
      </c>
      <c r="AL17" s="200">
        <f t="shared" si="43"/>
        <v>0</v>
      </c>
      <c r="AM17" s="206">
        <f t="shared" si="44"/>
        <v>0</v>
      </c>
      <c r="AN17" s="199">
        <v>0</v>
      </c>
      <c r="AO17" s="200">
        <f>+ｶﾞｰﾃﾞﾝ!W16/1000</f>
        <v>0</v>
      </c>
      <c r="AP17" s="201">
        <f t="shared" si="16"/>
        <v>0</v>
      </c>
      <c r="AQ17" s="200">
        <v>0</v>
      </c>
      <c r="AR17" s="202">
        <f t="shared" si="17"/>
        <v>0</v>
      </c>
      <c r="AS17" s="203">
        <v>0</v>
      </c>
      <c r="AT17" s="200">
        <f>+ﾋﾞｱｶﾞｰﾃﾞﾝ!W16/1000</f>
        <v>0</v>
      </c>
      <c r="AU17" s="201">
        <f t="shared" si="18"/>
        <v>0</v>
      </c>
      <c r="AV17" s="200">
        <v>0</v>
      </c>
      <c r="AW17" s="206">
        <f t="shared" si="19"/>
        <v>0</v>
      </c>
      <c r="AX17" s="199">
        <f t="shared" si="20"/>
        <v>0</v>
      </c>
      <c r="AY17" s="200">
        <f t="shared" si="21"/>
        <v>0</v>
      </c>
      <c r="AZ17" s="201">
        <f t="shared" si="22"/>
        <v>0</v>
      </c>
      <c r="BA17" s="200">
        <f t="shared" si="23"/>
        <v>0</v>
      </c>
      <c r="BB17" s="206">
        <f t="shared" si="24"/>
        <v>0</v>
      </c>
      <c r="BC17" s="199">
        <v>0</v>
      </c>
      <c r="BD17" s="200">
        <f>+ブリック!W16/1000</f>
        <v>0</v>
      </c>
      <c r="BE17" s="201">
        <f t="shared" si="25"/>
        <v>0</v>
      </c>
      <c r="BF17" s="200"/>
      <c r="BG17" s="202">
        <f t="shared" si="26"/>
        <v>0</v>
      </c>
      <c r="BH17" s="203">
        <v>0</v>
      </c>
      <c r="BI17" s="200">
        <f>+ルスツ羊蹄ぶた!W16/1000</f>
        <v>0</v>
      </c>
      <c r="BJ17" s="201">
        <f t="shared" si="27"/>
        <v>0</v>
      </c>
      <c r="BK17" s="200"/>
      <c r="BL17" s="206">
        <f t="shared" si="28"/>
        <v>0</v>
      </c>
      <c r="BM17" s="199">
        <f t="shared" si="29"/>
        <v>0</v>
      </c>
      <c r="BN17" s="200">
        <f t="shared" si="30"/>
        <v>0</v>
      </c>
      <c r="BO17" s="201">
        <f t="shared" si="31"/>
        <v>0</v>
      </c>
      <c r="BP17" s="200">
        <f t="shared" si="32"/>
        <v>0</v>
      </c>
      <c r="BQ17" s="206">
        <f t="shared" si="33"/>
        <v>0</v>
      </c>
      <c r="BR17" s="199">
        <v>0</v>
      </c>
      <c r="BS17" s="200">
        <f>+料飲共通!W16/1000</f>
        <v>0</v>
      </c>
      <c r="BT17" s="201">
        <f t="shared" si="34"/>
        <v>0</v>
      </c>
      <c r="BU17" s="200">
        <v>0</v>
      </c>
      <c r="BV17" s="206">
        <f t="shared" si="35"/>
        <v>0</v>
      </c>
      <c r="BW17" s="199">
        <f t="shared" si="36"/>
        <v>0</v>
      </c>
      <c r="BX17" s="200">
        <f t="shared" si="37"/>
        <v>0</v>
      </c>
      <c r="BY17" s="201">
        <f t="shared" si="0"/>
        <v>0</v>
      </c>
      <c r="BZ17" s="200">
        <f t="shared" si="38"/>
        <v>0</v>
      </c>
      <c r="CA17" s="206">
        <f t="shared" si="39"/>
        <v>0</v>
      </c>
    </row>
    <row r="18" spans="1:79" s="83" customFormat="1" ht="22" customHeight="1" thickBot="1">
      <c r="A18" s="89" t="s">
        <v>26</v>
      </c>
      <c r="B18" s="90"/>
      <c r="C18" s="90"/>
      <c r="D18" s="90"/>
      <c r="E18" s="207">
        <v>28482.785</v>
      </c>
      <c r="F18" s="208">
        <f>+ﾇｰﾍﾞﾙﾌﾟｰｽ!W17/1000</f>
        <v>29413.917940000003</v>
      </c>
      <c r="G18" s="208">
        <f t="shared" si="1"/>
        <v>-931.13294000000315</v>
      </c>
      <c r="H18" s="208">
        <v>27854</v>
      </c>
      <c r="I18" s="209">
        <f t="shared" si="2"/>
        <v>628.78499999999985</v>
      </c>
      <c r="J18" s="210">
        <v>2947.87104</v>
      </c>
      <c r="K18" s="208">
        <f>+ｶﾌｪﾙﾎﾟ!W17/1000</f>
        <v>8029.1284000000005</v>
      </c>
      <c r="L18" s="208">
        <f t="shared" si="3"/>
        <v>-5081.2573600000005</v>
      </c>
      <c r="M18" s="208">
        <v>2583</v>
      </c>
      <c r="N18" s="211">
        <f t="shared" si="4"/>
        <v>364.87103999999999</v>
      </c>
      <c r="O18" s="209">
        <v>5992.9449999999997</v>
      </c>
      <c r="P18" s="208">
        <f>+ｶﾌｪｾﾚｽﾃ!W17/1000</f>
        <v>6150.5714400000015</v>
      </c>
      <c r="Q18" s="208">
        <f t="shared" si="5"/>
        <v>-157.62644000000182</v>
      </c>
      <c r="R18" s="208">
        <v>6094</v>
      </c>
      <c r="S18" s="209">
        <f t="shared" si="6"/>
        <v>-101.05500000000029</v>
      </c>
      <c r="T18" s="207">
        <f t="shared" si="7"/>
        <v>37423.601040000001</v>
      </c>
      <c r="U18" s="208">
        <f t="shared" si="8"/>
        <v>43593.61778</v>
      </c>
      <c r="V18" s="208">
        <f t="shared" si="9"/>
        <v>-6170.0167399999991</v>
      </c>
      <c r="W18" s="208">
        <f t="shared" si="10"/>
        <v>36531</v>
      </c>
      <c r="X18" s="212">
        <f t="shared" si="11"/>
        <v>892.60104000000138</v>
      </c>
      <c r="Y18" s="209"/>
      <c r="Z18" s="208"/>
      <c r="AA18" s="208">
        <f t="shared" si="12"/>
        <v>0</v>
      </c>
      <c r="AB18" s="208">
        <v>414</v>
      </c>
      <c r="AC18" s="211">
        <f t="shared" si="13"/>
        <v>-414</v>
      </c>
      <c r="AD18" s="209">
        <v>47241.415224999997</v>
      </c>
      <c r="AE18" s="208">
        <f>+ｼﾞｭｴﾙｽﾞ!W17/1000</f>
        <v>50638.731287500006</v>
      </c>
      <c r="AF18" s="208">
        <f t="shared" si="14"/>
        <v>-3397.3160625000091</v>
      </c>
      <c r="AG18" s="208">
        <v>47293</v>
      </c>
      <c r="AH18" s="212">
        <f t="shared" si="15"/>
        <v>-51.584775000002992</v>
      </c>
      <c r="AI18" s="207">
        <f t="shared" si="40"/>
        <v>47241.415224999997</v>
      </c>
      <c r="AJ18" s="208">
        <f t="shared" si="41"/>
        <v>50638.731287500006</v>
      </c>
      <c r="AK18" s="208">
        <f t="shared" si="42"/>
        <v>-3397.3160625000091</v>
      </c>
      <c r="AL18" s="208">
        <f t="shared" si="43"/>
        <v>47707</v>
      </c>
      <c r="AM18" s="212">
        <f t="shared" si="44"/>
        <v>-465.58477500000299</v>
      </c>
      <c r="AN18" s="207">
        <v>42396.583319999998</v>
      </c>
      <c r="AO18" s="208">
        <f>+ｶﾞｰﾃﾞﾝ!W17/1000</f>
        <v>53089.448409999997</v>
      </c>
      <c r="AP18" s="208">
        <f t="shared" si="16"/>
        <v>-10692.865089999999</v>
      </c>
      <c r="AQ18" s="208">
        <v>43158</v>
      </c>
      <c r="AR18" s="209">
        <f t="shared" si="17"/>
        <v>-761.41668000000209</v>
      </c>
      <c r="AS18" s="210">
        <v>49044.3666725</v>
      </c>
      <c r="AT18" s="208">
        <f>+ﾋﾞｱｶﾞｰﾃﾞﾝ!W17/1000</f>
        <v>60924.351000000002</v>
      </c>
      <c r="AU18" s="208">
        <f t="shared" si="18"/>
        <v>-11879.984327500002</v>
      </c>
      <c r="AV18" s="208">
        <v>43625</v>
      </c>
      <c r="AW18" s="212">
        <f t="shared" si="19"/>
        <v>5419.3666725000003</v>
      </c>
      <c r="AX18" s="207">
        <f>+AN18+AS18</f>
        <v>91440.949992499998</v>
      </c>
      <c r="AY18" s="208">
        <f t="shared" si="21"/>
        <v>114013.79941000001</v>
      </c>
      <c r="AZ18" s="208">
        <f t="shared" si="22"/>
        <v>-22572.849417500009</v>
      </c>
      <c r="BA18" s="208">
        <f t="shared" si="23"/>
        <v>86783</v>
      </c>
      <c r="BB18" s="212">
        <f t="shared" si="24"/>
        <v>4657.9499924999982</v>
      </c>
      <c r="BC18" s="207">
        <v>21479</v>
      </c>
      <c r="BD18" s="208">
        <f>+ブリック!W17/1000</f>
        <v>24163.42211</v>
      </c>
      <c r="BE18" s="208">
        <f t="shared" si="25"/>
        <v>-2684.4221099999995</v>
      </c>
      <c r="BF18" s="208"/>
      <c r="BG18" s="209">
        <f t="shared" si="26"/>
        <v>21479</v>
      </c>
      <c r="BH18" s="210">
        <v>17605.84</v>
      </c>
      <c r="BI18" s="208">
        <f>+ルスツ羊蹄ぶた!W17/1000</f>
        <v>12854.092859999999</v>
      </c>
      <c r="BJ18" s="208">
        <f t="shared" si="27"/>
        <v>4751.7471400000013</v>
      </c>
      <c r="BK18" s="208"/>
      <c r="BL18" s="212">
        <f t="shared" si="28"/>
        <v>17605.84</v>
      </c>
      <c r="BM18" s="207">
        <f>+BC18+BH18</f>
        <v>39084.839999999997</v>
      </c>
      <c r="BN18" s="208">
        <f t="shared" si="30"/>
        <v>37017.514969999997</v>
      </c>
      <c r="BO18" s="208">
        <f t="shared" si="31"/>
        <v>2067.32503</v>
      </c>
      <c r="BP18" s="208">
        <f t="shared" si="32"/>
        <v>0</v>
      </c>
      <c r="BQ18" s="212">
        <f t="shared" si="33"/>
        <v>39084.839999999997</v>
      </c>
      <c r="BR18" s="207">
        <v>0</v>
      </c>
      <c r="BS18" s="208">
        <f>+料飲共通!W17/1000</f>
        <v>0</v>
      </c>
      <c r="BT18" s="208">
        <f t="shared" si="34"/>
        <v>0</v>
      </c>
      <c r="BU18" s="208">
        <v>0</v>
      </c>
      <c r="BV18" s="212">
        <f t="shared" si="35"/>
        <v>0</v>
      </c>
      <c r="BW18" s="207">
        <f t="shared" si="36"/>
        <v>215190.80625749999</v>
      </c>
      <c r="BX18" s="208">
        <f t="shared" si="37"/>
        <v>245263.6634475</v>
      </c>
      <c r="BY18" s="208">
        <f t="shared" si="0"/>
        <v>-30072.85719000001</v>
      </c>
      <c r="BZ18" s="208">
        <f t="shared" si="38"/>
        <v>171021</v>
      </c>
      <c r="CA18" s="212">
        <f t="shared" si="39"/>
        <v>44169.806257499993</v>
      </c>
    </row>
    <row r="19" spans="1:79" s="83" customFormat="1" ht="22" customHeight="1" thickTop="1" thickBot="1">
      <c r="A19" s="91" t="s">
        <v>28</v>
      </c>
      <c r="B19" s="92"/>
      <c r="C19" s="92"/>
      <c r="D19" s="92"/>
      <c r="E19" s="213">
        <v>69733.714999999997</v>
      </c>
      <c r="F19" s="214">
        <f>+ﾇｰﾍﾞﾙﾌﾟｰｽ!W18/1000</f>
        <v>72092.787059999988</v>
      </c>
      <c r="G19" s="214">
        <f t="shared" si="1"/>
        <v>-2359.0720599999913</v>
      </c>
      <c r="H19" s="214">
        <v>72872</v>
      </c>
      <c r="I19" s="215">
        <f t="shared" si="2"/>
        <v>-3138.2850000000035</v>
      </c>
      <c r="J19" s="216">
        <v>6264.2259599999988</v>
      </c>
      <c r="K19" s="214">
        <f>+ｶﾌｪﾙﾎﾟ!W18/1000</f>
        <v>536.49759999999992</v>
      </c>
      <c r="L19" s="214">
        <f t="shared" si="3"/>
        <v>5727.7283599999992</v>
      </c>
      <c r="M19" s="214">
        <v>5807</v>
      </c>
      <c r="N19" s="217">
        <f t="shared" si="4"/>
        <v>457.22595999999885</v>
      </c>
      <c r="O19" s="215">
        <v>13656.055</v>
      </c>
      <c r="P19" s="214">
        <f>+ｶﾌｪｾﾚｽﾃ!W18/1000</f>
        <v>14015.236560000001</v>
      </c>
      <c r="Q19" s="214">
        <f t="shared" si="5"/>
        <v>-359.1815600000009</v>
      </c>
      <c r="R19" s="214">
        <v>13411</v>
      </c>
      <c r="S19" s="215">
        <f t="shared" si="6"/>
        <v>245.05500000000029</v>
      </c>
      <c r="T19" s="213">
        <f t="shared" si="7"/>
        <v>89653.99596</v>
      </c>
      <c r="U19" s="214">
        <f t="shared" si="8"/>
        <v>86644.521219999995</v>
      </c>
      <c r="V19" s="214">
        <f t="shared" si="9"/>
        <v>3009.4747400000051</v>
      </c>
      <c r="W19" s="214">
        <f t="shared" si="10"/>
        <v>92090</v>
      </c>
      <c r="X19" s="218">
        <f t="shared" si="11"/>
        <v>-2436.0040399999998</v>
      </c>
      <c r="Y19" s="215"/>
      <c r="Z19" s="214"/>
      <c r="AA19" s="214">
        <f t="shared" si="12"/>
        <v>0</v>
      </c>
      <c r="AB19" s="214">
        <v>23346</v>
      </c>
      <c r="AC19" s="217">
        <f t="shared" si="13"/>
        <v>-23346</v>
      </c>
      <c r="AD19" s="215">
        <v>117076.55077500001</v>
      </c>
      <c r="AE19" s="214">
        <f>+ｼﾞｭｴﾙｽﾞ!W18/1000</f>
        <v>116497.23971249998</v>
      </c>
      <c r="AF19" s="214">
        <f t="shared" si="14"/>
        <v>579.31106250002631</v>
      </c>
      <c r="AG19" s="214">
        <v>115239</v>
      </c>
      <c r="AH19" s="218">
        <f t="shared" si="15"/>
        <v>1837.5507750000106</v>
      </c>
      <c r="AI19" s="213">
        <f t="shared" si="40"/>
        <v>117076.55077500001</v>
      </c>
      <c r="AJ19" s="214">
        <f t="shared" si="41"/>
        <v>116497.23971249998</v>
      </c>
      <c r="AK19" s="214">
        <f t="shared" si="42"/>
        <v>579.31106250002631</v>
      </c>
      <c r="AL19" s="214">
        <f t="shared" si="43"/>
        <v>138585</v>
      </c>
      <c r="AM19" s="218">
        <f t="shared" si="44"/>
        <v>-21508.449224999989</v>
      </c>
      <c r="AN19" s="213">
        <v>94366.588679999986</v>
      </c>
      <c r="AO19" s="214">
        <f>+ｶﾞｰﾃﾞﾝ!W18/1000</f>
        <v>101895.69459</v>
      </c>
      <c r="AP19" s="214">
        <f t="shared" si="16"/>
        <v>-7529.105910000013</v>
      </c>
      <c r="AQ19" s="214">
        <v>93824</v>
      </c>
      <c r="AR19" s="215">
        <f t="shared" si="17"/>
        <v>542.5886799999862</v>
      </c>
      <c r="AS19" s="216">
        <v>105363.92832750001</v>
      </c>
      <c r="AT19" s="214">
        <f>+ﾋﾞｱｶﾞｰﾃﾞﾝ!W18/1000</f>
        <v>117691.38800000001</v>
      </c>
      <c r="AU19" s="214">
        <f t="shared" si="18"/>
        <v>-12327.459672500001</v>
      </c>
      <c r="AV19" s="214">
        <v>96113</v>
      </c>
      <c r="AW19" s="218">
        <f t="shared" si="19"/>
        <v>9250.9283275000053</v>
      </c>
      <c r="AX19" s="213">
        <f t="shared" si="20"/>
        <v>199730.51700749999</v>
      </c>
      <c r="AY19" s="214">
        <f t="shared" si="21"/>
        <v>219587.08259000001</v>
      </c>
      <c r="AZ19" s="214">
        <f t="shared" si="22"/>
        <v>-19856.565582500014</v>
      </c>
      <c r="BA19" s="214">
        <f t="shared" si="23"/>
        <v>189937</v>
      </c>
      <c r="BB19" s="218">
        <f t="shared" si="24"/>
        <v>9793.5170074999915</v>
      </c>
      <c r="BC19" s="213">
        <v>53886.66</v>
      </c>
      <c r="BD19" s="214">
        <f>+ブリック!W18/1000</f>
        <v>37207.312890000001</v>
      </c>
      <c r="BE19" s="214">
        <f t="shared" si="25"/>
        <v>16679.347110000002</v>
      </c>
      <c r="BF19" s="214"/>
      <c r="BG19" s="215">
        <f t="shared" si="26"/>
        <v>53886.66</v>
      </c>
      <c r="BH19" s="216">
        <v>32696.560000000001</v>
      </c>
      <c r="BI19" s="214">
        <f>+ルスツ羊蹄ぶた!W18/1000</f>
        <v>21657.007140000002</v>
      </c>
      <c r="BJ19" s="214">
        <f t="shared" si="27"/>
        <v>11039.55286</v>
      </c>
      <c r="BK19" s="214"/>
      <c r="BL19" s="218">
        <f t="shared" si="28"/>
        <v>32696.560000000001</v>
      </c>
      <c r="BM19" s="213">
        <f t="shared" ref="BM19" si="45">+BC19+BH19</f>
        <v>86583.22</v>
      </c>
      <c r="BN19" s="214">
        <f t="shared" si="30"/>
        <v>58864.320030000003</v>
      </c>
      <c r="BO19" s="214">
        <f t="shared" si="31"/>
        <v>27718.899969999999</v>
      </c>
      <c r="BP19" s="214">
        <f t="shared" si="32"/>
        <v>0</v>
      </c>
      <c r="BQ19" s="218">
        <f t="shared" si="33"/>
        <v>86583.22</v>
      </c>
      <c r="BR19" s="213">
        <v>0</v>
      </c>
      <c r="BS19" s="214">
        <f>+料飲共通!W18/1000</f>
        <v>0</v>
      </c>
      <c r="BT19" s="214">
        <f t="shared" si="34"/>
        <v>0</v>
      </c>
      <c r="BU19" s="214">
        <v>0</v>
      </c>
      <c r="BV19" s="218">
        <f t="shared" si="35"/>
        <v>0</v>
      </c>
      <c r="BW19" s="213">
        <f t="shared" si="36"/>
        <v>493044.2837425</v>
      </c>
      <c r="BX19" s="214">
        <f t="shared" si="37"/>
        <v>481593.16355250002</v>
      </c>
      <c r="BY19" s="214">
        <f t="shared" si="0"/>
        <v>11451.120189999987</v>
      </c>
      <c r="BZ19" s="214">
        <f t="shared" si="38"/>
        <v>420612</v>
      </c>
      <c r="CA19" s="218">
        <f t="shared" si="39"/>
        <v>72432.283742500003</v>
      </c>
    </row>
    <row r="20" spans="1:79" s="83" customFormat="1" ht="22" customHeight="1">
      <c r="A20" s="93" t="s">
        <v>30</v>
      </c>
      <c r="B20" s="94"/>
      <c r="C20" s="94"/>
      <c r="D20" s="94"/>
      <c r="E20" s="219">
        <v>53667.196979999993</v>
      </c>
      <c r="F20" s="220">
        <f>+ﾇｰﾍﾞﾙﾌﾟｰｽ!W19/1000</f>
        <v>63993.442000000003</v>
      </c>
      <c r="G20" s="220">
        <f t="shared" si="1"/>
        <v>-10326.245020000009</v>
      </c>
      <c r="H20" s="220">
        <v>51376</v>
      </c>
      <c r="I20" s="221">
        <f t="shared" si="2"/>
        <v>2291.1969799999933</v>
      </c>
      <c r="J20" s="222">
        <v>2876.8739999999998</v>
      </c>
      <c r="K20" s="220">
        <f>+ｶﾌｪﾙﾎﾟ!W19/1000</f>
        <v>6217.7629999999999</v>
      </c>
      <c r="L20" s="220">
        <f t="shared" si="3"/>
        <v>-3340.8890000000001</v>
      </c>
      <c r="M20" s="220">
        <v>3200</v>
      </c>
      <c r="N20" s="223">
        <f t="shared" si="4"/>
        <v>-323.1260000000002</v>
      </c>
      <c r="O20" s="221">
        <v>2876.875</v>
      </c>
      <c r="P20" s="220">
        <f>+ｶﾌｪｾﾚｽﾃ!W19/1000</f>
        <v>0</v>
      </c>
      <c r="Q20" s="220">
        <f t="shared" si="5"/>
        <v>2876.875</v>
      </c>
      <c r="R20" s="220">
        <v>3200</v>
      </c>
      <c r="S20" s="221">
        <f t="shared" si="6"/>
        <v>-323.125</v>
      </c>
      <c r="T20" s="219">
        <f t="shared" si="7"/>
        <v>59420.94597999999</v>
      </c>
      <c r="U20" s="220">
        <f t="shared" si="8"/>
        <v>70211.205000000002</v>
      </c>
      <c r="V20" s="220">
        <f t="shared" si="9"/>
        <v>-10790.259020000012</v>
      </c>
      <c r="W20" s="220">
        <f t="shared" si="10"/>
        <v>57776</v>
      </c>
      <c r="X20" s="224">
        <f t="shared" si="11"/>
        <v>1644.9459799999895</v>
      </c>
      <c r="Y20" s="221"/>
      <c r="Z20" s="220"/>
      <c r="AA20" s="220">
        <f t="shared" si="12"/>
        <v>0</v>
      </c>
      <c r="AB20" s="220">
        <v>5606</v>
      </c>
      <c r="AC20" s="223">
        <f t="shared" si="13"/>
        <v>-5606</v>
      </c>
      <c r="AD20" s="221">
        <v>66777.382420000009</v>
      </c>
      <c r="AE20" s="220">
        <f>+ｼﾞｭｴﾙｽﾞ!W19/1000</f>
        <v>60085.082999999999</v>
      </c>
      <c r="AF20" s="220">
        <f t="shared" si="14"/>
        <v>6692.2994200000103</v>
      </c>
      <c r="AG20" s="220">
        <v>64580</v>
      </c>
      <c r="AH20" s="224">
        <f t="shared" si="15"/>
        <v>2197.382420000009</v>
      </c>
      <c r="AI20" s="219">
        <f t="shared" si="40"/>
        <v>66777.382420000009</v>
      </c>
      <c r="AJ20" s="220">
        <f t="shared" si="41"/>
        <v>60085.082999999999</v>
      </c>
      <c r="AK20" s="220">
        <f t="shared" si="42"/>
        <v>6692.2994200000103</v>
      </c>
      <c r="AL20" s="220">
        <f t="shared" si="43"/>
        <v>70186</v>
      </c>
      <c r="AM20" s="224">
        <f t="shared" si="44"/>
        <v>-3408.617579999991</v>
      </c>
      <c r="AN20" s="219">
        <v>58176.027999999998</v>
      </c>
      <c r="AO20" s="220">
        <f>+ｶﾞｰﾃﾞﾝ!W19/1000</f>
        <v>72410.585999999996</v>
      </c>
      <c r="AP20" s="220">
        <f t="shared" si="16"/>
        <v>-14234.557999999997</v>
      </c>
      <c r="AQ20" s="220">
        <v>76468</v>
      </c>
      <c r="AR20" s="221">
        <f t="shared" si="17"/>
        <v>-18291.972000000002</v>
      </c>
      <c r="AS20" s="222">
        <v>24932.582371999993</v>
      </c>
      <c r="AT20" s="220">
        <f>+ﾋﾞｱｶﾞｰﾃﾞﾝ!W19/1000</f>
        <v>7713.7209999999995</v>
      </c>
      <c r="AU20" s="220">
        <f t="shared" si="18"/>
        <v>17218.861371999992</v>
      </c>
      <c r="AV20" s="220">
        <v>3911</v>
      </c>
      <c r="AW20" s="224">
        <f t="shared" si="19"/>
        <v>21021.582371999993</v>
      </c>
      <c r="AX20" s="219">
        <f>+AN20+AS20</f>
        <v>83108.610371999996</v>
      </c>
      <c r="AY20" s="220">
        <f t="shared" si="21"/>
        <v>80124.307000000001</v>
      </c>
      <c r="AZ20" s="220">
        <f t="shared" si="22"/>
        <v>2984.3033719999949</v>
      </c>
      <c r="BA20" s="220">
        <f t="shared" si="23"/>
        <v>80379</v>
      </c>
      <c r="BB20" s="224">
        <f t="shared" si="24"/>
        <v>2729.6103719999956</v>
      </c>
      <c r="BC20" s="219">
        <v>30146</v>
      </c>
      <c r="BD20" s="220">
        <f>+ブリック!W19/1000</f>
        <v>42858.783000000003</v>
      </c>
      <c r="BE20" s="220">
        <f t="shared" si="25"/>
        <v>-12712.783000000003</v>
      </c>
      <c r="BF20" s="220"/>
      <c r="BG20" s="221">
        <f t="shared" si="26"/>
        <v>30146</v>
      </c>
      <c r="BH20" s="222">
        <v>16230</v>
      </c>
      <c r="BI20" s="220">
        <f>+ルスツ羊蹄ぶた!W19/1000</f>
        <v>8098.0680000000002</v>
      </c>
      <c r="BJ20" s="220">
        <f t="shared" si="27"/>
        <v>8131.9319999999998</v>
      </c>
      <c r="BK20" s="220"/>
      <c r="BL20" s="224">
        <f t="shared" si="28"/>
        <v>16230</v>
      </c>
      <c r="BM20" s="219">
        <f>+BC20+BH20</f>
        <v>46376</v>
      </c>
      <c r="BN20" s="220">
        <f t="shared" si="30"/>
        <v>50956.851000000002</v>
      </c>
      <c r="BO20" s="220">
        <f t="shared" si="31"/>
        <v>-4580.8510000000024</v>
      </c>
      <c r="BP20" s="220">
        <f t="shared" si="32"/>
        <v>0</v>
      </c>
      <c r="BQ20" s="224">
        <f t="shared" si="33"/>
        <v>46376</v>
      </c>
      <c r="BR20" s="219">
        <v>25580.282447999998</v>
      </c>
      <c r="BS20" s="220">
        <f>+料飲共通!W19/1000</f>
        <v>44752.275000000001</v>
      </c>
      <c r="BT20" s="220">
        <f t="shared" si="34"/>
        <v>-19171.992552000003</v>
      </c>
      <c r="BU20" s="220">
        <v>25666</v>
      </c>
      <c r="BV20" s="224">
        <f t="shared" si="35"/>
        <v>-85.717552000001888</v>
      </c>
      <c r="BW20" s="219">
        <f t="shared" si="36"/>
        <v>281263.22122000001</v>
      </c>
      <c r="BX20" s="220">
        <f t="shared" si="37"/>
        <v>306129.72100000002</v>
      </c>
      <c r="BY20" s="220">
        <f t="shared" si="0"/>
        <v>-24866.499780000013</v>
      </c>
      <c r="BZ20" s="220">
        <f t="shared" si="38"/>
        <v>234007</v>
      </c>
      <c r="CA20" s="224">
        <f t="shared" si="39"/>
        <v>47256.221220000007</v>
      </c>
    </row>
    <row r="21" spans="1:79" s="83" customFormat="1" ht="22" customHeight="1">
      <c r="A21" s="95"/>
      <c r="B21" s="85" t="s">
        <v>32</v>
      </c>
      <c r="C21" s="86"/>
      <c r="D21" s="86"/>
      <c r="E21" s="191">
        <v>0</v>
      </c>
      <c r="F21" s="192">
        <f>+ﾇｰﾍﾞﾙﾌﾟｰｽ!W20/1000</f>
        <v>0</v>
      </c>
      <c r="G21" s="193">
        <f t="shared" si="1"/>
        <v>0</v>
      </c>
      <c r="H21" s="192">
        <v>0</v>
      </c>
      <c r="I21" s="194">
        <f t="shared" si="2"/>
        <v>0</v>
      </c>
      <c r="J21" s="195">
        <v>0</v>
      </c>
      <c r="K21" s="192">
        <f>+ｶﾌｪﾙﾎﾟ!W20/1000</f>
        <v>0</v>
      </c>
      <c r="L21" s="193">
        <f t="shared" si="3"/>
        <v>0</v>
      </c>
      <c r="M21" s="192">
        <v>0</v>
      </c>
      <c r="N21" s="196">
        <f t="shared" si="4"/>
        <v>0</v>
      </c>
      <c r="O21" s="197">
        <v>0</v>
      </c>
      <c r="P21" s="192">
        <f>+ｶﾌｪｾﾚｽﾃ!W20/1000</f>
        <v>0</v>
      </c>
      <c r="Q21" s="193">
        <f t="shared" si="5"/>
        <v>0</v>
      </c>
      <c r="R21" s="192">
        <v>0</v>
      </c>
      <c r="S21" s="194">
        <f t="shared" si="6"/>
        <v>0</v>
      </c>
      <c r="T21" s="191">
        <f t="shared" si="7"/>
        <v>0</v>
      </c>
      <c r="U21" s="192">
        <f t="shared" si="8"/>
        <v>0</v>
      </c>
      <c r="V21" s="193">
        <f t="shared" si="9"/>
        <v>0</v>
      </c>
      <c r="W21" s="192">
        <f t="shared" si="10"/>
        <v>0</v>
      </c>
      <c r="X21" s="198">
        <f t="shared" si="11"/>
        <v>0</v>
      </c>
      <c r="Y21" s="197"/>
      <c r="Z21" s="192"/>
      <c r="AA21" s="193">
        <f t="shared" si="12"/>
        <v>0</v>
      </c>
      <c r="AB21" s="192">
        <v>0</v>
      </c>
      <c r="AC21" s="196">
        <f t="shared" si="13"/>
        <v>0</v>
      </c>
      <c r="AD21" s="197">
        <v>0</v>
      </c>
      <c r="AE21" s="192">
        <f>+ｼﾞｭｴﾙｽﾞ!W20/1000</f>
        <v>0</v>
      </c>
      <c r="AF21" s="193">
        <f t="shared" si="14"/>
        <v>0</v>
      </c>
      <c r="AG21" s="192">
        <v>0</v>
      </c>
      <c r="AH21" s="198">
        <f t="shared" si="15"/>
        <v>0</v>
      </c>
      <c r="AI21" s="191">
        <f t="shared" si="40"/>
        <v>0</v>
      </c>
      <c r="AJ21" s="192">
        <f t="shared" si="41"/>
        <v>0</v>
      </c>
      <c r="AK21" s="193">
        <f t="shared" si="42"/>
        <v>0</v>
      </c>
      <c r="AL21" s="192">
        <f t="shared" si="43"/>
        <v>0</v>
      </c>
      <c r="AM21" s="198">
        <f t="shared" si="44"/>
        <v>0</v>
      </c>
      <c r="AN21" s="191">
        <v>0</v>
      </c>
      <c r="AO21" s="192">
        <f>+ｶﾞｰﾃﾞﾝ!W20/1000</f>
        <v>0</v>
      </c>
      <c r="AP21" s="193">
        <f t="shared" si="16"/>
        <v>0</v>
      </c>
      <c r="AQ21" s="192">
        <v>0</v>
      </c>
      <c r="AR21" s="194">
        <f t="shared" si="17"/>
        <v>0</v>
      </c>
      <c r="AS21" s="195">
        <v>0</v>
      </c>
      <c r="AT21" s="192">
        <f>+ﾋﾞｱｶﾞｰﾃﾞﾝ!W20/1000</f>
        <v>0</v>
      </c>
      <c r="AU21" s="193">
        <f t="shared" si="18"/>
        <v>0</v>
      </c>
      <c r="AV21" s="192">
        <v>0</v>
      </c>
      <c r="AW21" s="198">
        <f t="shared" si="19"/>
        <v>0</v>
      </c>
      <c r="AX21" s="191">
        <f t="shared" si="20"/>
        <v>0</v>
      </c>
      <c r="AY21" s="192">
        <f t="shared" si="21"/>
        <v>0</v>
      </c>
      <c r="AZ21" s="193">
        <f t="shared" si="22"/>
        <v>0</v>
      </c>
      <c r="BA21" s="192">
        <f t="shared" si="23"/>
        <v>0</v>
      </c>
      <c r="BB21" s="198">
        <f t="shared" si="24"/>
        <v>0</v>
      </c>
      <c r="BC21" s="191"/>
      <c r="BD21" s="192">
        <f>+ブリック!W20/1000</f>
        <v>0</v>
      </c>
      <c r="BE21" s="193">
        <f t="shared" si="25"/>
        <v>0</v>
      </c>
      <c r="BF21" s="192"/>
      <c r="BG21" s="194">
        <f t="shared" si="26"/>
        <v>0</v>
      </c>
      <c r="BH21" s="195">
        <v>0</v>
      </c>
      <c r="BI21" s="192">
        <f>+ルスツ羊蹄ぶた!W20/1000</f>
        <v>0</v>
      </c>
      <c r="BJ21" s="193">
        <f t="shared" si="27"/>
        <v>0</v>
      </c>
      <c r="BK21" s="192"/>
      <c r="BL21" s="198">
        <f t="shared" si="28"/>
        <v>0</v>
      </c>
      <c r="BM21" s="191">
        <f t="shared" ref="BM21:BM84" si="46">+BC21+BH21</f>
        <v>0</v>
      </c>
      <c r="BN21" s="192">
        <f t="shared" si="30"/>
        <v>0</v>
      </c>
      <c r="BO21" s="193">
        <f t="shared" si="31"/>
        <v>0</v>
      </c>
      <c r="BP21" s="192">
        <f t="shared" si="32"/>
        <v>0</v>
      </c>
      <c r="BQ21" s="198">
        <f t="shared" si="33"/>
        <v>0</v>
      </c>
      <c r="BR21" s="191">
        <v>0</v>
      </c>
      <c r="BS21" s="192">
        <f>+料飲共通!W20/1000</f>
        <v>0</v>
      </c>
      <c r="BT21" s="193">
        <f t="shared" si="34"/>
        <v>0</v>
      </c>
      <c r="BU21" s="192">
        <v>0</v>
      </c>
      <c r="BV21" s="198">
        <f t="shared" si="35"/>
        <v>0</v>
      </c>
      <c r="BW21" s="191">
        <f t="shared" si="36"/>
        <v>0</v>
      </c>
      <c r="BX21" s="192">
        <f t="shared" si="37"/>
        <v>0</v>
      </c>
      <c r="BY21" s="193">
        <f t="shared" si="0"/>
        <v>0</v>
      </c>
      <c r="BZ21" s="192">
        <f t="shared" si="38"/>
        <v>0</v>
      </c>
      <c r="CA21" s="198">
        <f t="shared" si="39"/>
        <v>0</v>
      </c>
    </row>
    <row r="22" spans="1:79" s="83" customFormat="1" ht="22" customHeight="1">
      <c r="A22" s="95"/>
      <c r="B22" s="87" t="s">
        <v>34</v>
      </c>
      <c r="C22" s="88"/>
      <c r="D22" s="88"/>
      <c r="E22" s="199">
        <v>0</v>
      </c>
      <c r="F22" s="200">
        <f>+ﾇｰﾍﾞﾙﾌﾟｰｽ!W21/1000</f>
        <v>0</v>
      </c>
      <c r="G22" s="201">
        <f t="shared" si="1"/>
        <v>0</v>
      </c>
      <c r="H22" s="200">
        <v>0</v>
      </c>
      <c r="I22" s="202">
        <f t="shared" si="2"/>
        <v>0</v>
      </c>
      <c r="J22" s="203">
        <v>0</v>
      </c>
      <c r="K22" s="200">
        <f>+ｶﾌｪﾙﾎﾟ!W21/1000</f>
        <v>0</v>
      </c>
      <c r="L22" s="201">
        <f t="shared" si="3"/>
        <v>0</v>
      </c>
      <c r="M22" s="200">
        <v>0</v>
      </c>
      <c r="N22" s="204">
        <f t="shared" si="4"/>
        <v>0</v>
      </c>
      <c r="O22" s="205">
        <v>0</v>
      </c>
      <c r="P22" s="200">
        <f>+ｶﾌｪｾﾚｽﾃ!W21/1000</f>
        <v>0</v>
      </c>
      <c r="Q22" s="201">
        <f t="shared" si="5"/>
        <v>0</v>
      </c>
      <c r="R22" s="200">
        <v>0</v>
      </c>
      <c r="S22" s="202">
        <f t="shared" si="6"/>
        <v>0</v>
      </c>
      <c r="T22" s="199">
        <f t="shared" si="7"/>
        <v>0</v>
      </c>
      <c r="U22" s="200">
        <f t="shared" si="8"/>
        <v>0</v>
      </c>
      <c r="V22" s="201">
        <f t="shared" si="9"/>
        <v>0</v>
      </c>
      <c r="W22" s="200">
        <f t="shared" si="10"/>
        <v>0</v>
      </c>
      <c r="X22" s="206">
        <f t="shared" si="11"/>
        <v>0</v>
      </c>
      <c r="Y22" s="205"/>
      <c r="Z22" s="200"/>
      <c r="AA22" s="201">
        <f t="shared" si="12"/>
        <v>0</v>
      </c>
      <c r="AB22" s="200">
        <v>0</v>
      </c>
      <c r="AC22" s="204">
        <f t="shared" si="13"/>
        <v>0</v>
      </c>
      <c r="AD22" s="205">
        <v>0</v>
      </c>
      <c r="AE22" s="200">
        <f>+ｼﾞｭｴﾙｽﾞ!W21/1000</f>
        <v>0</v>
      </c>
      <c r="AF22" s="201">
        <f t="shared" si="14"/>
        <v>0</v>
      </c>
      <c r="AG22" s="200">
        <v>13</v>
      </c>
      <c r="AH22" s="206">
        <f t="shared" si="15"/>
        <v>-13</v>
      </c>
      <c r="AI22" s="199">
        <f t="shared" si="40"/>
        <v>0</v>
      </c>
      <c r="AJ22" s="200">
        <f t="shared" si="41"/>
        <v>0</v>
      </c>
      <c r="AK22" s="201">
        <f t="shared" si="42"/>
        <v>0</v>
      </c>
      <c r="AL22" s="200">
        <f t="shared" si="43"/>
        <v>13</v>
      </c>
      <c r="AM22" s="206">
        <f t="shared" si="44"/>
        <v>-13</v>
      </c>
      <c r="AN22" s="199">
        <v>0</v>
      </c>
      <c r="AO22" s="200">
        <f>+ｶﾞｰﾃﾞﾝ!W21/1000</f>
        <v>0</v>
      </c>
      <c r="AP22" s="201">
        <f t="shared" si="16"/>
        <v>0</v>
      </c>
      <c r="AQ22" s="200">
        <v>0</v>
      </c>
      <c r="AR22" s="202">
        <f t="shared" si="17"/>
        <v>0</v>
      </c>
      <c r="AS22" s="203">
        <v>0</v>
      </c>
      <c r="AT22" s="200">
        <f>+ﾋﾞｱｶﾞｰﾃﾞﾝ!W21/1000</f>
        <v>0</v>
      </c>
      <c r="AU22" s="201">
        <f t="shared" si="18"/>
        <v>0</v>
      </c>
      <c r="AV22" s="200">
        <v>0</v>
      </c>
      <c r="AW22" s="206">
        <f t="shared" si="19"/>
        <v>0</v>
      </c>
      <c r="AX22" s="199">
        <f t="shared" si="20"/>
        <v>0</v>
      </c>
      <c r="AY22" s="200">
        <f t="shared" si="21"/>
        <v>0</v>
      </c>
      <c r="AZ22" s="201">
        <f t="shared" si="22"/>
        <v>0</v>
      </c>
      <c r="BA22" s="200">
        <f t="shared" si="23"/>
        <v>0</v>
      </c>
      <c r="BB22" s="206">
        <f t="shared" si="24"/>
        <v>0</v>
      </c>
      <c r="BC22" s="199">
        <v>0</v>
      </c>
      <c r="BD22" s="200">
        <f>+ブリック!W21/1000</f>
        <v>0</v>
      </c>
      <c r="BE22" s="201">
        <f t="shared" si="25"/>
        <v>0</v>
      </c>
      <c r="BF22" s="200"/>
      <c r="BG22" s="202">
        <f t="shared" si="26"/>
        <v>0</v>
      </c>
      <c r="BH22" s="203">
        <v>0</v>
      </c>
      <c r="BI22" s="200">
        <f>+ルスツ羊蹄ぶた!W21/1000</f>
        <v>0</v>
      </c>
      <c r="BJ22" s="201">
        <f t="shared" si="27"/>
        <v>0</v>
      </c>
      <c r="BK22" s="200"/>
      <c r="BL22" s="206">
        <f t="shared" si="28"/>
        <v>0</v>
      </c>
      <c r="BM22" s="199">
        <f t="shared" si="46"/>
        <v>0</v>
      </c>
      <c r="BN22" s="200">
        <f t="shared" si="30"/>
        <v>0</v>
      </c>
      <c r="BO22" s="201">
        <f t="shared" si="31"/>
        <v>0</v>
      </c>
      <c r="BP22" s="200">
        <f t="shared" si="32"/>
        <v>0</v>
      </c>
      <c r="BQ22" s="206">
        <f t="shared" si="33"/>
        <v>0</v>
      </c>
      <c r="BR22" s="199">
        <v>21846.07</v>
      </c>
      <c r="BS22" s="200">
        <f>+料飲共通!W21/1000</f>
        <v>39163.252999999997</v>
      </c>
      <c r="BT22" s="201">
        <f t="shared" si="34"/>
        <v>-17317.182999999997</v>
      </c>
      <c r="BU22" s="200">
        <v>21667</v>
      </c>
      <c r="BV22" s="206">
        <f t="shared" si="35"/>
        <v>179.06999999999971</v>
      </c>
      <c r="BW22" s="199">
        <f t="shared" si="36"/>
        <v>21846.07</v>
      </c>
      <c r="BX22" s="200">
        <f t="shared" si="37"/>
        <v>39163.252999999997</v>
      </c>
      <c r="BY22" s="201">
        <f t="shared" si="0"/>
        <v>-17317.182999999997</v>
      </c>
      <c r="BZ22" s="200">
        <f t="shared" si="38"/>
        <v>21680</v>
      </c>
      <c r="CA22" s="206">
        <f t="shared" si="39"/>
        <v>166.06999999999971</v>
      </c>
    </row>
    <row r="23" spans="1:79" s="83" customFormat="1" ht="22" customHeight="1">
      <c r="A23" s="95"/>
      <c r="B23" s="87" t="s">
        <v>36</v>
      </c>
      <c r="C23" s="88"/>
      <c r="D23" s="88"/>
      <c r="E23" s="199">
        <v>44651.64</v>
      </c>
      <c r="F23" s="200">
        <f>+ﾇｰﾍﾞﾙﾌﾟｰｽ!W22/1000</f>
        <v>55669.735000000001</v>
      </c>
      <c r="G23" s="201">
        <f t="shared" si="1"/>
        <v>-11018.095000000001</v>
      </c>
      <c r="H23" s="200">
        <v>44167</v>
      </c>
      <c r="I23" s="202">
        <f t="shared" si="2"/>
        <v>484.63999999999942</v>
      </c>
      <c r="J23" s="203">
        <v>2524.1999999999998</v>
      </c>
      <c r="K23" s="200">
        <f>+ｶﾌｪﾙﾎﾟ!W22/1000</f>
        <v>5559.69</v>
      </c>
      <c r="L23" s="201">
        <f t="shared" si="3"/>
        <v>-3035.49</v>
      </c>
      <c r="M23" s="200">
        <v>2876</v>
      </c>
      <c r="N23" s="204">
        <f t="shared" si="4"/>
        <v>-351.80000000000018</v>
      </c>
      <c r="O23" s="205">
        <v>2524.1999999999998</v>
      </c>
      <c r="P23" s="200">
        <f>+ｶﾌｪｾﾚｽﾃ!W22/1000</f>
        <v>0</v>
      </c>
      <c r="Q23" s="201">
        <f t="shared" si="5"/>
        <v>2524.1999999999998</v>
      </c>
      <c r="R23" s="200">
        <v>2876</v>
      </c>
      <c r="S23" s="202">
        <f t="shared" si="6"/>
        <v>-351.80000000000018</v>
      </c>
      <c r="T23" s="199">
        <f t="shared" si="7"/>
        <v>49700.039999999994</v>
      </c>
      <c r="U23" s="200">
        <f t="shared" si="8"/>
        <v>61229.425000000003</v>
      </c>
      <c r="V23" s="201">
        <f t="shared" si="9"/>
        <v>-11529.385000000009</v>
      </c>
      <c r="W23" s="200">
        <f t="shared" si="10"/>
        <v>49919</v>
      </c>
      <c r="X23" s="206">
        <f t="shared" si="11"/>
        <v>-218.9600000000064</v>
      </c>
      <c r="Y23" s="205"/>
      <c r="Z23" s="200"/>
      <c r="AA23" s="201">
        <f t="shared" si="12"/>
        <v>0</v>
      </c>
      <c r="AB23" s="200">
        <v>5123</v>
      </c>
      <c r="AC23" s="204">
        <f t="shared" si="13"/>
        <v>-5123</v>
      </c>
      <c r="AD23" s="205">
        <v>55698.34</v>
      </c>
      <c r="AE23" s="200">
        <f>+ｼﾞｭｴﾙｽﾞ!W22/1000</f>
        <v>53261.927000000003</v>
      </c>
      <c r="AF23" s="201">
        <f t="shared" si="14"/>
        <v>2436.4129999999932</v>
      </c>
      <c r="AG23" s="200">
        <v>55579</v>
      </c>
      <c r="AH23" s="206">
        <f t="shared" si="15"/>
        <v>119.33999999999651</v>
      </c>
      <c r="AI23" s="199">
        <f t="shared" si="40"/>
        <v>55698.34</v>
      </c>
      <c r="AJ23" s="200">
        <f t="shared" si="41"/>
        <v>53261.927000000003</v>
      </c>
      <c r="AK23" s="201">
        <f t="shared" si="42"/>
        <v>2436.4129999999932</v>
      </c>
      <c r="AL23" s="200">
        <f t="shared" si="43"/>
        <v>60702</v>
      </c>
      <c r="AM23" s="206">
        <f t="shared" si="44"/>
        <v>-5003.6600000000035</v>
      </c>
      <c r="AN23" s="199">
        <v>49303.667000000001</v>
      </c>
      <c r="AO23" s="200">
        <f>+ｶﾞｰﾃﾞﾝ!W22/1000</f>
        <v>63994.874000000003</v>
      </c>
      <c r="AP23" s="201">
        <f t="shared" si="16"/>
        <v>-14691.207000000002</v>
      </c>
      <c r="AQ23" s="200">
        <v>65357</v>
      </c>
      <c r="AR23" s="202">
        <f t="shared" si="17"/>
        <v>-16053.332999999999</v>
      </c>
      <c r="AS23" s="203">
        <v>21130.143</v>
      </c>
      <c r="AT23" s="200">
        <f>+ﾋﾞｱｶﾞｰﾃﾞﾝ!W22/1000</f>
        <v>7101.482</v>
      </c>
      <c r="AU23" s="201">
        <f t="shared" si="18"/>
        <v>14028.661</v>
      </c>
      <c r="AV23" s="200">
        <v>3509</v>
      </c>
      <c r="AW23" s="206">
        <f t="shared" si="19"/>
        <v>17621.143</v>
      </c>
      <c r="AX23" s="199">
        <f t="shared" si="20"/>
        <v>70433.81</v>
      </c>
      <c r="AY23" s="200">
        <f t="shared" si="21"/>
        <v>71096.356</v>
      </c>
      <c r="AZ23" s="201">
        <f t="shared" si="22"/>
        <v>-662.5460000000021</v>
      </c>
      <c r="BA23" s="200">
        <f t="shared" si="23"/>
        <v>68866</v>
      </c>
      <c r="BB23" s="206">
        <f t="shared" si="24"/>
        <v>1567.8099999999977</v>
      </c>
      <c r="BC23" s="199">
        <v>30146</v>
      </c>
      <c r="BD23" s="200">
        <f>+ブリック!W22/1000</f>
        <v>37204.665999999997</v>
      </c>
      <c r="BE23" s="201">
        <f t="shared" si="25"/>
        <v>-7058.6659999999974</v>
      </c>
      <c r="BF23" s="200"/>
      <c r="BG23" s="202">
        <f t="shared" si="26"/>
        <v>30146</v>
      </c>
      <c r="BH23" s="203">
        <v>16230</v>
      </c>
      <c r="BI23" s="200">
        <f>+ルスツ羊蹄ぶた!W22/1000</f>
        <v>6766.442</v>
      </c>
      <c r="BJ23" s="201">
        <f t="shared" si="27"/>
        <v>9463.5580000000009</v>
      </c>
      <c r="BK23" s="200"/>
      <c r="BL23" s="206">
        <f t="shared" si="28"/>
        <v>16230</v>
      </c>
      <c r="BM23" s="199">
        <f t="shared" si="46"/>
        <v>46376</v>
      </c>
      <c r="BN23" s="200">
        <f t="shared" si="30"/>
        <v>43971.108</v>
      </c>
      <c r="BO23" s="201">
        <f t="shared" si="31"/>
        <v>2404.8919999999998</v>
      </c>
      <c r="BP23" s="200">
        <f t="shared" si="32"/>
        <v>0</v>
      </c>
      <c r="BQ23" s="206">
        <f t="shared" si="33"/>
        <v>46376</v>
      </c>
      <c r="BR23" s="199">
        <v>0</v>
      </c>
      <c r="BS23" s="200">
        <f>+料飲共通!W22/1000</f>
        <v>75.349999999999994</v>
      </c>
      <c r="BT23" s="201">
        <f t="shared" si="34"/>
        <v>-75.349999999999994</v>
      </c>
      <c r="BU23" s="200">
        <v>0</v>
      </c>
      <c r="BV23" s="206">
        <f t="shared" si="35"/>
        <v>0</v>
      </c>
      <c r="BW23" s="199">
        <f t="shared" si="36"/>
        <v>222208.19</v>
      </c>
      <c r="BX23" s="200">
        <f t="shared" si="37"/>
        <v>229634.16600000003</v>
      </c>
      <c r="BY23" s="201">
        <f t="shared" si="0"/>
        <v>-7425.9760000000242</v>
      </c>
      <c r="BZ23" s="200">
        <f t="shared" si="38"/>
        <v>179487</v>
      </c>
      <c r="CA23" s="206">
        <f t="shared" si="39"/>
        <v>42721.19</v>
      </c>
    </row>
    <row r="24" spans="1:79" s="83" customFormat="1" ht="22" hidden="1" customHeight="1" outlineLevel="1">
      <c r="A24" s="95"/>
      <c r="B24" s="96"/>
      <c r="C24" s="88" t="s">
        <v>38</v>
      </c>
      <c r="D24" s="88"/>
      <c r="E24" s="199">
        <v>44462.64</v>
      </c>
      <c r="F24" s="200">
        <f>+ﾇｰﾍﾞﾙﾌﾟｰｽ!W23/1000</f>
        <v>52395.561000000002</v>
      </c>
      <c r="G24" s="201">
        <f t="shared" si="1"/>
        <v>-7932.9210000000021</v>
      </c>
      <c r="H24" s="200">
        <v>42160</v>
      </c>
      <c r="I24" s="202">
        <f t="shared" si="2"/>
        <v>2302.6399999999994</v>
      </c>
      <c r="J24" s="203">
        <v>0</v>
      </c>
      <c r="K24" s="200">
        <f>+ｶﾌｪﾙﾎﾟ!W23/1000</f>
        <v>0</v>
      </c>
      <c r="L24" s="201">
        <f t="shared" si="3"/>
        <v>0</v>
      </c>
      <c r="M24" s="200">
        <v>0</v>
      </c>
      <c r="N24" s="204">
        <f t="shared" si="4"/>
        <v>0</v>
      </c>
      <c r="O24" s="205">
        <v>0</v>
      </c>
      <c r="P24" s="200">
        <f>+ｶﾌｪｾﾚｽﾃ!W23/1000</f>
        <v>0</v>
      </c>
      <c r="Q24" s="201">
        <f t="shared" si="5"/>
        <v>0</v>
      </c>
      <c r="R24" s="200">
        <v>0</v>
      </c>
      <c r="S24" s="202">
        <f t="shared" si="6"/>
        <v>0</v>
      </c>
      <c r="T24" s="199">
        <f t="shared" si="7"/>
        <v>44462.64</v>
      </c>
      <c r="U24" s="200">
        <f t="shared" si="8"/>
        <v>52395.561000000002</v>
      </c>
      <c r="V24" s="201">
        <f t="shared" si="9"/>
        <v>-7932.9210000000021</v>
      </c>
      <c r="W24" s="200">
        <f t="shared" si="10"/>
        <v>42160</v>
      </c>
      <c r="X24" s="206">
        <f t="shared" si="11"/>
        <v>2302.6399999999994</v>
      </c>
      <c r="Y24" s="205"/>
      <c r="Z24" s="200"/>
      <c r="AA24" s="201">
        <f t="shared" si="12"/>
        <v>0</v>
      </c>
      <c r="AB24" s="200">
        <v>2118</v>
      </c>
      <c r="AC24" s="204">
        <f t="shared" si="13"/>
        <v>-2118</v>
      </c>
      <c r="AD24" s="205">
        <v>50391.64</v>
      </c>
      <c r="AE24" s="200">
        <f>+ｼﾞｭｴﾙｽﾞ!W23/1000</f>
        <v>48027.976000000002</v>
      </c>
      <c r="AF24" s="201">
        <f t="shared" si="14"/>
        <v>2363.663999999997</v>
      </c>
      <c r="AG24" s="200">
        <v>49913</v>
      </c>
      <c r="AH24" s="206">
        <f t="shared" si="15"/>
        <v>478.63999999999942</v>
      </c>
      <c r="AI24" s="199">
        <f t="shared" si="40"/>
        <v>50391.64</v>
      </c>
      <c r="AJ24" s="200">
        <f t="shared" si="41"/>
        <v>48027.976000000002</v>
      </c>
      <c r="AK24" s="201">
        <f t="shared" si="42"/>
        <v>2363.663999999997</v>
      </c>
      <c r="AL24" s="200">
        <f t="shared" si="43"/>
        <v>52031</v>
      </c>
      <c r="AM24" s="206">
        <f t="shared" si="44"/>
        <v>-1639.3600000000006</v>
      </c>
      <c r="AN24" s="199">
        <v>63275.81</v>
      </c>
      <c r="AO24" s="200">
        <f>+ｶﾞｰﾃﾞﾝ!W23/1000</f>
        <v>52404.985000000001</v>
      </c>
      <c r="AP24" s="201">
        <f t="shared" si="16"/>
        <v>10870.824999999997</v>
      </c>
      <c r="AQ24" s="200">
        <v>57262</v>
      </c>
      <c r="AR24" s="202">
        <f t="shared" si="17"/>
        <v>6013.8099999999977</v>
      </c>
      <c r="AS24" s="203">
        <v>0</v>
      </c>
      <c r="AT24" s="200">
        <f>+ﾋﾞｱｶﾞｰﾃﾞﾝ!W23/1000</f>
        <v>0</v>
      </c>
      <c r="AU24" s="201">
        <f t="shared" si="18"/>
        <v>0</v>
      </c>
      <c r="AV24" s="200">
        <v>0</v>
      </c>
      <c r="AW24" s="206">
        <f t="shared" si="19"/>
        <v>0</v>
      </c>
      <c r="AX24" s="199">
        <f t="shared" si="20"/>
        <v>63275.81</v>
      </c>
      <c r="AY24" s="200">
        <f t="shared" si="21"/>
        <v>52404.985000000001</v>
      </c>
      <c r="AZ24" s="201">
        <f t="shared" si="22"/>
        <v>10870.824999999997</v>
      </c>
      <c r="BA24" s="200">
        <f t="shared" si="23"/>
        <v>57262</v>
      </c>
      <c r="BB24" s="206">
        <f t="shared" si="24"/>
        <v>6013.8099999999977</v>
      </c>
      <c r="BC24" s="199">
        <v>0</v>
      </c>
      <c r="BD24" s="200">
        <f>+ブリック!W23/1000</f>
        <v>36008.561000000002</v>
      </c>
      <c r="BE24" s="201">
        <f t="shared" si="25"/>
        <v>-36008.561000000002</v>
      </c>
      <c r="BF24" s="200"/>
      <c r="BG24" s="202">
        <f t="shared" si="26"/>
        <v>0</v>
      </c>
      <c r="BH24" s="203">
        <v>0</v>
      </c>
      <c r="BI24" s="200">
        <f>+ルスツ羊蹄ぶた!W23/1000</f>
        <v>2705.268</v>
      </c>
      <c r="BJ24" s="201">
        <f t="shared" si="27"/>
        <v>-2705.268</v>
      </c>
      <c r="BK24" s="200"/>
      <c r="BL24" s="206">
        <f t="shared" si="28"/>
        <v>0</v>
      </c>
      <c r="BM24" s="199">
        <f t="shared" si="46"/>
        <v>0</v>
      </c>
      <c r="BN24" s="200">
        <f t="shared" si="30"/>
        <v>38713.828999999998</v>
      </c>
      <c r="BO24" s="201">
        <f t="shared" si="31"/>
        <v>-38713.828999999998</v>
      </c>
      <c r="BP24" s="200">
        <f t="shared" si="32"/>
        <v>0</v>
      </c>
      <c r="BQ24" s="206">
        <f t="shared" si="33"/>
        <v>0</v>
      </c>
      <c r="BR24" s="199">
        <v>0</v>
      </c>
      <c r="BS24" s="200">
        <f>+料飲共通!W23/1000</f>
        <v>0</v>
      </c>
      <c r="BT24" s="201">
        <f t="shared" si="34"/>
        <v>0</v>
      </c>
      <c r="BU24" s="200">
        <v>0</v>
      </c>
      <c r="BV24" s="206">
        <f t="shared" si="35"/>
        <v>0</v>
      </c>
      <c r="BW24" s="199">
        <f t="shared" si="36"/>
        <v>158130.09</v>
      </c>
      <c r="BX24" s="200">
        <f t="shared" si="37"/>
        <v>191542.351</v>
      </c>
      <c r="BY24" s="201">
        <f t="shared" si="0"/>
        <v>-33412.260999999999</v>
      </c>
      <c r="BZ24" s="200">
        <f t="shared" si="38"/>
        <v>151453</v>
      </c>
      <c r="CA24" s="206">
        <f t="shared" si="39"/>
        <v>6677.0899999999965</v>
      </c>
    </row>
    <row r="25" spans="1:79" s="83" customFormat="1" ht="22" hidden="1" customHeight="1" outlineLevel="1">
      <c r="A25" s="95"/>
      <c r="B25" s="96"/>
      <c r="C25" s="88" t="s">
        <v>40</v>
      </c>
      <c r="D25" s="88"/>
      <c r="E25" s="199">
        <v>0</v>
      </c>
      <c r="F25" s="200">
        <f>+ﾇｰﾍﾞﾙﾌﾟｰｽ!W24/1000</f>
        <v>2746.8789999999999</v>
      </c>
      <c r="G25" s="201">
        <f t="shared" si="1"/>
        <v>-2746.8789999999999</v>
      </c>
      <c r="H25" s="200">
        <v>0</v>
      </c>
      <c r="I25" s="202">
        <f t="shared" si="2"/>
        <v>0</v>
      </c>
      <c r="J25" s="203">
        <v>0</v>
      </c>
      <c r="K25" s="200">
        <f>+ｶﾌｪﾙﾎﾟ!W24/1000</f>
        <v>0</v>
      </c>
      <c r="L25" s="201">
        <f t="shared" si="3"/>
        <v>0</v>
      </c>
      <c r="M25" s="200">
        <v>0</v>
      </c>
      <c r="N25" s="204">
        <f t="shared" si="4"/>
        <v>0</v>
      </c>
      <c r="O25" s="205">
        <v>0</v>
      </c>
      <c r="P25" s="200">
        <f>+ｶﾌｪｾﾚｽﾃ!W24/1000</f>
        <v>0</v>
      </c>
      <c r="Q25" s="201">
        <f t="shared" si="5"/>
        <v>0</v>
      </c>
      <c r="R25" s="200">
        <v>0</v>
      </c>
      <c r="S25" s="202">
        <f t="shared" si="6"/>
        <v>0</v>
      </c>
      <c r="T25" s="199">
        <f t="shared" si="7"/>
        <v>0</v>
      </c>
      <c r="U25" s="200">
        <f t="shared" si="8"/>
        <v>2746.8789999999999</v>
      </c>
      <c r="V25" s="201">
        <f t="shared" si="9"/>
        <v>-2746.8789999999999</v>
      </c>
      <c r="W25" s="200">
        <f t="shared" si="10"/>
        <v>0</v>
      </c>
      <c r="X25" s="206">
        <f t="shared" si="11"/>
        <v>0</v>
      </c>
      <c r="Y25" s="205"/>
      <c r="Z25" s="200"/>
      <c r="AA25" s="201">
        <f t="shared" si="12"/>
        <v>0</v>
      </c>
      <c r="AB25" s="200">
        <v>0</v>
      </c>
      <c r="AC25" s="204">
        <f t="shared" si="13"/>
        <v>0</v>
      </c>
      <c r="AD25" s="205">
        <v>0</v>
      </c>
      <c r="AE25" s="200">
        <f>+ｼﾞｭｴﾙｽﾞ!W24/1000</f>
        <v>901.71</v>
      </c>
      <c r="AF25" s="201">
        <f t="shared" si="14"/>
        <v>-901.71</v>
      </c>
      <c r="AG25" s="200">
        <v>0</v>
      </c>
      <c r="AH25" s="206">
        <f t="shared" si="15"/>
        <v>0</v>
      </c>
      <c r="AI25" s="199">
        <f t="shared" si="40"/>
        <v>0</v>
      </c>
      <c r="AJ25" s="200">
        <f t="shared" si="41"/>
        <v>901.71</v>
      </c>
      <c r="AK25" s="201">
        <f t="shared" si="42"/>
        <v>-901.71</v>
      </c>
      <c r="AL25" s="200">
        <f t="shared" si="43"/>
        <v>0</v>
      </c>
      <c r="AM25" s="206">
        <f t="shared" si="44"/>
        <v>0</v>
      </c>
      <c r="AN25" s="199">
        <v>0</v>
      </c>
      <c r="AO25" s="200">
        <f>+ｶﾞｰﾃﾞﾝ!W24/1000</f>
        <v>3382.7869999999998</v>
      </c>
      <c r="AP25" s="201">
        <f t="shared" si="16"/>
        <v>-3382.7869999999998</v>
      </c>
      <c r="AQ25" s="200">
        <v>0</v>
      </c>
      <c r="AR25" s="202">
        <f t="shared" si="17"/>
        <v>0</v>
      </c>
      <c r="AS25" s="203">
        <v>0</v>
      </c>
      <c r="AT25" s="200">
        <f>+ﾋﾞｱｶﾞｰﾃﾞﾝ!W24/1000</f>
        <v>7101.482</v>
      </c>
      <c r="AU25" s="201">
        <f t="shared" si="18"/>
        <v>-7101.482</v>
      </c>
      <c r="AV25" s="200">
        <v>0</v>
      </c>
      <c r="AW25" s="206">
        <f t="shared" si="19"/>
        <v>0</v>
      </c>
      <c r="AX25" s="199">
        <f t="shared" si="20"/>
        <v>0</v>
      </c>
      <c r="AY25" s="200">
        <f t="shared" si="21"/>
        <v>10484.269</v>
      </c>
      <c r="AZ25" s="201">
        <f t="shared" si="22"/>
        <v>-10484.269</v>
      </c>
      <c r="BA25" s="200">
        <f t="shared" si="23"/>
        <v>0</v>
      </c>
      <c r="BB25" s="206">
        <f t="shared" si="24"/>
        <v>0</v>
      </c>
      <c r="BC25" s="199">
        <v>0</v>
      </c>
      <c r="BD25" s="200">
        <f>+ブリック!W24/1000</f>
        <v>30.806999999999999</v>
      </c>
      <c r="BE25" s="201">
        <f t="shared" si="25"/>
        <v>-30.806999999999999</v>
      </c>
      <c r="BF25" s="200"/>
      <c r="BG25" s="202">
        <f t="shared" si="26"/>
        <v>0</v>
      </c>
      <c r="BH25" s="203">
        <v>0</v>
      </c>
      <c r="BI25" s="200">
        <f>+ルスツ羊蹄ぶた!W24/1000</f>
        <v>32.024999999999999</v>
      </c>
      <c r="BJ25" s="201">
        <f t="shared" si="27"/>
        <v>-32.024999999999999</v>
      </c>
      <c r="BK25" s="200"/>
      <c r="BL25" s="206">
        <f t="shared" si="28"/>
        <v>0</v>
      </c>
      <c r="BM25" s="199">
        <f t="shared" si="46"/>
        <v>0</v>
      </c>
      <c r="BN25" s="200">
        <f t="shared" si="30"/>
        <v>62.831999999999994</v>
      </c>
      <c r="BO25" s="201">
        <f t="shared" si="31"/>
        <v>-62.831999999999994</v>
      </c>
      <c r="BP25" s="200">
        <f t="shared" si="32"/>
        <v>0</v>
      </c>
      <c r="BQ25" s="206">
        <f t="shared" si="33"/>
        <v>0</v>
      </c>
      <c r="BR25" s="199">
        <v>0</v>
      </c>
      <c r="BS25" s="200">
        <f>+料飲共通!W24/1000</f>
        <v>0</v>
      </c>
      <c r="BT25" s="201">
        <f t="shared" si="34"/>
        <v>0</v>
      </c>
      <c r="BU25" s="200">
        <v>0</v>
      </c>
      <c r="BV25" s="206">
        <f t="shared" si="35"/>
        <v>0</v>
      </c>
      <c r="BW25" s="199">
        <f t="shared" si="36"/>
        <v>0</v>
      </c>
      <c r="BX25" s="200">
        <f t="shared" si="37"/>
        <v>14195.69</v>
      </c>
      <c r="BY25" s="201">
        <f t="shared" si="0"/>
        <v>-14195.69</v>
      </c>
      <c r="BZ25" s="200">
        <f t="shared" si="38"/>
        <v>0</v>
      </c>
      <c r="CA25" s="206">
        <f t="shared" si="39"/>
        <v>0</v>
      </c>
    </row>
    <row r="26" spans="1:79" s="83" customFormat="1" ht="22" hidden="1" customHeight="1" outlineLevel="1">
      <c r="A26" s="95"/>
      <c r="B26" s="96"/>
      <c r="C26" s="88" t="s">
        <v>42</v>
      </c>
      <c r="D26" s="88"/>
      <c r="E26" s="199">
        <v>189</v>
      </c>
      <c r="F26" s="200">
        <f>+ﾇｰﾍﾞﾙﾌﾟｰｽ!W25/1000</f>
        <v>527.29499999999996</v>
      </c>
      <c r="G26" s="201">
        <f t="shared" si="1"/>
        <v>-338.29499999999996</v>
      </c>
      <c r="H26" s="200">
        <v>2007</v>
      </c>
      <c r="I26" s="202">
        <f t="shared" si="2"/>
        <v>-1818</v>
      </c>
      <c r="J26" s="203">
        <v>2524.1999999999998</v>
      </c>
      <c r="K26" s="200">
        <f>+ｶﾌｪﾙﾎﾟ!W25/1000</f>
        <v>5559.69</v>
      </c>
      <c r="L26" s="201">
        <f t="shared" si="3"/>
        <v>-3035.49</v>
      </c>
      <c r="M26" s="200">
        <v>2876</v>
      </c>
      <c r="N26" s="204">
        <f t="shared" si="4"/>
        <v>-351.80000000000018</v>
      </c>
      <c r="O26" s="205">
        <v>2524.1999999999998</v>
      </c>
      <c r="P26" s="200">
        <f>+ｶﾌｪｾﾚｽﾃ!W25/1000</f>
        <v>0</v>
      </c>
      <c r="Q26" s="201">
        <f t="shared" si="5"/>
        <v>2524.1999999999998</v>
      </c>
      <c r="R26" s="200">
        <v>2876</v>
      </c>
      <c r="S26" s="202">
        <f t="shared" si="6"/>
        <v>-351.80000000000018</v>
      </c>
      <c r="T26" s="199">
        <f t="shared" si="7"/>
        <v>5237.3999999999996</v>
      </c>
      <c r="U26" s="200">
        <f t="shared" si="8"/>
        <v>6086.9849999999997</v>
      </c>
      <c r="V26" s="201">
        <f t="shared" si="9"/>
        <v>-849.58500000000004</v>
      </c>
      <c r="W26" s="200">
        <f t="shared" si="10"/>
        <v>7759</v>
      </c>
      <c r="X26" s="206">
        <f t="shared" si="11"/>
        <v>-2521.6000000000004</v>
      </c>
      <c r="Y26" s="205"/>
      <c r="Z26" s="200"/>
      <c r="AA26" s="201">
        <f t="shared" si="12"/>
        <v>0</v>
      </c>
      <c r="AB26" s="200">
        <v>3005</v>
      </c>
      <c r="AC26" s="204">
        <f t="shared" si="13"/>
        <v>-3005</v>
      </c>
      <c r="AD26" s="205">
        <v>5306.7</v>
      </c>
      <c r="AE26" s="200">
        <f>+ｼﾞｭｴﾙｽﾞ!W25/1000</f>
        <v>4332.241</v>
      </c>
      <c r="AF26" s="201">
        <f t="shared" si="14"/>
        <v>974.45899999999983</v>
      </c>
      <c r="AG26" s="200">
        <v>5666</v>
      </c>
      <c r="AH26" s="206">
        <f t="shared" si="15"/>
        <v>-359.30000000000018</v>
      </c>
      <c r="AI26" s="199">
        <f t="shared" si="40"/>
        <v>5306.7</v>
      </c>
      <c r="AJ26" s="200">
        <f t="shared" si="41"/>
        <v>4332.241</v>
      </c>
      <c r="AK26" s="201">
        <f t="shared" si="42"/>
        <v>974.45899999999983</v>
      </c>
      <c r="AL26" s="200">
        <f t="shared" si="43"/>
        <v>8671</v>
      </c>
      <c r="AM26" s="206">
        <f t="shared" si="44"/>
        <v>-3364.3</v>
      </c>
      <c r="AN26" s="199">
        <v>3528</v>
      </c>
      <c r="AO26" s="200">
        <f>+ｶﾞｰﾃﾞﾝ!W25/1000</f>
        <v>8207.1020000000008</v>
      </c>
      <c r="AP26" s="201">
        <f t="shared" si="16"/>
        <v>-4679.1020000000008</v>
      </c>
      <c r="AQ26" s="200">
        <v>8095</v>
      </c>
      <c r="AR26" s="202">
        <f t="shared" si="17"/>
        <v>-4567</v>
      </c>
      <c r="AS26" s="203">
        <v>3630</v>
      </c>
      <c r="AT26" s="200">
        <f>+ﾋﾞｱｶﾞｰﾃﾞﾝ!W25/1000</f>
        <v>0</v>
      </c>
      <c r="AU26" s="201">
        <f t="shared" si="18"/>
        <v>3630</v>
      </c>
      <c r="AV26" s="200">
        <v>3509</v>
      </c>
      <c r="AW26" s="206">
        <f t="shared" si="19"/>
        <v>121</v>
      </c>
      <c r="AX26" s="199">
        <f t="shared" si="20"/>
        <v>7158</v>
      </c>
      <c r="AY26" s="200">
        <f t="shared" si="21"/>
        <v>8207.1020000000008</v>
      </c>
      <c r="AZ26" s="201">
        <f t="shared" si="22"/>
        <v>-1049.1020000000008</v>
      </c>
      <c r="BA26" s="200">
        <f t="shared" si="23"/>
        <v>11604</v>
      </c>
      <c r="BB26" s="206">
        <f t="shared" si="24"/>
        <v>-4446</v>
      </c>
      <c r="BC26" s="199">
        <v>0</v>
      </c>
      <c r="BD26" s="200">
        <f>+ブリック!W25/1000</f>
        <v>1165.298</v>
      </c>
      <c r="BE26" s="201">
        <f t="shared" si="25"/>
        <v>-1165.298</v>
      </c>
      <c r="BF26" s="200"/>
      <c r="BG26" s="202">
        <f t="shared" si="26"/>
        <v>0</v>
      </c>
      <c r="BH26" s="203">
        <v>0</v>
      </c>
      <c r="BI26" s="200">
        <f>+ルスツ羊蹄ぶた!W25/1000</f>
        <v>4029.1489999999999</v>
      </c>
      <c r="BJ26" s="201">
        <f t="shared" si="27"/>
        <v>-4029.1489999999999</v>
      </c>
      <c r="BK26" s="200"/>
      <c r="BL26" s="206">
        <f t="shared" si="28"/>
        <v>0</v>
      </c>
      <c r="BM26" s="199">
        <f t="shared" si="46"/>
        <v>0</v>
      </c>
      <c r="BN26" s="200">
        <f t="shared" si="30"/>
        <v>5194.4470000000001</v>
      </c>
      <c r="BO26" s="201">
        <f t="shared" si="31"/>
        <v>-5194.4470000000001</v>
      </c>
      <c r="BP26" s="200">
        <f t="shared" si="32"/>
        <v>0</v>
      </c>
      <c r="BQ26" s="206">
        <f t="shared" si="33"/>
        <v>0</v>
      </c>
      <c r="BR26" s="199">
        <v>0</v>
      </c>
      <c r="BS26" s="200">
        <f>+料飲共通!W25/1000</f>
        <v>75.349999999999994</v>
      </c>
      <c r="BT26" s="201">
        <f t="shared" si="34"/>
        <v>-75.349999999999994</v>
      </c>
      <c r="BU26" s="200">
        <v>0</v>
      </c>
      <c r="BV26" s="206">
        <f t="shared" si="35"/>
        <v>0</v>
      </c>
      <c r="BW26" s="199">
        <f t="shared" si="36"/>
        <v>17702.099999999999</v>
      </c>
      <c r="BX26" s="200">
        <f t="shared" si="37"/>
        <v>23896.125</v>
      </c>
      <c r="BY26" s="201">
        <f t="shared" si="0"/>
        <v>-6194.0250000000015</v>
      </c>
      <c r="BZ26" s="200">
        <f t="shared" si="38"/>
        <v>28034</v>
      </c>
      <c r="CA26" s="206">
        <f t="shared" si="39"/>
        <v>-10331.900000000001</v>
      </c>
    </row>
    <row r="27" spans="1:79" s="83" customFormat="1" ht="22" customHeight="1" collapsed="1">
      <c r="A27" s="95"/>
      <c r="B27" s="87" t="s">
        <v>44</v>
      </c>
      <c r="C27" s="88"/>
      <c r="D27" s="88"/>
      <c r="E27" s="199">
        <v>0</v>
      </c>
      <c r="F27" s="200">
        <f>+ﾇｰﾍﾞﾙﾌﾟｰｽ!W26/1000</f>
        <v>0</v>
      </c>
      <c r="G27" s="201">
        <f t="shared" si="1"/>
        <v>0</v>
      </c>
      <c r="H27" s="200">
        <v>0</v>
      </c>
      <c r="I27" s="202">
        <f t="shared" si="2"/>
        <v>0</v>
      </c>
      <c r="J27" s="203">
        <v>0</v>
      </c>
      <c r="K27" s="200">
        <f>+ｶﾌｪﾙﾎﾟ!W26/1000</f>
        <v>0</v>
      </c>
      <c r="L27" s="201">
        <f t="shared" si="3"/>
        <v>0</v>
      </c>
      <c r="M27" s="200">
        <v>0</v>
      </c>
      <c r="N27" s="204">
        <f t="shared" si="4"/>
        <v>0</v>
      </c>
      <c r="O27" s="205">
        <v>0</v>
      </c>
      <c r="P27" s="200">
        <f>+ｶﾌｪｾﾚｽﾃ!W26/1000</f>
        <v>0</v>
      </c>
      <c r="Q27" s="201">
        <f t="shared" si="5"/>
        <v>0</v>
      </c>
      <c r="R27" s="200">
        <v>0</v>
      </c>
      <c r="S27" s="202">
        <f t="shared" si="6"/>
        <v>0</v>
      </c>
      <c r="T27" s="199">
        <f t="shared" si="7"/>
        <v>0</v>
      </c>
      <c r="U27" s="200">
        <f t="shared" si="8"/>
        <v>0</v>
      </c>
      <c r="V27" s="201">
        <f t="shared" si="9"/>
        <v>0</v>
      </c>
      <c r="W27" s="200">
        <f t="shared" si="10"/>
        <v>0</v>
      </c>
      <c r="X27" s="206">
        <f t="shared" si="11"/>
        <v>0</v>
      </c>
      <c r="Y27" s="205"/>
      <c r="Z27" s="200"/>
      <c r="AA27" s="201">
        <f t="shared" si="12"/>
        <v>0</v>
      </c>
      <c r="AB27" s="200">
        <v>0</v>
      </c>
      <c r="AC27" s="204">
        <f t="shared" si="13"/>
        <v>0</v>
      </c>
      <c r="AD27" s="205">
        <v>0</v>
      </c>
      <c r="AE27" s="200">
        <f>+ｼﾞｭｴﾙｽﾞ!W26/1000</f>
        <v>0</v>
      </c>
      <c r="AF27" s="201">
        <f t="shared" si="14"/>
        <v>0</v>
      </c>
      <c r="AG27" s="200">
        <v>0</v>
      </c>
      <c r="AH27" s="206">
        <f t="shared" si="15"/>
        <v>0</v>
      </c>
      <c r="AI27" s="199">
        <f t="shared" si="40"/>
        <v>0</v>
      </c>
      <c r="AJ27" s="200">
        <f t="shared" si="41"/>
        <v>0</v>
      </c>
      <c r="AK27" s="201">
        <f t="shared" si="42"/>
        <v>0</v>
      </c>
      <c r="AL27" s="200">
        <f t="shared" si="43"/>
        <v>0</v>
      </c>
      <c r="AM27" s="206">
        <f t="shared" si="44"/>
        <v>0</v>
      </c>
      <c r="AN27" s="199">
        <v>0</v>
      </c>
      <c r="AO27" s="200">
        <f>+ｶﾞｰﾃﾞﾝ!W26/1000</f>
        <v>0</v>
      </c>
      <c r="AP27" s="201">
        <f t="shared" si="16"/>
        <v>0</v>
      </c>
      <c r="AQ27" s="200">
        <v>0</v>
      </c>
      <c r="AR27" s="202">
        <f t="shared" si="17"/>
        <v>0</v>
      </c>
      <c r="AS27" s="203">
        <v>0</v>
      </c>
      <c r="AT27" s="200">
        <f>+ﾋﾞｱｶﾞｰﾃﾞﾝ!W26/1000</f>
        <v>0</v>
      </c>
      <c r="AU27" s="201">
        <f t="shared" si="18"/>
        <v>0</v>
      </c>
      <c r="AV27" s="200">
        <v>0</v>
      </c>
      <c r="AW27" s="206">
        <f t="shared" si="19"/>
        <v>0</v>
      </c>
      <c r="AX27" s="199">
        <f t="shared" si="20"/>
        <v>0</v>
      </c>
      <c r="AY27" s="200">
        <f t="shared" si="21"/>
        <v>0</v>
      </c>
      <c r="AZ27" s="201">
        <f t="shared" si="22"/>
        <v>0</v>
      </c>
      <c r="BA27" s="200">
        <f t="shared" si="23"/>
        <v>0</v>
      </c>
      <c r="BB27" s="206">
        <f t="shared" si="24"/>
        <v>0</v>
      </c>
      <c r="BC27" s="199">
        <v>0</v>
      </c>
      <c r="BD27" s="200">
        <f>+ブリック!W26/1000</f>
        <v>0</v>
      </c>
      <c r="BE27" s="201">
        <f t="shared" si="25"/>
        <v>0</v>
      </c>
      <c r="BF27" s="200"/>
      <c r="BG27" s="202">
        <f t="shared" si="26"/>
        <v>0</v>
      </c>
      <c r="BH27" s="203">
        <v>0</v>
      </c>
      <c r="BI27" s="200">
        <f>+ルスツ羊蹄ぶた!W26/1000</f>
        <v>0</v>
      </c>
      <c r="BJ27" s="201">
        <f t="shared" si="27"/>
        <v>0</v>
      </c>
      <c r="BK27" s="200"/>
      <c r="BL27" s="206">
        <f t="shared" si="28"/>
        <v>0</v>
      </c>
      <c r="BM27" s="199">
        <f t="shared" si="46"/>
        <v>0</v>
      </c>
      <c r="BN27" s="200">
        <f t="shared" si="30"/>
        <v>0</v>
      </c>
      <c r="BO27" s="201">
        <f t="shared" si="31"/>
        <v>0</v>
      </c>
      <c r="BP27" s="200">
        <f t="shared" si="32"/>
        <v>0</v>
      </c>
      <c r="BQ27" s="206">
        <f t="shared" si="33"/>
        <v>0</v>
      </c>
      <c r="BR27" s="199">
        <v>0</v>
      </c>
      <c r="BS27" s="200">
        <f>+料飲共通!W26/1000</f>
        <v>0</v>
      </c>
      <c r="BT27" s="201">
        <f t="shared" si="34"/>
        <v>0</v>
      </c>
      <c r="BU27" s="200">
        <v>0</v>
      </c>
      <c r="BV27" s="206">
        <f t="shared" si="35"/>
        <v>0</v>
      </c>
      <c r="BW27" s="199">
        <f t="shared" si="36"/>
        <v>0</v>
      </c>
      <c r="BX27" s="200">
        <f t="shared" si="37"/>
        <v>0</v>
      </c>
      <c r="BY27" s="201">
        <f t="shared" si="0"/>
        <v>0</v>
      </c>
      <c r="BZ27" s="200">
        <f t="shared" si="38"/>
        <v>0</v>
      </c>
      <c r="CA27" s="206">
        <f t="shared" si="39"/>
        <v>0</v>
      </c>
    </row>
    <row r="28" spans="1:79" s="83" customFormat="1" ht="22" hidden="1" customHeight="1" outlineLevel="1">
      <c r="A28" s="95"/>
      <c r="B28" s="96"/>
      <c r="C28" s="88" t="s">
        <v>46</v>
      </c>
      <c r="D28" s="88"/>
      <c r="E28" s="199">
        <v>0</v>
      </c>
      <c r="F28" s="200">
        <f>+ﾇｰﾍﾞﾙﾌﾟｰｽ!W27/1000</f>
        <v>0</v>
      </c>
      <c r="G28" s="201">
        <f t="shared" si="1"/>
        <v>0</v>
      </c>
      <c r="H28" s="200">
        <v>0</v>
      </c>
      <c r="I28" s="202">
        <f t="shared" si="2"/>
        <v>0</v>
      </c>
      <c r="J28" s="203">
        <v>0</v>
      </c>
      <c r="K28" s="200">
        <f>+ｶﾌｪﾙﾎﾟ!W27/1000</f>
        <v>0</v>
      </c>
      <c r="L28" s="201">
        <f t="shared" si="3"/>
        <v>0</v>
      </c>
      <c r="M28" s="200">
        <v>0</v>
      </c>
      <c r="N28" s="204">
        <f t="shared" si="4"/>
        <v>0</v>
      </c>
      <c r="O28" s="205">
        <v>0</v>
      </c>
      <c r="P28" s="200">
        <f>+ｶﾌｪｾﾚｽﾃ!W27/1000</f>
        <v>0</v>
      </c>
      <c r="Q28" s="201">
        <f t="shared" si="5"/>
        <v>0</v>
      </c>
      <c r="R28" s="200">
        <v>0</v>
      </c>
      <c r="S28" s="202">
        <f t="shared" si="6"/>
        <v>0</v>
      </c>
      <c r="T28" s="199">
        <f t="shared" si="7"/>
        <v>0</v>
      </c>
      <c r="U28" s="200">
        <f t="shared" si="8"/>
        <v>0</v>
      </c>
      <c r="V28" s="201">
        <f t="shared" si="9"/>
        <v>0</v>
      </c>
      <c r="W28" s="200">
        <f t="shared" si="10"/>
        <v>0</v>
      </c>
      <c r="X28" s="206">
        <f t="shared" si="11"/>
        <v>0</v>
      </c>
      <c r="Y28" s="205"/>
      <c r="Z28" s="200"/>
      <c r="AA28" s="201">
        <f t="shared" si="12"/>
        <v>0</v>
      </c>
      <c r="AB28" s="200">
        <v>0</v>
      </c>
      <c r="AC28" s="204">
        <f t="shared" si="13"/>
        <v>0</v>
      </c>
      <c r="AD28" s="205">
        <v>0</v>
      </c>
      <c r="AE28" s="200">
        <f>+ｼﾞｭｴﾙｽﾞ!W27/1000</f>
        <v>0</v>
      </c>
      <c r="AF28" s="201">
        <f t="shared" si="14"/>
        <v>0</v>
      </c>
      <c r="AG28" s="200">
        <v>0</v>
      </c>
      <c r="AH28" s="206">
        <f t="shared" si="15"/>
        <v>0</v>
      </c>
      <c r="AI28" s="199">
        <f t="shared" si="40"/>
        <v>0</v>
      </c>
      <c r="AJ28" s="200">
        <f t="shared" si="41"/>
        <v>0</v>
      </c>
      <c r="AK28" s="201">
        <f t="shared" si="42"/>
        <v>0</v>
      </c>
      <c r="AL28" s="200">
        <f t="shared" si="43"/>
        <v>0</v>
      </c>
      <c r="AM28" s="206">
        <f t="shared" si="44"/>
        <v>0</v>
      </c>
      <c r="AN28" s="199">
        <v>0</v>
      </c>
      <c r="AO28" s="200">
        <f>+ｶﾞｰﾃﾞﾝ!W27/1000</f>
        <v>0</v>
      </c>
      <c r="AP28" s="201">
        <f t="shared" si="16"/>
        <v>0</v>
      </c>
      <c r="AQ28" s="200">
        <v>0</v>
      </c>
      <c r="AR28" s="202">
        <f t="shared" si="17"/>
        <v>0</v>
      </c>
      <c r="AS28" s="203">
        <v>0</v>
      </c>
      <c r="AT28" s="200">
        <f>+ﾋﾞｱｶﾞｰﾃﾞﾝ!W27/1000</f>
        <v>0</v>
      </c>
      <c r="AU28" s="201">
        <f t="shared" si="18"/>
        <v>0</v>
      </c>
      <c r="AV28" s="200">
        <v>0</v>
      </c>
      <c r="AW28" s="206">
        <f t="shared" si="19"/>
        <v>0</v>
      </c>
      <c r="AX28" s="199">
        <f t="shared" si="20"/>
        <v>0</v>
      </c>
      <c r="AY28" s="200">
        <f t="shared" si="21"/>
        <v>0</v>
      </c>
      <c r="AZ28" s="201">
        <f t="shared" si="22"/>
        <v>0</v>
      </c>
      <c r="BA28" s="200">
        <f t="shared" si="23"/>
        <v>0</v>
      </c>
      <c r="BB28" s="206">
        <f t="shared" si="24"/>
        <v>0</v>
      </c>
      <c r="BC28" s="199">
        <v>0</v>
      </c>
      <c r="BD28" s="200">
        <f>+ブリック!W27/1000</f>
        <v>0</v>
      </c>
      <c r="BE28" s="201">
        <f t="shared" si="25"/>
        <v>0</v>
      </c>
      <c r="BF28" s="200"/>
      <c r="BG28" s="202">
        <f t="shared" si="26"/>
        <v>0</v>
      </c>
      <c r="BH28" s="203">
        <v>0</v>
      </c>
      <c r="BI28" s="200">
        <f>+ルスツ羊蹄ぶた!W27/1000</f>
        <v>0</v>
      </c>
      <c r="BJ28" s="201">
        <f t="shared" si="27"/>
        <v>0</v>
      </c>
      <c r="BK28" s="200"/>
      <c r="BL28" s="206">
        <f t="shared" si="28"/>
        <v>0</v>
      </c>
      <c r="BM28" s="199">
        <f t="shared" si="46"/>
        <v>0</v>
      </c>
      <c r="BN28" s="200">
        <f t="shared" si="30"/>
        <v>0</v>
      </c>
      <c r="BO28" s="201">
        <f t="shared" si="31"/>
        <v>0</v>
      </c>
      <c r="BP28" s="200">
        <f t="shared" si="32"/>
        <v>0</v>
      </c>
      <c r="BQ28" s="206">
        <f t="shared" si="33"/>
        <v>0</v>
      </c>
      <c r="BR28" s="199">
        <v>0</v>
      </c>
      <c r="BS28" s="200">
        <f>+料飲共通!W27/1000</f>
        <v>0</v>
      </c>
      <c r="BT28" s="201">
        <f t="shared" si="34"/>
        <v>0</v>
      </c>
      <c r="BU28" s="200">
        <v>0</v>
      </c>
      <c r="BV28" s="206">
        <f t="shared" si="35"/>
        <v>0</v>
      </c>
      <c r="BW28" s="199">
        <f t="shared" si="36"/>
        <v>0</v>
      </c>
      <c r="BX28" s="200">
        <f t="shared" si="37"/>
        <v>0</v>
      </c>
      <c r="BY28" s="201">
        <f t="shared" si="0"/>
        <v>0</v>
      </c>
      <c r="BZ28" s="200">
        <f t="shared" si="38"/>
        <v>0</v>
      </c>
      <c r="CA28" s="206">
        <f t="shared" si="39"/>
        <v>0</v>
      </c>
    </row>
    <row r="29" spans="1:79" s="83" customFormat="1" ht="22" hidden="1" customHeight="1" outlineLevel="1">
      <c r="A29" s="95"/>
      <c r="B29" s="96"/>
      <c r="C29" s="88" t="s">
        <v>48</v>
      </c>
      <c r="D29" s="88"/>
      <c r="E29" s="199">
        <v>0</v>
      </c>
      <c r="F29" s="200">
        <f>+ﾇｰﾍﾞﾙﾌﾟｰｽ!W28/1000</f>
        <v>0</v>
      </c>
      <c r="G29" s="201">
        <f t="shared" si="1"/>
        <v>0</v>
      </c>
      <c r="H29" s="200">
        <v>0</v>
      </c>
      <c r="I29" s="202">
        <f t="shared" si="2"/>
        <v>0</v>
      </c>
      <c r="J29" s="203">
        <v>0</v>
      </c>
      <c r="K29" s="200">
        <f>+ｶﾌｪﾙﾎﾟ!W28/1000</f>
        <v>0</v>
      </c>
      <c r="L29" s="201">
        <f t="shared" si="3"/>
        <v>0</v>
      </c>
      <c r="M29" s="200">
        <v>0</v>
      </c>
      <c r="N29" s="204">
        <f t="shared" si="4"/>
        <v>0</v>
      </c>
      <c r="O29" s="205">
        <v>0</v>
      </c>
      <c r="P29" s="200">
        <f>+ｶﾌｪｾﾚｽﾃ!W28/1000</f>
        <v>0</v>
      </c>
      <c r="Q29" s="201">
        <f t="shared" si="5"/>
        <v>0</v>
      </c>
      <c r="R29" s="200">
        <v>0</v>
      </c>
      <c r="S29" s="202">
        <f t="shared" si="6"/>
        <v>0</v>
      </c>
      <c r="T29" s="199">
        <f t="shared" si="7"/>
        <v>0</v>
      </c>
      <c r="U29" s="200">
        <f t="shared" si="8"/>
        <v>0</v>
      </c>
      <c r="V29" s="201">
        <f t="shared" si="9"/>
        <v>0</v>
      </c>
      <c r="W29" s="200">
        <f t="shared" si="10"/>
        <v>0</v>
      </c>
      <c r="X29" s="206">
        <f t="shared" si="11"/>
        <v>0</v>
      </c>
      <c r="Y29" s="205"/>
      <c r="Z29" s="200"/>
      <c r="AA29" s="201">
        <f t="shared" si="12"/>
        <v>0</v>
      </c>
      <c r="AB29" s="200">
        <v>0</v>
      </c>
      <c r="AC29" s="204">
        <f t="shared" si="13"/>
        <v>0</v>
      </c>
      <c r="AD29" s="205">
        <v>0</v>
      </c>
      <c r="AE29" s="200">
        <f>+ｼﾞｭｴﾙｽﾞ!W28/1000</f>
        <v>0</v>
      </c>
      <c r="AF29" s="201">
        <f t="shared" si="14"/>
        <v>0</v>
      </c>
      <c r="AG29" s="200">
        <v>0</v>
      </c>
      <c r="AH29" s="206">
        <f t="shared" si="15"/>
        <v>0</v>
      </c>
      <c r="AI29" s="199">
        <f t="shared" si="40"/>
        <v>0</v>
      </c>
      <c r="AJ29" s="200">
        <f t="shared" si="41"/>
        <v>0</v>
      </c>
      <c r="AK29" s="201">
        <f t="shared" si="42"/>
        <v>0</v>
      </c>
      <c r="AL29" s="200">
        <f t="shared" si="43"/>
        <v>0</v>
      </c>
      <c r="AM29" s="206">
        <f t="shared" si="44"/>
        <v>0</v>
      </c>
      <c r="AN29" s="199">
        <v>0</v>
      </c>
      <c r="AO29" s="200">
        <f>+ｶﾞｰﾃﾞﾝ!W28/1000</f>
        <v>0</v>
      </c>
      <c r="AP29" s="201">
        <f t="shared" si="16"/>
        <v>0</v>
      </c>
      <c r="AQ29" s="200">
        <v>0</v>
      </c>
      <c r="AR29" s="202">
        <f t="shared" si="17"/>
        <v>0</v>
      </c>
      <c r="AS29" s="203">
        <v>0</v>
      </c>
      <c r="AT29" s="200">
        <f>+ﾋﾞｱｶﾞｰﾃﾞﾝ!W28/1000</f>
        <v>0</v>
      </c>
      <c r="AU29" s="201">
        <f t="shared" si="18"/>
        <v>0</v>
      </c>
      <c r="AV29" s="200">
        <v>0</v>
      </c>
      <c r="AW29" s="206">
        <f t="shared" si="19"/>
        <v>0</v>
      </c>
      <c r="AX29" s="199">
        <f t="shared" si="20"/>
        <v>0</v>
      </c>
      <c r="AY29" s="200">
        <f t="shared" si="21"/>
        <v>0</v>
      </c>
      <c r="AZ29" s="201">
        <f t="shared" si="22"/>
        <v>0</v>
      </c>
      <c r="BA29" s="200">
        <f t="shared" si="23"/>
        <v>0</v>
      </c>
      <c r="BB29" s="206">
        <f t="shared" si="24"/>
        <v>0</v>
      </c>
      <c r="BC29" s="199">
        <v>0</v>
      </c>
      <c r="BD29" s="200">
        <f>+ブリック!W28/1000</f>
        <v>0</v>
      </c>
      <c r="BE29" s="201">
        <f t="shared" si="25"/>
        <v>0</v>
      </c>
      <c r="BF29" s="200"/>
      <c r="BG29" s="202">
        <f t="shared" si="26"/>
        <v>0</v>
      </c>
      <c r="BH29" s="203">
        <v>0</v>
      </c>
      <c r="BI29" s="200">
        <f>+ルスツ羊蹄ぶた!W28/1000</f>
        <v>0</v>
      </c>
      <c r="BJ29" s="201">
        <f t="shared" si="27"/>
        <v>0</v>
      </c>
      <c r="BK29" s="200"/>
      <c r="BL29" s="206">
        <f t="shared" si="28"/>
        <v>0</v>
      </c>
      <c r="BM29" s="199">
        <f t="shared" si="46"/>
        <v>0</v>
      </c>
      <c r="BN29" s="200">
        <f t="shared" si="30"/>
        <v>0</v>
      </c>
      <c r="BO29" s="201">
        <f t="shared" si="31"/>
        <v>0</v>
      </c>
      <c r="BP29" s="200">
        <f t="shared" si="32"/>
        <v>0</v>
      </c>
      <c r="BQ29" s="206">
        <f t="shared" si="33"/>
        <v>0</v>
      </c>
      <c r="BR29" s="199">
        <v>0</v>
      </c>
      <c r="BS29" s="200">
        <f>+料飲共通!W28/1000</f>
        <v>0</v>
      </c>
      <c r="BT29" s="201">
        <f t="shared" si="34"/>
        <v>0</v>
      </c>
      <c r="BU29" s="200">
        <v>0</v>
      </c>
      <c r="BV29" s="206">
        <f t="shared" si="35"/>
        <v>0</v>
      </c>
      <c r="BW29" s="199">
        <f t="shared" si="36"/>
        <v>0</v>
      </c>
      <c r="BX29" s="200">
        <f t="shared" si="37"/>
        <v>0</v>
      </c>
      <c r="BY29" s="201">
        <f t="shared" si="0"/>
        <v>0</v>
      </c>
      <c r="BZ29" s="200">
        <f t="shared" si="38"/>
        <v>0</v>
      </c>
      <c r="CA29" s="206">
        <f t="shared" si="39"/>
        <v>0</v>
      </c>
    </row>
    <row r="30" spans="1:79" s="83" customFormat="1" ht="22" customHeight="1" collapsed="1">
      <c r="A30" s="95"/>
      <c r="B30" s="87" t="s">
        <v>50</v>
      </c>
      <c r="C30" s="88"/>
      <c r="D30" s="88"/>
      <c r="E30" s="199">
        <v>7178.6849799999991</v>
      </c>
      <c r="F30" s="200">
        <f>+ﾇｰﾍﾞﾙﾌﾟｰｽ!W29/1000</f>
        <v>6257.241</v>
      </c>
      <c r="G30" s="201">
        <f t="shared" si="1"/>
        <v>921.4439799999991</v>
      </c>
      <c r="H30" s="200">
        <v>5897</v>
      </c>
      <c r="I30" s="202">
        <f t="shared" si="2"/>
        <v>1281.6849799999991</v>
      </c>
      <c r="J30" s="203">
        <v>241.66399999999999</v>
      </c>
      <c r="K30" s="200">
        <f>+ｶﾌｪﾙﾎﾟ!W29/1000</f>
        <v>501.87599999999998</v>
      </c>
      <c r="L30" s="201">
        <f t="shared" si="3"/>
        <v>-260.21199999999999</v>
      </c>
      <c r="M30" s="200">
        <v>245</v>
      </c>
      <c r="N30" s="204">
        <f t="shared" si="4"/>
        <v>-3.3360000000000127</v>
      </c>
      <c r="O30" s="205">
        <v>241.66499999999999</v>
      </c>
      <c r="P30" s="200">
        <f>+ｶﾌｪｾﾚｽﾃ!W29/1000</f>
        <v>0</v>
      </c>
      <c r="Q30" s="201">
        <f t="shared" si="5"/>
        <v>241.66499999999999</v>
      </c>
      <c r="R30" s="200">
        <v>245</v>
      </c>
      <c r="S30" s="202">
        <f t="shared" si="6"/>
        <v>-3.335000000000008</v>
      </c>
      <c r="T30" s="199">
        <f t="shared" si="7"/>
        <v>7662.0139799999988</v>
      </c>
      <c r="U30" s="200">
        <f t="shared" si="8"/>
        <v>6759.1170000000002</v>
      </c>
      <c r="V30" s="201">
        <f t="shared" si="9"/>
        <v>902.89697999999862</v>
      </c>
      <c r="W30" s="200">
        <f t="shared" si="10"/>
        <v>6387</v>
      </c>
      <c r="X30" s="206">
        <f t="shared" si="11"/>
        <v>1275.0139799999988</v>
      </c>
      <c r="Y30" s="205"/>
      <c r="Z30" s="200"/>
      <c r="AA30" s="201">
        <f t="shared" si="12"/>
        <v>0</v>
      </c>
      <c r="AB30" s="200">
        <v>298</v>
      </c>
      <c r="AC30" s="204">
        <f t="shared" si="13"/>
        <v>-298</v>
      </c>
      <c r="AD30" s="205">
        <v>8543.7104199999994</v>
      </c>
      <c r="AE30" s="200">
        <f>+ｼﾞｭｴﾙｽﾞ!W29/1000</f>
        <v>5404.5540000000001</v>
      </c>
      <c r="AF30" s="201">
        <f t="shared" si="14"/>
        <v>3139.1564199999993</v>
      </c>
      <c r="AG30" s="200">
        <v>7053</v>
      </c>
      <c r="AH30" s="206">
        <f t="shared" si="15"/>
        <v>1490.7104199999994</v>
      </c>
      <c r="AI30" s="199">
        <f t="shared" si="40"/>
        <v>8543.7104199999994</v>
      </c>
      <c r="AJ30" s="200">
        <f t="shared" si="41"/>
        <v>5404.5540000000001</v>
      </c>
      <c r="AK30" s="201">
        <f t="shared" si="42"/>
        <v>3139.1564199999993</v>
      </c>
      <c r="AL30" s="200">
        <f t="shared" si="43"/>
        <v>7351</v>
      </c>
      <c r="AM30" s="206">
        <f t="shared" si="44"/>
        <v>1192.7104199999994</v>
      </c>
      <c r="AN30" s="199">
        <v>6767.259</v>
      </c>
      <c r="AO30" s="200">
        <f>+ｶﾞｰﾃﾞﾝ!W29/1000</f>
        <v>5387.8819999999996</v>
      </c>
      <c r="AP30" s="201">
        <f t="shared" si="16"/>
        <v>1379.3770000000004</v>
      </c>
      <c r="AQ30" s="200">
        <v>8223</v>
      </c>
      <c r="AR30" s="202">
        <f t="shared" si="17"/>
        <v>-1455.741</v>
      </c>
      <c r="AS30" s="203">
        <v>2900.2533719999997</v>
      </c>
      <c r="AT30" s="200">
        <f>+ﾋﾞｱｶﾞｰﾃﾞﾝ!W29/1000</f>
        <v>0</v>
      </c>
      <c r="AU30" s="201">
        <f t="shared" si="18"/>
        <v>2900.2533719999997</v>
      </c>
      <c r="AV30" s="200">
        <v>0</v>
      </c>
      <c r="AW30" s="206">
        <f t="shared" si="19"/>
        <v>2900.2533719999997</v>
      </c>
      <c r="AX30" s="199">
        <f t="shared" si="20"/>
        <v>9667.5123719999992</v>
      </c>
      <c r="AY30" s="200">
        <f t="shared" si="21"/>
        <v>5387.8819999999996</v>
      </c>
      <c r="AZ30" s="201">
        <f t="shared" si="22"/>
        <v>4279.6303719999996</v>
      </c>
      <c r="BA30" s="200">
        <f t="shared" si="23"/>
        <v>8223</v>
      </c>
      <c r="BB30" s="206">
        <f t="shared" si="24"/>
        <v>1444.5123719999992</v>
      </c>
      <c r="BC30" s="199">
        <v>0</v>
      </c>
      <c r="BD30" s="200">
        <f>+ブリック!W29/1000</f>
        <v>3972.6309999999999</v>
      </c>
      <c r="BE30" s="201">
        <f t="shared" si="25"/>
        <v>-3972.6309999999999</v>
      </c>
      <c r="BF30" s="200"/>
      <c r="BG30" s="202">
        <f t="shared" si="26"/>
        <v>0</v>
      </c>
      <c r="BH30" s="203">
        <v>0</v>
      </c>
      <c r="BI30" s="200">
        <f>+ルスツ羊蹄ぶた!W29/1000</f>
        <v>275.31299999999999</v>
      </c>
      <c r="BJ30" s="201">
        <f t="shared" si="27"/>
        <v>-275.31299999999999</v>
      </c>
      <c r="BK30" s="200"/>
      <c r="BL30" s="206">
        <f t="shared" si="28"/>
        <v>0</v>
      </c>
      <c r="BM30" s="199">
        <f t="shared" si="46"/>
        <v>0</v>
      </c>
      <c r="BN30" s="200">
        <f t="shared" si="30"/>
        <v>4247.9439999999995</v>
      </c>
      <c r="BO30" s="201">
        <f t="shared" si="31"/>
        <v>-4247.9439999999995</v>
      </c>
      <c r="BP30" s="200">
        <f t="shared" si="32"/>
        <v>0</v>
      </c>
      <c r="BQ30" s="206">
        <f t="shared" si="33"/>
        <v>0</v>
      </c>
      <c r="BR30" s="199">
        <v>3421.356448</v>
      </c>
      <c r="BS30" s="200">
        <f>+料飲共通!W29/1000</f>
        <v>4534.9579999999996</v>
      </c>
      <c r="BT30" s="201">
        <f t="shared" si="34"/>
        <v>-1113.6015519999996</v>
      </c>
      <c r="BU30" s="200">
        <v>3322</v>
      </c>
      <c r="BV30" s="206">
        <f t="shared" si="35"/>
        <v>99.356448</v>
      </c>
      <c r="BW30" s="199">
        <f t="shared" si="36"/>
        <v>29294.593219999995</v>
      </c>
      <c r="BX30" s="200">
        <f t="shared" si="37"/>
        <v>26334.454999999998</v>
      </c>
      <c r="BY30" s="201">
        <f t="shared" si="0"/>
        <v>2960.1382199999971</v>
      </c>
      <c r="BZ30" s="200">
        <f t="shared" si="38"/>
        <v>25283</v>
      </c>
      <c r="CA30" s="206">
        <f t="shared" si="39"/>
        <v>4011.5932199999952</v>
      </c>
    </row>
    <row r="31" spans="1:79" s="83" customFormat="1" ht="22" customHeight="1">
      <c r="A31" s="95"/>
      <c r="B31" s="87" t="s">
        <v>52</v>
      </c>
      <c r="C31" s="88"/>
      <c r="D31" s="88"/>
      <c r="E31" s="199">
        <v>52.8</v>
      </c>
      <c r="F31" s="200">
        <f>+ﾇｰﾍﾞﾙﾌﾟｰｽ!W30/1000</f>
        <v>68</v>
      </c>
      <c r="G31" s="201">
        <f t="shared" si="1"/>
        <v>-15.200000000000003</v>
      </c>
      <c r="H31" s="200">
        <v>47</v>
      </c>
      <c r="I31" s="202">
        <f t="shared" si="2"/>
        <v>5.7999999999999972</v>
      </c>
      <c r="J31" s="203">
        <v>0</v>
      </c>
      <c r="K31" s="200">
        <f>+ｶﾌｪﾙﾎﾟ!W30/1000</f>
        <v>0</v>
      </c>
      <c r="L31" s="201">
        <f t="shared" si="3"/>
        <v>0</v>
      </c>
      <c r="M31" s="200">
        <v>0</v>
      </c>
      <c r="N31" s="204">
        <f t="shared" si="4"/>
        <v>0</v>
      </c>
      <c r="O31" s="205">
        <v>0</v>
      </c>
      <c r="P31" s="200">
        <f>+ｶﾌｪｾﾚｽﾃ!W30/1000</f>
        <v>0</v>
      </c>
      <c r="Q31" s="201">
        <f t="shared" si="5"/>
        <v>0</v>
      </c>
      <c r="R31" s="200">
        <v>0</v>
      </c>
      <c r="S31" s="202">
        <f t="shared" si="6"/>
        <v>0</v>
      </c>
      <c r="T31" s="199">
        <f t="shared" si="7"/>
        <v>52.8</v>
      </c>
      <c r="U31" s="200">
        <f t="shared" si="8"/>
        <v>68</v>
      </c>
      <c r="V31" s="201">
        <f t="shared" si="9"/>
        <v>-15.200000000000003</v>
      </c>
      <c r="W31" s="200">
        <f t="shared" si="10"/>
        <v>47</v>
      </c>
      <c r="X31" s="206">
        <f t="shared" si="11"/>
        <v>5.7999999999999972</v>
      </c>
      <c r="Y31" s="205"/>
      <c r="Z31" s="200"/>
      <c r="AA31" s="201">
        <f t="shared" si="12"/>
        <v>0</v>
      </c>
      <c r="AB31" s="200">
        <v>0</v>
      </c>
      <c r="AC31" s="204">
        <f t="shared" si="13"/>
        <v>0</v>
      </c>
      <c r="AD31" s="205">
        <v>62.4</v>
      </c>
      <c r="AE31" s="200">
        <f>+ｼﾞｭｴﾙｽﾞ!W30/1000</f>
        <v>88.8</v>
      </c>
      <c r="AF31" s="201">
        <f t="shared" si="14"/>
        <v>-26.4</v>
      </c>
      <c r="AG31" s="200">
        <v>51</v>
      </c>
      <c r="AH31" s="206">
        <f t="shared" si="15"/>
        <v>11.399999999999999</v>
      </c>
      <c r="AI31" s="199">
        <f t="shared" si="40"/>
        <v>62.4</v>
      </c>
      <c r="AJ31" s="200">
        <f t="shared" si="41"/>
        <v>88.8</v>
      </c>
      <c r="AK31" s="201">
        <f t="shared" si="42"/>
        <v>-26.4</v>
      </c>
      <c r="AL31" s="200">
        <f t="shared" si="43"/>
        <v>51</v>
      </c>
      <c r="AM31" s="206">
        <f t="shared" si="44"/>
        <v>11.399999999999999</v>
      </c>
      <c r="AN31" s="199">
        <v>50.4</v>
      </c>
      <c r="AO31" s="200">
        <f>+ｶﾞｰﾃﾞﾝ!W30/1000</f>
        <v>66.8</v>
      </c>
      <c r="AP31" s="201">
        <f t="shared" si="16"/>
        <v>-16.399999999999999</v>
      </c>
      <c r="AQ31" s="200">
        <v>70</v>
      </c>
      <c r="AR31" s="202">
        <f t="shared" si="17"/>
        <v>-19.600000000000001</v>
      </c>
      <c r="AS31" s="203">
        <v>21.6</v>
      </c>
      <c r="AT31" s="200">
        <f>+ﾋﾞｱｶﾞｰﾃﾞﾝ!W30/1000</f>
        <v>0</v>
      </c>
      <c r="AU31" s="201">
        <f t="shared" si="18"/>
        <v>21.6</v>
      </c>
      <c r="AV31" s="200">
        <v>0</v>
      </c>
      <c r="AW31" s="206">
        <f t="shared" si="19"/>
        <v>21.6</v>
      </c>
      <c r="AX31" s="199">
        <f t="shared" si="20"/>
        <v>72</v>
      </c>
      <c r="AY31" s="200">
        <f t="shared" si="21"/>
        <v>66.8</v>
      </c>
      <c r="AZ31" s="201">
        <f t="shared" si="22"/>
        <v>5.2000000000000028</v>
      </c>
      <c r="BA31" s="200">
        <f t="shared" si="23"/>
        <v>70</v>
      </c>
      <c r="BB31" s="206">
        <f t="shared" si="24"/>
        <v>2</v>
      </c>
      <c r="BC31" s="199">
        <v>0</v>
      </c>
      <c r="BD31" s="200">
        <f>+ブリック!W30/1000</f>
        <v>24.2</v>
      </c>
      <c r="BE31" s="201">
        <f t="shared" si="25"/>
        <v>-24.2</v>
      </c>
      <c r="BF31" s="200"/>
      <c r="BG31" s="202">
        <f t="shared" si="26"/>
        <v>0</v>
      </c>
      <c r="BH31" s="203">
        <v>0</v>
      </c>
      <c r="BI31" s="200">
        <f>+ルスツ羊蹄ぶた!W30/1000</f>
        <v>-0.8</v>
      </c>
      <c r="BJ31" s="201">
        <f t="shared" si="27"/>
        <v>0.8</v>
      </c>
      <c r="BK31" s="200"/>
      <c r="BL31" s="206">
        <f t="shared" si="28"/>
        <v>0</v>
      </c>
      <c r="BM31" s="199">
        <f t="shared" si="46"/>
        <v>0</v>
      </c>
      <c r="BN31" s="200">
        <f t="shared" si="30"/>
        <v>23.4</v>
      </c>
      <c r="BO31" s="201">
        <f t="shared" si="31"/>
        <v>-23.4</v>
      </c>
      <c r="BP31" s="200">
        <f t="shared" si="32"/>
        <v>0</v>
      </c>
      <c r="BQ31" s="206">
        <f t="shared" si="33"/>
        <v>0</v>
      </c>
      <c r="BR31" s="199">
        <v>14.4</v>
      </c>
      <c r="BS31" s="200">
        <f>+料飲共通!W30/1000</f>
        <v>20</v>
      </c>
      <c r="BT31" s="201">
        <f t="shared" si="34"/>
        <v>-5.6</v>
      </c>
      <c r="BU31" s="200">
        <v>14</v>
      </c>
      <c r="BV31" s="206">
        <f t="shared" si="35"/>
        <v>0.40000000000000036</v>
      </c>
      <c r="BW31" s="199">
        <f t="shared" si="36"/>
        <v>201.6</v>
      </c>
      <c r="BX31" s="200">
        <f t="shared" si="37"/>
        <v>267</v>
      </c>
      <c r="BY31" s="201">
        <f t="shared" si="0"/>
        <v>-65.400000000000006</v>
      </c>
      <c r="BZ31" s="200">
        <f t="shared" si="38"/>
        <v>182</v>
      </c>
      <c r="CA31" s="206">
        <f t="shared" si="39"/>
        <v>19.599999999999994</v>
      </c>
    </row>
    <row r="32" spans="1:79" s="83" customFormat="1" ht="22" customHeight="1">
      <c r="A32" s="95"/>
      <c r="B32" s="87" t="s">
        <v>54</v>
      </c>
      <c r="C32" s="88"/>
      <c r="D32" s="88"/>
      <c r="E32" s="199">
        <v>609.20000000000005</v>
      </c>
      <c r="F32" s="200">
        <f>+ﾇｰﾍﾞﾙﾌﾟｰｽ!W31/1000</f>
        <v>392.02</v>
      </c>
      <c r="G32" s="201">
        <f t="shared" si="1"/>
        <v>217.18000000000006</v>
      </c>
      <c r="H32" s="200">
        <v>111</v>
      </c>
      <c r="I32" s="202">
        <f t="shared" si="2"/>
        <v>498.20000000000005</v>
      </c>
      <c r="J32" s="203">
        <v>0</v>
      </c>
      <c r="K32" s="200">
        <f>+ｶﾌｪﾙﾎﾟ!W31/1000</f>
        <v>0</v>
      </c>
      <c r="L32" s="201">
        <f t="shared" si="3"/>
        <v>0</v>
      </c>
      <c r="M32" s="200">
        <v>9</v>
      </c>
      <c r="N32" s="204">
        <f t="shared" si="4"/>
        <v>-9</v>
      </c>
      <c r="O32" s="205">
        <v>0</v>
      </c>
      <c r="P32" s="200">
        <f>+ｶﾌｪｾﾚｽﾃ!W31/1000</f>
        <v>0</v>
      </c>
      <c r="Q32" s="201">
        <f t="shared" si="5"/>
        <v>0</v>
      </c>
      <c r="R32" s="200">
        <v>9</v>
      </c>
      <c r="S32" s="202">
        <f t="shared" si="6"/>
        <v>-9</v>
      </c>
      <c r="T32" s="199">
        <f t="shared" si="7"/>
        <v>609.20000000000005</v>
      </c>
      <c r="U32" s="200">
        <f t="shared" si="8"/>
        <v>392.02</v>
      </c>
      <c r="V32" s="201">
        <f t="shared" si="9"/>
        <v>217.18000000000006</v>
      </c>
      <c r="W32" s="200">
        <f t="shared" si="10"/>
        <v>129</v>
      </c>
      <c r="X32" s="206">
        <f t="shared" si="11"/>
        <v>480.20000000000005</v>
      </c>
      <c r="Y32" s="205"/>
      <c r="Z32" s="200"/>
      <c r="AA32" s="201">
        <f t="shared" si="12"/>
        <v>0</v>
      </c>
      <c r="AB32" s="200">
        <v>0</v>
      </c>
      <c r="AC32" s="204">
        <f t="shared" si="13"/>
        <v>0</v>
      </c>
      <c r="AD32" s="205">
        <v>623.6</v>
      </c>
      <c r="AE32" s="200">
        <f>+ｼﾞｭｴﾙｽﾞ!W31/1000</f>
        <v>209.55</v>
      </c>
      <c r="AF32" s="201">
        <f t="shared" si="14"/>
        <v>414.05</v>
      </c>
      <c r="AG32" s="200">
        <v>249</v>
      </c>
      <c r="AH32" s="206">
        <f t="shared" si="15"/>
        <v>374.6</v>
      </c>
      <c r="AI32" s="199">
        <f t="shared" si="40"/>
        <v>623.6</v>
      </c>
      <c r="AJ32" s="200">
        <f t="shared" si="41"/>
        <v>209.55</v>
      </c>
      <c r="AK32" s="201">
        <f t="shared" si="42"/>
        <v>414.05</v>
      </c>
      <c r="AL32" s="200">
        <f t="shared" si="43"/>
        <v>249</v>
      </c>
      <c r="AM32" s="206">
        <f t="shared" si="44"/>
        <v>374.6</v>
      </c>
      <c r="AN32" s="199">
        <v>446.6</v>
      </c>
      <c r="AO32" s="200">
        <f>+ｶﾞｰﾃﾞﾝ!W31/1000</f>
        <v>261.15600000000001</v>
      </c>
      <c r="AP32" s="201">
        <f t="shared" si="16"/>
        <v>185.44400000000002</v>
      </c>
      <c r="AQ32" s="200">
        <v>516</v>
      </c>
      <c r="AR32" s="202">
        <f t="shared" si="17"/>
        <v>-69.399999999999977</v>
      </c>
      <c r="AS32" s="203">
        <v>191.4</v>
      </c>
      <c r="AT32" s="200">
        <f>+ﾋﾞｱｶﾞｰﾃﾞﾝ!W31/1000</f>
        <v>0</v>
      </c>
      <c r="AU32" s="201">
        <f t="shared" si="18"/>
        <v>191.4</v>
      </c>
      <c r="AV32" s="200">
        <v>0</v>
      </c>
      <c r="AW32" s="206">
        <f t="shared" si="19"/>
        <v>191.4</v>
      </c>
      <c r="AX32" s="199">
        <f t="shared" si="20"/>
        <v>638</v>
      </c>
      <c r="AY32" s="200">
        <f t="shared" si="21"/>
        <v>261.15600000000001</v>
      </c>
      <c r="AZ32" s="201">
        <f t="shared" si="22"/>
        <v>376.84399999999999</v>
      </c>
      <c r="BA32" s="200">
        <f t="shared" si="23"/>
        <v>516</v>
      </c>
      <c r="BB32" s="206">
        <f t="shared" si="24"/>
        <v>122</v>
      </c>
      <c r="BC32" s="199">
        <v>0</v>
      </c>
      <c r="BD32" s="200">
        <f>+ブリック!W31/1000</f>
        <v>570.02700000000004</v>
      </c>
      <c r="BE32" s="201">
        <f t="shared" si="25"/>
        <v>-570.02700000000004</v>
      </c>
      <c r="BF32" s="200"/>
      <c r="BG32" s="202">
        <f t="shared" si="26"/>
        <v>0</v>
      </c>
      <c r="BH32" s="203">
        <v>0</v>
      </c>
      <c r="BI32" s="200">
        <f>+ルスツ羊蹄ぶた!W31/1000</f>
        <v>480.96100000000001</v>
      </c>
      <c r="BJ32" s="201">
        <f t="shared" si="27"/>
        <v>-480.96100000000001</v>
      </c>
      <c r="BK32" s="200"/>
      <c r="BL32" s="206">
        <f t="shared" si="28"/>
        <v>0</v>
      </c>
      <c r="BM32" s="199">
        <f t="shared" si="46"/>
        <v>0</v>
      </c>
      <c r="BN32" s="200">
        <f t="shared" si="30"/>
        <v>1050.9880000000001</v>
      </c>
      <c r="BO32" s="201">
        <f t="shared" si="31"/>
        <v>-1050.9880000000001</v>
      </c>
      <c r="BP32" s="200">
        <f t="shared" si="32"/>
        <v>0</v>
      </c>
      <c r="BQ32" s="206">
        <f t="shared" si="33"/>
        <v>0</v>
      </c>
      <c r="BR32" s="199">
        <v>61.6</v>
      </c>
      <c r="BS32" s="200">
        <f>+料飲共通!W31/1000</f>
        <v>264.05399999999997</v>
      </c>
      <c r="BT32" s="201">
        <f t="shared" si="34"/>
        <v>-202.45399999999998</v>
      </c>
      <c r="BU32" s="200">
        <v>430</v>
      </c>
      <c r="BV32" s="206">
        <f t="shared" si="35"/>
        <v>-368.4</v>
      </c>
      <c r="BW32" s="199">
        <f t="shared" si="36"/>
        <v>1932.4</v>
      </c>
      <c r="BX32" s="200">
        <f t="shared" si="37"/>
        <v>2177.768</v>
      </c>
      <c r="BY32" s="201">
        <f t="shared" si="0"/>
        <v>-245.36799999999994</v>
      </c>
      <c r="BZ32" s="200">
        <f t="shared" si="38"/>
        <v>1324</v>
      </c>
      <c r="CA32" s="206">
        <f t="shared" si="39"/>
        <v>608.40000000000009</v>
      </c>
    </row>
    <row r="33" spans="1:79" s="83" customFormat="1" ht="22" hidden="1" customHeight="1" outlineLevel="1">
      <c r="A33" s="95"/>
      <c r="B33" s="96"/>
      <c r="C33" s="88" t="s">
        <v>54</v>
      </c>
      <c r="D33" s="88"/>
      <c r="E33" s="199">
        <v>79.2</v>
      </c>
      <c r="F33" s="200">
        <f>+ﾇｰﾍﾞﾙﾌﾟｰｽ!W32/1000</f>
        <v>69</v>
      </c>
      <c r="G33" s="201">
        <f t="shared" si="1"/>
        <v>10.200000000000003</v>
      </c>
      <c r="H33" s="200">
        <v>56</v>
      </c>
      <c r="I33" s="202">
        <f t="shared" si="2"/>
        <v>23.200000000000003</v>
      </c>
      <c r="J33" s="203">
        <v>0</v>
      </c>
      <c r="K33" s="200">
        <f>+ｶﾌｪﾙﾎﾟ!W32/1000</f>
        <v>0</v>
      </c>
      <c r="L33" s="201">
        <f t="shared" si="3"/>
        <v>0</v>
      </c>
      <c r="M33" s="200">
        <v>0</v>
      </c>
      <c r="N33" s="204">
        <f t="shared" si="4"/>
        <v>0</v>
      </c>
      <c r="O33" s="205">
        <v>0</v>
      </c>
      <c r="P33" s="200">
        <f>+ｶﾌｪｾﾚｽﾃ!W32/1000</f>
        <v>0</v>
      </c>
      <c r="Q33" s="201">
        <f t="shared" si="5"/>
        <v>0</v>
      </c>
      <c r="R33" s="200">
        <v>0</v>
      </c>
      <c r="S33" s="202">
        <f t="shared" si="6"/>
        <v>0</v>
      </c>
      <c r="T33" s="199">
        <f t="shared" si="7"/>
        <v>79.2</v>
      </c>
      <c r="U33" s="200">
        <f t="shared" si="8"/>
        <v>69</v>
      </c>
      <c r="V33" s="201">
        <f t="shared" si="9"/>
        <v>10.200000000000003</v>
      </c>
      <c r="W33" s="200">
        <f t="shared" si="10"/>
        <v>56</v>
      </c>
      <c r="X33" s="206">
        <f t="shared" si="11"/>
        <v>23.200000000000003</v>
      </c>
      <c r="Y33" s="205"/>
      <c r="Z33" s="200"/>
      <c r="AA33" s="201">
        <f t="shared" si="12"/>
        <v>0</v>
      </c>
      <c r="AB33" s="200">
        <v>0</v>
      </c>
      <c r="AC33" s="204">
        <f t="shared" si="13"/>
        <v>0</v>
      </c>
      <c r="AD33" s="205">
        <v>93.6</v>
      </c>
      <c r="AE33" s="200">
        <f>+ｼﾞｭｴﾙｽﾞ!W32/1000</f>
        <v>85.8</v>
      </c>
      <c r="AF33" s="201">
        <f t="shared" si="14"/>
        <v>7.7999999999999972</v>
      </c>
      <c r="AG33" s="200">
        <v>65</v>
      </c>
      <c r="AH33" s="206">
        <f t="shared" si="15"/>
        <v>28.599999999999994</v>
      </c>
      <c r="AI33" s="199">
        <f t="shared" si="40"/>
        <v>93.6</v>
      </c>
      <c r="AJ33" s="200">
        <f t="shared" si="41"/>
        <v>85.8</v>
      </c>
      <c r="AK33" s="201">
        <f t="shared" si="42"/>
        <v>7.7999999999999972</v>
      </c>
      <c r="AL33" s="200">
        <f t="shared" si="43"/>
        <v>65</v>
      </c>
      <c r="AM33" s="206">
        <f t="shared" si="44"/>
        <v>28.599999999999994</v>
      </c>
      <c r="AN33" s="199">
        <v>108</v>
      </c>
      <c r="AO33" s="200">
        <f>+ｶﾞｰﾃﾞﾝ!W32/1000</f>
        <v>92.596000000000004</v>
      </c>
      <c r="AP33" s="201">
        <f t="shared" si="16"/>
        <v>15.403999999999996</v>
      </c>
      <c r="AQ33" s="200">
        <v>75</v>
      </c>
      <c r="AR33" s="202">
        <f t="shared" si="17"/>
        <v>33</v>
      </c>
      <c r="AS33" s="203">
        <v>0</v>
      </c>
      <c r="AT33" s="200">
        <f>+ﾋﾞｱｶﾞｰﾃﾞﾝ!W32/1000</f>
        <v>0</v>
      </c>
      <c r="AU33" s="201">
        <f t="shared" si="18"/>
        <v>0</v>
      </c>
      <c r="AV33" s="200">
        <v>0</v>
      </c>
      <c r="AW33" s="206">
        <f t="shared" si="19"/>
        <v>0</v>
      </c>
      <c r="AX33" s="199">
        <f t="shared" si="20"/>
        <v>108</v>
      </c>
      <c r="AY33" s="200">
        <f t="shared" si="21"/>
        <v>92.596000000000004</v>
      </c>
      <c r="AZ33" s="201">
        <f t="shared" si="22"/>
        <v>15.403999999999996</v>
      </c>
      <c r="BA33" s="200">
        <f t="shared" si="23"/>
        <v>75</v>
      </c>
      <c r="BB33" s="206">
        <f t="shared" si="24"/>
        <v>33</v>
      </c>
      <c r="BC33" s="199">
        <v>0</v>
      </c>
      <c r="BD33" s="200">
        <f>+ブリック!W32/1000</f>
        <v>56.892000000000003</v>
      </c>
      <c r="BE33" s="201">
        <f t="shared" si="25"/>
        <v>-56.892000000000003</v>
      </c>
      <c r="BF33" s="200"/>
      <c r="BG33" s="202">
        <f t="shared" si="26"/>
        <v>0</v>
      </c>
      <c r="BH33" s="203">
        <v>0</v>
      </c>
      <c r="BI33" s="200">
        <f>+ルスツ羊蹄ぶた!W32/1000</f>
        <v>-0.6</v>
      </c>
      <c r="BJ33" s="201">
        <f t="shared" si="27"/>
        <v>0.6</v>
      </c>
      <c r="BK33" s="200"/>
      <c r="BL33" s="206">
        <f t="shared" si="28"/>
        <v>0</v>
      </c>
      <c r="BM33" s="199">
        <f t="shared" si="46"/>
        <v>0</v>
      </c>
      <c r="BN33" s="200">
        <f t="shared" si="30"/>
        <v>56.292000000000002</v>
      </c>
      <c r="BO33" s="201">
        <f t="shared" si="31"/>
        <v>-56.292000000000002</v>
      </c>
      <c r="BP33" s="200">
        <f t="shared" si="32"/>
        <v>0</v>
      </c>
      <c r="BQ33" s="206">
        <f t="shared" si="33"/>
        <v>0</v>
      </c>
      <c r="BR33" s="199">
        <v>21.6</v>
      </c>
      <c r="BS33" s="200">
        <f>+料飲共通!W32/1000</f>
        <v>67.603999999999999</v>
      </c>
      <c r="BT33" s="201">
        <f t="shared" si="34"/>
        <v>-46.003999999999998</v>
      </c>
      <c r="BU33" s="200">
        <v>32</v>
      </c>
      <c r="BV33" s="206">
        <f t="shared" si="35"/>
        <v>-10.399999999999999</v>
      </c>
      <c r="BW33" s="199">
        <f t="shared" si="36"/>
        <v>302.40000000000003</v>
      </c>
      <c r="BX33" s="200">
        <f t="shared" si="37"/>
        <v>371.29199999999997</v>
      </c>
      <c r="BY33" s="201">
        <f t="shared" si="0"/>
        <v>-68.891999999999939</v>
      </c>
      <c r="BZ33" s="200">
        <f t="shared" si="38"/>
        <v>228</v>
      </c>
      <c r="CA33" s="206">
        <f t="shared" si="39"/>
        <v>74.400000000000034</v>
      </c>
    </row>
    <row r="34" spans="1:79" s="83" customFormat="1" ht="22" hidden="1" customHeight="1" outlineLevel="1">
      <c r="A34" s="95"/>
      <c r="B34" s="96"/>
      <c r="C34" s="88" t="s">
        <v>57</v>
      </c>
      <c r="D34" s="88"/>
      <c r="E34" s="199">
        <v>330</v>
      </c>
      <c r="F34" s="200">
        <f>+ﾇｰﾍﾞﾙﾌﾟｰｽ!W33/1000</f>
        <v>323.02</v>
      </c>
      <c r="G34" s="201">
        <f t="shared" si="1"/>
        <v>6.9800000000000182</v>
      </c>
      <c r="H34" s="200">
        <v>48</v>
      </c>
      <c r="I34" s="202">
        <f t="shared" si="2"/>
        <v>282</v>
      </c>
      <c r="J34" s="203">
        <v>0</v>
      </c>
      <c r="K34" s="200">
        <f>+ｶﾌｪﾙﾎﾟ!W33/1000</f>
        <v>0</v>
      </c>
      <c r="L34" s="201">
        <f t="shared" si="3"/>
        <v>0</v>
      </c>
      <c r="M34" s="200">
        <v>9</v>
      </c>
      <c r="N34" s="204">
        <f t="shared" si="4"/>
        <v>-9</v>
      </c>
      <c r="O34" s="205">
        <v>0</v>
      </c>
      <c r="P34" s="200">
        <f>+ｶﾌｪｾﾚｽﾃ!W33/1000</f>
        <v>0</v>
      </c>
      <c r="Q34" s="201">
        <f t="shared" si="5"/>
        <v>0</v>
      </c>
      <c r="R34" s="200">
        <v>9</v>
      </c>
      <c r="S34" s="202">
        <f t="shared" si="6"/>
        <v>-9</v>
      </c>
      <c r="T34" s="199">
        <f t="shared" si="7"/>
        <v>330</v>
      </c>
      <c r="U34" s="200">
        <f t="shared" si="8"/>
        <v>323.02</v>
      </c>
      <c r="V34" s="201">
        <f t="shared" si="9"/>
        <v>6.9800000000000182</v>
      </c>
      <c r="W34" s="200">
        <f t="shared" si="10"/>
        <v>66</v>
      </c>
      <c r="X34" s="206">
        <f t="shared" si="11"/>
        <v>264</v>
      </c>
      <c r="Y34" s="205"/>
      <c r="Z34" s="200"/>
      <c r="AA34" s="201">
        <f t="shared" si="12"/>
        <v>0</v>
      </c>
      <c r="AB34" s="200">
        <v>0</v>
      </c>
      <c r="AC34" s="204">
        <f t="shared" si="13"/>
        <v>0</v>
      </c>
      <c r="AD34" s="205">
        <v>330</v>
      </c>
      <c r="AE34" s="200">
        <f>+ｼﾞｭｴﾙｽﾞ!W33/1000</f>
        <v>123.75</v>
      </c>
      <c r="AF34" s="201">
        <f t="shared" si="14"/>
        <v>206.25</v>
      </c>
      <c r="AG34" s="200">
        <v>177</v>
      </c>
      <c r="AH34" s="206">
        <f t="shared" si="15"/>
        <v>153</v>
      </c>
      <c r="AI34" s="199">
        <f t="shared" si="40"/>
        <v>330</v>
      </c>
      <c r="AJ34" s="200">
        <f t="shared" si="41"/>
        <v>123.75</v>
      </c>
      <c r="AK34" s="201">
        <f t="shared" si="42"/>
        <v>206.25</v>
      </c>
      <c r="AL34" s="200">
        <f t="shared" si="43"/>
        <v>177</v>
      </c>
      <c r="AM34" s="206">
        <f t="shared" si="44"/>
        <v>153</v>
      </c>
      <c r="AN34" s="199">
        <v>330</v>
      </c>
      <c r="AO34" s="200">
        <f>+ｶﾞｰﾃﾞﾝ!W33/1000</f>
        <v>168.56</v>
      </c>
      <c r="AP34" s="201">
        <f t="shared" si="16"/>
        <v>161.44</v>
      </c>
      <c r="AQ34" s="200">
        <v>436</v>
      </c>
      <c r="AR34" s="202">
        <f t="shared" si="17"/>
        <v>-106</v>
      </c>
      <c r="AS34" s="203">
        <v>0</v>
      </c>
      <c r="AT34" s="200">
        <f>+ﾋﾞｱｶﾞｰﾃﾞﾝ!W33/1000</f>
        <v>0</v>
      </c>
      <c r="AU34" s="201">
        <f t="shared" si="18"/>
        <v>0</v>
      </c>
      <c r="AV34" s="200">
        <v>0</v>
      </c>
      <c r="AW34" s="206">
        <f t="shared" si="19"/>
        <v>0</v>
      </c>
      <c r="AX34" s="199">
        <f t="shared" si="20"/>
        <v>330</v>
      </c>
      <c r="AY34" s="200">
        <f t="shared" si="21"/>
        <v>168.56</v>
      </c>
      <c r="AZ34" s="201">
        <f t="shared" si="22"/>
        <v>161.44</v>
      </c>
      <c r="BA34" s="200">
        <f t="shared" si="23"/>
        <v>436</v>
      </c>
      <c r="BB34" s="206">
        <f t="shared" si="24"/>
        <v>-106</v>
      </c>
      <c r="BC34" s="199">
        <v>0</v>
      </c>
      <c r="BD34" s="200">
        <f>+ブリック!W33/1000</f>
        <v>513.13499999999999</v>
      </c>
      <c r="BE34" s="201">
        <f t="shared" si="25"/>
        <v>-513.13499999999999</v>
      </c>
      <c r="BF34" s="200"/>
      <c r="BG34" s="202">
        <f t="shared" si="26"/>
        <v>0</v>
      </c>
      <c r="BH34" s="203">
        <v>0</v>
      </c>
      <c r="BI34" s="200">
        <f>+ルスツ羊蹄ぶた!W33/1000</f>
        <v>472.47</v>
      </c>
      <c r="BJ34" s="201">
        <f t="shared" si="27"/>
        <v>-472.47</v>
      </c>
      <c r="BK34" s="200"/>
      <c r="BL34" s="206">
        <f t="shared" si="28"/>
        <v>0</v>
      </c>
      <c r="BM34" s="199">
        <f t="shared" si="46"/>
        <v>0</v>
      </c>
      <c r="BN34" s="200">
        <f t="shared" si="30"/>
        <v>985.60500000000002</v>
      </c>
      <c r="BO34" s="201">
        <f t="shared" si="31"/>
        <v>-985.60500000000002</v>
      </c>
      <c r="BP34" s="200">
        <f t="shared" si="32"/>
        <v>0</v>
      </c>
      <c r="BQ34" s="206">
        <f t="shared" si="33"/>
        <v>0</v>
      </c>
      <c r="BR34" s="199">
        <v>40</v>
      </c>
      <c r="BS34" s="200">
        <f>+料飲共通!W33/1000</f>
        <v>196.45</v>
      </c>
      <c r="BT34" s="201">
        <f t="shared" si="34"/>
        <v>-156.44999999999999</v>
      </c>
      <c r="BU34" s="200">
        <v>398</v>
      </c>
      <c r="BV34" s="206">
        <f t="shared" si="35"/>
        <v>-358</v>
      </c>
      <c r="BW34" s="199">
        <f t="shared" si="36"/>
        <v>1030</v>
      </c>
      <c r="BX34" s="200">
        <f t="shared" si="37"/>
        <v>1797.385</v>
      </c>
      <c r="BY34" s="201">
        <f t="shared" si="0"/>
        <v>-767.38499999999999</v>
      </c>
      <c r="BZ34" s="200">
        <f t="shared" si="38"/>
        <v>1077</v>
      </c>
      <c r="CA34" s="206">
        <f t="shared" si="39"/>
        <v>-47</v>
      </c>
    </row>
    <row r="35" spans="1:79" s="83" customFormat="1" ht="22" hidden="1" customHeight="1" outlineLevel="1">
      <c r="A35" s="95"/>
      <c r="B35" s="96"/>
      <c r="C35" s="88" t="s">
        <v>59</v>
      </c>
      <c r="D35" s="88"/>
      <c r="E35" s="199">
        <v>200</v>
      </c>
      <c r="F35" s="200">
        <f>+ﾇｰﾍﾞﾙﾌﾟｰｽ!W34/1000</f>
        <v>0</v>
      </c>
      <c r="G35" s="201">
        <f t="shared" si="1"/>
        <v>200</v>
      </c>
      <c r="H35" s="200">
        <v>7</v>
      </c>
      <c r="I35" s="202">
        <f t="shared" si="2"/>
        <v>193</v>
      </c>
      <c r="J35" s="203">
        <v>0</v>
      </c>
      <c r="K35" s="200">
        <f>+ｶﾌｪﾙﾎﾟ!W34/1000</f>
        <v>0</v>
      </c>
      <c r="L35" s="201">
        <f t="shared" si="3"/>
        <v>0</v>
      </c>
      <c r="M35" s="200">
        <v>0</v>
      </c>
      <c r="N35" s="204">
        <f t="shared" si="4"/>
        <v>0</v>
      </c>
      <c r="O35" s="205">
        <v>0</v>
      </c>
      <c r="P35" s="200">
        <f>+ｶﾌｪｾﾚｽﾃ!W34/1000</f>
        <v>0</v>
      </c>
      <c r="Q35" s="201">
        <f t="shared" si="5"/>
        <v>0</v>
      </c>
      <c r="R35" s="200">
        <v>0</v>
      </c>
      <c r="S35" s="202">
        <f t="shared" si="6"/>
        <v>0</v>
      </c>
      <c r="T35" s="199">
        <f t="shared" si="7"/>
        <v>200</v>
      </c>
      <c r="U35" s="200">
        <f t="shared" si="8"/>
        <v>0</v>
      </c>
      <c r="V35" s="201">
        <f t="shared" si="9"/>
        <v>200</v>
      </c>
      <c r="W35" s="200">
        <f t="shared" si="10"/>
        <v>7</v>
      </c>
      <c r="X35" s="206">
        <f t="shared" si="11"/>
        <v>193</v>
      </c>
      <c r="Y35" s="205"/>
      <c r="Z35" s="200"/>
      <c r="AA35" s="201">
        <f t="shared" si="12"/>
        <v>0</v>
      </c>
      <c r="AB35" s="200">
        <v>0</v>
      </c>
      <c r="AC35" s="204">
        <f t="shared" si="13"/>
        <v>0</v>
      </c>
      <c r="AD35" s="205">
        <v>200</v>
      </c>
      <c r="AE35" s="200">
        <f>+ｼﾞｭｴﾙｽﾞ!W34/1000</f>
        <v>0</v>
      </c>
      <c r="AF35" s="201">
        <f t="shared" si="14"/>
        <v>200</v>
      </c>
      <c r="AG35" s="200">
        <v>7</v>
      </c>
      <c r="AH35" s="206">
        <f t="shared" si="15"/>
        <v>193</v>
      </c>
      <c r="AI35" s="199">
        <f t="shared" si="40"/>
        <v>200</v>
      </c>
      <c r="AJ35" s="200">
        <f t="shared" si="41"/>
        <v>0</v>
      </c>
      <c r="AK35" s="201">
        <f t="shared" si="42"/>
        <v>200</v>
      </c>
      <c r="AL35" s="200">
        <f t="shared" si="43"/>
        <v>7</v>
      </c>
      <c r="AM35" s="206">
        <f t="shared" si="44"/>
        <v>193</v>
      </c>
      <c r="AN35" s="199">
        <v>200</v>
      </c>
      <c r="AO35" s="200">
        <f>+ｶﾞｰﾃﾞﾝ!W34/1000</f>
        <v>0</v>
      </c>
      <c r="AP35" s="201">
        <f t="shared" si="16"/>
        <v>200</v>
      </c>
      <c r="AQ35" s="200">
        <v>5</v>
      </c>
      <c r="AR35" s="202">
        <f t="shared" si="17"/>
        <v>195</v>
      </c>
      <c r="AS35" s="203">
        <v>0</v>
      </c>
      <c r="AT35" s="200">
        <f>+ﾋﾞｱｶﾞｰﾃﾞﾝ!W34/1000</f>
        <v>0</v>
      </c>
      <c r="AU35" s="201">
        <f t="shared" si="18"/>
        <v>0</v>
      </c>
      <c r="AV35" s="200">
        <v>0</v>
      </c>
      <c r="AW35" s="206">
        <f t="shared" si="19"/>
        <v>0</v>
      </c>
      <c r="AX35" s="199">
        <f t="shared" si="20"/>
        <v>200</v>
      </c>
      <c r="AY35" s="200">
        <f t="shared" si="21"/>
        <v>0</v>
      </c>
      <c r="AZ35" s="201">
        <f t="shared" si="22"/>
        <v>200</v>
      </c>
      <c r="BA35" s="200">
        <f t="shared" si="23"/>
        <v>5</v>
      </c>
      <c r="BB35" s="206">
        <f t="shared" si="24"/>
        <v>195</v>
      </c>
      <c r="BC35" s="199">
        <v>0</v>
      </c>
      <c r="BD35" s="200">
        <f>+ブリック!W34/1000</f>
        <v>0</v>
      </c>
      <c r="BE35" s="201">
        <f t="shared" si="25"/>
        <v>0</v>
      </c>
      <c r="BF35" s="200"/>
      <c r="BG35" s="202">
        <f t="shared" si="26"/>
        <v>0</v>
      </c>
      <c r="BH35" s="203">
        <v>0</v>
      </c>
      <c r="BI35" s="200">
        <f>+ルスツ羊蹄ぶた!W34/1000</f>
        <v>9.0909999999999993</v>
      </c>
      <c r="BJ35" s="201">
        <f t="shared" si="27"/>
        <v>-9.0909999999999993</v>
      </c>
      <c r="BK35" s="200"/>
      <c r="BL35" s="206">
        <f t="shared" si="28"/>
        <v>0</v>
      </c>
      <c r="BM35" s="199">
        <f t="shared" si="46"/>
        <v>0</v>
      </c>
      <c r="BN35" s="200">
        <f t="shared" si="30"/>
        <v>9.0909999999999993</v>
      </c>
      <c r="BO35" s="201">
        <f t="shared" si="31"/>
        <v>-9.0909999999999993</v>
      </c>
      <c r="BP35" s="200">
        <f t="shared" si="32"/>
        <v>0</v>
      </c>
      <c r="BQ35" s="206">
        <f t="shared" si="33"/>
        <v>0</v>
      </c>
      <c r="BR35" s="199">
        <v>0</v>
      </c>
      <c r="BS35" s="200">
        <f>+料飲共通!W34/1000</f>
        <v>0</v>
      </c>
      <c r="BT35" s="201">
        <f t="shared" si="34"/>
        <v>0</v>
      </c>
      <c r="BU35" s="200">
        <v>0</v>
      </c>
      <c r="BV35" s="206">
        <f t="shared" si="35"/>
        <v>0</v>
      </c>
      <c r="BW35" s="199">
        <f t="shared" si="36"/>
        <v>600</v>
      </c>
      <c r="BX35" s="200">
        <f t="shared" si="37"/>
        <v>9.0909999999999993</v>
      </c>
      <c r="BY35" s="201">
        <f t="shared" si="0"/>
        <v>590.90899999999999</v>
      </c>
      <c r="BZ35" s="200">
        <f t="shared" si="38"/>
        <v>19</v>
      </c>
      <c r="CA35" s="206">
        <f t="shared" si="39"/>
        <v>581</v>
      </c>
    </row>
    <row r="36" spans="1:79" s="83" customFormat="1" ht="22" customHeight="1" collapsed="1">
      <c r="A36" s="95"/>
      <c r="B36" s="87" t="s">
        <v>61</v>
      </c>
      <c r="C36" s="88"/>
      <c r="D36" s="88"/>
      <c r="E36" s="199">
        <v>1174.8720000000001</v>
      </c>
      <c r="F36" s="200">
        <f>+ﾇｰﾍﾞﾙﾌﾟｰｽ!W35/1000</f>
        <v>1606.4459999999999</v>
      </c>
      <c r="G36" s="201">
        <f t="shared" si="1"/>
        <v>-431.57399999999984</v>
      </c>
      <c r="H36" s="200">
        <v>1154</v>
      </c>
      <c r="I36" s="202">
        <f t="shared" si="2"/>
        <v>20.872000000000071</v>
      </c>
      <c r="J36" s="203">
        <v>111.01</v>
      </c>
      <c r="K36" s="200">
        <f>+ｶﾌｪﾙﾎﾟ!W35/1000</f>
        <v>156.197</v>
      </c>
      <c r="L36" s="201">
        <f t="shared" si="3"/>
        <v>-45.186999999999998</v>
      </c>
      <c r="M36" s="200">
        <v>70</v>
      </c>
      <c r="N36" s="204">
        <f t="shared" si="4"/>
        <v>41.010000000000005</v>
      </c>
      <c r="O36" s="205">
        <v>111.01</v>
      </c>
      <c r="P36" s="200">
        <f>+ｶﾌｪｾﾚｽﾃ!W35/1000</f>
        <v>0</v>
      </c>
      <c r="Q36" s="201">
        <f t="shared" si="5"/>
        <v>111.01</v>
      </c>
      <c r="R36" s="200">
        <v>70</v>
      </c>
      <c r="S36" s="202">
        <f t="shared" si="6"/>
        <v>41.010000000000005</v>
      </c>
      <c r="T36" s="199">
        <f t="shared" si="7"/>
        <v>1396.8920000000001</v>
      </c>
      <c r="U36" s="200">
        <f t="shared" si="8"/>
        <v>1762.643</v>
      </c>
      <c r="V36" s="201">
        <f t="shared" si="9"/>
        <v>-365.75099999999998</v>
      </c>
      <c r="W36" s="200">
        <f t="shared" si="10"/>
        <v>1294</v>
      </c>
      <c r="X36" s="206">
        <f t="shared" si="11"/>
        <v>102.89200000000005</v>
      </c>
      <c r="Y36" s="205"/>
      <c r="Z36" s="200"/>
      <c r="AA36" s="201">
        <f t="shared" si="12"/>
        <v>0</v>
      </c>
      <c r="AB36" s="200">
        <v>185</v>
      </c>
      <c r="AC36" s="204">
        <f t="shared" si="13"/>
        <v>-185</v>
      </c>
      <c r="AD36" s="205">
        <v>1849.3320000000001</v>
      </c>
      <c r="AE36" s="200">
        <f>+ｼﾞｭｴﾙｽﾞ!W35/1000</f>
        <v>1120.252</v>
      </c>
      <c r="AF36" s="201">
        <f t="shared" si="14"/>
        <v>729.08000000000015</v>
      </c>
      <c r="AG36" s="200">
        <v>1634</v>
      </c>
      <c r="AH36" s="206">
        <f t="shared" si="15"/>
        <v>215.33200000000011</v>
      </c>
      <c r="AI36" s="199">
        <f t="shared" si="40"/>
        <v>1849.3320000000001</v>
      </c>
      <c r="AJ36" s="200">
        <f t="shared" si="41"/>
        <v>1120.252</v>
      </c>
      <c r="AK36" s="201">
        <f t="shared" si="42"/>
        <v>729.08000000000015</v>
      </c>
      <c r="AL36" s="200">
        <f t="shared" si="43"/>
        <v>1819</v>
      </c>
      <c r="AM36" s="206">
        <f t="shared" si="44"/>
        <v>30.332000000000107</v>
      </c>
      <c r="AN36" s="199">
        <v>1608.1020000000001</v>
      </c>
      <c r="AO36" s="200">
        <f>+ｶﾞｰﾃﾞﾝ!W35/1000</f>
        <v>2699.8739999999998</v>
      </c>
      <c r="AP36" s="201">
        <f t="shared" si="16"/>
        <v>-1091.7719999999997</v>
      </c>
      <c r="AQ36" s="200">
        <v>2302</v>
      </c>
      <c r="AR36" s="202">
        <f t="shared" si="17"/>
        <v>-693.89799999999991</v>
      </c>
      <c r="AS36" s="203">
        <v>689.18600000000004</v>
      </c>
      <c r="AT36" s="200">
        <f>+ﾋﾞｱｶﾞｰﾃﾞﾝ!W35/1000</f>
        <v>612.23900000000003</v>
      </c>
      <c r="AU36" s="201">
        <f t="shared" si="18"/>
        <v>76.947000000000003</v>
      </c>
      <c r="AV36" s="200">
        <v>401</v>
      </c>
      <c r="AW36" s="206">
        <f t="shared" si="19"/>
        <v>288.18600000000004</v>
      </c>
      <c r="AX36" s="199">
        <f t="shared" si="20"/>
        <v>2297.288</v>
      </c>
      <c r="AY36" s="200">
        <f t="shared" si="21"/>
        <v>3312.1129999999998</v>
      </c>
      <c r="AZ36" s="201">
        <f t="shared" si="22"/>
        <v>-1014.8249999999998</v>
      </c>
      <c r="BA36" s="200">
        <f t="shared" si="23"/>
        <v>2703</v>
      </c>
      <c r="BB36" s="206">
        <f t="shared" si="24"/>
        <v>-405.71199999999999</v>
      </c>
      <c r="BC36" s="199">
        <v>0</v>
      </c>
      <c r="BD36" s="200">
        <f>+ブリック!W35/1000</f>
        <v>1087.259</v>
      </c>
      <c r="BE36" s="201">
        <f t="shared" si="25"/>
        <v>-1087.259</v>
      </c>
      <c r="BF36" s="200"/>
      <c r="BG36" s="202">
        <f t="shared" si="26"/>
        <v>0</v>
      </c>
      <c r="BH36" s="203">
        <v>0</v>
      </c>
      <c r="BI36" s="200">
        <f>+ルスツ羊蹄ぶた!W35/1000</f>
        <v>576.15200000000004</v>
      </c>
      <c r="BJ36" s="201">
        <f t="shared" si="27"/>
        <v>-576.15200000000004</v>
      </c>
      <c r="BK36" s="200"/>
      <c r="BL36" s="206">
        <f t="shared" si="28"/>
        <v>0</v>
      </c>
      <c r="BM36" s="199">
        <f t="shared" si="46"/>
        <v>0</v>
      </c>
      <c r="BN36" s="200">
        <f t="shared" si="30"/>
        <v>1663.4110000000001</v>
      </c>
      <c r="BO36" s="201">
        <f t="shared" si="31"/>
        <v>-1663.4110000000001</v>
      </c>
      <c r="BP36" s="200">
        <f t="shared" si="32"/>
        <v>0</v>
      </c>
      <c r="BQ36" s="206">
        <f t="shared" si="33"/>
        <v>0</v>
      </c>
      <c r="BR36" s="199">
        <v>236.85599999999999</v>
      </c>
      <c r="BS36" s="200">
        <f>+料飲共通!W35/1000</f>
        <v>694.66</v>
      </c>
      <c r="BT36" s="201">
        <f t="shared" si="34"/>
        <v>-457.80399999999997</v>
      </c>
      <c r="BU36" s="200">
        <v>233</v>
      </c>
      <c r="BV36" s="206">
        <f t="shared" si="35"/>
        <v>3.8559999999999945</v>
      </c>
      <c r="BW36" s="199">
        <f t="shared" si="36"/>
        <v>5780.3680000000004</v>
      </c>
      <c r="BX36" s="200">
        <f t="shared" si="37"/>
        <v>8553.0789999999997</v>
      </c>
      <c r="BY36" s="201">
        <f t="shared" si="0"/>
        <v>-2772.7109999999993</v>
      </c>
      <c r="BZ36" s="200">
        <f t="shared" si="38"/>
        <v>6049</v>
      </c>
      <c r="CA36" s="206">
        <f t="shared" si="39"/>
        <v>-268.63199999999961</v>
      </c>
    </row>
    <row r="37" spans="1:79" s="83" customFormat="1" ht="22" customHeight="1">
      <c r="A37" s="95"/>
      <c r="B37" s="85" t="s">
        <v>63</v>
      </c>
      <c r="C37" s="86"/>
      <c r="D37" s="86"/>
      <c r="E37" s="191">
        <v>0</v>
      </c>
      <c r="F37" s="192">
        <f>+ﾇｰﾍﾞﾙﾌﾟｰｽ!W36/1000</f>
        <v>0</v>
      </c>
      <c r="G37" s="193">
        <f t="shared" si="1"/>
        <v>0</v>
      </c>
      <c r="H37" s="192">
        <v>0</v>
      </c>
      <c r="I37" s="194">
        <f t="shared" si="2"/>
        <v>0</v>
      </c>
      <c r="J37" s="195">
        <v>0</v>
      </c>
      <c r="K37" s="192">
        <f>+ｶﾌｪﾙﾎﾟ!W36/1000</f>
        <v>0</v>
      </c>
      <c r="L37" s="193">
        <f t="shared" si="3"/>
        <v>0</v>
      </c>
      <c r="M37" s="192">
        <v>0</v>
      </c>
      <c r="N37" s="196">
        <f t="shared" si="4"/>
        <v>0</v>
      </c>
      <c r="O37" s="197">
        <v>0</v>
      </c>
      <c r="P37" s="192">
        <f>+ｶﾌｪｾﾚｽﾃ!W36/1000</f>
        <v>0</v>
      </c>
      <c r="Q37" s="193">
        <f t="shared" si="5"/>
        <v>0</v>
      </c>
      <c r="R37" s="192">
        <v>0</v>
      </c>
      <c r="S37" s="194">
        <f t="shared" si="6"/>
        <v>0</v>
      </c>
      <c r="T37" s="191">
        <f t="shared" si="7"/>
        <v>0</v>
      </c>
      <c r="U37" s="192">
        <f t="shared" si="8"/>
        <v>0</v>
      </c>
      <c r="V37" s="193">
        <f t="shared" si="9"/>
        <v>0</v>
      </c>
      <c r="W37" s="192">
        <f t="shared" si="10"/>
        <v>0</v>
      </c>
      <c r="X37" s="198">
        <f t="shared" si="11"/>
        <v>0</v>
      </c>
      <c r="Y37" s="197"/>
      <c r="Z37" s="192"/>
      <c r="AA37" s="193">
        <f t="shared" si="12"/>
        <v>0</v>
      </c>
      <c r="AB37" s="192">
        <v>0</v>
      </c>
      <c r="AC37" s="196">
        <f t="shared" si="13"/>
        <v>0</v>
      </c>
      <c r="AD37" s="197">
        <v>0</v>
      </c>
      <c r="AE37" s="192">
        <f>+ｼﾞｭｴﾙｽﾞ!W36/1000</f>
        <v>0</v>
      </c>
      <c r="AF37" s="193">
        <f t="shared" si="14"/>
        <v>0</v>
      </c>
      <c r="AG37" s="192">
        <v>0</v>
      </c>
      <c r="AH37" s="198">
        <f t="shared" si="15"/>
        <v>0</v>
      </c>
      <c r="AI37" s="191">
        <f t="shared" si="40"/>
        <v>0</v>
      </c>
      <c r="AJ37" s="192">
        <f t="shared" si="41"/>
        <v>0</v>
      </c>
      <c r="AK37" s="193">
        <f t="shared" si="42"/>
        <v>0</v>
      </c>
      <c r="AL37" s="192">
        <f t="shared" si="43"/>
        <v>0</v>
      </c>
      <c r="AM37" s="198">
        <f t="shared" si="44"/>
        <v>0</v>
      </c>
      <c r="AN37" s="191">
        <v>0</v>
      </c>
      <c r="AO37" s="192">
        <f>+ｶﾞｰﾃﾞﾝ!W36/1000</f>
        <v>0</v>
      </c>
      <c r="AP37" s="193">
        <f t="shared" si="16"/>
        <v>0</v>
      </c>
      <c r="AQ37" s="192">
        <v>0</v>
      </c>
      <c r="AR37" s="194">
        <f t="shared" si="17"/>
        <v>0</v>
      </c>
      <c r="AS37" s="195">
        <v>0</v>
      </c>
      <c r="AT37" s="192">
        <f>+ﾋﾞｱｶﾞｰﾃﾞﾝ!W36/1000</f>
        <v>0</v>
      </c>
      <c r="AU37" s="193">
        <f t="shared" si="18"/>
        <v>0</v>
      </c>
      <c r="AV37" s="192">
        <v>0</v>
      </c>
      <c r="AW37" s="198">
        <f t="shared" si="19"/>
        <v>0</v>
      </c>
      <c r="AX37" s="191">
        <f t="shared" si="20"/>
        <v>0</v>
      </c>
      <c r="AY37" s="192">
        <f t="shared" si="21"/>
        <v>0</v>
      </c>
      <c r="AZ37" s="193">
        <f t="shared" si="22"/>
        <v>0</v>
      </c>
      <c r="BA37" s="192">
        <f t="shared" si="23"/>
        <v>0</v>
      </c>
      <c r="BB37" s="198">
        <f t="shared" si="24"/>
        <v>0</v>
      </c>
      <c r="BC37" s="191">
        <v>0</v>
      </c>
      <c r="BD37" s="192">
        <f>+ブリック!W36/1000</f>
        <v>0</v>
      </c>
      <c r="BE37" s="193">
        <f t="shared" si="25"/>
        <v>0</v>
      </c>
      <c r="BF37" s="192"/>
      <c r="BG37" s="194">
        <f t="shared" si="26"/>
        <v>0</v>
      </c>
      <c r="BH37" s="195">
        <v>0</v>
      </c>
      <c r="BI37" s="192">
        <f>+ルスツ羊蹄ぶた!W36/1000</f>
        <v>0</v>
      </c>
      <c r="BJ37" s="193">
        <f t="shared" si="27"/>
        <v>0</v>
      </c>
      <c r="BK37" s="192"/>
      <c r="BL37" s="198">
        <f t="shared" si="28"/>
        <v>0</v>
      </c>
      <c r="BM37" s="191">
        <f t="shared" si="46"/>
        <v>0</v>
      </c>
      <c r="BN37" s="192">
        <f t="shared" si="30"/>
        <v>0</v>
      </c>
      <c r="BO37" s="193">
        <f t="shared" si="31"/>
        <v>0</v>
      </c>
      <c r="BP37" s="192">
        <f t="shared" si="32"/>
        <v>0</v>
      </c>
      <c r="BQ37" s="198">
        <f t="shared" si="33"/>
        <v>0</v>
      </c>
      <c r="BR37" s="191">
        <v>0</v>
      </c>
      <c r="BS37" s="192">
        <f>+料飲共通!W36/1000</f>
        <v>0</v>
      </c>
      <c r="BT37" s="193">
        <f t="shared" si="34"/>
        <v>0</v>
      </c>
      <c r="BU37" s="192">
        <v>0</v>
      </c>
      <c r="BV37" s="198">
        <f t="shared" si="35"/>
        <v>0</v>
      </c>
      <c r="BW37" s="191">
        <f t="shared" si="36"/>
        <v>0</v>
      </c>
      <c r="BX37" s="192">
        <f t="shared" si="37"/>
        <v>0</v>
      </c>
      <c r="BY37" s="193">
        <f t="shared" si="0"/>
        <v>0</v>
      </c>
      <c r="BZ37" s="192">
        <f t="shared" si="38"/>
        <v>0</v>
      </c>
      <c r="CA37" s="198">
        <f t="shared" si="39"/>
        <v>0</v>
      </c>
    </row>
    <row r="38" spans="1:79" s="83" customFormat="1" ht="22" customHeight="1">
      <c r="A38" s="97" t="s">
        <v>65</v>
      </c>
      <c r="B38" s="98"/>
      <c r="C38" s="98"/>
      <c r="D38" s="98"/>
      <c r="E38" s="225">
        <v>24819.605</v>
      </c>
      <c r="F38" s="226">
        <f>+ﾇｰﾍﾞﾙﾌﾟｰｽ!W37/1000</f>
        <v>22075.142</v>
      </c>
      <c r="G38" s="226">
        <f t="shared" si="1"/>
        <v>2744.4629999999997</v>
      </c>
      <c r="H38" s="226">
        <v>24156</v>
      </c>
      <c r="I38" s="227">
        <f t="shared" si="2"/>
        <v>663.60499999999956</v>
      </c>
      <c r="J38" s="228">
        <v>2843.4050000000002</v>
      </c>
      <c r="K38" s="226">
        <f>+ｶﾌｪﾙﾎﾟ!W37/1000</f>
        <v>2688.8420000000001</v>
      </c>
      <c r="L38" s="226">
        <f t="shared" si="3"/>
        <v>154.5630000000001</v>
      </c>
      <c r="M38" s="226">
        <v>2898</v>
      </c>
      <c r="N38" s="229">
        <f t="shared" si="4"/>
        <v>-54.5949999999998</v>
      </c>
      <c r="O38" s="227">
        <v>1603.9829999999999</v>
      </c>
      <c r="P38" s="226">
        <f>+ｶﾌｪｾﾚｽﾃ!W37/1000</f>
        <v>1619.2860000000001</v>
      </c>
      <c r="Q38" s="226">
        <f t="shared" si="5"/>
        <v>-15.303000000000111</v>
      </c>
      <c r="R38" s="226">
        <v>1666</v>
      </c>
      <c r="S38" s="227">
        <f t="shared" si="6"/>
        <v>-62.017000000000053</v>
      </c>
      <c r="T38" s="225">
        <f t="shared" si="7"/>
        <v>29266.992999999999</v>
      </c>
      <c r="U38" s="226">
        <f t="shared" si="8"/>
        <v>26383.27</v>
      </c>
      <c r="V38" s="226">
        <f t="shared" si="9"/>
        <v>2883.7229999999981</v>
      </c>
      <c r="W38" s="226">
        <f t="shared" si="10"/>
        <v>28720</v>
      </c>
      <c r="X38" s="230">
        <f t="shared" si="11"/>
        <v>546.99299999999857</v>
      </c>
      <c r="Y38" s="227"/>
      <c r="Z38" s="226"/>
      <c r="AA38" s="226">
        <f t="shared" si="12"/>
        <v>0</v>
      </c>
      <c r="AB38" s="226">
        <v>1367</v>
      </c>
      <c r="AC38" s="229">
        <f t="shared" si="13"/>
        <v>-1367</v>
      </c>
      <c r="AD38" s="227">
        <v>22752.677</v>
      </c>
      <c r="AE38" s="226">
        <f>+ｼﾞｭｴﾙｽﾞ!W37/1000</f>
        <v>20235.614000000001</v>
      </c>
      <c r="AF38" s="226">
        <f t="shared" si="14"/>
        <v>2517.0629999999983</v>
      </c>
      <c r="AG38" s="226">
        <v>25991</v>
      </c>
      <c r="AH38" s="230">
        <f t="shared" si="15"/>
        <v>-3238.3230000000003</v>
      </c>
      <c r="AI38" s="225">
        <f t="shared" si="40"/>
        <v>22752.677</v>
      </c>
      <c r="AJ38" s="226">
        <f t="shared" si="41"/>
        <v>20235.614000000001</v>
      </c>
      <c r="AK38" s="226">
        <f t="shared" si="42"/>
        <v>2517.0629999999983</v>
      </c>
      <c r="AL38" s="226">
        <f t="shared" si="43"/>
        <v>27358</v>
      </c>
      <c r="AM38" s="230">
        <f t="shared" si="44"/>
        <v>-4605.3230000000003</v>
      </c>
      <c r="AN38" s="225">
        <v>34114.207999999999</v>
      </c>
      <c r="AO38" s="226">
        <f>+ｶﾞｰﾃﾞﾝ!W37/1000</f>
        <v>34477.413999999997</v>
      </c>
      <c r="AP38" s="226">
        <f t="shared" si="16"/>
        <v>-363.20599999999831</v>
      </c>
      <c r="AQ38" s="226">
        <v>36345</v>
      </c>
      <c r="AR38" s="227">
        <f t="shared" si="17"/>
        <v>-2230.7920000000013</v>
      </c>
      <c r="AS38" s="228">
        <v>64246.364000000001</v>
      </c>
      <c r="AT38" s="226">
        <f>+ﾋﾞｱｶﾞｰﾃﾞﾝ!W37/1000</f>
        <v>71458.464000000007</v>
      </c>
      <c r="AU38" s="226">
        <f t="shared" si="18"/>
        <v>-7212.1000000000058</v>
      </c>
      <c r="AV38" s="226">
        <v>77278</v>
      </c>
      <c r="AW38" s="230">
        <f t="shared" si="19"/>
        <v>-13031.635999999999</v>
      </c>
      <c r="AX38" s="225">
        <f t="shared" si="20"/>
        <v>98360.572</v>
      </c>
      <c r="AY38" s="226">
        <f t="shared" si="21"/>
        <v>105935.878</v>
      </c>
      <c r="AZ38" s="226">
        <f t="shared" si="22"/>
        <v>-7575.3059999999969</v>
      </c>
      <c r="BA38" s="226">
        <f t="shared" si="23"/>
        <v>113623</v>
      </c>
      <c r="BB38" s="230">
        <f t="shared" si="24"/>
        <v>-15262.428</v>
      </c>
      <c r="BC38" s="225">
        <v>19363.931344028944</v>
      </c>
      <c r="BD38" s="226">
        <f>+ブリック!W37/1000</f>
        <v>30152.734</v>
      </c>
      <c r="BE38" s="226">
        <f t="shared" si="25"/>
        <v>-10788.802655971056</v>
      </c>
      <c r="BF38" s="226"/>
      <c r="BG38" s="227">
        <f t="shared" si="26"/>
        <v>19363.931344028944</v>
      </c>
      <c r="BH38" s="228">
        <v>12688.171464049628</v>
      </c>
      <c r="BI38" s="226">
        <f>+ルスツ羊蹄ぶた!W37/1000</f>
        <v>12579.179</v>
      </c>
      <c r="BJ38" s="226">
        <f t="shared" si="27"/>
        <v>108.99246404962832</v>
      </c>
      <c r="BK38" s="226"/>
      <c r="BL38" s="230">
        <f t="shared" si="28"/>
        <v>12688.171464049628</v>
      </c>
      <c r="BM38" s="225">
        <f t="shared" si="46"/>
        <v>32052.102808078573</v>
      </c>
      <c r="BN38" s="226">
        <f t="shared" si="30"/>
        <v>42731.913</v>
      </c>
      <c r="BO38" s="226">
        <f t="shared" si="31"/>
        <v>-10679.810191921428</v>
      </c>
      <c r="BP38" s="226">
        <f t="shared" si="32"/>
        <v>0</v>
      </c>
      <c r="BQ38" s="230">
        <f t="shared" si="33"/>
        <v>32052.102808078573</v>
      </c>
      <c r="BR38" s="225">
        <v>2443.85</v>
      </c>
      <c r="BS38" s="226">
        <f>+料飲共通!W37/1000</f>
        <v>4455.652</v>
      </c>
      <c r="BT38" s="226">
        <f t="shared" si="34"/>
        <v>-2011.8020000000001</v>
      </c>
      <c r="BU38" s="226">
        <v>7980</v>
      </c>
      <c r="BV38" s="230">
        <f t="shared" si="35"/>
        <v>-5536.15</v>
      </c>
      <c r="BW38" s="225">
        <f t="shared" si="36"/>
        <v>184876.19480807858</v>
      </c>
      <c r="BX38" s="226">
        <f t="shared" si="37"/>
        <v>199742.32699999999</v>
      </c>
      <c r="BY38" s="226">
        <f t="shared" si="0"/>
        <v>-14866.13219192141</v>
      </c>
      <c r="BZ38" s="226">
        <f t="shared" si="38"/>
        <v>177681</v>
      </c>
      <c r="CA38" s="230">
        <f t="shared" si="39"/>
        <v>7195.1948080785805</v>
      </c>
    </row>
    <row r="39" spans="1:79" s="83" customFormat="1" ht="22" customHeight="1">
      <c r="A39" s="99"/>
      <c r="B39" s="85" t="s">
        <v>67</v>
      </c>
      <c r="C39" s="86"/>
      <c r="D39" s="86"/>
      <c r="E39" s="191">
        <v>2520</v>
      </c>
      <c r="F39" s="192">
        <f>+ﾇｰﾍﾞﾙﾌﾟｰｽ!W38/1000</f>
        <v>1774.83</v>
      </c>
      <c r="G39" s="193">
        <f t="shared" si="1"/>
        <v>745.17000000000007</v>
      </c>
      <c r="H39" s="192">
        <v>2806</v>
      </c>
      <c r="I39" s="194">
        <f t="shared" si="2"/>
        <v>-286</v>
      </c>
      <c r="J39" s="195">
        <v>560</v>
      </c>
      <c r="K39" s="192">
        <f>+ｶﾌｪﾙﾎﾟ!W38/1000</f>
        <v>602.03499999999997</v>
      </c>
      <c r="L39" s="193">
        <f t="shared" si="3"/>
        <v>-42.034999999999968</v>
      </c>
      <c r="M39" s="192">
        <v>512</v>
      </c>
      <c r="N39" s="196">
        <f t="shared" si="4"/>
        <v>48</v>
      </c>
      <c r="O39" s="197">
        <v>60</v>
      </c>
      <c r="P39" s="192">
        <f>+ｶﾌｪｾﾚｽﾃ!W38/1000</f>
        <v>30</v>
      </c>
      <c r="Q39" s="193">
        <f t="shared" si="5"/>
        <v>30</v>
      </c>
      <c r="R39" s="192">
        <v>202</v>
      </c>
      <c r="S39" s="194">
        <f t="shared" si="6"/>
        <v>-142</v>
      </c>
      <c r="T39" s="191">
        <f t="shared" si="7"/>
        <v>3140</v>
      </c>
      <c r="U39" s="192">
        <f t="shared" si="8"/>
        <v>2406.8649999999998</v>
      </c>
      <c r="V39" s="193">
        <f t="shared" si="9"/>
        <v>733.13500000000022</v>
      </c>
      <c r="W39" s="192">
        <f t="shared" si="10"/>
        <v>3520</v>
      </c>
      <c r="X39" s="198">
        <f t="shared" si="11"/>
        <v>-380</v>
      </c>
      <c r="Y39" s="197"/>
      <c r="Z39" s="192"/>
      <c r="AA39" s="193">
        <f t="shared" si="12"/>
        <v>0</v>
      </c>
      <c r="AB39" s="192">
        <v>620</v>
      </c>
      <c r="AC39" s="196">
        <f t="shared" si="13"/>
        <v>-620</v>
      </c>
      <c r="AD39" s="197">
        <v>3813.5</v>
      </c>
      <c r="AE39" s="192">
        <f>+ｼﾞｭｴﾙｽﾞ!W38/1000</f>
        <v>3469.7640000000001</v>
      </c>
      <c r="AF39" s="193">
        <f t="shared" si="14"/>
        <v>343.73599999999988</v>
      </c>
      <c r="AG39" s="192">
        <v>5864</v>
      </c>
      <c r="AH39" s="198">
        <f t="shared" si="15"/>
        <v>-2050.5</v>
      </c>
      <c r="AI39" s="191">
        <f t="shared" si="40"/>
        <v>3813.5</v>
      </c>
      <c r="AJ39" s="192">
        <f t="shared" si="41"/>
        <v>3469.7640000000001</v>
      </c>
      <c r="AK39" s="193">
        <f t="shared" si="42"/>
        <v>343.73599999999988</v>
      </c>
      <c r="AL39" s="192">
        <f t="shared" si="43"/>
        <v>6484</v>
      </c>
      <c r="AM39" s="198">
        <f t="shared" si="44"/>
        <v>-2670.5</v>
      </c>
      <c r="AN39" s="191">
        <v>2380</v>
      </c>
      <c r="AO39" s="192">
        <f>+ｶﾞｰﾃﾞﾝ!W38/1000</f>
        <v>2493.6849999999999</v>
      </c>
      <c r="AP39" s="193">
        <f t="shared" si="16"/>
        <v>-113.68499999999995</v>
      </c>
      <c r="AQ39" s="192">
        <v>4106</v>
      </c>
      <c r="AR39" s="194">
        <f t="shared" si="17"/>
        <v>-1726</v>
      </c>
      <c r="AS39" s="195">
        <v>4439</v>
      </c>
      <c r="AT39" s="192">
        <f>+ﾋﾞｱｶﾞｰﾃﾞﾝ!W38/1000</f>
        <v>5235.5029999999997</v>
      </c>
      <c r="AU39" s="193">
        <f t="shared" si="18"/>
        <v>-796.5029999999997</v>
      </c>
      <c r="AV39" s="192">
        <v>4405</v>
      </c>
      <c r="AW39" s="198">
        <f t="shared" si="19"/>
        <v>34</v>
      </c>
      <c r="AX39" s="191">
        <f t="shared" si="20"/>
        <v>6819</v>
      </c>
      <c r="AY39" s="192">
        <f t="shared" si="21"/>
        <v>7729.1880000000001</v>
      </c>
      <c r="AZ39" s="193">
        <f t="shared" si="22"/>
        <v>-910.1880000000001</v>
      </c>
      <c r="BA39" s="192">
        <f t="shared" si="23"/>
        <v>8511</v>
      </c>
      <c r="BB39" s="198">
        <f t="shared" si="24"/>
        <v>-1692</v>
      </c>
      <c r="BC39" s="191">
        <v>1840.8902649673282</v>
      </c>
      <c r="BD39" s="192">
        <f>+ブリック!W38/1000</f>
        <v>7297.1409999999996</v>
      </c>
      <c r="BE39" s="193">
        <f t="shared" si="25"/>
        <v>-5456.2507350326714</v>
      </c>
      <c r="BF39" s="192"/>
      <c r="BG39" s="194">
        <f t="shared" si="26"/>
        <v>1840.8902649673282</v>
      </c>
      <c r="BH39" s="195">
        <v>1186.5044345323861</v>
      </c>
      <c r="BI39" s="192">
        <f>+ルスツ羊蹄ぶた!W38/1000</f>
        <v>1346.4359999999999</v>
      </c>
      <c r="BJ39" s="193">
        <f t="shared" si="27"/>
        <v>-159.93156546761384</v>
      </c>
      <c r="BK39" s="192"/>
      <c r="BL39" s="198">
        <f t="shared" si="28"/>
        <v>1186.5044345323861</v>
      </c>
      <c r="BM39" s="191">
        <f t="shared" si="46"/>
        <v>3027.3946994997141</v>
      </c>
      <c r="BN39" s="192">
        <f t="shared" si="30"/>
        <v>8643.5769999999993</v>
      </c>
      <c r="BO39" s="193">
        <f t="shared" si="31"/>
        <v>-5616.1823005002852</v>
      </c>
      <c r="BP39" s="192">
        <f t="shared" si="32"/>
        <v>0</v>
      </c>
      <c r="BQ39" s="198">
        <f t="shared" si="33"/>
        <v>3027.3946994997141</v>
      </c>
      <c r="BR39" s="191">
        <v>0</v>
      </c>
      <c r="BS39" s="192">
        <f>+料飲共通!W38/1000</f>
        <v>579.20000000000005</v>
      </c>
      <c r="BT39" s="193">
        <f t="shared" si="34"/>
        <v>-579.20000000000005</v>
      </c>
      <c r="BU39" s="192">
        <v>0</v>
      </c>
      <c r="BV39" s="198">
        <f t="shared" si="35"/>
        <v>0</v>
      </c>
      <c r="BW39" s="191">
        <f t="shared" si="36"/>
        <v>16799.894699499713</v>
      </c>
      <c r="BX39" s="192">
        <f t="shared" si="37"/>
        <v>22828.594000000001</v>
      </c>
      <c r="BY39" s="193">
        <f t="shared" si="0"/>
        <v>-6028.6993005002878</v>
      </c>
      <c r="BZ39" s="192">
        <f t="shared" si="38"/>
        <v>18515</v>
      </c>
      <c r="CA39" s="198">
        <f t="shared" si="39"/>
        <v>-1715.1053005002868</v>
      </c>
    </row>
    <row r="40" spans="1:79" s="83" customFormat="1" ht="22" customHeight="1">
      <c r="A40" s="99"/>
      <c r="B40" s="87" t="s">
        <v>69</v>
      </c>
      <c r="C40" s="88"/>
      <c r="D40" s="88"/>
      <c r="E40" s="199">
        <v>260</v>
      </c>
      <c r="F40" s="200">
        <f>+ﾇｰﾍﾞﾙﾌﾟｰｽ!W39/1000</f>
        <v>291.00900000000001</v>
      </c>
      <c r="G40" s="201">
        <f t="shared" si="1"/>
        <v>-31.009000000000015</v>
      </c>
      <c r="H40" s="200">
        <v>268</v>
      </c>
      <c r="I40" s="202">
        <f t="shared" si="2"/>
        <v>-8</v>
      </c>
      <c r="J40" s="203">
        <v>0</v>
      </c>
      <c r="K40" s="200">
        <f>+ｶﾌｪﾙﾎﾟ!W39/1000</f>
        <v>0</v>
      </c>
      <c r="L40" s="201">
        <f t="shared" si="3"/>
        <v>0</v>
      </c>
      <c r="M40" s="200">
        <v>19</v>
      </c>
      <c r="N40" s="204">
        <f t="shared" si="4"/>
        <v>-19</v>
      </c>
      <c r="O40" s="205">
        <v>0</v>
      </c>
      <c r="P40" s="200">
        <f>+ｶﾌｪｾﾚｽﾃ!W39/1000</f>
        <v>0</v>
      </c>
      <c r="Q40" s="201">
        <f t="shared" si="5"/>
        <v>0</v>
      </c>
      <c r="R40" s="200">
        <v>0</v>
      </c>
      <c r="S40" s="202">
        <f t="shared" si="6"/>
        <v>0</v>
      </c>
      <c r="T40" s="199">
        <f t="shared" si="7"/>
        <v>260</v>
      </c>
      <c r="U40" s="200">
        <f t="shared" si="8"/>
        <v>291.00900000000001</v>
      </c>
      <c r="V40" s="201">
        <f t="shared" si="9"/>
        <v>-31.009000000000015</v>
      </c>
      <c r="W40" s="200">
        <f t="shared" si="10"/>
        <v>287</v>
      </c>
      <c r="X40" s="206">
        <f t="shared" si="11"/>
        <v>-27</v>
      </c>
      <c r="Y40" s="205"/>
      <c r="Z40" s="200"/>
      <c r="AA40" s="201">
        <f t="shared" si="12"/>
        <v>0</v>
      </c>
      <c r="AB40" s="200">
        <v>0</v>
      </c>
      <c r="AC40" s="204">
        <f t="shared" si="13"/>
        <v>0</v>
      </c>
      <c r="AD40" s="205">
        <v>300</v>
      </c>
      <c r="AE40" s="200">
        <f>+ｼﾞｭｴﾙｽﾞ!W39/1000</f>
        <v>233.404</v>
      </c>
      <c r="AF40" s="201">
        <f t="shared" si="14"/>
        <v>66.596000000000004</v>
      </c>
      <c r="AG40" s="200">
        <v>266</v>
      </c>
      <c r="AH40" s="206">
        <f t="shared" si="15"/>
        <v>34</v>
      </c>
      <c r="AI40" s="199">
        <f t="shared" si="40"/>
        <v>300</v>
      </c>
      <c r="AJ40" s="200">
        <f t="shared" si="41"/>
        <v>233.404</v>
      </c>
      <c r="AK40" s="201">
        <f t="shared" si="42"/>
        <v>66.596000000000004</v>
      </c>
      <c r="AL40" s="200">
        <f t="shared" si="43"/>
        <v>266</v>
      </c>
      <c r="AM40" s="206">
        <f t="shared" si="44"/>
        <v>34</v>
      </c>
      <c r="AN40" s="199">
        <v>300</v>
      </c>
      <c r="AO40" s="200">
        <f>+ｶﾞｰﾃﾞﾝ!W39/1000</f>
        <v>401.33600000000001</v>
      </c>
      <c r="AP40" s="201">
        <f t="shared" si="16"/>
        <v>-101.33600000000001</v>
      </c>
      <c r="AQ40" s="200">
        <v>392</v>
      </c>
      <c r="AR40" s="202">
        <f t="shared" si="17"/>
        <v>-92</v>
      </c>
      <c r="AS40" s="203">
        <v>50</v>
      </c>
      <c r="AT40" s="200">
        <f>+ﾋﾞｱｶﾞｰﾃﾞﾝ!W39/1000</f>
        <v>36.377000000000002</v>
      </c>
      <c r="AU40" s="201">
        <f t="shared" si="18"/>
        <v>13.622999999999998</v>
      </c>
      <c r="AV40" s="200">
        <v>11</v>
      </c>
      <c r="AW40" s="206">
        <f t="shared" si="19"/>
        <v>39</v>
      </c>
      <c r="AX40" s="199">
        <f t="shared" si="20"/>
        <v>350</v>
      </c>
      <c r="AY40" s="200">
        <f t="shared" ref="AY40:AY71" si="47">+AO40+AT40</f>
        <v>437.71300000000002</v>
      </c>
      <c r="AZ40" s="201">
        <f t="shared" si="22"/>
        <v>-87.713000000000022</v>
      </c>
      <c r="BA40" s="200">
        <f t="shared" si="23"/>
        <v>403</v>
      </c>
      <c r="BB40" s="206">
        <f t="shared" si="24"/>
        <v>-53</v>
      </c>
      <c r="BC40" s="199">
        <v>204.96243895102873</v>
      </c>
      <c r="BD40" s="200">
        <f>+ブリック!W39/1000</f>
        <v>42.527999999999999</v>
      </c>
      <c r="BE40" s="201">
        <f t="shared" si="25"/>
        <v>162.43443895102874</v>
      </c>
      <c r="BF40" s="200"/>
      <c r="BG40" s="202">
        <f t="shared" si="26"/>
        <v>204.96243895102873</v>
      </c>
      <c r="BH40" s="203">
        <v>0</v>
      </c>
      <c r="BI40" s="200">
        <f>+ルスツ羊蹄ぶた!W39/1000</f>
        <v>17.77</v>
      </c>
      <c r="BJ40" s="201">
        <f t="shared" si="27"/>
        <v>-17.77</v>
      </c>
      <c r="BK40" s="200"/>
      <c r="BL40" s="206">
        <f t="shared" si="28"/>
        <v>0</v>
      </c>
      <c r="BM40" s="199">
        <f t="shared" si="46"/>
        <v>204.96243895102873</v>
      </c>
      <c r="BN40" s="200">
        <f t="shared" si="30"/>
        <v>60.298000000000002</v>
      </c>
      <c r="BO40" s="201">
        <f t="shared" si="31"/>
        <v>144.66443895102873</v>
      </c>
      <c r="BP40" s="200">
        <f t="shared" si="32"/>
        <v>0</v>
      </c>
      <c r="BQ40" s="206">
        <f t="shared" si="33"/>
        <v>204.96243895102873</v>
      </c>
      <c r="BR40" s="199">
        <v>0</v>
      </c>
      <c r="BS40" s="200">
        <f>+料飲共通!W39/1000</f>
        <v>0.8</v>
      </c>
      <c r="BT40" s="201">
        <f t="shared" si="34"/>
        <v>-0.8</v>
      </c>
      <c r="BU40" s="200">
        <v>0</v>
      </c>
      <c r="BV40" s="206">
        <f t="shared" si="35"/>
        <v>0</v>
      </c>
      <c r="BW40" s="199">
        <f t="shared" ref="BW40:BW71" si="48">+T40+AI40+AX40+BM40+BR40</f>
        <v>1114.9624389510286</v>
      </c>
      <c r="BX40" s="200">
        <f t="shared" si="37"/>
        <v>1023.2239999999999</v>
      </c>
      <c r="BY40" s="201">
        <f t="shared" si="0"/>
        <v>91.738438951028684</v>
      </c>
      <c r="BZ40" s="200">
        <f t="shared" ref="BZ40:BZ71" si="49">+W40+AL40+BA40+BU40</f>
        <v>956</v>
      </c>
      <c r="CA40" s="206">
        <f t="shared" si="39"/>
        <v>158.96243895102862</v>
      </c>
    </row>
    <row r="41" spans="1:79" s="83" customFormat="1" ht="22" customHeight="1">
      <c r="A41" s="99"/>
      <c r="B41" s="87" t="s">
        <v>71</v>
      </c>
      <c r="C41" s="88"/>
      <c r="D41" s="88"/>
      <c r="E41" s="199">
        <v>0</v>
      </c>
      <c r="F41" s="200">
        <f>+ﾇｰﾍﾞﾙﾌﾟｰｽ!W40/1000</f>
        <v>0</v>
      </c>
      <c r="G41" s="201">
        <f t="shared" si="1"/>
        <v>0</v>
      </c>
      <c r="H41" s="200">
        <v>0</v>
      </c>
      <c r="I41" s="202">
        <f t="shared" si="2"/>
        <v>0</v>
      </c>
      <c r="J41" s="203">
        <v>0</v>
      </c>
      <c r="K41" s="200">
        <f>+ｶﾌｪﾙﾎﾟ!W40/1000</f>
        <v>0</v>
      </c>
      <c r="L41" s="201">
        <f t="shared" si="3"/>
        <v>0</v>
      </c>
      <c r="M41" s="200">
        <v>0</v>
      </c>
      <c r="N41" s="204">
        <f t="shared" si="4"/>
        <v>0</v>
      </c>
      <c r="O41" s="205">
        <v>0</v>
      </c>
      <c r="P41" s="200">
        <f>+ｶﾌｪｾﾚｽﾃ!W40/1000</f>
        <v>0</v>
      </c>
      <c r="Q41" s="201">
        <f t="shared" si="5"/>
        <v>0</v>
      </c>
      <c r="R41" s="200">
        <v>0</v>
      </c>
      <c r="S41" s="202">
        <f t="shared" si="6"/>
        <v>0</v>
      </c>
      <c r="T41" s="199">
        <f t="shared" si="7"/>
        <v>0</v>
      </c>
      <c r="U41" s="200">
        <f t="shared" si="8"/>
        <v>0</v>
      </c>
      <c r="V41" s="201">
        <f t="shared" si="9"/>
        <v>0</v>
      </c>
      <c r="W41" s="200">
        <f t="shared" si="10"/>
        <v>0</v>
      </c>
      <c r="X41" s="206">
        <f t="shared" si="11"/>
        <v>0</v>
      </c>
      <c r="Y41" s="205"/>
      <c r="Z41" s="200"/>
      <c r="AA41" s="201">
        <f t="shared" si="12"/>
        <v>0</v>
      </c>
      <c r="AB41" s="200">
        <v>0</v>
      </c>
      <c r="AC41" s="204">
        <f t="shared" si="13"/>
        <v>0</v>
      </c>
      <c r="AD41" s="205">
        <v>0</v>
      </c>
      <c r="AE41" s="200">
        <f>+ｼﾞｭｴﾙｽﾞ!W40/1000</f>
        <v>0</v>
      </c>
      <c r="AF41" s="201">
        <f t="shared" si="14"/>
        <v>0</v>
      </c>
      <c r="AG41" s="200">
        <v>0</v>
      </c>
      <c r="AH41" s="206">
        <f t="shared" si="15"/>
        <v>0</v>
      </c>
      <c r="AI41" s="199">
        <f t="shared" si="40"/>
        <v>0</v>
      </c>
      <c r="AJ41" s="200">
        <f t="shared" si="41"/>
        <v>0</v>
      </c>
      <c r="AK41" s="201">
        <f t="shared" si="42"/>
        <v>0</v>
      </c>
      <c r="AL41" s="200">
        <f t="shared" si="43"/>
        <v>0</v>
      </c>
      <c r="AM41" s="206">
        <f t="shared" si="44"/>
        <v>0</v>
      </c>
      <c r="AN41" s="199">
        <v>0</v>
      </c>
      <c r="AO41" s="200">
        <f>+ｶﾞｰﾃﾞﾝ!W40/1000</f>
        <v>0</v>
      </c>
      <c r="AP41" s="201">
        <f t="shared" si="16"/>
        <v>0</v>
      </c>
      <c r="AQ41" s="200">
        <v>0</v>
      </c>
      <c r="AR41" s="202">
        <f t="shared" si="17"/>
        <v>0</v>
      </c>
      <c r="AS41" s="203">
        <v>0</v>
      </c>
      <c r="AT41" s="200">
        <f>+ﾋﾞｱｶﾞｰﾃﾞﾝ!W40/1000</f>
        <v>0</v>
      </c>
      <c r="AU41" s="201">
        <f t="shared" si="18"/>
        <v>0</v>
      </c>
      <c r="AV41" s="200">
        <v>0</v>
      </c>
      <c r="AW41" s="206">
        <f t="shared" si="19"/>
        <v>0</v>
      </c>
      <c r="AX41" s="199">
        <f t="shared" si="20"/>
        <v>0</v>
      </c>
      <c r="AY41" s="200">
        <f t="shared" si="47"/>
        <v>0</v>
      </c>
      <c r="AZ41" s="201">
        <f t="shared" si="22"/>
        <v>0</v>
      </c>
      <c r="BA41" s="200">
        <f t="shared" si="23"/>
        <v>0</v>
      </c>
      <c r="BB41" s="206">
        <f t="shared" si="24"/>
        <v>0</v>
      </c>
      <c r="BC41" s="199">
        <v>0</v>
      </c>
      <c r="BD41" s="200">
        <f>+ブリック!W40/1000</f>
        <v>7.5049999999999999</v>
      </c>
      <c r="BE41" s="201">
        <f t="shared" si="25"/>
        <v>-7.5049999999999999</v>
      </c>
      <c r="BF41" s="200"/>
      <c r="BG41" s="202">
        <f t="shared" si="26"/>
        <v>0</v>
      </c>
      <c r="BH41" s="203">
        <v>0</v>
      </c>
      <c r="BI41" s="200">
        <f>+ルスツ羊蹄ぶた!W40/1000</f>
        <v>0</v>
      </c>
      <c r="BJ41" s="201">
        <f t="shared" si="27"/>
        <v>0</v>
      </c>
      <c r="BK41" s="200"/>
      <c r="BL41" s="206">
        <f t="shared" si="28"/>
        <v>0</v>
      </c>
      <c r="BM41" s="199">
        <f t="shared" si="46"/>
        <v>0</v>
      </c>
      <c r="BN41" s="200">
        <f t="shared" si="30"/>
        <v>7.5049999999999999</v>
      </c>
      <c r="BO41" s="201">
        <f t="shared" si="31"/>
        <v>-7.5049999999999999</v>
      </c>
      <c r="BP41" s="200">
        <f t="shared" si="32"/>
        <v>0</v>
      </c>
      <c r="BQ41" s="206">
        <f t="shared" si="33"/>
        <v>0</v>
      </c>
      <c r="BR41" s="199">
        <v>0</v>
      </c>
      <c r="BS41" s="200">
        <f>+料飲共通!W40/1000</f>
        <v>1.67</v>
      </c>
      <c r="BT41" s="201">
        <f t="shared" si="34"/>
        <v>-1.67</v>
      </c>
      <c r="BU41" s="200">
        <v>0</v>
      </c>
      <c r="BV41" s="206">
        <f t="shared" si="35"/>
        <v>0</v>
      </c>
      <c r="BW41" s="199">
        <f t="shared" si="48"/>
        <v>0</v>
      </c>
      <c r="BX41" s="200">
        <f t="shared" si="37"/>
        <v>9.1750000000000007</v>
      </c>
      <c r="BY41" s="201">
        <f t="shared" si="0"/>
        <v>-9.1750000000000007</v>
      </c>
      <c r="BZ41" s="200">
        <f t="shared" si="49"/>
        <v>0</v>
      </c>
      <c r="CA41" s="206">
        <f t="shared" si="39"/>
        <v>0</v>
      </c>
    </row>
    <row r="42" spans="1:79" s="83" customFormat="1" ht="22" customHeight="1">
      <c r="A42" s="99"/>
      <c r="B42" s="87" t="s">
        <v>73</v>
      </c>
      <c r="C42" s="88"/>
      <c r="D42" s="88"/>
      <c r="E42" s="199">
        <v>425.1</v>
      </c>
      <c r="F42" s="200">
        <f>+ﾇｰﾍﾞﾙﾌﾟｰｽ!W41/1000</f>
        <v>1225.43</v>
      </c>
      <c r="G42" s="201">
        <f t="shared" si="1"/>
        <v>-800.33</v>
      </c>
      <c r="H42" s="200">
        <v>509</v>
      </c>
      <c r="I42" s="202">
        <f t="shared" si="2"/>
        <v>-83.899999999999977</v>
      </c>
      <c r="J42" s="203">
        <v>72.7</v>
      </c>
      <c r="K42" s="200">
        <f>+ｶﾌｪﾙﾎﾟ!W41/1000</f>
        <v>68.45</v>
      </c>
      <c r="L42" s="201">
        <f t="shared" si="3"/>
        <v>4.25</v>
      </c>
      <c r="M42" s="200">
        <v>49</v>
      </c>
      <c r="N42" s="204">
        <f t="shared" si="4"/>
        <v>23.700000000000003</v>
      </c>
      <c r="O42" s="205">
        <v>1021.9640000000001</v>
      </c>
      <c r="P42" s="200">
        <f>+ｶﾌｪｾﾚｽﾃ!W41/1000</f>
        <v>1034.7819999999999</v>
      </c>
      <c r="Q42" s="201">
        <f t="shared" si="5"/>
        <v>-12.81799999999987</v>
      </c>
      <c r="R42" s="200">
        <v>1022</v>
      </c>
      <c r="S42" s="202">
        <f t="shared" si="6"/>
        <v>-3.5999999999944521E-2</v>
      </c>
      <c r="T42" s="199">
        <f t="shared" si="7"/>
        <v>1519.7640000000001</v>
      </c>
      <c r="U42" s="200">
        <f t="shared" si="8"/>
        <v>2328.6620000000003</v>
      </c>
      <c r="V42" s="201">
        <f t="shared" si="9"/>
        <v>-808.89800000000014</v>
      </c>
      <c r="W42" s="200">
        <f t="shared" si="10"/>
        <v>1580</v>
      </c>
      <c r="X42" s="206">
        <f t="shared" si="11"/>
        <v>-60.235999999999876</v>
      </c>
      <c r="Y42" s="205"/>
      <c r="Z42" s="200"/>
      <c r="AA42" s="201">
        <f t="shared" si="12"/>
        <v>0</v>
      </c>
      <c r="AB42" s="200">
        <v>0</v>
      </c>
      <c r="AC42" s="204">
        <f t="shared" si="13"/>
        <v>0</v>
      </c>
      <c r="AD42" s="205">
        <v>641.32000000000005</v>
      </c>
      <c r="AE42" s="200">
        <f>+ｼﾞｭｴﾙｽﾞ!W41/1000</f>
        <v>573.14700000000005</v>
      </c>
      <c r="AF42" s="201">
        <f t="shared" si="14"/>
        <v>68.173000000000002</v>
      </c>
      <c r="AG42" s="200">
        <v>564</v>
      </c>
      <c r="AH42" s="206">
        <f t="shared" si="15"/>
        <v>77.32000000000005</v>
      </c>
      <c r="AI42" s="199">
        <f t="shared" si="40"/>
        <v>641.32000000000005</v>
      </c>
      <c r="AJ42" s="200">
        <f t="shared" si="41"/>
        <v>573.14700000000005</v>
      </c>
      <c r="AK42" s="201">
        <f t="shared" si="42"/>
        <v>68.173000000000002</v>
      </c>
      <c r="AL42" s="200">
        <f t="shared" si="43"/>
        <v>564</v>
      </c>
      <c r="AM42" s="206">
        <f t="shared" si="44"/>
        <v>77.32000000000005</v>
      </c>
      <c r="AN42" s="199">
        <v>12497.46</v>
      </c>
      <c r="AO42" s="200">
        <f>+ｶﾞｰﾃﾞﾝ!W41/1000</f>
        <v>12637.057000000001</v>
      </c>
      <c r="AP42" s="201">
        <f t="shared" si="16"/>
        <v>-139.59700000000157</v>
      </c>
      <c r="AQ42" s="200">
        <v>12235</v>
      </c>
      <c r="AR42" s="202">
        <f t="shared" si="17"/>
        <v>262.45999999999913</v>
      </c>
      <c r="AS42" s="203">
        <v>14123.5</v>
      </c>
      <c r="AT42" s="200">
        <f>+ﾋﾞｱｶﾞｰﾃﾞﾝ!W41/1000</f>
        <v>15862.32</v>
      </c>
      <c r="AU42" s="201">
        <f t="shared" si="18"/>
        <v>-1738.8199999999997</v>
      </c>
      <c r="AV42" s="200">
        <v>14574</v>
      </c>
      <c r="AW42" s="206">
        <f t="shared" si="19"/>
        <v>-450.5</v>
      </c>
      <c r="AX42" s="199">
        <f t="shared" si="20"/>
        <v>26620.959999999999</v>
      </c>
      <c r="AY42" s="200">
        <f t="shared" si="47"/>
        <v>28499.377</v>
      </c>
      <c r="AZ42" s="201">
        <f t="shared" si="22"/>
        <v>-1878.4170000000013</v>
      </c>
      <c r="BA42" s="200">
        <f t="shared" si="23"/>
        <v>26809</v>
      </c>
      <c r="BB42" s="206">
        <f t="shared" si="24"/>
        <v>-188.04000000000087</v>
      </c>
      <c r="BC42" s="199">
        <v>8999.7139624478532</v>
      </c>
      <c r="BD42" s="200">
        <f>+ブリック!W41/1000</f>
        <v>8542.2129999999997</v>
      </c>
      <c r="BE42" s="201">
        <f t="shared" si="25"/>
        <v>457.50096244785345</v>
      </c>
      <c r="BF42" s="200"/>
      <c r="BG42" s="202">
        <f t="shared" si="26"/>
        <v>8999.7139624478532</v>
      </c>
      <c r="BH42" s="203">
        <v>6634.7985299751308</v>
      </c>
      <c r="BI42" s="200">
        <f>+ルスツ羊蹄ぶた!W41/1000</f>
        <v>5263.1880000000001</v>
      </c>
      <c r="BJ42" s="201">
        <f t="shared" si="27"/>
        <v>1371.6105299751307</v>
      </c>
      <c r="BK42" s="200"/>
      <c r="BL42" s="206">
        <f t="shared" si="28"/>
        <v>6634.7985299751308</v>
      </c>
      <c r="BM42" s="199">
        <f t="shared" si="46"/>
        <v>15634.512492422984</v>
      </c>
      <c r="BN42" s="200">
        <f t="shared" si="30"/>
        <v>13805.401</v>
      </c>
      <c r="BO42" s="201">
        <f t="shared" si="31"/>
        <v>1829.1114924229842</v>
      </c>
      <c r="BP42" s="200">
        <f t="shared" si="32"/>
        <v>0</v>
      </c>
      <c r="BQ42" s="206">
        <f t="shared" si="33"/>
        <v>15634.512492422984</v>
      </c>
      <c r="BR42" s="199">
        <v>0</v>
      </c>
      <c r="BS42" s="200">
        <f>+料飲共通!W41/1000</f>
        <v>0</v>
      </c>
      <c r="BT42" s="201">
        <f t="shared" si="34"/>
        <v>0</v>
      </c>
      <c r="BU42" s="200">
        <v>13</v>
      </c>
      <c r="BV42" s="206">
        <f t="shared" si="35"/>
        <v>-13</v>
      </c>
      <c r="BW42" s="199">
        <f t="shared" si="48"/>
        <v>44416.556492422984</v>
      </c>
      <c r="BX42" s="200">
        <f t="shared" si="37"/>
        <v>45206.587</v>
      </c>
      <c r="BY42" s="201">
        <f t="shared" si="0"/>
        <v>-790.03050757701567</v>
      </c>
      <c r="BZ42" s="200">
        <f t="shared" si="49"/>
        <v>28966</v>
      </c>
      <c r="CA42" s="206">
        <f t="shared" si="39"/>
        <v>15450.556492422984</v>
      </c>
    </row>
    <row r="43" spans="1:79" s="83" customFormat="1" ht="22" hidden="1" customHeight="1" outlineLevel="1">
      <c r="A43" s="99"/>
      <c r="B43" s="96"/>
      <c r="C43" s="88" t="s">
        <v>75</v>
      </c>
      <c r="D43" s="88"/>
      <c r="E43" s="199">
        <v>0</v>
      </c>
      <c r="F43" s="200">
        <f>+ﾇｰﾍﾞﾙﾌﾟｰｽ!W42/1000</f>
        <v>0</v>
      </c>
      <c r="G43" s="201">
        <f t="shared" si="1"/>
        <v>0</v>
      </c>
      <c r="H43" s="200">
        <v>0</v>
      </c>
      <c r="I43" s="202">
        <f t="shared" si="2"/>
        <v>0</v>
      </c>
      <c r="J43" s="203">
        <v>0</v>
      </c>
      <c r="K43" s="200">
        <f>+ｶﾌｪﾙﾎﾟ!W42/1000</f>
        <v>0</v>
      </c>
      <c r="L43" s="201">
        <f t="shared" si="3"/>
        <v>0</v>
      </c>
      <c r="M43" s="200">
        <v>0</v>
      </c>
      <c r="N43" s="204">
        <f t="shared" si="4"/>
        <v>0</v>
      </c>
      <c r="O43" s="205">
        <v>0</v>
      </c>
      <c r="P43" s="200">
        <f>+ｶﾌｪｾﾚｽﾃ!W42/1000</f>
        <v>0</v>
      </c>
      <c r="Q43" s="201">
        <f t="shared" si="5"/>
        <v>0</v>
      </c>
      <c r="R43" s="200">
        <v>0</v>
      </c>
      <c r="S43" s="202">
        <f t="shared" si="6"/>
        <v>0</v>
      </c>
      <c r="T43" s="199">
        <f t="shared" si="7"/>
        <v>0</v>
      </c>
      <c r="U43" s="200">
        <f t="shared" si="8"/>
        <v>0</v>
      </c>
      <c r="V43" s="201">
        <f t="shared" si="9"/>
        <v>0</v>
      </c>
      <c r="W43" s="200">
        <f t="shared" si="10"/>
        <v>0</v>
      </c>
      <c r="X43" s="206">
        <f t="shared" si="11"/>
        <v>0</v>
      </c>
      <c r="Y43" s="205"/>
      <c r="Z43" s="200"/>
      <c r="AA43" s="201">
        <f t="shared" si="12"/>
        <v>0</v>
      </c>
      <c r="AB43" s="200">
        <v>0</v>
      </c>
      <c r="AC43" s="204">
        <f t="shared" si="13"/>
        <v>0</v>
      </c>
      <c r="AD43" s="205">
        <v>0</v>
      </c>
      <c r="AE43" s="200">
        <f>+ｼﾞｭｴﾙｽﾞ!W42/1000</f>
        <v>0</v>
      </c>
      <c r="AF43" s="201">
        <f t="shared" si="14"/>
        <v>0</v>
      </c>
      <c r="AG43" s="200">
        <v>0</v>
      </c>
      <c r="AH43" s="206">
        <f t="shared" si="15"/>
        <v>0</v>
      </c>
      <c r="AI43" s="199">
        <f t="shared" si="40"/>
        <v>0</v>
      </c>
      <c r="AJ43" s="200">
        <f t="shared" si="41"/>
        <v>0</v>
      </c>
      <c r="AK43" s="201">
        <f t="shared" si="42"/>
        <v>0</v>
      </c>
      <c r="AL43" s="200">
        <f t="shared" si="43"/>
        <v>0</v>
      </c>
      <c r="AM43" s="206">
        <f t="shared" si="44"/>
        <v>0</v>
      </c>
      <c r="AN43" s="199">
        <v>0</v>
      </c>
      <c r="AO43" s="200">
        <f>+ｶﾞｰﾃﾞﾝ!W42/1000</f>
        <v>0</v>
      </c>
      <c r="AP43" s="201">
        <f t="shared" si="16"/>
        <v>0</v>
      </c>
      <c r="AQ43" s="200">
        <v>0</v>
      </c>
      <c r="AR43" s="202">
        <f t="shared" si="17"/>
        <v>0</v>
      </c>
      <c r="AS43" s="203">
        <v>0</v>
      </c>
      <c r="AT43" s="200">
        <f>+ﾋﾞｱｶﾞｰﾃﾞﾝ!W42/1000</f>
        <v>0</v>
      </c>
      <c r="AU43" s="201">
        <f t="shared" si="18"/>
        <v>0</v>
      </c>
      <c r="AV43" s="200">
        <v>0</v>
      </c>
      <c r="AW43" s="206">
        <f t="shared" si="19"/>
        <v>0</v>
      </c>
      <c r="AX43" s="199">
        <f t="shared" si="20"/>
        <v>0</v>
      </c>
      <c r="AY43" s="200">
        <f t="shared" si="47"/>
        <v>0</v>
      </c>
      <c r="AZ43" s="201">
        <f t="shared" si="22"/>
        <v>0</v>
      </c>
      <c r="BA43" s="200">
        <f t="shared" si="23"/>
        <v>0</v>
      </c>
      <c r="BB43" s="206">
        <f t="shared" si="24"/>
        <v>0</v>
      </c>
      <c r="BC43" s="199">
        <v>0</v>
      </c>
      <c r="BD43" s="200">
        <f>+ブリック!W42/1000</f>
        <v>0</v>
      </c>
      <c r="BE43" s="201">
        <f t="shared" si="25"/>
        <v>0</v>
      </c>
      <c r="BF43" s="200"/>
      <c r="BG43" s="202">
        <f t="shared" si="26"/>
        <v>0</v>
      </c>
      <c r="BH43" s="203">
        <v>0</v>
      </c>
      <c r="BI43" s="200">
        <f>+ルスツ羊蹄ぶた!W42/1000</f>
        <v>0</v>
      </c>
      <c r="BJ43" s="201">
        <f t="shared" si="27"/>
        <v>0</v>
      </c>
      <c r="BK43" s="200"/>
      <c r="BL43" s="206">
        <f t="shared" si="28"/>
        <v>0</v>
      </c>
      <c r="BM43" s="199">
        <f t="shared" si="46"/>
        <v>0</v>
      </c>
      <c r="BN43" s="200">
        <f t="shared" si="30"/>
        <v>0</v>
      </c>
      <c r="BO43" s="201">
        <f t="shared" si="31"/>
        <v>0</v>
      </c>
      <c r="BP43" s="200">
        <f t="shared" si="32"/>
        <v>0</v>
      </c>
      <c r="BQ43" s="206">
        <f t="shared" si="33"/>
        <v>0</v>
      </c>
      <c r="BR43" s="199">
        <v>0</v>
      </c>
      <c r="BS43" s="200">
        <f>+料飲共通!W42/1000</f>
        <v>0</v>
      </c>
      <c r="BT43" s="201">
        <f t="shared" si="34"/>
        <v>0</v>
      </c>
      <c r="BU43" s="200">
        <v>0</v>
      </c>
      <c r="BV43" s="206">
        <f t="shared" si="35"/>
        <v>0</v>
      </c>
      <c r="BW43" s="199">
        <f t="shared" si="48"/>
        <v>0</v>
      </c>
      <c r="BX43" s="200">
        <f t="shared" si="37"/>
        <v>0</v>
      </c>
      <c r="BY43" s="201">
        <f t="shared" si="0"/>
        <v>0</v>
      </c>
      <c r="BZ43" s="200">
        <f t="shared" si="49"/>
        <v>0</v>
      </c>
      <c r="CA43" s="206">
        <f t="shared" si="39"/>
        <v>0</v>
      </c>
    </row>
    <row r="44" spans="1:79" s="83" customFormat="1" ht="22" hidden="1" customHeight="1" outlineLevel="1">
      <c r="A44" s="99"/>
      <c r="B44" s="96"/>
      <c r="C44" s="88" t="s">
        <v>77</v>
      </c>
      <c r="D44" s="88"/>
      <c r="E44" s="199">
        <v>0</v>
      </c>
      <c r="F44" s="200">
        <f>+ﾇｰﾍﾞﾙﾌﾟｰｽ!W43/1000</f>
        <v>0</v>
      </c>
      <c r="G44" s="201">
        <f t="shared" si="1"/>
        <v>0</v>
      </c>
      <c r="H44" s="200">
        <v>0</v>
      </c>
      <c r="I44" s="202">
        <f t="shared" si="2"/>
        <v>0</v>
      </c>
      <c r="J44" s="203">
        <v>0</v>
      </c>
      <c r="K44" s="200">
        <f>+ｶﾌｪﾙﾎﾟ!W43/1000</f>
        <v>0</v>
      </c>
      <c r="L44" s="201">
        <f t="shared" si="3"/>
        <v>0</v>
      </c>
      <c r="M44" s="200">
        <v>0</v>
      </c>
      <c r="N44" s="204">
        <f t="shared" si="4"/>
        <v>0</v>
      </c>
      <c r="O44" s="205">
        <v>1021.9640000000001</v>
      </c>
      <c r="P44" s="200">
        <f>+ｶﾌｪｾﾚｽﾃ!W43/1000</f>
        <v>1034.7819999999999</v>
      </c>
      <c r="Q44" s="201">
        <f t="shared" si="5"/>
        <v>-12.81799999999987</v>
      </c>
      <c r="R44" s="200">
        <v>1022</v>
      </c>
      <c r="S44" s="202">
        <f t="shared" si="6"/>
        <v>-3.5999999999944521E-2</v>
      </c>
      <c r="T44" s="199">
        <f t="shared" si="7"/>
        <v>1021.9640000000001</v>
      </c>
      <c r="U44" s="200">
        <f t="shared" si="8"/>
        <v>1034.7819999999999</v>
      </c>
      <c r="V44" s="201">
        <f t="shared" si="9"/>
        <v>-12.81799999999987</v>
      </c>
      <c r="W44" s="200">
        <f t="shared" si="10"/>
        <v>1022</v>
      </c>
      <c r="X44" s="206">
        <f t="shared" si="11"/>
        <v>-3.5999999999944521E-2</v>
      </c>
      <c r="Y44" s="205"/>
      <c r="Z44" s="200"/>
      <c r="AA44" s="201">
        <f t="shared" si="12"/>
        <v>0</v>
      </c>
      <c r="AB44" s="200">
        <v>0</v>
      </c>
      <c r="AC44" s="204">
        <f t="shared" si="13"/>
        <v>0</v>
      </c>
      <c r="AD44" s="205">
        <v>0</v>
      </c>
      <c r="AE44" s="200">
        <f>+ｼﾞｭｴﾙｽﾞ!W43/1000</f>
        <v>0</v>
      </c>
      <c r="AF44" s="201">
        <f t="shared" si="14"/>
        <v>0</v>
      </c>
      <c r="AG44" s="200">
        <v>0</v>
      </c>
      <c r="AH44" s="206">
        <f t="shared" si="15"/>
        <v>0</v>
      </c>
      <c r="AI44" s="199">
        <f t="shared" si="40"/>
        <v>0</v>
      </c>
      <c r="AJ44" s="200">
        <f t="shared" si="41"/>
        <v>0</v>
      </c>
      <c r="AK44" s="201">
        <f t="shared" si="42"/>
        <v>0</v>
      </c>
      <c r="AL44" s="200">
        <f t="shared" si="43"/>
        <v>0</v>
      </c>
      <c r="AM44" s="206">
        <f t="shared" si="44"/>
        <v>0</v>
      </c>
      <c r="AN44" s="199">
        <v>11558.46</v>
      </c>
      <c r="AO44" s="200">
        <f>+ｶﾞｰﾃﾞﾝ!W43/1000</f>
        <v>11558.460999999999</v>
      </c>
      <c r="AP44" s="201">
        <f t="shared" si="16"/>
        <v>-1.0000000002037268E-3</v>
      </c>
      <c r="AQ44" s="200">
        <v>11558</v>
      </c>
      <c r="AR44" s="202">
        <f t="shared" si="17"/>
        <v>0.45999999999912689</v>
      </c>
      <c r="AS44" s="203">
        <v>0</v>
      </c>
      <c r="AT44" s="200">
        <f>+ﾋﾞｱｶﾞｰﾃﾞﾝ!W43/1000</f>
        <v>0</v>
      </c>
      <c r="AU44" s="201">
        <f t="shared" si="18"/>
        <v>0</v>
      </c>
      <c r="AV44" s="200">
        <v>0</v>
      </c>
      <c r="AW44" s="206">
        <f t="shared" si="19"/>
        <v>0</v>
      </c>
      <c r="AX44" s="199">
        <f t="shared" si="20"/>
        <v>11558.46</v>
      </c>
      <c r="AY44" s="200">
        <f t="shared" si="47"/>
        <v>11558.460999999999</v>
      </c>
      <c r="AZ44" s="201">
        <f t="shared" si="22"/>
        <v>-1.0000000002037268E-3</v>
      </c>
      <c r="BA44" s="200">
        <f t="shared" si="23"/>
        <v>11558</v>
      </c>
      <c r="BB44" s="206">
        <f t="shared" si="24"/>
        <v>0.45999999999912689</v>
      </c>
      <c r="BC44" s="199">
        <v>7913.3942999999999</v>
      </c>
      <c r="BD44" s="200">
        <f>+ブリック!W43/1000</f>
        <v>8182.6989999999996</v>
      </c>
      <c r="BE44" s="201">
        <f t="shared" si="25"/>
        <v>-269.30469999999968</v>
      </c>
      <c r="BF44" s="200"/>
      <c r="BG44" s="202">
        <f t="shared" si="26"/>
        <v>7913.3942999999999</v>
      </c>
      <c r="BH44" s="203">
        <v>6539.3119999999999</v>
      </c>
      <c r="BI44" s="200">
        <f>+ルスツ羊蹄ぶた!W43/1000</f>
        <v>5263.1880000000001</v>
      </c>
      <c r="BJ44" s="201">
        <f t="shared" si="27"/>
        <v>1276.1239999999998</v>
      </c>
      <c r="BK44" s="200"/>
      <c r="BL44" s="206">
        <f t="shared" si="28"/>
        <v>6539.3119999999999</v>
      </c>
      <c r="BM44" s="199">
        <f t="shared" si="46"/>
        <v>14452.7063</v>
      </c>
      <c r="BN44" s="200">
        <f t="shared" si="30"/>
        <v>13445.886999999999</v>
      </c>
      <c r="BO44" s="201">
        <f t="shared" si="31"/>
        <v>1006.819300000001</v>
      </c>
      <c r="BP44" s="200">
        <f t="shared" si="32"/>
        <v>0</v>
      </c>
      <c r="BQ44" s="206">
        <f t="shared" si="33"/>
        <v>14452.7063</v>
      </c>
      <c r="BR44" s="199">
        <v>0</v>
      </c>
      <c r="BS44" s="200">
        <f>+料飲共通!W43/1000</f>
        <v>0</v>
      </c>
      <c r="BT44" s="201">
        <f t="shared" si="34"/>
        <v>0</v>
      </c>
      <c r="BU44" s="200">
        <v>0</v>
      </c>
      <c r="BV44" s="206">
        <f t="shared" si="35"/>
        <v>0</v>
      </c>
      <c r="BW44" s="199">
        <f t="shared" si="48"/>
        <v>27033.130299999997</v>
      </c>
      <c r="BX44" s="200">
        <f t="shared" si="37"/>
        <v>26039.129999999997</v>
      </c>
      <c r="BY44" s="201">
        <f t="shared" si="0"/>
        <v>994.0002999999997</v>
      </c>
      <c r="BZ44" s="200">
        <f t="shared" si="49"/>
        <v>12580</v>
      </c>
      <c r="CA44" s="206">
        <f t="shared" si="39"/>
        <v>14453.130299999997</v>
      </c>
    </row>
    <row r="45" spans="1:79" s="83" customFormat="1" ht="22" hidden="1" customHeight="1" outlineLevel="1">
      <c r="A45" s="99"/>
      <c r="B45" s="96"/>
      <c r="C45" s="88" t="s">
        <v>79</v>
      </c>
      <c r="D45" s="88"/>
      <c r="E45" s="199">
        <v>0</v>
      </c>
      <c r="F45" s="200">
        <f>+ﾇｰﾍﾞﾙﾌﾟｰｽ!W44/1000</f>
        <v>0</v>
      </c>
      <c r="G45" s="201">
        <f t="shared" si="1"/>
        <v>0</v>
      </c>
      <c r="H45" s="200">
        <v>0</v>
      </c>
      <c r="I45" s="202">
        <f t="shared" si="2"/>
        <v>0</v>
      </c>
      <c r="J45" s="203">
        <v>0</v>
      </c>
      <c r="K45" s="200">
        <f>+ｶﾌｪﾙﾎﾟ!W44/1000</f>
        <v>0</v>
      </c>
      <c r="L45" s="201">
        <f t="shared" si="3"/>
        <v>0</v>
      </c>
      <c r="M45" s="200">
        <v>0</v>
      </c>
      <c r="N45" s="204">
        <f t="shared" si="4"/>
        <v>0</v>
      </c>
      <c r="O45" s="205">
        <v>0</v>
      </c>
      <c r="P45" s="200">
        <f>+ｶﾌｪｾﾚｽﾃ!W44/1000</f>
        <v>0</v>
      </c>
      <c r="Q45" s="201">
        <f t="shared" si="5"/>
        <v>0</v>
      </c>
      <c r="R45" s="200">
        <v>0</v>
      </c>
      <c r="S45" s="202">
        <f t="shared" si="6"/>
        <v>0</v>
      </c>
      <c r="T45" s="199">
        <f t="shared" si="7"/>
        <v>0</v>
      </c>
      <c r="U45" s="200">
        <f t="shared" si="8"/>
        <v>0</v>
      </c>
      <c r="V45" s="201">
        <f t="shared" si="9"/>
        <v>0</v>
      </c>
      <c r="W45" s="200">
        <f t="shared" si="10"/>
        <v>0</v>
      </c>
      <c r="X45" s="206">
        <f t="shared" si="11"/>
        <v>0</v>
      </c>
      <c r="Y45" s="205"/>
      <c r="Z45" s="200"/>
      <c r="AA45" s="201">
        <f t="shared" si="12"/>
        <v>0</v>
      </c>
      <c r="AB45" s="200">
        <v>0</v>
      </c>
      <c r="AC45" s="204">
        <f t="shared" si="13"/>
        <v>0</v>
      </c>
      <c r="AD45" s="205">
        <v>0</v>
      </c>
      <c r="AE45" s="200">
        <f>+ｼﾞｭｴﾙｽﾞ!W44/1000</f>
        <v>0</v>
      </c>
      <c r="AF45" s="201">
        <f t="shared" si="14"/>
        <v>0</v>
      </c>
      <c r="AG45" s="200">
        <v>0</v>
      </c>
      <c r="AH45" s="206">
        <f t="shared" si="15"/>
        <v>0</v>
      </c>
      <c r="AI45" s="199">
        <f t="shared" si="40"/>
        <v>0</v>
      </c>
      <c r="AJ45" s="200">
        <f t="shared" si="41"/>
        <v>0</v>
      </c>
      <c r="AK45" s="201">
        <f t="shared" si="42"/>
        <v>0</v>
      </c>
      <c r="AL45" s="200">
        <f t="shared" si="43"/>
        <v>0</v>
      </c>
      <c r="AM45" s="206">
        <f t="shared" si="44"/>
        <v>0</v>
      </c>
      <c r="AN45" s="199">
        <v>0</v>
      </c>
      <c r="AO45" s="200">
        <f>+ｶﾞｰﾃﾞﾝ!W44/1000</f>
        <v>0</v>
      </c>
      <c r="AP45" s="201">
        <f t="shared" si="16"/>
        <v>0</v>
      </c>
      <c r="AQ45" s="200">
        <v>0</v>
      </c>
      <c r="AR45" s="202">
        <f t="shared" si="17"/>
        <v>0</v>
      </c>
      <c r="AS45" s="203">
        <v>14050</v>
      </c>
      <c r="AT45" s="200">
        <f>+ﾋﾞｱｶﾞｰﾃﾞﾝ!W44/1000</f>
        <v>15659.091</v>
      </c>
      <c r="AU45" s="201">
        <f t="shared" si="18"/>
        <v>-1609.0910000000003</v>
      </c>
      <c r="AV45" s="200">
        <v>14500</v>
      </c>
      <c r="AW45" s="206">
        <f t="shared" si="19"/>
        <v>-450</v>
      </c>
      <c r="AX45" s="199">
        <f t="shared" si="20"/>
        <v>14050</v>
      </c>
      <c r="AY45" s="200">
        <f t="shared" si="47"/>
        <v>15659.091</v>
      </c>
      <c r="AZ45" s="201">
        <f t="shared" si="22"/>
        <v>-1609.0910000000003</v>
      </c>
      <c r="BA45" s="200">
        <f t="shared" si="23"/>
        <v>14500</v>
      </c>
      <c r="BB45" s="206">
        <f t="shared" si="24"/>
        <v>-450</v>
      </c>
      <c r="BC45" s="199">
        <v>701.50800000000004</v>
      </c>
      <c r="BD45" s="200">
        <f>+ブリック!W44/1000</f>
        <v>0</v>
      </c>
      <c r="BE45" s="201">
        <f t="shared" si="25"/>
        <v>701.50800000000004</v>
      </c>
      <c r="BF45" s="200"/>
      <c r="BG45" s="202">
        <f t="shared" si="26"/>
        <v>701.50800000000004</v>
      </c>
      <c r="BH45" s="203">
        <v>0</v>
      </c>
      <c r="BI45" s="200">
        <f>+ルスツ羊蹄ぶた!W44/1000</f>
        <v>0</v>
      </c>
      <c r="BJ45" s="201">
        <f t="shared" si="27"/>
        <v>0</v>
      </c>
      <c r="BK45" s="200"/>
      <c r="BL45" s="206">
        <f t="shared" si="28"/>
        <v>0</v>
      </c>
      <c r="BM45" s="199">
        <f t="shared" si="46"/>
        <v>701.50800000000004</v>
      </c>
      <c r="BN45" s="200">
        <f t="shared" si="30"/>
        <v>0</v>
      </c>
      <c r="BO45" s="201">
        <f t="shared" si="31"/>
        <v>701.50800000000004</v>
      </c>
      <c r="BP45" s="200">
        <f t="shared" si="32"/>
        <v>0</v>
      </c>
      <c r="BQ45" s="206">
        <f t="shared" si="33"/>
        <v>701.50800000000004</v>
      </c>
      <c r="BR45" s="199">
        <v>0</v>
      </c>
      <c r="BS45" s="200">
        <f>+料飲共通!W44/1000</f>
        <v>0</v>
      </c>
      <c r="BT45" s="201">
        <f t="shared" si="34"/>
        <v>0</v>
      </c>
      <c r="BU45" s="200">
        <v>13</v>
      </c>
      <c r="BV45" s="206">
        <f t="shared" si="35"/>
        <v>-13</v>
      </c>
      <c r="BW45" s="199">
        <f t="shared" si="48"/>
        <v>14751.508</v>
      </c>
      <c r="BX45" s="200">
        <f t="shared" si="37"/>
        <v>15659.091</v>
      </c>
      <c r="BY45" s="201">
        <f t="shared" si="0"/>
        <v>-907.58300000000054</v>
      </c>
      <c r="BZ45" s="200">
        <f t="shared" si="49"/>
        <v>14513</v>
      </c>
      <c r="CA45" s="206">
        <f t="shared" si="39"/>
        <v>238.50799999999981</v>
      </c>
    </row>
    <row r="46" spans="1:79" s="83" customFormat="1" ht="22" hidden="1" customHeight="1" outlineLevel="1">
      <c r="A46" s="99"/>
      <c r="B46" s="96"/>
      <c r="C46" s="88" t="s">
        <v>81</v>
      </c>
      <c r="D46" s="88"/>
      <c r="E46" s="199">
        <v>425.1</v>
      </c>
      <c r="F46" s="200">
        <f>+ﾇｰﾍﾞﾙﾌﾟｰｽ!W45/1000</f>
        <v>1225.43</v>
      </c>
      <c r="G46" s="201">
        <f t="shared" si="1"/>
        <v>-800.33</v>
      </c>
      <c r="H46" s="200">
        <v>509</v>
      </c>
      <c r="I46" s="202">
        <f t="shared" si="2"/>
        <v>-83.899999999999977</v>
      </c>
      <c r="J46" s="203">
        <v>72.7</v>
      </c>
      <c r="K46" s="200">
        <f>+ｶﾌｪﾙﾎﾟ!W45/1000</f>
        <v>68.45</v>
      </c>
      <c r="L46" s="201">
        <f t="shared" si="3"/>
        <v>4.25</v>
      </c>
      <c r="M46" s="200">
        <v>49</v>
      </c>
      <c r="N46" s="204">
        <f t="shared" si="4"/>
        <v>23.700000000000003</v>
      </c>
      <c r="O46" s="205">
        <v>0</v>
      </c>
      <c r="P46" s="200">
        <f>+ｶﾌｪｾﾚｽﾃ!W45/1000</f>
        <v>0</v>
      </c>
      <c r="Q46" s="201">
        <f t="shared" si="5"/>
        <v>0</v>
      </c>
      <c r="R46" s="200">
        <v>0</v>
      </c>
      <c r="S46" s="202">
        <f t="shared" si="6"/>
        <v>0</v>
      </c>
      <c r="T46" s="199">
        <f t="shared" si="7"/>
        <v>497.8</v>
      </c>
      <c r="U46" s="200">
        <f t="shared" si="8"/>
        <v>1293.8800000000001</v>
      </c>
      <c r="V46" s="201">
        <f t="shared" si="9"/>
        <v>-796.08000000000015</v>
      </c>
      <c r="W46" s="200">
        <f t="shared" si="10"/>
        <v>558</v>
      </c>
      <c r="X46" s="206">
        <f t="shared" si="11"/>
        <v>-60.199999999999989</v>
      </c>
      <c r="Y46" s="205"/>
      <c r="Z46" s="200"/>
      <c r="AA46" s="201">
        <f t="shared" si="12"/>
        <v>0</v>
      </c>
      <c r="AB46" s="200">
        <v>0</v>
      </c>
      <c r="AC46" s="204">
        <f t="shared" si="13"/>
        <v>0</v>
      </c>
      <c r="AD46" s="205">
        <v>641.32000000000005</v>
      </c>
      <c r="AE46" s="200">
        <f>+ｼﾞｭｴﾙｽﾞ!W45/1000</f>
        <v>573.14700000000005</v>
      </c>
      <c r="AF46" s="201">
        <f t="shared" si="14"/>
        <v>68.173000000000002</v>
      </c>
      <c r="AG46" s="200">
        <v>564</v>
      </c>
      <c r="AH46" s="206">
        <f t="shared" si="15"/>
        <v>77.32000000000005</v>
      </c>
      <c r="AI46" s="199">
        <f t="shared" si="40"/>
        <v>641.32000000000005</v>
      </c>
      <c r="AJ46" s="200">
        <f t="shared" si="41"/>
        <v>573.14700000000005</v>
      </c>
      <c r="AK46" s="201">
        <f t="shared" si="42"/>
        <v>68.173000000000002</v>
      </c>
      <c r="AL46" s="200">
        <f t="shared" si="43"/>
        <v>564</v>
      </c>
      <c r="AM46" s="206">
        <f t="shared" si="44"/>
        <v>77.32000000000005</v>
      </c>
      <c r="AN46" s="199">
        <v>939</v>
      </c>
      <c r="AO46" s="200">
        <f>+ｶﾞｰﾃﾞﾝ!W45/1000</f>
        <v>1078.596</v>
      </c>
      <c r="AP46" s="201">
        <f t="shared" si="16"/>
        <v>-139.596</v>
      </c>
      <c r="AQ46" s="200">
        <v>677</v>
      </c>
      <c r="AR46" s="202">
        <f t="shared" si="17"/>
        <v>262</v>
      </c>
      <c r="AS46" s="203">
        <v>73.5</v>
      </c>
      <c r="AT46" s="200">
        <f>+ﾋﾞｱｶﾞｰﾃﾞﾝ!W45/1000</f>
        <v>203.22900000000001</v>
      </c>
      <c r="AU46" s="201">
        <f t="shared" si="18"/>
        <v>-129.72900000000001</v>
      </c>
      <c r="AV46" s="200">
        <v>74</v>
      </c>
      <c r="AW46" s="206">
        <f t="shared" si="19"/>
        <v>-0.5</v>
      </c>
      <c r="AX46" s="199">
        <f t="shared" si="20"/>
        <v>1012.5</v>
      </c>
      <c r="AY46" s="200">
        <f t="shared" si="47"/>
        <v>1281.825</v>
      </c>
      <c r="AZ46" s="201">
        <f t="shared" si="22"/>
        <v>-269.32500000000005</v>
      </c>
      <c r="BA46" s="200">
        <f t="shared" si="23"/>
        <v>751</v>
      </c>
      <c r="BB46" s="206">
        <f t="shared" si="24"/>
        <v>261.5</v>
      </c>
      <c r="BC46" s="199">
        <v>384.81166244785419</v>
      </c>
      <c r="BD46" s="200">
        <f>+ブリック!W45/1000</f>
        <v>359.51400000000001</v>
      </c>
      <c r="BE46" s="201">
        <f t="shared" si="25"/>
        <v>25.297662447854179</v>
      </c>
      <c r="BF46" s="200"/>
      <c r="BG46" s="202">
        <f t="shared" si="26"/>
        <v>384.81166244785419</v>
      </c>
      <c r="BH46" s="203">
        <v>95.486529975130836</v>
      </c>
      <c r="BI46" s="200">
        <f>+ルスツ羊蹄ぶた!W45/1000</f>
        <v>0</v>
      </c>
      <c r="BJ46" s="201">
        <f t="shared" si="27"/>
        <v>95.486529975130836</v>
      </c>
      <c r="BK46" s="200"/>
      <c r="BL46" s="206">
        <f t="shared" si="28"/>
        <v>95.486529975130836</v>
      </c>
      <c r="BM46" s="199">
        <f t="shared" si="46"/>
        <v>480.29819242298504</v>
      </c>
      <c r="BN46" s="200">
        <f t="shared" si="30"/>
        <v>359.51400000000001</v>
      </c>
      <c r="BO46" s="201">
        <f t="shared" si="31"/>
        <v>120.78419242298503</v>
      </c>
      <c r="BP46" s="200">
        <f t="shared" si="32"/>
        <v>0</v>
      </c>
      <c r="BQ46" s="206">
        <f t="shared" si="33"/>
        <v>480.29819242298504</v>
      </c>
      <c r="BR46" s="199">
        <v>0</v>
      </c>
      <c r="BS46" s="200">
        <f>+料飲共通!W45/1000</f>
        <v>0</v>
      </c>
      <c r="BT46" s="201">
        <f t="shared" si="34"/>
        <v>0</v>
      </c>
      <c r="BU46" s="200">
        <v>0</v>
      </c>
      <c r="BV46" s="206">
        <f t="shared" si="35"/>
        <v>0</v>
      </c>
      <c r="BW46" s="199">
        <f t="shared" si="48"/>
        <v>2631.9181924229852</v>
      </c>
      <c r="BX46" s="200">
        <f t="shared" si="37"/>
        <v>3508.366</v>
      </c>
      <c r="BY46" s="201">
        <f t="shared" si="0"/>
        <v>-876.44780757701483</v>
      </c>
      <c r="BZ46" s="200">
        <f t="shared" si="49"/>
        <v>1873</v>
      </c>
      <c r="CA46" s="206">
        <f t="shared" si="39"/>
        <v>758.91819242298516</v>
      </c>
    </row>
    <row r="47" spans="1:79" s="83" customFormat="1" ht="22" customHeight="1" collapsed="1">
      <c r="A47" s="99"/>
      <c r="B47" s="87" t="s">
        <v>83</v>
      </c>
      <c r="C47" s="88"/>
      <c r="D47" s="88"/>
      <c r="E47" s="199">
        <v>38.21</v>
      </c>
      <c r="F47" s="200">
        <f>+ﾇｰﾍﾞﾙﾌﾟｰｽ!W46/1000</f>
        <v>2.9470000000000001</v>
      </c>
      <c r="G47" s="201">
        <f t="shared" si="1"/>
        <v>35.262999999999998</v>
      </c>
      <c r="H47" s="200">
        <v>72</v>
      </c>
      <c r="I47" s="202">
        <f t="shared" si="2"/>
        <v>-33.79</v>
      </c>
      <c r="J47" s="203">
        <v>4.21</v>
      </c>
      <c r="K47" s="200">
        <f>+ｶﾌｪﾙﾎﾟ!W46/1000</f>
        <v>2.9470000000000001</v>
      </c>
      <c r="L47" s="201">
        <f t="shared" si="3"/>
        <v>1.2629999999999999</v>
      </c>
      <c r="M47" s="200">
        <v>10</v>
      </c>
      <c r="N47" s="204">
        <f t="shared" si="4"/>
        <v>-5.79</v>
      </c>
      <c r="O47" s="205">
        <v>4.21</v>
      </c>
      <c r="P47" s="200">
        <f>+ｶﾌｪｾﾚｽﾃ!W46/1000</f>
        <v>2.9470000000000001</v>
      </c>
      <c r="Q47" s="201">
        <f t="shared" si="5"/>
        <v>1.2629999999999999</v>
      </c>
      <c r="R47" s="200">
        <v>17</v>
      </c>
      <c r="S47" s="202">
        <f t="shared" si="6"/>
        <v>-12.79</v>
      </c>
      <c r="T47" s="199">
        <f t="shared" si="7"/>
        <v>46.63</v>
      </c>
      <c r="U47" s="200">
        <f t="shared" si="8"/>
        <v>8.8410000000000011</v>
      </c>
      <c r="V47" s="201">
        <f t="shared" si="9"/>
        <v>37.789000000000001</v>
      </c>
      <c r="W47" s="200">
        <f t="shared" si="10"/>
        <v>99</v>
      </c>
      <c r="X47" s="206">
        <f t="shared" si="11"/>
        <v>-52.37</v>
      </c>
      <c r="Y47" s="205"/>
      <c r="Z47" s="200"/>
      <c r="AA47" s="201">
        <f t="shared" si="12"/>
        <v>0</v>
      </c>
      <c r="AB47" s="200">
        <v>20</v>
      </c>
      <c r="AC47" s="204">
        <f t="shared" si="13"/>
        <v>-20</v>
      </c>
      <c r="AD47" s="205">
        <v>7.718</v>
      </c>
      <c r="AE47" s="200">
        <f>+ｼﾞｭｴﾙｽﾞ!W46/1000</f>
        <v>22.266999999999999</v>
      </c>
      <c r="AF47" s="201">
        <f t="shared" si="14"/>
        <v>-14.548999999999999</v>
      </c>
      <c r="AG47" s="200">
        <v>117</v>
      </c>
      <c r="AH47" s="206">
        <f t="shared" si="15"/>
        <v>-109.282</v>
      </c>
      <c r="AI47" s="199">
        <f t="shared" si="40"/>
        <v>7.718</v>
      </c>
      <c r="AJ47" s="200">
        <f t="shared" si="41"/>
        <v>22.266999999999999</v>
      </c>
      <c r="AK47" s="201">
        <f t="shared" si="42"/>
        <v>-14.548999999999999</v>
      </c>
      <c r="AL47" s="200">
        <f t="shared" si="43"/>
        <v>137</v>
      </c>
      <c r="AM47" s="206">
        <f t="shared" si="44"/>
        <v>-129.28200000000001</v>
      </c>
      <c r="AN47" s="199">
        <v>4.21</v>
      </c>
      <c r="AO47" s="200">
        <f>+ｶﾞｰﾃﾞﾝ!W46/1000</f>
        <v>2.9470000000000001</v>
      </c>
      <c r="AP47" s="201">
        <f t="shared" si="16"/>
        <v>1.2629999999999999</v>
      </c>
      <c r="AQ47" s="200">
        <v>134</v>
      </c>
      <c r="AR47" s="202">
        <f t="shared" si="17"/>
        <v>-129.79</v>
      </c>
      <c r="AS47" s="203">
        <v>0</v>
      </c>
      <c r="AT47" s="200">
        <f>+ﾋﾞｱｶﾞｰﾃﾞﾝ!W46/1000</f>
        <v>2.9470000000000001</v>
      </c>
      <c r="AU47" s="201">
        <f t="shared" si="18"/>
        <v>-2.9470000000000001</v>
      </c>
      <c r="AV47" s="200">
        <v>99</v>
      </c>
      <c r="AW47" s="206">
        <f t="shared" si="19"/>
        <v>-99</v>
      </c>
      <c r="AX47" s="199">
        <f t="shared" si="20"/>
        <v>4.21</v>
      </c>
      <c r="AY47" s="200">
        <f t="shared" si="47"/>
        <v>5.8940000000000001</v>
      </c>
      <c r="AZ47" s="201">
        <f t="shared" si="22"/>
        <v>-1.6840000000000002</v>
      </c>
      <c r="BA47" s="200">
        <f t="shared" si="23"/>
        <v>233</v>
      </c>
      <c r="BB47" s="206">
        <f t="shared" si="24"/>
        <v>-228.79</v>
      </c>
      <c r="BC47" s="199">
        <v>16.712</v>
      </c>
      <c r="BD47" s="200">
        <f>+ブリック!W46/1000</f>
        <v>2.9470000000000001</v>
      </c>
      <c r="BE47" s="201">
        <f t="shared" si="25"/>
        <v>13.765000000000001</v>
      </c>
      <c r="BF47" s="200"/>
      <c r="BG47" s="202">
        <f t="shared" si="26"/>
        <v>16.712</v>
      </c>
      <c r="BH47" s="203">
        <v>16.712</v>
      </c>
      <c r="BI47" s="200">
        <f>+ルスツ羊蹄ぶた!W46/1000</f>
        <v>7.5039999999999996</v>
      </c>
      <c r="BJ47" s="201">
        <f t="shared" si="27"/>
        <v>9.2080000000000002</v>
      </c>
      <c r="BK47" s="200"/>
      <c r="BL47" s="206">
        <f t="shared" si="28"/>
        <v>16.712</v>
      </c>
      <c r="BM47" s="199">
        <f t="shared" si="46"/>
        <v>33.423999999999999</v>
      </c>
      <c r="BN47" s="200">
        <f t="shared" si="30"/>
        <v>10.451000000000001</v>
      </c>
      <c r="BO47" s="201">
        <f t="shared" si="31"/>
        <v>22.972999999999999</v>
      </c>
      <c r="BP47" s="200">
        <f t="shared" si="32"/>
        <v>0</v>
      </c>
      <c r="BQ47" s="206">
        <f t="shared" si="33"/>
        <v>33.423999999999999</v>
      </c>
      <c r="BR47" s="199">
        <v>0</v>
      </c>
      <c r="BS47" s="200">
        <f>+料飲共通!W46/1000</f>
        <v>0</v>
      </c>
      <c r="BT47" s="201">
        <f t="shared" si="34"/>
        <v>0</v>
      </c>
      <c r="BU47" s="200">
        <v>0</v>
      </c>
      <c r="BV47" s="206">
        <f t="shared" si="35"/>
        <v>0</v>
      </c>
      <c r="BW47" s="199">
        <f t="shared" si="48"/>
        <v>91.981999999999999</v>
      </c>
      <c r="BX47" s="200">
        <f t="shared" si="37"/>
        <v>47.453000000000003</v>
      </c>
      <c r="BY47" s="201">
        <f t="shared" si="0"/>
        <v>44.528999999999996</v>
      </c>
      <c r="BZ47" s="200">
        <f t="shared" si="49"/>
        <v>469</v>
      </c>
      <c r="CA47" s="206">
        <f t="shared" si="39"/>
        <v>-377.01800000000003</v>
      </c>
    </row>
    <row r="48" spans="1:79" s="83" customFormat="1" ht="22" hidden="1" customHeight="1" outlineLevel="1">
      <c r="A48" s="99"/>
      <c r="B48" s="96"/>
      <c r="C48" s="88" t="s">
        <v>85</v>
      </c>
      <c r="D48" s="88"/>
      <c r="E48" s="199">
        <v>0</v>
      </c>
      <c r="F48" s="200">
        <f>+ﾇｰﾍﾞﾙﾌﾟｰｽ!W47/1000</f>
        <v>0</v>
      </c>
      <c r="G48" s="201">
        <f t="shared" si="1"/>
        <v>0</v>
      </c>
      <c r="H48" s="200">
        <v>0</v>
      </c>
      <c r="I48" s="202">
        <f t="shared" si="2"/>
        <v>0</v>
      </c>
      <c r="J48" s="203">
        <v>0</v>
      </c>
      <c r="K48" s="200">
        <f>+ｶﾌｪﾙﾎﾟ!W47/1000</f>
        <v>0</v>
      </c>
      <c r="L48" s="201">
        <f t="shared" si="3"/>
        <v>0</v>
      </c>
      <c r="M48" s="200">
        <v>0</v>
      </c>
      <c r="N48" s="204">
        <f t="shared" si="4"/>
        <v>0</v>
      </c>
      <c r="O48" s="205">
        <v>0</v>
      </c>
      <c r="P48" s="200">
        <f>+ｶﾌｪｾﾚｽﾃ!W47/1000</f>
        <v>0</v>
      </c>
      <c r="Q48" s="201">
        <f t="shared" si="5"/>
        <v>0</v>
      </c>
      <c r="R48" s="200">
        <v>0</v>
      </c>
      <c r="S48" s="202">
        <f t="shared" si="6"/>
        <v>0</v>
      </c>
      <c r="T48" s="199">
        <f t="shared" si="7"/>
        <v>0</v>
      </c>
      <c r="U48" s="200">
        <f t="shared" si="8"/>
        <v>0</v>
      </c>
      <c r="V48" s="201">
        <f t="shared" si="9"/>
        <v>0</v>
      </c>
      <c r="W48" s="200">
        <f t="shared" si="10"/>
        <v>0</v>
      </c>
      <c r="X48" s="206">
        <f t="shared" si="11"/>
        <v>0</v>
      </c>
      <c r="Y48" s="205"/>
      <c r="Z48" s="200"/>
      <c r="AA48" s="201">
        <f t="shared" si="12"/>
        <v>0</v>
      </c>
      <c r="AB48" s="200">
        <v>0</v>
      </c>
      <c r="AC48" s="204">
        <f t="shared" si="13"/>
        <v>0</v>
      </c>
      <c r="AD48" s="205">
        <v>3.508</v>
      </c>
      <c r="AE48" s="200">
        <f>+ｼﾞｭｴﾙｽﾞ!W47/1000</f>
        <v>0</v>
      </c>
      <c r="AF48" s="201">
        <f t="shared" si="14"/>
        <v>3.508</v>
      </c>
      <c r="AG48" s="200">
        <v>4</v>
      </c>
      <c r="AH48" s="206">
        <f t="shared" si="15"/>
        <v>-0.49199999999999999</v>
      </c>
      <c r="AI48" s="199">
        <f t="shared" si="40"/>
        <v>3.508</v>
      </c>
      <c r="AJ48" s="200">
        <f t="shared" si="41"/>
        <v>0</v>
      </c>
      <c r="AK48" s="201">
        <f t="shared" si="42"/>
        <v>3.508</v>
      </c>
      <c r="AL48" s="200">
        <f t="shared" si="43"/>
        <v>4</v>
      </c>
      <c r="AM48" s="206">
        <f t="shared" si="44"/>
        <v>-0.49199999999999999</v>
      </c>
      <c r="AN48" s="199">
        <v>0</v>
      </c>
      <c r="AO48" s="200">
        <f>+ｶﾞｰﾃﾞﾝ!W47/1000</f>
        <v>0</v>
      </c>
      <c r="AP48" s="201">
        <f t="shared" si="16"/>
        <v>0</v>
      </c>
      <c r="AQ48" s="200">
        <v>38</v>
      </c>
      <c r="AR48" s="202">
        <f t="shared" si="17"/>
        <v>-38</v>
      </c>
      <c r="AS48" s="203">
        <v>0</v>
      </c>
      <c r="AT48" s="200">
        <f>+ﾋﾞｱｶﾞｰﾃﾞﾝ!W47/1000</f>
        <v>0</v>
      </c>
      <c r="AU48" s="201">
        <f t="shared" si="18"/>
        <v>0</v>
      </c>
      <c r="AV48" s="200">
        <v>0</v>
      </c>
      <c r="AW48" s="206">
        <f t="shared" si="19"/>
        <v>0</v>
      </c>
      <c r="AX48" s="199">
        <f t="shared" si="20"/>
        <v>0</v>
      </c>
      <c r="AY48" s="200">
        <f t="shared" si="47"/>
        <v>0</v>
      </c>
      <c r="AZ48" s="201">
        <f t="shared" si="22"/>
        <v>0</v>
      </c>
      <c r="BA48" s="200">
        <f t="shared" si="23"/>
        <v>38</v>
      </c>
      <c r="BB48" s="206">
        <f t="shared" si="24"/>
        <v>-38</v>
      </c>
      <c r="BC48" s="199">
        <v>0</v>
      </c>
      <c r="BD48" s="200">
        <f>+ブリック!W47/1000</f>
        <v>0</v>
      </c>
      <c r="BE48" s="201">
        <f t="shared" si="25"/>
        <v>0</v>
      </c>
      <c r="BF48" s="200"/>
      <c r="BG48" s="202">
        <f t="shared" si="26"/>
        <v>0</v>
      </c>
      <c r="BH48" s="203">
        <v>0</v>
      </c>
      <c r="BI48" s="200">
        <f>+ルスツ羊蹄ぶた!W47/1000</f>
        <v>0</v>
      </c>
      <c r="BJ48" s="201">
        <f t="shared" si="27"/>
        <v>0</v>
      </c>
      <c r="BK48" s="200"/>
      <c r="BL48" s="206">
        <f t="shared" si="28"/>
        <v>0</v>
      </c>
      <c r="BM48" s="199">
        <f t="shared" si="46"/>
        <v>0</v>
      </c>
      <c r="BN48" s="200">
        <f t="shared" si="30"/>
        <v>0</v>
      </c>
      <c r="BO48" s="201">
        <f t="shared" si="31"/>
        <v>0</v>
      </c>
      <c r="BP48" s="200">
        <f t="shared" si="32"/>
        <v>0</v>
      </c>
      <c r="BQ48" s="206">
        <f t="shared" si="33"/>
        <v>0</v>
      </c>
      <c r="BR48" s="199">
        <v>0</v>
      </c>
      <c r="BS48" s="200">
        <f>+料飲共通!W47/1000</f>
        <v>0</v>
      </c>
      <c r="BT48" s="201">
        <f t="shared" si="34"/>
        <v>0</v>
      </c>
      <c r="BU48" s="200">
        <v>0</v>
      </c>
      <c r="BV48" s="206">
        <f t="shared" si="35"/>
        <v>0</v>
      </c>
      <c r="BW48" s="199">
        <f t="shared" si="48"/>
        <v>3.508</v>
      </c>
      <c r="BX48" s="200">
        <f t="shared" si="37"/>
        <v>0</v>
      </c>
      <c r="BY48" s="201">
        <f t="shared" si="0"/>
        <v>3.508</v>
      </c>
      <c r="BZ48" s="200">
        <f t="shared" si="49"/>
        <v>42</v>
      </c>
      <c r="CA48" s="206">
        <f t="shared" si="39"/>
        <v>-38.491999999999997</v>
      </c>
    </row>
    <row r="49" spans="1:79" s="83" customFormat="1" ht="22" hidden="1" customHeight="1" outlineLevel="1">
      <c r="A49" s="99"/>
      <c r="B49" s="96"/>
      <c r="C49" s="88" t="s">
        <v>87</v>
      </c>
      <c r="D49" s="88"/>
      <c r="E49" s="199">
        <v>34</v>
      </c>
      <c r="F49" s="200">
        <f>+ﾇｰﾍﾞﾙﾌﾟｰｽ!W48/1000</f>
        <v>0</v>
      </c>
      <c r="G49" s="201">
        <f t="shared" si="1"/>
        <v>34</v>
      </c>
      <c r="H49" s="200">
        <v>68</v>
      </c>
      <c r="I49" s="202">
        <f t="shared" si="2"/>
        <v>-34</v>
      </c>
      <c r="J49" s="203">
        <v>4.21</v>
      </c>
      <c r="K49" s="200">
        <f>+ｶﾌｪﾙﾎﾟ!W48/1000</f>
        <v>0</v>
      </c>
      <c r="L49" s="201">
        <f t="shared" si="3"/>
        <v>4.21</v>
      </c>
      <c r="M49" s="200">
        <v>6</v>
      </c>
      <c r="N49" s="204">
        <f t="shared" si="4"/>
        <v>-1.79</v>
      </c>
      <c r="O49" s="205">
        <v>0</v>
      </c>
      <c r="P49" s="200">
        <f>+ｶﾌｪｾﾚｽﾃ!W48/1000</f>
        <v>0</v>
      </c>
      <c r="Q49" s="201">
        <f t="shared" si="5"/>
        <v>0</v>
      </c>
      <c r="R49" s="200">
        <v>13</v>
      </c>
      <c r="S49" s="202">
        <f t="shared" si="6"/>
        <v>-13</v>
      </c>
      <c r="T49" s="199">
        <f t="shared" si="7"/>
        <v>38.21</v>
      </c>
      <c r="U49" s="200">
        <f t="shared" si="8"/>
        <v>0</v>
      </c>
      <c r="V49" s="201">
        <f t="shared" si="9"/>
        <v>38.21</v>
      </c>
      <c r="W49" s="200">
        <f t="shared" si="10"/>
        <v>87</v>
      </c>
      <c r="X49" s="206">
        <f t="shared" si="11"/>
        <v>-48.79</v>
      </c>
      <c r="Y49" s="205"/>
      <c r="Z49" s="200"/>
      <c r="AA49" s="201">
        <f t="shared" si="12"/>
        <v>0</v>
      </c>
      <c r="AB49" s="200">
        <v>16</v>
      </c>
      <c r="AC49" s="204">
        <f t="shared" si="13"/>
        <v>-16</v>
      </c>
      <c r="AD49" s="205">
        <v>0</v>
      </c>
      <c r="AE49" s="200">
        <f>+ｼﾞｭｴﾙｽﾞ!W48/1000</f>
        <v>19.32</v>
      </c>
      <c r="AF49" s="201">
        <f t="shared" si="14"/>
        <v>-19.32</v>
      </c>
      <c r="AG49" s="200">
        <v>110</v>
      </c>
      <c r="AH49" s="206">
        <f t="shared" si="15"/>
        <v>-110</v>
      </c>
      <c r="AI49" s="199">
        <f t="shared" si="40"/>
        <v>0</v>
      </c>
      <c r="AJ49" s="200">
        <f t="shared" si="41"/>
        <v>19.32</v>
      </c>
      <c r="AK49" s="201">
        <f t="shared" si="42"/>
        <v>-19.32</v>
      </c>
      <c r="AL49" s="200">
        <f t="shared" si="43"/>
        <v>126</v>
      </c>
      <c r="AM49" s="206">
        <f t="shared" si="44"/>
        <v>-126</v>
      </c>
      <c r="AN49" s="199">
        <v>0</v>
      </c>
      <c r="AO49" s="200">
        <f>+ｶﾞｰﾃﾞﾝ!W48/1000</f>
        <v>0</v>
      </c>
      <c r="AP49" s="201">
        <f t="shared" si="16"/>
        <v>0</v>
      </c>
      <c r="AQ49" s="200">
        <v>93</v>
      </c>
      <c r="AR49" s="202">
        <f t="shared" si="17"/>
        <v>-93</v>
      </c>
      <c r="AS49" s="203">
        <v>0</v>
      </c>
      <c r="AT49" s="200">
        <f>+ﾋﾞｱｶﾞｰﾃﾞﾝ!W48/1000</f>
        <v>0</v>
      </c>
      <c r="AU49" s="201">
        <f t="shared" si="18"/>
        <v>0</v>
      </c>
      <c r="AV49" s="200">
        <v>94</v>
      </c>
      <c r="AW49" s="206">
        <f t="shared" si="19"/>
        <v>-94</v>
      </c>
      <c r="AX49" s="199">
        <f t="shared" si="20"/>
        <v>0</v>
      </c>
      <c r="AY49" s="200">
        <f t="shared" si="47"/>
        <v>0</v>
      </c>
      <c r="AZ49" s="201">
        <f t="shared" si="22"/>
        <v>0</v>
      </c>
      <c r="BA49" s="200">
        <f t="shared" si="23"/>
        <v>187</v>
      </c>
      <c r="BB49" s="206">
        <f t="shared" si="24"/>
        <v>-187</v>
      </c>
      <c r="BC49" s="199">
        <v>0</v>
      </c>
      <c r="BD49" s="200">
        <f>+ブリック!W48/1000</f>
        <v>0</v>
      </c>
      <c r="BE49" s="201">
        <f t="shared" si="25"/>
        <v>0</v>
      </c>
      <c r="BF49" s="200"/>
      <c r="BG49" s="202">
        <f t="shared" si="26"/>
        <v>0</v>
      </c>
      <c r="BH49" s="203">
        <v>0</v>
      </c>
      <c r="BI49" s="200">
        <f>+ルスツ羊蹄ぶた!W48/1000</f>
        <v>0</v>
      </c>
      <c r="BJ49" s="201">
        <f t="shared" si="27"/>
        <v>0</v>
      </c>
      <c r="BK49" s="200"/>
      <c r="BL49" s="206">
        <f t="shared" si="28"/>
        <v>0</v>
      </c>
      <c r="BM49" s="199">
        <f t="shared" si="46"/>
        <v>0</v>
      </c>
      <c r="BN49" s="200">
        <f t="shared" si="30"/>
        <v>0</v>
      </c>
      <c r="BO49" s="201">
        <f t="shared" si="31"/>
        <v>0</v>
      </c>
      <c r="BP49" s="200">
        <f t="shared" si="32"/>
        <v>0</v>
      </c>
      <c r="BQ49" s="206">
        <f t="shared" si="33"/>
        <v>0</v>
      </c>
      <c r="BR49" s="199">
        <v>0</v>
      </c>
      <c r="BS49" s="200">
        <f>+料飲共通!W48/1000</f>
        <v>0</v>
      </c>
      <c r="BT49" s="201">
        <f t="shared" si="34"/>
        <v>0</v>
      </c>
      <c r="BU49" s="200">
        <v>0</v>
      </c>
      <c r="BV49" s="206">
        <f t="shared" si="35"/>
        <v>0</v>
      </c>
      <c r="BW49" s="199">
        <f t="shared" si="48"/>
        <v>38.21</v>
      </c>
      <c r="BX49" s="200">
        <f t="shared" si="37"/>
        <v>19.32</v>
      </c>
      <c r="BY49" s="201">
        <f t="shared" si="0"/>
        <v>18.89</v>
      </c>
      <c r="BZ49" s="200">
        <f t="shared" si="49"/>
        <v>400</v>
      </c>
      <c r="CA49" s="206">
        <f t="shared" si="39"/>
        <v>-361.79</v>
      </c>
    </row>
    <row r="50" spans="1:79" s="83" customFormat="1" ht="22" hidden="1" customHeight="1" outlineLevel="1">
      <c r="A50" s="99"/>
      <c r="B50" s="96"/>
      <c r="C50" s="88" t="s">
        <v>89</v>
      </c>
      <c r="D50" s="88"/>
      <c r="E50" s="199">
        <v>4.21</v>
      </c>
      <c r="F50" s="200">
        <f>+ﾇｰﾍﾞﾙﾌﾟｰｽ!W49/1000</f>
        <v>2.9470000000000001</v>
      </c>
      <c r="G50" s="201">
        <f t="shared" si="1"/>
        <v>1.2629999999999999</v>
      </c>
      <c r="H50" s="200">
        <v>4</v>
      </c>
      <c r="I50" s="202">
        <f t="shared" si="2"/>
        <v>0.20999999999999996</v>
      </c>
      <c r="J50" s="203">
        <v>0</v>
      </c>
      <c r="K50" s="200">
        <f>+ｶﾌｪﾙﾎﾟ!W49/1000</f>
        <v>2.9470000000000001</v>
      </c>
      <c r="L50" s="201">
        <f t="shared" si="3"/>
        <v>-2.9470000000000001</v>
      </c>
      <c r="M50" s="200">
        <v>4</v>
      </c>
      <c r="N50" s="204">
        <f t="shared" si="4"/>
        <v>-4</v>
      </c>
      <c r="O50" s="205">
        <v>4.21</v>
      </c>
      <c r="P50" s="200">
        <f>+ｶﾌｪｾﾚｽﾃ!W49/1000</f>
        <v>2.9470000000000001</v>
      </c>
      <c r="Q50" s="201">
        <f t="shared" si="5"/>
        <v>1.2629999999999999</v>
      </c>
      <c r="R50" s="200">
        <v>4</v>
      </c>
      <c r="S50" s="202">
        <f t="shared" si="6"/>
        <v>0.20999999999999996</v>
      </c>
      <c r="T50" s="199">
        <f t="shared" si="7"/>
        <v>8.42</v>
      </c>
      <c r="U50" s="200">
        <f t="shared" si="8"/>
        <v>8.8410000000000011</v>
      </c>
      <c r="V50" s="201">
        <f t="shared" si="9"/>
        <v>-0.42100000000000115</v>
      </c>
      <c r="W50" s="200">
        <f t="shared" si="10"/>
        <v>12</v>
      </c>
      <c r="X50" s="206">
        <f t="shared" si="11"/>
        <v>-3.58</v>
      </c>
      <c r="Y50" s="205"/>
      <c r="Z50" s="200"/>
      <c r="AA50" s="201">
        <f t="shared" si="12"/>
        <v>0</v>
      </c>
      <c r="AB50" s="200">
        <v>4</v>
      </c>
      <c r="AC50" s="204">
        <f t="shared" si="13"/>
        <v>-4</v>
      </c>
      <c r="AD50" s="205">
        <v>4.21</v>
      </c>
      <c r="AE50" s="200">
        <f>+ｼﾞｭｴﾙｽﾞ!W49/1000</f>
        <v>2.9470000000000001</v>
      </c>
      <c r="AF50" s="201">
        <f t="shared" si="14"/>
        <v>1.2629999999999999</v>
      </c>
      <c r="AG50" s="200">
        <v>4</v>
      </c>
      <c r="AH50" s="206">
        <f t="shared" si="15"/>
        <v>0.20999999999999996</v>
      </c>
      <c r="AI50" s="199">
        <f t="shared" si="40"/>
        <v>4.21</v>
      </c>
      <c r="AJ50" s="200">
        <f t="shared" si="41"/>
        <v>2.9470000000000001</v>
      </c>
      <c r="AK50" s="201">
        <f t="shared" si="42"/>
        <v>1.2629999999999999</v>
      </c>
      <c r="AL50" s="200">
        <f t="shared" si="43"/>
        <v>8</v>
      </c>
      <c r="AM50" s="206">
        <f t="shared" si="44"/>
        <v>-3.79</v>
      </c>
      <c r="AN50" s="199">
        <v>4.21</v>
      </c>
      <c r="AO50" s="200">
        <f>+ｶﾞｰﾃﾞﾝ!W49/1000</f>
        <v>2.9470000000000001</v>
      </c>
      <c r="AP50" s="201">
        <f t="shared" si="16"/>
        <v>1.2629999999999999</v>
      </c>
      <c r="AQ50" s="200">
        <v>4</v>
      </c>
      <c r="AR50" s="202">
        <f t="shared" si="17"/>
        <v>0.20999999999999996</v>
      </c>
      <c r="AS50" s="203">
        <v>0</v>
      </c>
      <c r="AT50" s="200">
        <f>+ﾋﾞｱｶﾞｰﾃﾞﾝ!W49/1000</f>
        <v>2.9470000000000001</v>
      </c>
      <c r="AU50" s="201">
        <f t="shared" si="18"/>
        <v>-2.9470000000000001</v>
      </c>
      <c r="AV50" s="200">
        <v>4</v>
      </c>
      <c r="AW50" s="206">
        <f t="shared" si="19"/>
        <v>-4</v>
      </c>
      <c r="AX50" s="199">
        <f t="shared" si="20"/>
        <v>4.21</v>
      </c>
      <c r="AY50" s="200">
        <f t="shared" si="47"/>
        <v>5.8940000000000001</v>
      </c>
      <c r="AZ50" s="201">
        <f t="shared" si="22"/>
        <v>-1.6840000000000002</v>
      </c>
      <c r="BA50" s="200">
        <f t="shared" si="23"/>
        <v>8</v>
      </c>
      <c r="BB50" s="206">
        <f t="shared" si="24"/>
        <v>-3.79</v>
      </c>
      <c r="BC50" s="199">
        <v>0</v>
      </c>
      <c r="BD50" s="200">
        <f>+ブリック!W49/1000</f>
        <v>2.9470000000000001</v>
      </c>
      <c r="BE50" s="201">
        <f t="shared" si="25"/>
        <v>-2.9470000000000001</v>
      </c>
      <c r="BF50" s="200"/>
      <c r="BG50" s="202">
        <f t="shared" si="26"/>
        <v>0</v>
      </c>
      <c r="BH50" s="203">
        <v>0</v>
      </c>
      <c r="BI50" s="200">
        <f>+ルスツ羊蹄ぶた!W49/1000</f>
        <v>7.5039999999999996</v>
      </c>
      <c r="BJ50" s="201">
        <f t="shared" si="27"/>
        <v>-7.5039999999999996</v>
      </c>
      <c r="BK50" s="200"/>
      <c r="BL50" s="206">
        <f t="shared" si="28"/>
        <v>0</v>
      </c>
      <c r="BM50" s="199">
        <f t="shared" si="46"/>
        <v>0</v>
      </c>
      <c r="BN50" s="200">
        <f t="shared" si="30"/>
        <v>10.451000000000001</v>
      </c>
      <c r="BO50" s="201">
        <f t="shared" si="31"/>
        <v>-10.451000000000001</v>
      </c>
      <c r="BP50" s="200">
        <f t="shared" si="32"/>
        <v>0</v>
      </c>
      <c r="BQ50" s="206">
        <f t="shared" si="33"/>
        <v>0</v>
      </c>
      <c r="BR50" s="199">
        <v>0</v>
      </c>
      <c r="BS50" s="200">
        <f>+料飲共通!W49/1000</f>
        <v>0</v>
      </c>
      <c r="BT50" s="201">
        <f t="shared" si="34"/>
        <v>0</v>
      </c>
      <c r="BU50" s="200">
        <v>0</v>
      </c>
      <c r="BV50" s="206">
        <f t="shared" si="35"/>
        <v>0</v>
      </c>
      <c r="BW50" s="199">
        <f t="shared" si="48"/>
        <v>16.84</v>
      </c>
      <c r="BX50" s="200">
        <f t="shared" si="37"/>
        <v>28.133000000000003</v>
      </c>
      <c r="BY50" s="201">
        <f t="shared" si="0"/>
        <v>-11.293000000000003</v>
      </c>
      <c r="BZ50" s="200">
        <f t="shared" si="49"/>
        <v>28</v>
      </c>
      <c r="CA50" s="206">
        <f t="shared" si="39"/>
        <v>-11.16</v>
      </c>
    </row>
    <row r="51" spans="1:79" s="83" customFormat="1" ht="22" customHeight="1" collapsed="1">
      <c r="A51" s="99"/>
      <c r="B51" s="87" t="s">
        <v>91</v>
      </c>
      <c r="C51" s="88"/>
      <c r="D51" s="88"/>
      <c r="E51" s="199">
        <v>0</v>
      </c>
      <c r="F51" s="200">
        <f>+ﾇｰﾍﾞﾙﾌﾟｰｽ!W50/1000</f>
        <v>79.900000000000006</v>
      </c>
      <c r="G51" s="201">
        <f t="shared" si="1"/>
        <v>-79.900000000000006</v>
      </c>
      <c r="H51" s="200">
        <v>0</v>
      </c>
      <c r="I51" s="202">
        <f t="shared" si="2"/>
        <v>0</v>
      </c>
      <c r="J51" s="203">
        <v>0</v>
      </c>
      <c r="K51" s="200">
        <f>+ｶﾌｪﾙﾎﾟ!W50/1000</f>
        <v>0</v>
      </c>
      <c r="L51" s="201">
        <f t="shared" si="3"/>
        <v>0</v>
      </c>
      <c r="M51" s="200">
        <v>0</v>
      </c>
      <c r="N51" s="204">
        <f t="shared" si="4"/>
        <v>0</v>
      </c>
      <c r="O51" s="205">
        <v>0</v>
      </c>
      <c r="P51" s="200">
        <f>+ｶﾌｪｾﾚｽﾃ!W50/1000</f>
        <v>0</v>
      </c>
      <c r="Q51" s="201">
        <f t="shared" si="5"/>
        <v>0</v>
      </c>
      <c r="R51" s="200">
        <v>0</v>
      </c>
      <c r="S51" s="202">
        <f t="shared" si="6"/>
        <v>0</v>
      </c>
      <c r="T51" s="199">
        <f t="shared" si="7"/>
        <v>0</v>
      </c>
      <c r="U51" s="200">
        <f t="shared" si="8"/>
        <v>79.900000000000006</v>
      </c>
      <c r="V51" s="201">
        <f t="shared" si="9"/>
        <v>-79.900000000000006</v>
      </c>
      <c r="W51" s="200">
        <f t="shared" si="10"/>
        <v>0</v>
      </c>
      <c r="X51" s="206">
        <f t="shared" si="11"/>
        <v>0</v>
      </c>
      <c r="Y51" s="205"/>
      <c r="Z51" s="200"/>
      <c r="AA51" s="201">
        <f t="shared" si="12"/>
        <v>0</v>
      </c>
      <c r="AB51" s="200">
        <v>0</v>
      </c>
      <c r="AC51" s="204">
        <f t="shared" si="13"/>
        <v>0</v>
      </c>
      <c r="AD51" s="205">
        <v>0</v>
      </c>
      <c r="AE51" s="200">
        <f>+ｼﾞｭｴﾙｽﾞ!W50/1000</f>
        <v>50.33</v>
      </c>
      <c r="AF51" s="201">
        <f t="shared" si="14"/>
        <v>-50.33</v>
      </c>
      <c r="AG51" s="200">
        <v>452</v>
      </c>
      <c r="AH51" s="206">
        <f t="shared" si="15"/>
        <v>-452</v>
      </c>
      <c r="AI51" s="199">
        <f t="shared" si="40"/>
        <v>0</v>
      </c>
      <c r="AJ51" s="200">
        <f t="shared" si="41"/>
        <v>50.33</v>
      </c>
      <c r="AK51" s="201">
        <f t="shared" si="42"/>
        <v>-50.33</v>
      </c>
      <c r="AL51" s="200">
        <f t="shared" si="43"/>
        <v>452</v>
      </c>
      <c r="AM51" s="206">
        <f t="shared" si="44"/>
        <v>-452</v>
      </c>
      <c r="AN51" s="199">
        <v>0</v>
      </c>
      <c r="AO51" s="200">
        <f>+ｶﾞｰﾃﾞﾝ!W50/1000</f>
        <v>157.69999999999999</v>
      </c>
      <c r="AP51" s="201">
        <f t="shared" si="16"/>
        <v>-157.69999999999999</v>
      </c>
      <c r="AQ51" s="200">
        <v>437</v>
      </c>
      <c r="AR51" s="202">
        <f t="shared" si="17"/>
        <v>-437</v>
      </c>
      <c r="AS51" s="203">
        <v>150</v>
      </c>
      <c r="AT51" s="200">
        <f>+ﾋﾞｱｶﾞｰﾃﾞﾝ!W50/1000</f>
        <v>0</v>
      </c>
      <c r="AU51" s="201">
        <f t="shared" si="18"/>
        <v>150</v>
      </c>
      <c r="AV51" s="200">
        <v>28</v>
      </c>
      <c r="AW51" s="206">
        <f t="shared" si="19"/>
        <v>122</v>
      </c>
      <c r="AX51" s="199">
        <f t="shared" si="20"/>
        <v>150</v>
      </c>
      <c r="AY51" s="200">
        <f t="shared" si="47"/>
        <v>157.69999999999999</v>
      </c>
      <c r="AZ51" s="201">
        <f t="shared" si="22"/>
        <v>-7.6999999999999886</v>
      </c>
      <c r="BA51" s="200">
        <f t="shared" si="23"/>
        <v>465</v>
      </c>
      <c r="BB51" s="206">
        <f t="shared" si="24"/>
        <v>-315</v>
      </c>
      <c r="BC51" s="199">
        <v>0</v>
      </c>
      <c r="BD51" s="200">
        <f>+ブリック!W50/1000</f>
        <v>240</v>
      </c>
      <c r="BE51" s="201">
        <f t="shared" si="25"/>
        <v>-240</v>
      </c>
      <c r="BF51" s="200"/>
      <c r="BG51" s="202">
        <f t="shared" si="26"/>
        <v>0</v>
      </c>
      <c r="BH51" s="203">
        <v>0</v>
      </c>
      <c r="BI51" s="200">
        <f>+ルスツ羊蹄ぶた!W50/1000</f>
        <v>460</v>
      </c>
      <c r="BJ51" s="201">
        <f t="shared" si="27"/>
        <v>-460</v>
      </c>
      <c r="BK51" s="200"/>
      <c r="BL51" s="206">
        <f t="shared" si="28"/>
        <v>0</v>
      </c>
      <c r="BM51" s="199">
        <f t="shared" si="46"/>
        <v>0</v>
      </c>
      <c r="BN51" s="200">
        <f t="shared" si="30"/>
        <v>700</v>
      </c>
      <c r="BO51" s="201">
        <f t="shared" si="31"/>
        <v>-700</v>
      </c>
      <c r="BP51" s="200">
        <f t="shared" si="32"/>
        <v>0</v>
      </c>
      <c r="BQ51" s="206">
        <f t="shared" si="33"/>
        <v>0</v>
      </c>
      <c r="BR51" s="199">
        <v>0</v>
      </c>
      <c r="BS51" s="200">
        <f>+料飲共通!W50/1000</f>
        <v>0</v>
      </c>
      <c r="BT51" s="201">
        <f t="shared" si="34"/>
        <v>0</v>
      </c>
      <c r="BU51" s="200">
        <v>0</v>
      </c>
      <c r="BV51" s="206">
        <f t="shared" si="35"/>
        <v>0</v>
      </c>
      <c r="BW51" s="199">
        <f t="shared" si="48"/>
        <v>150</v>
      </c>
      <c r="BX51" s="200">
        <f t="shared" si="37"/>
        <v>987.93000000000006</v>
      </c>
      <c r="BY51" s="201">
        <f t="shared" si="0"/>
        <v>-837.93000000000006</v>
      </c>
      <c r="BZ51" s="200">
        <f t="shared" si="49"/>
        <v>917</v>
      </c>
      <c r="CA51" s="206">
        <f t="shared" si="39"/>
        <v>-767</v>
      </c>
    </row>
    <row r="52" spans="1:79" s="83" customFormat="1" ht="22" hidden="1" customHeight="1" outlineLevel="1">
      <c r="A52" s="99"/>
      <c r="B52" s="96"/>
      <c r="C52" s="88" t="s">
        <v>93</v>
      </c>
      <c r="D52" s="88"/>
      <c r="E52" s="199">
        <v>0</v>
      </c>
      <c r="F52" s="200">
        <f>+ﾇｰﾍﾞﾙﾌﾟｰｽ!W51/1000</f>
        <v>0</v>
      </c>
      <c r="G52" s="201">
        <f t="shared" si="1"/>
        <v>0</v>
      </c>
      <c r="H52" s="200">
        <v>0</v>
      </c>
      <c r="I52" s="202">
        <f t="shared" si="2"/>
        <v>0</v>
      </c>
      <c r="J52" s="203">
        <v>0</v>
      </c>
      <c r="K52" s="200">
        <f>+ｶﾌｪﾙﾎﾟ!W51/1000</f>
        <v>0</v>
      </c>
      <c r="L52" s="201">
        <f t="shared" si="3"/>
        <v>0</v>
      </c>
      <c r="M52" s="200">
        <v>0</v>
      </c>
      <c r="N52" s="204">
        <f t="shared" si="4"/>
        <v>0</v>
      </c>
      <c r="O52" s="205">
        <v>0</v>
      </c>
      <c r="P52" s="200">
        <f>+ｶﾌｪｾﾚｽﾃ!W51/1000</f>
        <v>0</v>
      </c>
      <c r="Q52" s="201">
        <f t="shared" si="5"/>
        <v>0</v>
      </c>
      <c r="R52" s="200">
        <v>0</v>
      </c>
      <c r="S52" s="202">
        <f t="shared" si="6"/>
        <v>0</v>
      </c>
      <c r="T52" s="199">
        <f t="shared" si="7"/>
        <v>0</v>
      </c>
      <c r="U52" s="200">
        <f t="shared" si="8"/>
        <v>0</v>
      </c>
      <c r="V52" s="201">
        <f t="shared" si="9"/>
        <v>0</v>
      </c>
      <c r="W52" s="200">
        <f t="shared" si="10"/>
        <v>0</v>
      </c>
      <c r="X52" s="206">
        <f t="shared" si="11"/>
        <v>0</v>
      </c>
      <c r="Y52" s="205"/>
      <c r="Z52" s="200"/>
      <c r="AA52" s="201">
        <f t="shared" si="12"/>
        <v>0</v>
      </c>
      <c r="AB52" s="200">
        <v>0</v>
      </c>
      <c r="AC52" s="204">
        <f t="shared" si="13"/>
        <v>0</v>
      </c>
      <c r="AD52" s="205">
        <v>0</v>
      </c>
      <c r="AE52" s="200">
        <f>+ｼﾞｭｴﾙｽﾞ!W51/1000</f>
        <v>0</v>
      </c>
      <c r="AF52" s="201">
        <f t="shared" si="14"/>
        <v>0</v>
      </c>
      <c r="AG52" s="200">
        <v>0</v>
      </c>
      <c r="AH52" s="206">
        <f t="shared" si="15"/>
        <v>0</v>
      </c>
      <c r="AI52" s="199">
        <f t="shared" si="40"/>
        <v>0</v>
      </c>
      <c r="AJ52" s="200">
        <f t="shared" si="41"/>
        <v>0</v>
      </c>
      <c r="AK52" s="201">
        <f t="shared" si="42"/>
        <v>0</v>
      </c>
      <c r="AL52" s="200">
        <f t="shared" si="43"/>
        <v>0</v>
      </c>
      <c r="AM52" s="206">
        <f t="shared" si="44"/>
        <v>0</v>
      </c>
      <c r="AN52" s="199">
        <v>0</v>
      </c>
      <c r="AO52" s="200">
        <f>+ｶﾞｰﾃﾞﾝ!W51/1000</f>
        <v>0</v>
      </c>
      <c r="AP52" s="201">
        <f t="shared" si="16"/>
        <v>0</v>
      </c>
      <c r="AQ52" s="200">
        <v>0</v>
      </c>
      <c r="AR52" s="202">
        <f t="shared" si="17"/>
        <v>0</v>
      </c>
      <c r="AS52" s="203">
        <v>0</v>
      </c>
      <c r="AT52" s="200">
        <f>+ﾋﾞｱｶﾞｰﾃﾞﾝ!W51/1000</f>
        <v>0</v>
      </c>
      <c r="AU52" s="201">
        <f t="shared" si="18"/>
        <v>0</v>
      </c>
      <c r="AV52" s="200">
        <v>0</v>
      </c>
      <c r="AW52" s="206">
        <f t="shared" si="19"/>
        <v>0</v>
      </c>
      <c r="AX52" s="199">
        <f t="shared" si="20"/>
        <v>0</v>
      </c>
      <c r="AY52" s="200">
        <f t="shared" si="47"/>
        <v>0</v>
      </c>
      <c r="AZ52" s="201">
        <f t="shared" si="22"/>
        <v>0</v>
      </c>
      <c r="BA52" s="200">
        <f t="shared" si="23"/>
        <v>0</v>
      </c>
      <c r="BB52" s="206">
        <f t="shared" si="24"/>
        <v>0</v>
      </c>
      <c r="BC52" s="199">
        <v>0</v>
      </c>
      <c r="BD52" s="200">
        <f>+ブリック!W51/1000</f>
        <v>0</v>
      </c>
      <c r="BE52" s="201">
        <f t="shared" si="25"/>
        <v>0</v>
      </c>
      <c r="BF52" s="200"/>
      <c r="BG52" s="202">
        <f t="shared" si="26"/>
        <v>0</v>
      </c>
      <c r="BH52" s="203">
        <v>0</v>
      </c>
      <c r="BI52" s="200">
        <f>+ルスツ羊蹄ぶた!W51/1000</f>
        <v>0</v>
      </c>
      <c r="BJ52" s="201">
        <f t="shared" si="27"/>
        <v>0</v>
      </c>
      <c r="BK52" s="200"/>
      <c r="BL52" s="206">
        <f t="shared" si="28"/>
        <v>0</v>
      </c>
      <c r="BM52" s="199">
        <f t="shared" si="46"/>
        <v>0</v>
      </c>
      <c r="BN52" s="200">
        <f t="shared" si="30"/>
        <v>0</v>
      </c>
      <c r="BO52" s="201">
        <f t="shared" si="31"/>
        <v>0</v>
      </c>
      <c r="BP52" s="200">
        <f t="shared" si="32"/>
        <v>0</v>
      </c>
      <c r="BQ52" s="206">
        <f t="shared" si="33"/>
        <v>0</v>
      </c>
      <c r="BR52" s="199">
        <v>0</v>
      </c>
      <c r="BS52" s="200">
        <f>+料飲共通!W51/1000</f>
        <v>0</v>
      </c>
      <c r="BT52" s="201">
        <f t="shared" si="34"/>
        <v>0</v>
      </c>
      <c r="BU52" s="200">
        <v>0</v>
      </c>
      <c r="BV52" s="206">
        <f t="shared" si="35"/>
        <v>0</v>
      </c>
      <c r="BW52" s="199">
        <f t="shared" si="48"/>
        <v>0</v>
      </c>
      <c r="BX52" s="200">
        <f t="shared" si="37"/>
        <v>0</v>
      </c>
      <c r="BY52" s="201">
        <f t="shared" si="0"/>
        <v>0</v>
      </c>
      <c r="BZ52" s="200">
        <f t="shared" si="49"/>
        <v>0</v>
      </c>
      <c r="CA52" s="206">
        <f t="shared" si="39"/>
        <v>0</v>
      </c>
    </row>
    <row r="53" spans="1:79" s="83" customFormat="1" ht="22" hidden="1" customHeight="1" outlineLevel="1">
      <c r="A53" s="99"/>
      <c r="B53" s="96"/>
      <c r="C53" s="88" t="s">
        <v>95</v>
      </c>
      <c r="D53" s="88"/>
      <c r="E53" s="199">
        <v>0</v>
      </c>
      <c r="F53" s="200">
        <f>+ﾇｰﾍﾞﾙﾌﾟｰｽ!W52/1000</f>
        <v>0</v>
      </c>
      <c r="G53" s="201">
        <f t="shared" si="1"/>
        <v>0</v>
      </c>
      <c r="H53" s="200">
        <v>0</v>
      </c>
      <c r="I53" s="202">
        <f t="shared" si="2"/>
        <v>0</v>
      </c>
      <c r="J53" s="203">
        <v>0</v>
      </c>
      <c r="K53" s="200">
        <f>+ｶﾌｪﾙﾎﾟ!W52/1000</f>
        <v>0</v>
      </c>
      <c r="L53" s="201">
        <f t="shared" si="3"/>
        <v>0</v>
      </c>
      <c r="M53" s="200">
        <v>0</v>
      </c>
      <c r="N53" s="204">
        <f t="shared" si="4"/>
        <v>0</v>
      </c>
      <c r="O53" s="205">
        <v>0</v>
      </c>
      <c r="P53" s="200">
        <f>+ｶﾌｪｾﾚｽﾃ!W52/1000</f>
        <v>0</v>
      </c>
      <c r="Q53" s="201">
        <f t="shared" si="5"/>
        <v>0</v>
      </c>
      <c r="R53" s="200">
        <v>0</v>
      </c>
      <c r="S53" s="202">
        <f t="shared" si="6"/>
        <v>0</v>
      </c>
      <c r="T53" s="199">
        <f t="shared" si="7"/>
        <v>0</v>
      </c>
      <c r="U53" s="200">
        <f t="shared" si="8"/>
        <v>0</v>
      </c>
      <c r="V53" s="201">
        <f t="shared" si="9"/>
        <v>0</v>
      </c>
      <c r="W53" s="200">
        <f t="shared" si="10"/>
        <v>0</v>
      </c>
      <c r="X53" s="206">
        <f t="shared" si="11"/>
        <v>0</v>
      </c>
      <c r="Y53" s="205"/>
      <c r="Z53" s="200"/>
      <c r="AA53" s="201">
        <f t="shared" si="12"/>
        <v>0</v>
      </c>
      <c r="AB53" s="200">
        <v>0</v>
      </c>
      <c r="AC53" s="204">
        <f t="shared" si="13"/>
        <v>0</v>
      </c>
      <c r="AD53" s="205">
        <v>0</v>
      </c>
      <c r="AE53" s="200">
        <f>+ｼﾞｭｴﾙｽﾞ!W52/1000</f>
        <v>19.899999999999999</v>
      </c>
      <c r="AF53" s="201">
        <f t="shared" si="14"/>
        <v>-19.899999999999999</v>
      </c>
      <c r="AG53" s="200">
        <v>0</v>
      </c>
      <c r="AH53" s="206">
        <f t="shared" si="15"/>
        <v>0</v>
      </c>
      <c r="AI53" s="199">
        <f t="shared" si="40"/>
        <v>0</v>
      </c>
      <c r="AJ53" s="200">
        <f t="shared" si="41"/>
        <v>19.899999999999999</v>
      </c>
      <c r="AK53" s="201">
        <f t="shared" si="42"/>
        <v>-19.899999999999999</v>
      </c>
      <c r="AL53" s="200">
        <f t="shared" si="43"/>
        <v>0</v>
      </c>
      <c r="AM53" s="206">
        <f t="shared" si="44"/>
        <v>0</v>
      </c>
      <c r="AN53" s="199">
        <v>0</v>
      </c>
      <c r="AO53" s="200">
        <f>+ｶﾞｰﾃﾞﾝ!W52/1000</f>
        <v>40</v>
      </c>
      <c r="AP53" s="201">
        <f t="shared" si="16"/>
        <v>-40</v>
      </c>
      <c r="AQ53" s="200">
        <v>139</v>
      </c>
      <c r="AR53" s="202">
        <f t="shared" si="17"/>
        <v>-139</v>
      </c>
      <c r="AS53" s="203">
        <v>0</v>
      </c>
      <c r="AT53" s="200">
        <f>+ﾋﾞｱｶﾞｰﾃﾞﾝ!W52/1000</f>
        <v>0</v>
      </c>
      <c r="AU53" s="201">
        <f t="shared" si="18"/>
        <v>0</v>
      </c>
      <c r="AV53" s="200">
        <v>28</v>
      </c>
      <c r="AW53" s="206">
        <f t="shared" si="19"/>
        <v>-28</v>
      </c>
      <c r="AX53" s="199">
        <f t="shared" si="20"/>
        <v>0</v>
      </c>
      <c r="AY53" s="200">
        <f t="shared" si="47"/>
        <v>40</v>
      </c>
      <c r="AZ53" s="201">
        <f t="shared" si="22"/>
        <v>-40</v>
      </c>
      <c r="BA53" s="200">
        <f t="shared" si="23"/>
        <v>167</v>
      </c>
      <c r="BB53" s="206">
        <f t="shared" si="24"/>
        <v>-167</v>
      </c>
      <c r="BC53" s="199">
        <v>0</v>
      </c>
      <c r="BD53" s="200">
        <f>+ブリック!W52/1000</f>
        <v>240</v>
      </c>
      <c r="BE53" s="201">
        <f t="shared" si="25"/>
        <v>-240</v>
      </c>
      <c r="BF53" s="200"/>
      <c r="BG53" s="202">
        <f t="shared" si="26"/>
        <v>0</v>
      </c>
      <c r="BH53" s="203">
        <v>0</v>
      </c>
      <c r="BI53" s="200">
        <f>+ルスツ羊蹄ぶた!W52/1000</f>
        <v>460</v>
      </c>
      <c r="BJ53" s="201">
        <f t="shared" si="27"/>
        <v>-460</v>
      </c>
      <c r="BK53" s="200"/>
      <c r="BL53" s="206">
        <f t="shared" si="28"/>
        <v>0</v>
      </c>
      <c r="BM53" s="199">
        <f t="shared" si="46"/>
        <v>0</v>
      </c>
      <c r="BN53" s="200">
        <f t="shared" si="30"/>
        <v>700</v>
      </c>
      <c r="BO53" s="201">
        <f t="shared" si="31"/>
        <v>-700</v>
      </c>
      <c r="BP53" s="200">
        <f t="shared" si="32"/>
        <v>0</v>
      </c>
      <c r="BQ53" s="206">
        <f t="shared" si="33"/>
        <v>0</v>
      </c>
      <c r="BR53" s="199">
        <v>0</v>
      </c>
      <c r="BS53" s="200">
        <f>+料飲共通!W52/1000</f>
        <v>0</v>
      </c>
      <c r="BT53" s="201">
        <f t="shared" si="34"/>
        <v>0</v>
      </c>
      <c r="BU53" s="200">
        <v>0</v>
      </c>
      <c r="BV53" s="206">
        <f t="shared" si="35"/>
        <v>0</v>
      </c>
      <c r="BW53" s="199">
        <f t="shared" si="48"/>
        <v>0</v>
      </c>
      <c r="BX53" s="200">
        <f t="shared" si="37"/>
        <v>759.9</v>
      </c>
      <c r="BY53" s="201">
        <f t="shared" si="0"/>
        <v>-759.9</v>
      </c>
      <c r="BZ53" s="200">
        <f t="shared" si="49"/>
        <v>167</v>
      </c>
      <c r="CA53" s="206">
        <f t="shared" si="39"/>
        <v>-167</v>
      </c>
    </row>
    <row r="54" spans="1:79" s="83" customFormat="1" ht="22" hidden="1" customHeight="1" outlineLevel="1">
      <c r="A54" s="99"/>
      <c r="B54" s="96"/>
      <c r="C54" s="88" t="s">
        <v>97</v>
      </c>
      <c r="D54" s="88"/>
      <c r="E54" s="199">
        <v>0</v>
      </c>
      <c r="F54" s="200">
        <f>+ﾇｰﾍﾞﾙﾌﾟｰｽ!W53/1000</f>
        <v>0</v>
      </c>
      <c r="G54" s="201">
        <f t="shared" si="1"/>
        <v>0</v>
      </c>
      <c r="H54" s="200">
        <v>0</v>
      </c>
      <c r="I54" s="202">
        <f t="shared" si="2"/>
        <v>0</v>
      </c>
      <c r="J54" s="203">
        <v>0</v>
      </c>
      <c r="K54" s="200">
        <f>+ｶﾌｪﾙﾎﾟ!W53/1000</f>
        <v>0</v>
      </c>
      <c r="L54" s="201">
        <f t="shared" si="3"/>
        <v>0</v>
      </c>
      <c r="M54" s="200">
        <v>0</v>
      </c>
      <c r="N54" s="204">
        <f t="shared" si="4"/>
        <v>0</v>
      </c>
      <c r="O54" s="205">
        <v>0</v>
      </c>
      <c r="P54" s="200">
        <f>+ｶﾌｪｾﾚｽﾃ!W53/1000</f>
        <v>0</v>
      </c>
      <c r="Q54" s="201">
        <f t="shared" si="5"/>
        <v>0</v>
      </c>
      <c r="R54" s="200">
        <v>0</v>
      </c>
      <c r="S54" s="202">
        <f t="shared" si="6"/>
        <v>0</v>
      </c>
      <c r="T54" s="199">
        <f t="shared" si="7"/>
        <v>0</v>
      </c>
      <c r="U54" s="200">
        <f t="shared" si="8"/>
        <v>0</v>
      </c>
      <c r="V54" s="201">
        <f t="shared" si="9"/>
        <v>0</v>
      </c>
      <c r="W54" s="200">
        <f t="shared" si="10"/>
        <v>0</v>
      </c>
      <c r="X54" s="206">
        <f t="shared" si="11"/>
        <v>0</v>
      </c>
      <c r="Y54" s="205"/>
      <c r="Z54" s="200"/>
      <c r="AA54" s="201">
        <f t="shared" si="12"/>
        <v>0</v>
      </c>
      <c r="AB54" s="200">
        <v>0</v>
      </c>
      <c r="AC54" s="204">
        <f t="shared" si="13"/>
        <v>0</v>
      </c>
      <c r="AD54" s="205">
        <v>0</v>
      </c>
      <c r="AE54" s="200">
        <f>+ｼﾞｭｴﾙｽﾞ!W53/1000</f>
        <v>0</v>
      </c>
      <c r="AF54" s="201">
        <f t="shared" si="14"/>
        <v>0</v>
      </c>
      <c r="AG54" s="200">
        <v>0</v>
      </c>
      <c r="AH54" s="206">
        <f t="shared" si="15"/>
        <v>0</v>
      </c>
      <c r="AI54" s="199">
        <f t="shared" si="40"/>
        <v>0</v>
      </c>
      <c r="AJ54" s="200">
        <f t="shared" si="41"/>
        <v>0</v>
      </c>
      <c r="AK54" s="201">
        <f t="shared" si="42"/>
        <v>0</v>
      </c>
      <c r="AL54" s="200">
        <f t="shared" si="43"/>
        <v>0</v>
      </c>
      <c r="AM54" s="206">
        <f t="shared" si="44"/>
        <v>0</v>
      </c>
      <c r="AN54" s="199">
        <v>0</v>
      </c>
      <c r="AO54" s="200">
        <f>+ｶﾞｰﾃﾞﾝ!W53/1000</f>
        <v>0</v>
      </c>
      <c r="AP54" s="201">
        <f t="shared" si="16"/>
        <v>0</v>
      </c>
      <c r="AQ54" s="200">
        <v>0</v>
      </c>
      <c r="AR54" s="202">
        <f t="shared" si="17"/>
        <v>0</v>
      </c>
      <c r="AS54" s="203">
        <v>0</v>
      </c>
      <c r="AT54" s="200">
        <f>+ﾋﾞｱｶﾞｰﾃﾞﾝ!W53/1000</f>
        <v>0</v>
      </c>
      <c r="AU54" s="201">
        <f t="shared" si="18"/>
        <v>0</v>
      </c>
      <c r="AV54" s="200">
        <v>0</v>
      </c>
      <c r="AW54" s="206">
        <f t="shared" si="19"/>
        <v>0</v>
      </c>
      <c r="AX54" s="199">
        <f t="shared" si="20"/>
        <v>0</v>
      </c>
      <c r="AY54" s="200">
        <f t="shared" si="47"/>
        <v>0</v>
      </c>
      <c r="AZ54" s="201">
        <f t="shared" si="22"/>
        <v>0</v>
      </c>
      <c r="BA54" s="200">
        <f t="shared" si="23"/>
        <v>0</v>
      </c>
      <c r="BB54" s="206">
        <f t="shared" si="24"/>
        <v>0</v>
      </c>
      <c r="BC54" s="199">
        <v>0</v>
      </c>
      <c r="BD54" s="200">
        <f>+ブリック!W53/1000</f>
        <v>0</v>
      </c>
      <c r="BE54" s="201">
        <f t="shared" si="25"/>
        <v>0</v>
      </c>
      <c r="BF54" s="200"/>
      <c r="BG54" s="202">
        <f t="shared" si="26"/>
        <v>0</v>
      </c>
      <c r="BH54" s="203">
        <v>0</v>
      </c>
      <c r="BI54" s="200">
        <f>+ルスツ羊蹄ぶた!W53/1000</f>
        <v>0</v>
      </c>
      <c r="BJ54" s="201">
        <f t="shared" si="27"/>
        <v>0</v>
      </c>
      <c r="BK54" s="200"/>
      <c r="BL54" s="206">
        <f t="shared" si="28"/>
        <v>0</v>
      </c>
      <c r="BM54" s="199">
        <f t="shared" si="46"/>
        <v>0</v>
      </c>
      <c r="BN54" s="200">
        <f t="shared" si="30"/>
        <v>0</v>
      </c>
      <c r="BO54" s="201">
        <f t="shared" si="31"/>
        <v>0</v>
      </c>
      <c r="BP54" s="200">
        <f t="shared" si="32"/>
        <v>0</v>
      </c>
      <c r="BQ54" s="206">
        <f t="shared" si="33"/>
        <v>0</v>
      </c>
      <c r="BR54" s="199">
        <v>0</v>
      </c>
      <c r="BS54" s="200">
        <f>+料飲共通!W53/1000</f>
        <v>0</v>
      </c>
      <c r="BT54" s="201">
        <f t="shared" si="34"/>
        <v>0</v>
      </c>
      <c r="BU54" s="200">
        <v>0</v>
      </c>
      <c r="BV54" s="206">
        <f t="shared" si="35"/>
        <v>0</v>
      </c>
      <c r="BW54" s="199">
        <f t="shared" si="48"/>
        <v>0</v>
      </c>
      <c r="BX54" s="200">
        <f t="shared" si="37"/>
        <v>0</v>
      </c>
      <c r="BY54" s="201">
        <f t="shared" si="0"/>
        <v>0</v>
      </c>
      <c r="BZ54" s="200">
        <f t="shared" si="49"/>
        <v>0</v>
      </c>
      <c r="CA54" s="206">
        <f t="shared" si="39"/>
        <v>0</v>
      </c>
    </row>
    <row r="55" spans="1:79" s="83" customFormat="1" ht="22" hidden="1" customHeight="1" outlineLevel="1">
      <c r="A55" s="99"/>
      <c r="B55" s="96"/>
      <c r="C55" s="88" t="s">
        <v>99</v>
      </c>
      <c r="D55" s="88"/>
      <c r="E55" s="199">
        <v>0</v>
      </c>
      <c r="F55" s="200">
        <f>+ﾇｰﾍﾞﾙﾌﾟｰｽ!W54/1000</f>
        <v>0</v>
      </c>
      <c r="G55" s="201">
        <f t="shared" si="1"/>
        <v>0</v>
      </c>
      <c r="H55" s="200">
        <v>0</v>
      </c>
      <c r="I55" s="202">
        <f t="shared" si="2"/>
        <v>0</v>
      </c>
      <c r="J55" s="203">
        <v>0</v>
      </c>
      <c r="K55" s="200">
        <f>+ｶﾌｪﾙﾎﾟ!W54/1000</f>
        <v>0</v>
      </c>
      <c r="L55" s="201">
        <f t="shared" si="3"/>
        <v>0</v>
      </c>
      <c r="M55" s="200">
        <v>0</v>
      </c>
      <c r="N55" s="204">
        <f t="shared" si="4"/>
        <v>0</v>
      </c>
      <c r="O55" s="205">
        <v>0</v>
      </c>
      <c r="P55" s="200">
        <f>+ｶﾌｪｾﾚｽﾃ!W54/1000</f>
        <v>0</v>
      </c>
      <c r="Q55" s="201">
        <f t="shared" si="5"/>
        <v>0</v>
      </c>
      <c r="R55" s="200">
        <v>0</v>
      </c>
      <c r="S55" s="202">
        <f t="shared" si="6"/>
        <v>0</v>
      </c>
      <c r="T55" s="199">
        <f t="shared" si="7"/>
        <v>0</v>
      </c>
      <c r="U55" s="200">
        <f t="shared" si="8"/>
        <v>0</v>
      </c>
      <c r="V55" s="201">
        <f t="shared" si="9"/>
        <v>0</v>
      </c>
      <c r="W55" s="200">
        <f t="shared" si="10"/>
        <v>0</v>
      </c>
      <c r="X55" s="206">
        <f t="shared" si="11"/>
        <v>0</v>
      </c>
      <c r="Y55" s="205"/>
      <c r="Z55" s="200"/>
      <c r="AA55" s="201">
        <f t="shared" si="12"/>
        <v>0</v>
      </c>
      <c r="AB55" s="200">
        <v>0</v>
      </c>
      <c r="AC55" s="204">
        <f t="shared" si="13"/>
        <v>0</v>
      </c>
      <c r="AD55" s="205">
        <v>0</v>
      </c>
      <c r="AE55" s="200">
        <f>+ｼﾞｭｴﾙｽﾞ!W54/1000</f>
        <v>0</v>
      </c>
      <c r="AF55" s="201">
        <f t="shared" si="14"/>
        <v>0</v>
      </c>
      <c r="AG55" s="200">
        <v>0</v>
      </c>
      <c r="AH55" s="206">
        <f t="shared" si="15"/>
        <v>0</v>
      </c>
      <c r="AI55" s="199">
        <f t="shared" si="40"/>
        <v>0</v>
      </c>
      <c r="AJ55" s="200">
        <f t="shared" si="41"/>
        <v>0</v>
      </c>
      <c r="AK55" s="201">
        <f t="shared" si="42"/>
        <v>0</v>
      </c>
      <c r="AL55" s="200">
        <f t="shared" si="43"/>
        <v>0</v>
      </c>
      <c r="AM55" s="206">
        <f t="shared" si="44"/>
        <v>0</v>
      </c>
      <c r="AN55" s="199">
        <v>0</v>
      </c>
      <c r="AO55" s="200">
        <f>+ｶﾞｰﾃﾞﾝ!W54/1000</f>
        <v>0</v>
      </c>
      <c r="AP55" s="201">
        <f t="shared" si="16"/>
        <v>0</v>
      </c>
      <c r="AQ55" s="200">
        <v>0</v>
      </c>
      <c r="AR55" s="202">
        <f t="shared" si="17"/>
        <v>0</v>
      </c>
      <c r="AS55" s="203">
        <v>0</v>
      </c>
      <c r="AT55" s="200">
        <f>+ﾋﾞｱｶﾞｰﾃﾞﾝ!W54/1000</f>
        <v>0</v>
      </c>
      <c r="AU55" s="201">
        <f t="shared" si="18"/>
        <v>0</v>
      </c>
      <c r="AV55" s="200">
        <v>0</v>
      </c>
      <c r="AW55" s="206">
        <f t="shared" si="19"/>
        <v>0</v>
      </c>
      <c r="AX55" s="199">
        <f t="shared" si="20"/>
        <v>0</v>
      </c>
      <c r="AY55" s="200">
        <f t="shared" si="47"/>
        <v>0</v>
      </c>
      <c r="AZ55" s="201">
        <f t="shared" si="22"/>
        <v>0</v>
      </c>
      <c r="BA55" s="200">
        <f t="shared" si="23"/>
        <v>0</v>
      </c>
      <c r="BB55" s="206">
        <f t="shared" si="24"/>
        <v>0</v>
      </c>
      <c r="BC55" s="199">
        <v>0</v>
      </c>
      <c r="BD55" s="200">
        <f>+ブリック!W54/1000</f>
        <v>0</v>
      </c>
      <c r="BE55" s="201">
        <f t="shared" si="25"/>
        <v>0</v>
      </c>
      <c r="BF55" s="200"/>
      <c r="BG55" s="202">
        <f t="shared" si="26"/>
        <v>0</v>
      </c>
      <c r="BH55" s="203">
        <v>0</v>
      </c>
      <c r="BI55" s="200">
        <f>+ルスツ羊蹄ぶた!W54/1000</f>
        <v>0</v>
      </c>
      <c r="BJ55" s="201">
        <f t="shared" si="27"/>
        <v>0</v>
      </c>
      <c r="BK55" s="200"/>
      <c r="BL55" s="206">
        <f t="shared" si="28"/>
        <v>0</v>
      </c>
      <c r="BM55" s="199">
        <f t="shared" si="46"/>
        <v>0</v>
      </c>
      <c r="BN55" s="200">
        <f t="shared" si="30"/>
        <v>0</v>
      </c>
      <c r="BO55" s="201">
        <f t="shared" si="31"/>
        <v>0</v>
      </c>
      <c r="BP55" s="200">
        <f t="shared" si="32"/>
        <v>0</v>
      </c>
      <c r="BQ55" s="206">
        <f t="shared" si="33"/>
        <v>0</v>
      </c>
      <c r="BR55" s="199">
        <v>0</v>
      </c>
      <c r="BS55" s="200">
        <f>+料飲共通!W54/1000</f>
        <v>0</v>
      </c>
      <c r="BT55" s="201">
        <f t="shared" si="34"/>
        <v>0</v>
      </c>
      <c r="BU55" s="200">
        <v>0</v>
      </c>
      <c r="BV55" s="206">
        <f t="shared" si="35"/>
        <v>0</v>
      </c>
      <c r="BW55" s="199">
        <f t="shared" si="48"/>
        <v>0</v>
      </c>
      <c r="BX55" s="200">
        <f t="shared" si="37"/>
        <v>0</v>
      </c>
      <c r="BY55" s="201">
        <f t="shared" si="0"/>
        <v>0</v>
      </c>
      <c r="BZ55" s="200">
        <f t="shared" si="49"/>
        <v>0</v>
      </c>
      <c r="CA55" s="206">
        <f t="shared" si="39"/>
        <v>0</v>
      </c>
    </row>
    <row r="56" spans="1:79" s="83" customFormat="1" ht="22" hidden="1" customHeight="1" outlineLevel="1">
      <c r="A56" s="99"/>
      <c r="B56" s="96"/>
      <c r="C56" s="88" t="s">
        <v>101</v>
      </c>
      <c r="D56" s="88"/>
      <c r="E56" s="199">
        <v>0</v>
      </c>
      <c r="F56" s="200">
        <f>+ﾇｰﾍﾞﾙﾌﾟｰｽ!W55/1000</f>
        <v>79.900000000000006</v>
      </c>
      <c r="G56" s="201">
        <f t="shared" si="1"/>
        <v>-79.900000000000006</v>
      </c>
      <c r="H56" s="200">
        <v>0</v>
      </c>
      <c r="I56" s="202">
        <f t="shared" si="2"/>
        <v>0</v>
      </c>
      <c r="J56" s="203">
        <v>0</v>
      </c>
      <c r="K56" s="200">
        <f>+ｶﾌｪﾙﾎﾟ!W55/1000</f>
        <v>0</v>
      </c>
      <c r="L56" s="201">
        <f t="shared" si="3"/>
        <v>0</v>
      </c>
      <c r="M56" s="200">
        <v>0</v>
      </c>
      <c r="N56" s="204">
        <f t="shared" si="4"/>
        <v>0</v>
      </c>
      <c r="O56" s="205">
        <v>0</v>
      </c>
      <c r="P56" s="200">
        <f>+ｶﾌｪｾﾚｽﾃ!W55/1000</f>
        <v>0</v>
      </c>
      <c r="Q56" s="201">
        <f t="shared" si="5"/>
        <v>0</v>
      </c>
      <c r="R56" s="200">
        <v>0</v>
      </c>
      <c r="S56" s="202">
        <f t="shared" si="6"/>
        <v>0</v>
      </c>
      <c r="T56" s="199">
        <f t="shared" si="7"/>
        <v>0</v>
      </c>
      <c r="U56" s="200">
        <f t="shared" si="8"/>
        <v>79.900000000000006</v>
      </c>
      <c r="V56" s="201">
        <f t="shared" si="9"/>
        <v>-79.900000000000006</v>
      </c>
      <c r="W56" s="200">
        <f t="shared" si="10"/>
        <v>0</v>
      </c>
      <c r="X56" s="206">
        <f t="shared" si="11"/>
        <v>0</v>
      </c>
      <c r="Y56" s="205"/>
      <c r="Z56" s="200"/>
      <c r="AA56" s="201">
        <f t="shared" si="12"/>
        <v>0</v>
      </c>
      <c r="AB56" s="200">
        <v>0</v>
      </c>
      <c r="AC56" s="204">
        <f t="shared" si="13"/>
        <v>0</v>
      </c>
      <c r="AD56" s="205">
        <v>0</v>
      </c>
      <c r="AE56" s="200">
        <f>+ｼﾞｭｴﾙｽﾞ!W55/1000</f>
        <v>30.43</v>
      </c>
      <c r="AF56" s="201">
        <f t="shared" si="14"/>
        <v>-30.43</v>
      </c>
      <c r="AG56" s="200">
        <v>452</v>
      </c>
      <c r="AH56" s="206">
        <f t="shared" si="15"/>
        <v>-452</v>
      </c>
      <c r="AI56" s="199">
        <f t="shared" si="40"/>
        <v>0</v>
      </c>
      <c r="AJ56" s="200">
        <f t="shared" si="41"/>
        <v>30.43</v>
      </c>
      <c r="AK56" s="201">
        <f t="shared" si="42"/>
        <v>-30.43</v>
      </c>
      <c r="AL56" s="200">
        <f t="shared" si="43"/>
        <v>452</v>
      </c>
      <c r="AM56" s="206">
        <f t="shared" si="44"/>
        <v>-452</v>
      </c>
      <c r="AN56" s="199">
        <v>0</v>
      </c>
      <c r="AO56" s="200">
        <f>+ｶﾞｰﾃﾞﾝ!W55/1000</f>
        <v>117.7</v>
      </c>
      <c r="AP56" s="201">
        <f t="shared" si="16"/>
        <v>-117.7</v>
      </c>
      <c r="AQ56" s="200">
        <v>298</v>
      </c>
      <c r="AR56" s="202">
        <f t="shared" si="17"/>
        <v>-298</v>
      </c>
      <c r="AS56" s="203">
        <v>150</v>
      </c>
      <c r="AT56" s="200">
        <f>+ﾋﾞｱｶﾞｰﾃﾞﾝ!W55/1000</f>
        <v>0</v>
      </c>
      <c r="AU56" s="201">
        <f t="shared" si="18"/>
        <v>150</v>
      </c>
      <c r="AV56" s="200">
        <v>0</v>
      </c>
      <c r="AW56" s="206">
        <f t="shared" si="19"/>
        <v>150</v>
      </c>
      <c r="AX56" s="199">
        <f t="shared" si="20"/>
        <v>150</v>
      </c>
      <c r="AY56" s="200">
        <f t="shared" si="47"/>
        <v>117.7</v>
      </c>
      <c r="AZ56" s="201">
        <f t="shared" si="22"/>
        <v>32.299999999999997</v>
      </c>
      <c r="BA56" s="200">
        <f t="shared" si="23"/>
        <v>298</v>
      </c>
      <c r="BB56" s="206">
        <f t="shared" si="24"/>
        <v>-148</v>
      </c>
      <c r="BC56" s="199">
        <v>0</v>
      </c>
      <c r="BD56" s="200">
        <f>+ブリック!W55/1000</f>
        <v>0</v>
      </c>
      <c r="BE56" s="201">
        <f t="shared" si="25"/>
        <v>0</v>
      </c>
      <c r="BF56" s="200"/>
      <c r="BG56" s="202">
        <f t="shared" si="26"/>
        <v>0</v>
      </c>
      <c r="BH56" s="203">
        <v>0</v>
      </c>
      <c r="BI56" s="200">
        <f>+ルスツ羊蹄ぶた!W55/1000</f>
        <v>0</v>
      </c>
      <c r="BJ56" s="201">
        <f t="shared" si="27"/>
        <v>0</v>
      </c>
      <c r="BK56" s="200"/>
      <c r="BL56" s="206">
        <f t="shared" si="28"/>
        <v>0</v>
      </c>
      <c r="BM56" s="199">
        <f t="shared" si="46"/>
        <v>0</v>
      </c>
      <c r="BN56" s="200">
        <f t="shared" si="30"/>
        <v>0</v>
      </c>
      <c r="BO56" s="201">
        <f t="shared" si="31"/>
        <v>0</v>
      </c>
      <c r="BP56" s="200">
        <f t="shared" si="32"/>
        <v>0</v>
      </c>
      <c r="BQ56" s="206">
        <f t="shared" si="33"/>
        <v>0</v>
      </c>
      <c r="BR56" s="199">
        <v>0</v>
      </c>
      <c r="BS56" s="200">
        <f>+料飲共通!W55/1000</f>
        <v>0</v>
      </c>
      <c r="BT56" s="201">
        <f t="shared" si="34"/>
        <v>0</v>
      </c>
      <c r="BU56" s="200">
        <v>0</v>
      </c>
      <c r="BV56" s="206">
        <f t="shared" si="35"/>
        <v>0</v>
      </c>
      <c r="BW56" s="199">
        <f t="shared" si="48"/>
        <v>150</v>
      </c>
      <c r="BX56" s="200">
        <f t="shared" si="37"/>
        <v>228.03000000000003</v>
      </c>
      <c r="BY56" s="201">
        <f t="shared" si="0"/>
        <v>-78.03000000000003</v>
      </c>
      <c r="BZ56" s="200">
        <f t="shared" si="49"/>
        <v>750</v>
      </c>
      <c r="CA56" s="206">
        <f t="shared" si="39"/>
        <v>-600</v>
      </c>
    </row>
    <row r="57" spans="1:79" s="83" customFormat="1" ht="22" hidden="1" customHeight="1" outlineLevel="1">
      <c r="A57" s="99"/>
      <c r="B57" s="96"/>
      <c r="C57" s="88" t="s">
        <v>103</v>
      </c>
      <c r="D57" s="88"/>
      <c r="E57" s="199">
        <v>0</v>
      </c>
      <c r="F57" s="200">
        <f>+ﾇｰﾍﾞﾙﾌﾟｰｽ!W56/1000</f>
        <v>0</v>
      </c>
      <c r="G57" s="201">
        <f t="shared" si="1"/>
        <v>0</v>
      </c>
      <c r="H57" s="200">
        <v>0</v>
      </c>
      <c r="I57" s="202">
        <f t="shared" si="2"/>
        <v>0</v>
      </c>
      <c r="J57" s="203">
        <v>0</v>
      </c>
      <c r="K57" s="200">
        <f>+ｶﾌｪﾙﾎﾟ!W56/1000</f>
        <v>0</v>
      </c>
      <c r="L57" s="201">
        <f t="shared" si="3"/>
        <v>0</v>
      </c>
      <c r="M57" s="200">
        <v>0</v>
      </c>
      <c r="N57" s="204">
        <f t="shared" si="4"/>
        <v>0</v>
      </c>
      <c r="O57" s="205">
        <v>0</v>
      </c>
      <c r="P57" s="200">
        <f>+ｶﾌｪｾﾚｽﾃ!W56/1000</f>
        <v>0</v>
      </c>
      <c r="Q57" s="201">
        <f t="shared" si="5"/>
        <v>0</v>
      </c>
      <c r="R57" s="200">
        <v>0</v>
      </c>
      <c r="S57" s="202">
        <f t="shared" si="6"/>
        <v>0</v>
      </c>
      <c r="T57" s="199">
        <f t="shared" si="7"/>
        <v>0</v>
      </c>
      <c r="U57" s="200">
        <f t="shared" si="8"/>
        <v>0</v>
      </c>
      <c r="V57" s="201">
        <f t="shared" si="9"/>
        <v>0</v>
      </c>
      <c r="W57" s="200">
        <f t="shared" si="10"/>
        <v>0</v>
      </c>
      <c r="X57" s="206">
        <f t="shared" si="11"/>
        <v>0</v>
      </c>
      <c r="Y57" s="205"/>
      <c r="Z57" s="200"/>
      <c r="AA57" s="201">
        <f t="shared" si="12"/>
        <v>0</v>
      </c>
      <c r="AB57" s="200">
        <v>0</v>
      </c>
      <c r="AC57" s="204">
        <f t="shared" si="13"/>
        <v>0</v>
      </c>
      <c r="AD57" s="205">
        <v>0</v>
      </c>
      <c r="AE57" s="200">
        <f>+ｼﾞｭｴﾙｽﾞ!W56/1000</f>
        <v>0</v>
      </c>
      <c r="AF57" s="201">
        <f t="shared" si="14"/>
        <v>0</v>
      </c>
      <c r="AG57" s="200">
        <v>0</v>
      </c>
      <c r="AH57" s="206">
        <f t="shared" si="15"/>
        <v>0</v>
      </c>
      <c r="AI57" s="199">
        <f t="shared" si="40"/>
        <v>0</v>
      </c>
      <c r="AJ57" s="200">
        <f t="shared" si="41"/>
        <v>0</v>
      </c>
      <c r="AK57" s="201">
        <f t="shared" si="42"/>
        <v>0</v>
      </c>
      <c r="AL57" s="200">
        <f t="shared" si="43"/>
        <v>0</v>
      </c>
      <c r="AM57" s="206">
        <f t="shared" si="44"/>
        <v>0</v>
      </c>
      <c r="AN57" s="199">
        <v>0</v>
      </c>
      <c r="AO57" s="200">
        <f>+ｶﾞｰﾃﾞﾝ!W56/1000</f>
        <v>0</v>
      </c>
      <c r="AP57" s="201">
        <f t="shared" si="16"/>
        <v>0</v>
      </c>
      <c r="AQ57" s="200">
        <v>0</v>
      </c>
      <c r="AR57" s="202">
        <f t="shared" si="17"/>
        <v>0</v>
      </c>
      <c r="AS57" s="203">
        <v>0</v>
      </c>
      <c r="AT57" s="200">
        <f>+ﾋﾞｱｶﾞｰﾃﾞﾝ!W56/1000</f>
        <v>0</v>
      </c>
      <c r="AU57" s="201">
        <f t="shared" si="18"/>
        <v>0</v>
      </c>
      <c r="AV57" s="200">
        <v>0</v>
      </c>
      <c r="AW57" s="206">
        <f t="shared" si="19"/>
        <v>0</v>
      </c>
      <c r="AX57" s="199">
        <f t="shared" si="20"/>
        <v>0</v>
      </c>
      <c r="AY57" s="200">
        <f t="shared" si="47"/>
        <v>0</v>
      </c>
      <c r="AZ57" s="201">
        <f t="shared" si="22"/>
        <v>0</v>
      </c>
      <c r="BA57" s="200">
        <f t="shared" si="23"/>
        <v>0</v>
      </c>
      <c r="BB57" s="206">
        <f t="shared" si="24"/>
        <v>0</v>
      </c>
      <c r="BC57" s="199">
        <v>0</v>
      </c>
      <c r="BD57" s="200">
        <f>+ブリック!W56/1000</f>
        <v>0</v>
      </c>
      <c r="BE57" s="201">
        <f t="shared" si="25"/>
        <v>0</v>
      </c>
      <c r="BF57" s="200"/>
      <c r="BG57" s="202">
        <f t="shared" si="26"/>
        <v>0</v>
      </c>
      <c r="BH57" s="203">
        <v>0</v>
      </c>
      <c r="BI57" s="200">
        <f>+ルスツ羊蹄ぶた!W56/1000</f>
        <v>0</v>
      </c>
      <c r="BJ57" s="201">
        <f t="shared" si="27"/>
        <v>0</v>
      </c>
      <c r="BK57" s="200"/>
      <c r="BL57" s="206">
        <f t="shared" si="28"/>
        <v>0</v>
      </c>
      <c r="BM57" s="199">
        <f t="shared" si="46"/>
        <v>0</v>
      </c>
      <c r="BN57" s="200">
        <f t="shared" si="30"/>
        <v>0</v>
      </c>
      <c r="BO57" s="201">
        <f t="shared" si="31"/>
        <v>0</v>
      </c>
      <c r="BP57" s="200">
        <f t="shared" si="32"/>
        <v>0</v>
      </c>
      <c r="BQ57" s="206">
        <f t="shared" si="33"/>
        <v>0</v>
      </c>
      <c r="BR57" s="199">
        <v>0</v>
      </c>
      <c r="BS57" s="200">
        <f>+料飲共通!W56/1000</f>
        <v>0</v>
      </c>
      <c r="BT57" s="201">
        <f t="shared" si="34"/>
        <v>0</v>
      </c>
      <c r="BU57" s="200">
        <v>0</v>
      </c>
      <c r="BV57" s="206">
        <f t="shared" si="35"/>
        <v>0</v>
      </c>
      <c r="BW57" s="199">
        <f t="shared" si="48"/>
        <v>0</v>
      </c>
      <c r="BX57" s="200">
        <f t="shared" si="37"/>
        <v>0</v>
      </c>
      <c r="BY57" s="201">
        <f t="shared" si="0"/>
        <v>0</v>
      </c>
      <c r="BZ57" s="200">
        <f t="shared" si="49"/>
        <v>0</v>
      </c>
      <c r="CA57" s="206">
        <f t="shared" si="39"/>
        <v>0</v>
      </c>
    </row>
    <row r="58" spans="1:79" s="83" customFormat="1" ht="22" customHeight="1" collapsed="1">
      <c r="A58" s="99"/>
      <c r="B58" s="87" t="s">
        <v>105</v>
      </c>
      <c r="C58" s="88"/>
      <c r="D58" s="88"/>
      <c r="E58" s="199">
        <v>0</v>
      </c>
      <c r="F58" s="200">
        <f>+ﾇｰﾍﾞﾙﾌﾟｰｽ!W57/1000</f>
        <v>0</v>
      </c>
      <c r="G58" s="201">
        <f t="shared" si="1"/>
        <v>0</v>
      </c>
      <c r="H58" s="200">
        <v>0</v>
      </c>
      <c r="I58" s="202">
        <f t="shared" si="2"/>
        <v>0</v>
      </c>
      <c r="J58" s="203">
        <v>0</v>
      </c>
      <c r="K58" s="200">
        <f>+ｶﾌｪﾙﾎﾟ!W57/1000</f>
        <v>0</v>
      </c>
      <c r="L58" s="201">
        <f t="shared" si="3"/>
        <v>0</v>
      </c>
      <c r="M58" s="200">
        <v>0</v>
      </c>
      <c r="N58" s="204">
        <f t="shared" si="4"/>
        <v>0</v>
      </c>
      <c r="O58" s="205">
        <v>0</v>
      </c>
      <c r="P58" s="200">
        <f>+ｶﾌｪｾﾚｽﾃ!W57/1000</f>
        <v>0</v>
      </c>
      <c r="Q58" s="201">
        <f t="shared" si="5"/>
        <v>0</v>
      </c>
      <c r="R58" s="200">
        <v>0</v>
      </c>
      <c r="S58" s="202">
        <f t="shared" si="6"/>
        <v>0</v>
      </c>
      <c r="T58" s="199">
        <f t="shared" si="7"/>
        <v>0</v>
      </c>
      <c r="U58" s="200">
        <f t="shared" si="8"/>
        <v>0</v>
      </c>
      <c r="V58" s="201">
        <f t="shared" si="9"/>
        <v>0</v>
      </c>
      <c r="W58" s="200">
        <f t="shared" si="10"/>
        <v>0</v>
      </c>
      <c r="X58" s="206">
        <f t="shared" si="11"/>
        <v>0</v>
      </c>
      <c r="Y58" s="205"/>
      <c r="Z58" s="200"/>
      <c r="AA58" s="201">
        <f t="shared" si="12"/>
        <v>0</v>
      </c>
      <c r="AB58" s="200">
        <v>0</v>
      </c>
      <c r="AC58" s="204">
        <f t="shared" si="13"/>
        <v>0</v>
      </c>
      <c r="AD58" s="205">
        <v>0</v>
      </c>
      <c r="AE58" s="200">
        <f>+ｼﾞｭｴﾙｽﾞ!W57/1000</f>
        <v>286.66000000000003</v>
      </c>
      <c r="AF58" s="201">
        <f t="shared" si="14"/>
        <v>-286.66000000000003</v>
      </c>
      <c r="AG58" s="200">
        <v>0</v>
      </c>
      <c r="AH58" s="206">
        <f t="shared" si="15"/>
        <v>0</v>
      </c>
      <c r="AI58" s="199">
        <f t="shared" si="40"/>
        <v>0</v>
      </c>
      <c r="AJ58" s="200">
        <f t="shared" si="41"/>
        <v>286.66000000000003</v>
      </c>
      <c r="AK58" s="201">
        <f t="shared" si="42"/>
        <v>-286.66000000000003</v>
      </c>
      <c r="AL58" s="200">
        <f t="shared" si="43"/>
        <v>0</v>
      </c>
      <c r="AM58" s="206">
        <f t="shared" si="44"/>
        <v>0</v>
      </c>
      <c r="AN58" s="199">
        <v>0</v>
      </c>
      <c r="AO58" s="200">
        <f>+ｶﾞｰﾃﾞﾝ!W57/1000</f>
        <v>0</v>
      </c>
      <c r="AP58" s="201">
        <f t="shared" si="16"/>
        <v>0</v>
      </c>
      <c r="AQ58" s="200">
        <v>0</v>
      </c>
      <c r="AR58" s="202">
        <f t="shared" si="17"/>
        <v>0</v>
      </c>
      <c r="AS58" s="203">
        <v>0</v>
      </c>
      <c r="AT58" s="200">
        <f>+ﾋﾞｱｶﾞｰﾃﾞﾝ!W57/1000</f>
        <v>0</v>
      </c>
      <c r="AU58" s="201">
        <f t="shared" si="18"/>
        <v>0</v>
      </c>
      <c r="AV58" s="200">
        <v>0</v>
      </c>
      <c r="AW58" s="206">
        <f t="shared" si="19"/>
        <v>0</v>
      </c>
      <c r="AX58" s="199">
        <f t="shared" si="20"/>
        <v>0</v>
      </c>
      <c r="AY58" s="200">
        <f t="shared" si="47"/>
        <v>0</v>
      </c>
      <c r="AZ58" s="201">
        <f t="shared" si="22"/>
        <v>0</v>
      </c>
      <c r="BA58" s="200">
        <f t="shared" si="23"/>
        <v>0</v>
      </c>
      <c r="BB58" s="206">
        <f t="shared" si="24"/>
        <v>0</v>
      </c>
      <c r="BC58" s="199">
        <v>0</v>
      </c>
      <c r="BD58" s="200">
        <f>+ブリック!W57/1000</f>
        <v>0</v>
      </c>
      <c r="BE58" s="201">
        <f t="shared" si="25"/>
        <v>0</v>
      </c>
      <c r="BF58" s="200"/>
      <c r="BG58" s="202">
        <f t="shared" si="26"/>
        <v>0</v>
      </c>
      <c r="BH58" s="203">
        <v>0</v>
      </c>
      <c r="BI58" s="200">
        <f>+ルスツ羊蹄ぶた!W57/1000</f>
        <v>0</v>
      </c>
      <c r="BJ58" s="201">
        <f t="shared" si="27"/>
        <v>0</v>
      </c>
      <c r="BK58" s="200"/>
      <c r="BL58" s="206">
        <f t="shared" si="28"/>
        <v>0</v>
      </c>
      <c r="BM58" s="199">
        <f t="shared" si="46"/>
        <v>0</v>
      </c>
      <c r="BN58" s="200">
        <f t="shared" si="30"/>
        <v>0</v>
      </c>
      <c r="BO58" s="201">
        <f t="shared" si="31"/>
        <v>0</v>
      </c>
      <c r="BP58" s="200">
        <f t="shared" si="32"/>
        <v>0</v>
      </c>
      <c r="BQ58" s="206">
        <f t="shared" si="33"/>
        <v>0</v>
      </c>
      <c r="BR58" s="199">
        <v>0</v>
      </c>
      <c r="BS58" s="200">
        <f>+料飲共通!W57/1000</f>
        <v>0</v>
      </c>
      <c r="BT58" s="201">
        <f t="shared" si="34"/>
        <v>0</v>
      </c>
      <c r="BU58" s="200">
        <v>0</v>
      </c>
      <c r="BV58" s="206">
        <f t="shared" si="35"/>
        <v>0</v>
      </c>
      <c r="BW58" s="199">
        <f t="shared" si="48"/>
        <v>0</v>
      </c>
      <c r="BX58" s="200">
        <f t="shared" si="37"/>
        <v>286.66000000000003</v>
      </c>
      <c r="BY58" s="201">
        <f t="shared" si="0"/>
        <v>-286.66000000000003</v>
      </c>
      <c r="BZ58" s="200">
        <f t="shared" si="49"/>
        <v>0</v>
      </c>
      <c r="CA58" s="206">
        <f t="shared" si="39"/>
        <v>0</v>
      </c>
    </row>
    <row r="59" spans="1:79" s="83" customFormat="1" ht="22" customHeight="1">
      <c r="A59" s="99"/>
      <c r="B59" s="87" t="s">
        <v>107</v>
      </c>
      <c r="C59" s="88"/>
      <c r="D59" s="88"/>
      <c r="E59" s="199">
        <v>414</v>
      </c>
      <c r="F59" s="200">
        <f>+ﾇｰﾍﾞﾙﾌﾟｰｽ!W58/1000</f>
        <v>107.84</v>
      </c>
      <c r="G59" s="201">
        <f t="shared" si="1"/>
        <v>306.15999999999997</v>
      </c>
      <c r="H59" s="200">
        <v>139</v>
      </c>
      <c r="I59" s="202">
        <f t="shared" si="2"/>
        <v>275</v>
      </c>
      <c r="J59" s="203">
        <v>0</v>
      </c>
      <c r="K59" s="200">
        <f>+ｶﾌｪﾙﾎﾟ!W58/1000</f>
        <v>0</v>
      </c>
      <c r="L59" s="201">
        <f t="shared" si="3"/>
        <v>0</v>
      </c>
      <c r="M59" s="200">
        <v>0</v>
      </c>
      <c r="N59" s="204">
        <f t="shared" si="4"/>
        <v>0</v>
      </c>
      <c r="O59" s="205">
        <v>0</v>
      </c>
      <c r="P59" s="200">
        <f>+ｶﾌｪｾﾚｽﾃ!W58/1000</f>
        <v>0</v>
      </c>
      <c r="Q59" s="201">
        <f t="shared" si="5"/>
        <v>0</v>
      </c>
      <c r="R59" s="200">
        <v>0</v>
      </c>
      <c r="S59" s="202">
        <f t="shared" si="6"/>
        <v>0</v>
      </c>
      <c r="T59" s="199">
        <f t="shared" si="7"/>
        <v>414</v>
      </c>
      <c r="U59" s="200">
        <f t="shared" si="8"/>
        <v>107.84</v>
      </c>
      <c r="V59" s="201">
        <f t="shared" si="9"/>
        <v>306.15999999999997</v>
      </c>
      <c r="W59" s="200">
        <f t="shared" si="10"/>
        <v>139</v>
      </c>
      <c r="X59" s="206">
        <f t="shared" si="11"/>
        <v>275</v>
      </c>
      <c r="Y59" s="205"/>
      <c r="Z59" s="200"/>
      <c r="AA59" s="201">
        <f t="shared" si="12"/>
        <v>0</v>
      </c>
      <c r="AB59" s="200">
        <v>0</v>
      </c>
      <c r="AC59" s="204">
        <f t="shared" si="13"/>
        <v>0</v>
      </c>
      <c r="AD59" s="205">
        <v>390</v>
      </c>
      <c r="AE59" s="200">
        <f>+ｼﾞｭｴﾙｽﾞ!W58/1000</f>
        <v>25.98</v>
      </c>
      <c r="AF59" s="201">
        <f t="shared" si="14"/>
        <v>364.02</v>
      </c>
      <c r="AG59" s="200">
        <v>173</v>
      </c>
      <c r="AH59" s="206">
        <f t="shared" si="15"/>
        <v>217</v>
      </c>
      <c r="AI59" s="199">
        <f t="shared" si="40"/>
        <v>390</v>
      </c>
      <c r="AJ59" s="200">
        <f t="shared" si="41"/>
        <v>25.98</v>
      </c>
      <c r="AK59" s="201">
        <f t="shared" si="42"/>
        <v>364.02</v>
      </c>
      <c r="AL59" s="200">
        <f t="shared" si="43"/>
        <v>173</v>
      </c>
      <c r="AM59" s="206">
        <f t="shared" si="44"/>
        <v>217</v>
      </c>
      <c r="AN59" s="199">
        <v>141</v>
      </c>
      <c r="AO59" s="200">
        <f>+ｶﾞｰﾃﾞﾝ!W58/1000</f>
        <v>40.22</v>
      </c>
      <c r="AP59" s="201">
        <f t="shared" si="16"/>
        <v>100.78</v>
      </c>
      <c r="AQ59" s="200">
        <v>189</v>
      </c>
      <c r="AR59" s="202">
        <f t="shared" si="17"/>
        <v>-48</v>
      </c>
      <c r="AS59" s="203">
        <v>261</v>
      </c>
      <c r="AT59" s="200">
        <f>+ﾋﾞｱｶﾞｰﾃﾞﾝ!W58/1000</f>
        <v>174</v>
      </c>
      <c r="AU59" s="201">
        <f t="shared" si="18"/>
        <v>87</v>
      </c>
      <c r="AV59" s="200">
        <v>0</v>
      </c>
      <c r="AW59" s="206">
        <f t="shared" si="19"/>
        <v>261</v>
      </c>
      <c r="AX59" s="199">
        <f t="shared" si="20"/>
        <v>402</v>
      </c>
      <c r="AY59" s="200">
        <f t="shared" si="47"/>
        <v>214.22</v>
      </c>
      <c r="AZ59" s="201">
        <f t="shared" si="22"/>
        <v>187.78</v>
      </c>
      <c r="BA59" s="200">
        <f t="shared" si="23"/>
        <v>189</v>
      </c>
      <c r="BB59" s="206">
        <f t="shared" si="24"/>
        <v>213</v>
      </c>
      <c r="BC59" s="199">
        <v>109.85657611941036</v>
      </c>
      <c r="BD59" s="200">
        <f>+ブリック!W58/1000</f>
        <v>178.98</v>
      </c>
      <c r="BE59" s="201">
        <f t="shared" si="25"/>
        <v>-69.123423880589627</v>
      </c>
      <c r="BF59" s="200"/>
      <c r="BG59" s="202">
        <f t="shared" si="26"/>
        <v>109.85657611941036</v>
      </c>
      <c r="BH59" s="203">
        <v>0</v>
      </c>
      <c r="BI59" s="200">
        <f>+ルスツ羊蹄ぶた!W58/1000</f>
        <v>0</v>
      </c>
      <c r="BJ59" s="201">
        <f t="shared" si="27"/>
        <v>0</v>
      </c>
      <c r="BK59" s="200"/>
      <c r="BL59" s="206">
        <f t="shared" si="28"/>
        <v>0</v>
      </c>
      <c r="BM59" s="199">
        <f t="shared" si="46"/>
        <v>109.85657611941036</v>
      </c>
      <c r="BN59" s="200">
        <f t="shared" si="30"/>
        <v>178.98</v>
      </c>
      <c r="BO59" s="201">
        <f t="shared" si="31"/>
        <v>-69.123423880589627</v>
      </c>
      <c r="BP59" s="200">
        <f t="shared" si="32"/>
        <v>0</v>
      </c>
      <c r="BQ59" s="206">
        <f t="shared" si="33"/>
        <v>109.85657611941036</v>
      </c>
      <c r="BR59" s="199">
        <v>60</v>
      </c>
      <c r="BS59" s="200">
        <f>+料飲共通!W58/1000</f>
        <v>114.35</v>
      </c>
      <c r="BT59" s="201">
        <f t="shared" si="34"/>
        <v>-54.349999999999994</v>
      </c>
      <c r="BU59" s="200">
        <v>168</v>
      </c>
      <c r="BV59" s="206">
        <f t="shared" si="35"/>
        <v>-108</v>
      </c>
      <c r="BW59" s="199">
        <f t="shared" si="48"/>
        <v>1375.8565761194104</v>
      </c>
      <c r="BX59" s="200">
        <f t="shared" si="37"/>
        <v>641.37</v>
      </c>
      <c r="BY59" s="201">
        <f t="shared" si="0"/>
        <v>734.48657611941042</v>
      </c>
      <c r="BZ59" s="200">
        <f t="shared" si="49"/>
        <v>669</v>
      </c>
      <c r="CA59" s="206">
        <f t="shared" si="39"/>
        <v>706.85657611941042</v>
      </c>
    </row>
    <row r="60" spans="1:79" s="83" customFormat="1" ht="22" hidden="1" customHeight="1" outlineLevel="1">
      <c r="A60" s="99"/>
      <c r="B60" s="96"/>
      <c r="C60" s="88" t="s">
        <v>107</v>
      </c>
      <c r="D60" s="88"/>
      <c r="E60" s="199">
        <v>414</v>
      </c>
      <c r="F60" s="200">
        <f>+ﾇｰﾍﾞﾙﾌﾟｰｽ!W59/1000</f>
        <v>107.84</v>
      </c>
      <c r="G60" s="201">
        <f t="shared" si="1"/>
        <v>306.15999999999997</v>
      </c>
      <c r="H60" s="200">
        <v>139</v>
      </c>
      <c r="I60" s="202">
        <f t="shared" si="2"/>
        <v>275</v>
      </c>
      <c r="J60" s="203">
        <v>0</v>
      </c>
      <c r="K60" s="200">
        <f>+ｶﾌｪﾙﾎﾟ!W59/1000</f>
        <v>0</v>
      </c>
      <c r="L60" s="201">
        <f t="shared" si="3"/>
        <v>0</v>
      </c>
      <c r="M60" s="200">
        <v>0</v>
      </c>
      <c r="N60" s="204">
        <f t="shared" si="4"/>
        <v>0</v>
      </c>
      <c r="O60" s="205">
        <v>0</v>
      </c>
      <c r="P60" s="200">
        <f>+ｶﾌｪｾﾚｽﾃ!W59/1000</f>
        <v>0</v>
      </c>
      <c r="Q60" s="201">
        <f t="shared" si="5"/>
        <v>0</v>
      </c>
      <c r="R60" s="200">
        <v>0</v>
      </c>
      <c r="S60" s="202">
        <f t="shared" si="6"/>
        <v>0</v>
      </c>
      <c r="T60" s="199">
        <f t="shared" si="7"/>
        <v>414</v>
      </c>
      <c r="U60" s="200">
        <f t="shared" si="8"/>
        <v>107.84</v>
      </c>
      <c r="V60" s="201">
        <f t="shared" si="9"/>
        <v>306.15999999999997</v>
      </c>
      <c r="W60" s="200">
        <f t="shared" si="10"/>
        <v>139</v>
      </c>
      <c r="X60" s="206">
        <f t="shared" si="11"/>
        <v>275</v>
      </c>
      <c r="Y60" s="205"/>
      <c r="Z60" s="200"/>
      <c r="AA60" s="201">
        <f t="shared" si="12"/>
        <v>0</v>
      </c>
      <c r="AB60" s="200">
        <v>0</v>
      </c>
      <c r="AC60" s="204">
        <f t="shared" si="13"/>
        <v>0</v>
      </c>
      <c r="AD60" s="205">
        <v>390</v>
      </c>
      <c r="AE60" s="200">
        <f>+ｼﾞｭｴﾙｽﾞ!W59/1000</f>
        <v>25.98</v>
      </c>
      <c r="AF60" s="201">
        <f t="shared" si="14"/>
        <v>364.02</v>
      </c>
      <c r="AG60" s="200">
        <v>173</v>
      </c>
      <c r="AH60" s="206">
        <f t="shared" si="15"/>
        <v>217</v>
      </c>
      <c r="AI60" s="199">
        <f t="shared" si="40"/>
        <v>390</v>
      </c>
      <c r="AJ60" s="200">
        <f t="shared" si="41"/>
        <v>25.98</v>
      </c>
      <c r="AK60" s="201">
        <f t="shared" si="42"/>
        <v>364.02</v>
      </c>
      <c r="AL60" s="200">
        <f t="shared" si="43"/>
        <v>173</v>
      </c>
      <c r="AM60" s="206">
        <f t="shared" si="44"/>
        <v>217</v>
      </c>
      <c r="AN60" s="199">
        <v>141</v>
      </c>
      <c r="AO60" s="200">
        <f>+ｶﾞｰﾃﾞﾝ!W59/1000</f>
        <v>40.22</v>
      </c>
      <c r="AP60" s="201">
        <f t="shared" si="16"/>
        <v>100.78</v>
      </c>
      <c r="AQ60" s="200">
        <v>189</v>
      </c>
      <c r="AR60" s="202">
        <f t="shared" si="17"/>
        <v>-48</v>
      </c>
      <c r="AS60" s="203">
        <v>261</v>
      </c>
      <c r="AT60" s="200">
        <f>+ﾋﾞｱｶﾞｰﾃﾞﾝ!W59/1000</f>
        <v>174</v>
      </c>
      <c r="AU60" s="201">
        <f t="shared" si="18"/>
        <v>87</v>
      </c>
      <c r="AV60" s="200">
        <v>0</v>
      </c>
      <c r="AW60" s="206">
        <f t="shared" si="19"/>
        <v>261</v>
      </c>
      <c r="AX60" s="199">
        <f t="shared" si="20"/>
        <v>402</v>
      </c>
      <c r="AY60" s="200">
        <f t="shared" si="47"/>
        <v>214.22</v>
      </c>
      <c r="AZ60" s="201">
        <f t="shared" si="22"/>
        <v>187.78</v>
      </c>
      <c r="BA60" s="200">
        <f t="shared" si="23"/>
        <v>189</v>
      </c>
      <c r="BB60" s="206">
        <f t="shared" si="24"/>
        <v>213</v>
      </c>
      <c r="BC60" s="199">
        <v>0</v>
      </c>
      <c r="BD60" s="200">
        <f>+ブリック!W59/1000</f>
        <v>178.98</v>
      </c>
      <c r="BE60" s="201">
        <f t="shared" si="25"/>
        <v>-178.98</v>
      </c>
      <c r="BF60" s="200"/>
      <c r="BG60" s="202">
        <f t="shared" si="26"/>
        <v>0</v>
      </c>
      <c r="BH60" s="203">
        <v>0</v>
      </c>
      <c r="BI60" s="200">
        <f>+ルスツ羊蹄ぶた!W59/1000</f>
        <v>0</v>
      </c>
      <c r="BJ60" s="201">
        <f t="shared" si="27"/>
        <v>0</v>
      </c>
      <c r="BK60" s="200"/>
      <c r="BL60" s="206">
        <f t="shared" si="28"/>
        <v>0</v>
      </c>
      <c r="BM60" s="199">
        <f t="shared" si="46"/>
        <v>0</v>
      </c>
      <c r="BN60" s="200">
        <f t="shared" si="30"/>
        <v>178.98</v>
      </c>
      <c r="BO60" s="201">
        <f t="shared" si="31"/>
        <v>-178.98</v>
      </c>
      <c r="BP60" s="200">
        <f t="shared" si="32"/>
        <v>0</v>
      </c>
      <c r="BQ60" s="206">
        <f t="shared" si="33"/>
        <v>0</v>
      </c>
      <c r="BR60" s="199">
        <v>60</v>
      </c>
      <c r="BS60" s="200">
        <f>+料飲共通!W59/1000</f>
        <v>114.35</v>
      </c>
      <c r="BT60" s="201">
        <f t="shared" si="34"/>
        <v>-54.349999999999994</v>
      </c>
      <c r="BU60" s="200">
        <v>168</v>
      </c>
      <c r="BV60" s="206">
        <f t="shared" si="35"/>
        <v>-108</v>
      </c>
      <c r="BW60" s="199">
        <f t="shared" si="48"/>
        <v>1266</v>
      </c>
      <c r="BX60" s="200">
        <f t="shared" si="37"/>
        <v>641.37</v>
      </c>
      <c r="BY60" s="201">
        <f t="shared" si="0"/>
        <v>624.63</v>
      </c>
      <c r="BZ60" s="200">
        <f t="shared" si="49"/>
        <v>669</v>
      </c>
      <c r="CA60" s="206">
        <f t="shared" si="39"/>
        <v>597</v>
      </c>
    </row>
    <row r="61" spans="1:79" s="83" customFormat="1" ht="22" hidden="1" customHeight="1" outlineLevel="1">
      <c r="A61" s="99"/>
      <c r="B61" s="96"/>
      <c r="C61" s="88" t="s">
        <v>110</v>
      </c>
      <c r="D61" s="88"/>
      <c r="E61" s="199">
        <v>0</v>
      </c>
      <c r="F61" s="200">
        <f>+ﾇｰﾍﾞﾙﾌﾟｰｽ!W60/1000</f>
        <v>0</v>
      </c>
      <c r="G61" s="201">
        <f t="shared" si="1"/>
        <v>0</v>
      </c>
      <c r="H61" s="200">
        <v>0</v>
      </c>
      <c r="I61" s="202">
        <f t="shared" si="2"/>
        <v>0</v>
      </c>
      <c r="J61" s="203">
        <v>0</v>
      </c>
      <c r="K61" s="200">
        <f>+ｶﾌｪﾙﾎﾟ!W60/1000</f>
        <v>0</v>
      </c>
      <c r="L61" s="201">
        <f t="shared" si="3"/>
        <v>0</v>
      </c>
      <c r="M61" s="200">
        <v>0</v>
      </c>
      <c r="N61" s="204">
        <f t="shared" si="4"/>
        <v>0</v>
      </c>
      <c r="O61" s="205">
        <v>0</v>
      </c>
      <c r="P61" s="200">
        <f>+ｶﾌｪｾﾚｽﾃ!W60/1000</f>
        <v>0</v>
      </c>
      <c r="Q61" s="201">
        <f t="shared" si="5"/>
        <v>0</v>
      </c>
      <c r="R61" s="200">
        <v>0</v>
      </c>
      <c r="S61" s="202">
        <f t="shared" si="6"/>
        <v>0</v>
      </c>
      <c r="T61" s="199">
        <f t="shared" si="7"/>
        <v>0</v>
      </c>
      <c r="U61" s="200">
        <f t="shared" si="8"/>
        <v>0</v>
      </c>
      <c r="V61" s="201">
        <f t="shared" si="9"/>
        <v>0</v>
      </c>
      <c r="W61" s="200">
        <f t="shared" si="10"/>
        <v>0</v>
      </c>
      <c r="X61" s="206">
        <f t="shared" si="11"/>
        <v>0</v>
      </c>
      <c r="Y61" s="205"/>
      <c r="Z61" s="200"/>
      <c r="AA61" s="201">
        <f t="shared" si="12"/>
        <v>0</v>
      </c>
      <c r="AB61" s="200">
        <v>0</v>
      </c>
      <c r="AC61" s="204">
        <f t="shared" si="13"/>
        <v>0</v>
      </c>
      <c r="AD61" s="205">
        <v>0</v>
      </c>
      <c r="AE61" s="200">
        <f>+ｼﾞｭｴﾙｽﾞ!W60/1000</f>
        <v>0</v>
      </c>
      <c r="AF61" s="201">
        <f t="shared" si="14"/>
        <v>0</v>
      </c>
      <c r="AG61" s="200">
        <v>0</v>
      </c>
      <c r="AH61" s="206">
        <f t="shared" si="15"/>
        <v>0</v>
      </c>
      <c r="AI61" s="199">
        <f t="shared" si="40"/>
        <v>0</v>
      </c>
      <c r="AJ61" s="200">
        <f t="shared" si="41"/>
        <v>0</v>
      </c>
      <c r="AK61" s="201">
        <f t="shared" si="42"/>
        <v>0</v>
      </c>
      <c r="AL61" s="200">
        <f t="shared" si="43"/>
        <v>0</v>
      </c>
      <c r="AM61" s="206">
        <f t="shared" si="44"/>
        <v>0</v>
      </c>
      <c r="AN61" s="199">
        <v>0</v>
      </c>
      <c r="AO61" s="200">
        <f>+ｶﾞｰﾃﾞﾝ!W60/1000</f>
        <v>0</v>
      </c>
      <c r="AP61" s="201">
        <f t="shared" si="16"/>
        <v>0</v>
      </c>
      <c r="AQ61" s="200">
        <v>0</v>
      </c>
      <c r="AR61" s="202">
        <f t="shared" si="17"/>
        <v>0</v>
      </c>
      <c r="AS61" s="203">
        <v>0</v>
      </c>
      <c r="AT61" s="200">
        <f>+ﾋﾞｱｶﾞｰﾃﾞﾝ!W60/1000</f>
        <v>0</v>
      </c>
      <c r="AU61" s="201">
        <f t="shared" si="18"/>
        <v>0</v>
      </c>
      <c r="AV61" s="200">
        <v>0</v>
      </c>
      <c r="AW61" s="206">
        <f t="shared" si="19"/>
        <v>0</v>
      </c>
      <c r="AX61" s="199">
        <f t="shared" si="20"/>
        <v>0</v>
      </c>
      <c r="AY61" s="200">
        <f t="shared" si="47"/>
        <v>0</v>
      </c>
      <c r="AZ61" s="201">
        <f t="shared" si="22"/>
        <v>0</v>
      </c>
      <c r="BA61" s="200">
        <f t="shared" si="23"/>
        <v>0</v>
      </c>
      <c r="BB61" s="206">
        <f t="shared" si="24"/>
        <v>0</v>
      </c>
      <c r="BC61" s="199">
        <v>0</v>
      </c>
      <c r="BD61" s="200">
        <f>+ブリック!W60/1000</f>
        <v>0</v>
      </c>
      <c r="BE61" s="201">
        <f t="shared" si="25"/>
        <v>0</v>
      </c>
      <c r="BF61" s="200"/>
      <c r="BG61" s="202">
        <f t="shared" si="26"/>
        <v>0</v>
      </c>
      <c r="BH61" s="203">
        <v>0</v>
      </c>
      <c r="BI61" s="200">
        <f>+ルスツ羊蹄ぶた!W60/1000</f>
        <v>0</v>
      </c>
      <c r="BJ61" s="201">
        <f t="shared" si="27"/>
        <v>0</v>
      </c>
      <c r="BK61" s="200"/>
      <c r="BL61" s="206">
        <f t="shared" si="28"/>
        <v>0</v>
      </c>
      <c r="BM61" s="199">
        <f t="shared" si="46"/>
        <v>0</v>
      </c>
      <c r="BN61" s="200">
        <f t="shared" si="30"/>
        <v>0</v>
      </c>
      <c r="BO61" s="201">
        <f t="shared" si="31"/>
        <v>0</v>
      </c>
      <c r="BP61" s="200">
        <f t="shared" si="32"/>
        <v>0</v>
      </c>
      <c r="BQ61" s="206">
        <f t="shared" si="33"/>
        <v>0</v>
      </c>
      <c r="BR61" s="199">
        <v>0</v>
      </c>
      <c r="BS61" s="200">
        <f>+料飲共通!W60/1000</f>
        <v>0</v>
      </c>
      <c r="BT61" s="201">
        <f t="shared" si="34"/>
        <v>0</v>
      </c>
      <c r="BU61" s="200">
        <v>0</v>
      </c>
      <c r="BV61" s="206">
        <f t="shared" si="35"/>
        <v>0</v>
      </c>
      <c r="BW61" s="199">
        <f t="shared" si="48"/>
        <v>0</v>
      </c>
      <c r="BX61" s="200">
        <f t="shared" si="37"/>
        <v>0</v>
      </c>
      <c r="BY61" s="201">
        <f t="shared" si="0"/>
        <v>0</v>
      </c>
      <c r="BZ61" s="200">
        <f t="shared" si="49"/>
        <v>0</v>
      </c>
      <c r="CA61" s="206">
        <f t="shared" si="39"/>
        <v>0</v>
      </c>
    </row>
    <row r="62" spans="1:79" s="83" customFormat="1" ht="22" customHeight="1" collapsed="1">
      <c r="A62" s="99"/>
      <c r="B62" s="87" t="s">
        <v>112</v>
      </c>
      <c r="C62" s="88"/>
      <c r="D62" s="88"/>
      <c r="E62" s="199">
        <v>984</v>
      </c>
      <c r="F62" s="200">
        <f>+ﾇｰﾍﾞﾙﾌﾟｰｽ!W61/1000</f>
        <v>387.03899999999999</v>
      </c>
      <c r="G62" s="201">
        <f t="shared" si="1"/>
        <v>596.96100000000001</v>
      </c>
      <c r="H62" s="200">
        <v>898</v>
      </c>
      <c r="I62" s="202">
        <f t="shared" si="2"/>
        <v>86</v>
      </c>
      <c r="J62" s="203">
        <v>30.5</v>
      </c>
      <c r="K62" s="200">
        <f>+ｶﾌｪﾙﾎﾟ!W61/1000</f>
        <v>24.204000000000001</v>
      </c>
      <c r="L62" s="201">
        <f t="shared" si="3"/>
        <v>6.2959999999999994</v>
      </c>
      <c r="M62" s="200">
        <v>28</v>
      </c>
      <c r="N62" s="204">
        <f t="shared" si="4"/>
        <v>2.5</v>
      </c>
      <c r="O62" s="205">
        <v>0</v>
      </c>
      <c r="P62" s="200">
        <f>+ｶﾌｪｾﾚｽﾃ!W61/1000</f>
        <v>0</v>
      </c>
      <c r="Q62" s="201">
        <f t="shared" si="5"/>
        <v>0</v>
      </c>
      <c r="R62" s="200">
        <v>0</v>
      </c>
      <c r="S62" s="202">
        <f t="shared" si="6"/>
        <v>0</v>
      </c>
      <c r="T62" s="199">
        <f t="shared" si="7"/>
        <v>1014.5</v>
      </c>
      <c r="U62" s="200">
        <f t="shared" si="8"/>
        <v>411.24299999999999</v>
      </c>
      <c r="V62" s="201">
        <f t="shared" si="9"/>
        <v>603.25700000000006</v>
      </c>
      <c r="W62" s="200">
        <f t="shared" si="10"/>
        <v>926</v>
      </c>
      <c r="X62" s="206">
        <f t="shared" si="11"/>
        <v>88.5</v>
      </c>
      <c r="Y62" s="205"/>
      <c r="Z62" s="200"/>
      <c r="AA62" s="201">
        <f t="shared" si="12"/>
        <v>0</v>
      </c>
      <c r="AB62" s="200">
        <v>48</v>
      </c>
      <c r="AC62" s="204">
        <f t="shared" si="13"/>
        <v>-48</v>
      </c>
      <c r="AD62" s="205">
        <v>764</v>
      </c>
      <c r="AE62" s="200">
        <f>+ｼﾞｭｴﾙｽﾞ!W61/1000</f>
        <v>653.46400000000006</v>
      </c>
      <c r="AF62" s="201">
        <f t="shared" si="14"/>
        <v>110.53599999999994</v>
      </c>
      <c r="AG62" s="200">
        <v>842</v>
      </c>
      <c r="AH62" s="206">
        <f t="shared" si="15"/>
        <v>-78</v>
      </c>
      <c r="AI62" s="199">
        <f t="shared" si="40"/>
        <v>764</v>
      </c>
      <c r="AJ62" s="200">
        <f t="shared" si="41"/>
        <v>653.46400000000006</v>
      </c>
      <c r="AK62" s="201">
        <f t="shared" si="42"/>
        <v>110.53599999999994</v>
      </c>
      <c r="AL62" s="200">
        <f t="shared" si="43"/>
        <v>890</v>
      </c>
      <c r="AM62" s="206">
        <f t="shared" si="44"/>
        <v>-126</v>
      </c>
      <c r="AN62" s="199">
        <v>622.4</v>
      </c>
      <c r="AO62" s="200">
        <f>+ｶﾞｰﾃﾞﾝ!W61/1000</f>
        <v>521.15700000000004</v>
      </c>
      <c r="AP62" s="201">
        <f t="shared" si="16"/>
        <v>101.24299999999994</v>
      </c>
      <c r="AQ62" s="200">
        <v>619</v>
      </c>
      <c r="AR62" s="202">
        <f t="shared" si="17"/>
        <v>3.3999999999999773</v>
      </c>
      <c r="AS62" s="203">
        <v>700</v>
      </c>
      <c r="AT62" s="200">
        <f>+ﾋﾞｱｶﾞｰﾃﾞﾝ!W61/1000</f>
        <v>810.65200000000004</v>
      </c>
      <c r="AU62" s="201">
        <f t="shared" si="18"/>
        <v>-110.65200000000004</v>
      </c>
      <c r="AV62" s="200">
        <v>662</v>
      </c>
      <c r="AW62" s="206">
        <f t="shared" si="19"/>
        <v>38</v>
      </c>
      <c r="AX62" s="199">
        <f t="shared" si="20"/>
        <v>1322.4</v>
      </c>
      <c r="AY62" s="200">
        <f t="shared" si="47"/>
        <v>1331.8090000000002</v>
      </c>
      <c r="AZ62" s="201">
        <f t="shared" si="22"/>
        <v>-9.4090000000001055</v>
      </c>
      <c r="BA62" s="200">
        <f t="shared" si="23"/>
        <v>1281</v>
      </c>
      <c r="BB62" s="206">
        <f t="shared" si="24"/>
        <v>41.400000000000091</v>
      </c>
      <c r="BC62" s="199">
        <v>237.48586060800778</v>
      </c>
      <c r="BD62" s="200">
        <f>+ブリック!W61/1000</f>
        <v>233.92500000000001</v>
      </c>
      <c r="BE62" s="201">
        <f t="shared" si="25"/>
        <v>3.560860608007772</v>
      </c>
      <c r="BF62" s="200"/>
      <c r="BG62" s="202">
        <f t="shared" si="26"/>
        <v>237.48586060800778</v>
      </c>
      <c r="BH62" s="203">
        <v>123.05792924265184</v>
      </c>
      <c r="BI62" s="200">
        <f>+ルスツ羊蹄ぶた!W61/1000</f>
        <v>51.265999999999998</v>
      </c>
      <c r="BJ62" s="201">
        <f t="shared" si="27"/>
        <v>71.791929242651833</v>
      </c>
      <c r="BK62" s="200"/>
      <c r="BL62" s="206">
        <f t="shared" si="28"/>
        <v>123.05792924265184</v>
      </c>
      <c r="BM62" s="199">
        <f t="shared" si="46"/>
        <v>360.54378985065961</v>
      </c>
      <c r="BN62" s="200">
        <f t="shared" si="30"/>
        <v>285.19100000000003</v>
      </c>
      <c r="BO62" s="201">
        <f t="shared" si="31"/>
        <v>75.352789850659576</v>
      </c>
      <c r="BP62" s="200">
        <f t="shared" si="32"/>
        <v>0</v>
      </c>
      <c r="BQ62" s="206">
        <f t="shared" si="33"/>
        <v>360.54378985065961</v>
      </c>
      <c r="BR62" s="199">
        <v>0</v>
      </c>
      <c r="BS62" s="200">
        <f>+料飲共通!W61/1000</f>
        <v>0</v>
      </c>
      <c r="BT62" s="201">
        <f t="shared" si="34"/>
        <v>0</v>
      </c>
      <c r="BU62" s="200">
        <v>0</v>
      </c>
      <c r="BV62" s="206">
        <f t="shared" si="35"/>
        <v>0</v>
      </c>
      <c r="BW62" s="199">
        <f t="shared" si="48"/>
        <v>3461.4437898506599</v>
      </c>
      <c r="BX62" s="200">
        <f t="shared" si="37"/>
        <v>2681.7070000000003</v>
      </c>
      <c r="BY62" s="201">
        <f t="shared" si="0"/>
        <v>779.73678985065953</v>
      </c>
      <c r="BZ62" s="200">
        <f t="shared" si="49"/>
        <v>3097</v>
      </c>
      <c r="CA62" s="206">
        <f t="shared" si="39"/>
        <v>364.44378985065987</v>
      </c>
    </row>
    <row r="63" spans="1:79" s="83" customFormat="1" ht="22" customHeight="1">
      <c r="A63" s="99"/>
      <c r="B63" s="87" t="s">
        <v>114</v>
      </c>
      <c r="C63" s="88"/>
      <c r="D63" s="88"/>
      <c r="E63" s="199">
        <v>0</v>
      </c>
      <c r="F63" s="200">
        <f>+ﾇｰﾍﾞﾙﾌﾟｰｽ!W62/1000</f>
        <v>0</v>
      </c>
      <c r="G63" s="201">
        <f t="shared" si="1"/>
        <v>0</v>
      </c>
      <c r="H63" s="200">
        <v>0</v>
      </c>
      <c r="I63" s="202">
        <f t="shared" si="2"/>
        <v>0</v>
      </c>
      <c r="J63" s="203">
        <v>0</v>
      </c>
      <c r="K63" s="200">
        <f>+ｶﾌｪﾙﾎﾟ!W62/1000</f>
        <v>0</v>
      </c>
      <c r="L63" s="201">
        <f t="shared" si="3"/>
        <v>0</v>
      </c>
      <c r="M63" s="200">
        <v>0</v>
      </c>
      <c r="N63" s="204">
        <f t="shared" si="4"/>
        <v>0</v>
      </c>
      <c r="O63" s="205">
        <v>0</v>
      </c>
      <c r="P63" s="200">
        <f>+ｶﾌｪｾﾚｽﾃ!W62/1000</f>
        <v>0</v>
      </c>
      <c r="Q63" s="201">
        <f t="shared" si="5"/>
        <v>0</v>
      </c>
      <c r="R63" s="200">
        <v>0</v>
      </c>
      <c r="S63" s="202">
        <f t="shared" si="6"/>
        <v>0</v>
      </c>
      <c r="T63" s="199">
        <f t="shared" si="7"/>
        <v>0</v>
      </c>
      <c r="U63" s="200">
        <f t="shared" si="8"/>
        <v>0</v>
      </c>
      <c r="V63" s="201">
        <f t="shared" si="9"/>
        <v>0</v>
      </c>
      <c r="W63" s="200">
        <f t="shared" si="10"/>
        <v>0</v>
      </c>
      <c r="X63" s="206">
        <f t="shared" si="11"/>
        <v>0</v>
      </c>
      <c r="Y63" s="205"/>
      <c r="Z63" s="200"/>
      <c r="AA63" s="201">
        <f t="shared" si="12"/>
        <v>0</v>
      </c>
      <c r="AB63" s="200">
        <v>0</v>
      </c>
      <c r="AC63" s="204">
        <f t="shared" si="13"/>
        <v>0</v>
      </c>
      <c r="AD63" s="205">
        <v>0</v>
      </c>
      <c r="AE63" s="200">
        <f>+ｼﾞｭｴﾙｽﾞ!W62/1000</f>
        <v>0</v>
      </c>
      <c r="AF63" s="201">
        <f t="shared" si="14"/>
        <v>0</v>
      </c>
      <c r="AG63" s="200">
        <v>0</v>
      </c>
      <c r="AH63" s="206">
        <f t="shared" si="15"/>
        <v>0</v>
      </c>
      <c r="AI63" s="199">
        <f t="shared" si="40"/>
        <v>0</v>
      </c>
      <c r="AJ63" s="200">
        <f t="shared" si="41"/>
        <v>0</v>
      </c>
      <c r="AK63" s="201">
        <f t="shared" si="42"/>
        <v>0</v>
      </c>
      <c r="AL63" s="200">
        <f t="shared" si="43"/>
        <v>0</v>
      </c>
      <c r="AM63" s="206">
        <f t="shared" si="44"/>
        <v>0</v>
      </c>
      <c r="AN63" s="199">
        <v>0</v>
      </c>
      <c r="AO63" s="200">
        <f>+ｶﾞｰﾃﾞﾝ!W62/1000</f>
        <v>0</v>
      </c>
      <c r="AP63" s="201">
        <f t="shared" si="16"/>
        <v>0</v>
      </c>
      <c r="AQ63" s="200">
        <v>0</v>
      </c>
      <c r="AR63" s="202">
        <f t="shared" si="17"/>
        <v>0</v>
      </c>
      <c r="AS63" s="203">
        <v>0</v>
      </c>
      <c r="AT63" s="200">
        <f>+ﾋﾞｱｶﾞｰﾃﾞﾝ!W62/1000</f>
        <v>0</v>
      </c>
      <c r="AU63" s="201">
        <f t="shared" si="18"/>
        <v>0</v>
      </c>
      <c r="AV63" s="200">
        <v>0</v>
      </c>
      <c r="AW63" s="206">
        <f t="shared" si="19"/>
        <v>0</v>
      </c>
      <c r="AX63" s="199">
        <f t="shared" si="20"/>
        <v>0</v>
      </c>
      <c r="AY63" s="200">
        <f t="shared" si="47"/>
        <v>0</v>
      </c>
      <c r="AZ63" s="201">
        <f t="shared" si="22"/>
        <v>0</v>
      </c>
      <c r="BA63" s="200">
        <f t="shared" si="23"/>
        <v>0</v>
      </c>
      <c r="BB63" s="206">
        <f t="shared" si="24"/>
        <v>0</v>
      </c>
      <c r="BC63" s="199">
        <v>0</v>
      </c>
      <c r="BD63" s="200">
        <f>+ブリック!W62/1000</f>
        <v>0</v>
      </c>
      <c r="BE63" s="201">
        <f t="shared" si="25"/>
        <v>0</v>
      </c>
      <c r="BF63" s="200"/>
      <c r="BG63" s="202">
        <f t="shared" si="26"/>
        <v>0</v>
      </c>
      <c r="BH63" s="203">
        <v>0</v>
      </c>
      <c r="BI63" s="200">
        <f>+ルスツ羊蹄ぶた!W62/1000</f>
        <v>0</v>
      </c>
      <c r="BJ63" s="201">
        <f t="shared" si="27"/>
        <v>0</v>
      </c>
      <c r="BK63" s="200"/>
      <c r="BL63" s="206">
        <f t="shared" si="28"/>
        <v>0</v>
      </c>
      <c r="BM63" s="199">
        <f t="shared" si="46"/>
        <v>0</v>
      </c>
      <c r="BN63" s="200">
        <f t="shared" si="30"/>
        <v>0</v>
      </c>
      <c r="BO63" s="201">
        <f t="shared" si="31"/>
        <v>0</v>
      </c>
      <c r="BP63" s="200">
        <f t="shared" si="32"/>
        <v>0</v>
      </c>
      <c r="BQ63" s="206">
        <f t="shared" si="33"/>
        <v>0</v>
      </c>
      <c r="BR63" s="199">
        <v>0</v>
      </c>
      <c r="BS63" s="200">
        <f>+料飲共通!W62/1000</f>
        <v>17.652000000000001</v>
      </c>
      <c r="BT63" s="201">
        <f t="shared" si="34"/>
        <v>-17.652000000000001</v>
      </c>
      <c r="BU63" s="200">
        <v>0</v>
      </c>
      <c r="BV63" s="206">
        <f t="shared" si="35"/>
        <v>0</v>
      </c>
      <c r="BW63" s="199">
        <f t="shared" si="48"/>
        <v>0</v>
      </c>
      <c r="BX63" s="200">
        <f t="shared" si="37"/>
        <v>17.652000000000001</v>
      </c>
      <c r="BY63" s="201">
        <f t="shared" si="0"/>
        <v>-17.652000000000001</v>
      </c>
      <c r="BZ63" s="200">
        <f t="shared" si="49"/>
        <v>0</v>
      </c>
      <c r="CA63" s="206">
        <f t="shared" si="39"/>
        <v>0</v>
      </c>
    </row>
    <row r="64" spans="1:79" s="83" customFormat="1" ht="22" customHeight="1">
      <c r="A64" s="99"/>
      <c r="B64" s="87" t="s">
        <v>116</v>
      </c>
      <c r="C64" s="88"/>
      <c r="D64" s="88"/>
      <c r="E64" s="199">
        <v>148.5</v>
      </c>
      <c r="F64" s="200">
        <f>+ﾇｰﾍﾞﾙﾌﾟｰｽ!W63/1000</f>
        <v>3</v>
      </c>
      <c r="G64" s="201">
        <f t="shared" si="1"/>
        <v>145.5</v>
      </c>
      <c r="H64" s="200">
        <v>144</v>
      </c>
      <c r="I64" s="202">
        <f t="shared" si="2"/>
        <v>4.5</v>
      </c>
      <c r="J64" s="203">
        <v>23.5</v>
      </c>
      <c r="K64" s="200">
        <f>+ｶﾌｪﾙﾎﾟ!W63/1000</f>
        <v>0</v>
      </c>
      <c r="L64" s="201">
        <f t="shared" si="3"/>
        <v>23.5</v>
      </c>
      <c r="M64" s="200">
        <v>24</v>
      </c>
      <c r="N64" s="204">
        <f t="shared" si="4"/>
        <v>-0.5</v>
      </c>
      <c r="O64" s="205">
        <v>9.6999999999999993</v>
      </c>
      <c r="P64" s="200">
        <f>+ｶﾌｪｾﾚｽﾃ!W63/1000</f>
        <v>0</v>
      </c>
      <c r="Q64" s="201">
        <f t="shared" si="5"/>
        <v>9.6999999999999993</v>
      </c>
      <c r="R64" s="200">
        <v>10</v>
      </c>
      <c r="S64" s="202">
        <f t="shared" si="6"/>
        <v>-0.30000000000000071</v>
      </c>
      <c r="T64" s="199">
        <f t="shared" si="7"/>
        <v>181.7</v>
      </c>
      <c r="U64" s="200">
        <f t="shared" si="8"/>
        <v>3</v>
      </c>
      <c r="V64" s="201">
        <f t="shared" si="9"/>
        <v>178.7</v>
      </c>
      <c r="W64" s="200">
        <f t="shared" si="10"/>
        <v>178</v>
      </c>
      <c r="X64" s="206">
        <f t="shared" si="11"/>
        <v>3.6999999999999886</v>
      </c>
      <c r="Y64" s="205"/>
      <c r="Z64" s="200"/>
      <c r="AA64" s="201">
        <f t="shared" si="12"/>
        <v>0</v>
      </c>
      <c r="AB64" s="200">
        <v>0</v>
      </c>
      <c r="AC64" s="204">
        <f t="shared" si="13"/>
        <v>0</v>
      </c>
      <c r="AD64" s="205">
        <v>76.3</v>
      </c>
      <c r="AE64" s="200">
        <f>+ｼﾞｭｴﾙｽﾞ!W63/1000</f>
        <v>72.349999999999994</v>
      </c>
      <c r="AF64" s="201">
        <f t="shared" si="14"/>
        <v>3.9500000000000028</v>
      </c>
      <c r="AG64" s="200">
        <v>76</v>
      </c>
      <c r="AH64" s="206">
        <f t="shared" si="15"/>
        <v>0.29999999999999716</v>
      </c>
      <c r="AI64" s="199">
        <f t="shared" si="40"/>
        <v>76.3</v>
      </c>
      <c r="AJ64" s="200">
        <f t="shared" si="41"/>
        <v>72.349999999999994</v>
      </c>
      <c r="AK64" s="201">
        <f t="shared" si="42"/>
        <v>3.9500000000000028</v>
      </c>
      <c r="AL64" s="200">
        <f t="shared" si="43"/>
        <v>76</v>
      </c>
      <c r="AM64" s="206">
        <f t="shared" si="44"/>
        <v>0.29999999999999716</v>
      </c>
      <c r="AN64" s="199">
        <v>260</v>
      </c>
      <c r="AO64" s="200">
        <f>+ｶﾞｰﾃﾞﾝ!W63/1000</f>
        <v>18.3</v>
      </c>
      <c r="AP64" s="201">
        <f t="shared" si="16"/>
        <v>241.7</v>
      </c>
      <c r="AQ64" s="200">
        <v>272</v>
      </c>
      <c r="AR64" s="202">
        <f t="shared" si="17"/>
        <v>-12</v>
      </c>
      <c r="AS64" s="203">
        <v>26.9</v>
      </c>
      <c r="AT64" s="200">
        <f>+ﾋﾞｱｶﾞｰﾃﾞﾝ!W63/1000</f>
        <v>0</v>
      </c>
      <c r="AU64" s="201">
        <f t="shared" si="18"/>
        <v>26.9</v>
      </c>
      <c r="AV64" s="200">
        <v>24</v>
      </c>
      <c r="AW64" s="206">
        <f t="shared" si="19"/>
        <v>2.8999999999999986</v>
      </c>
      <c r="AX64" s="199">
        <f t="shared" si="20"/>
        <v>286.89999999999998</v>
      </c>
      <c r="AY64" s="200">
        <f t="shared" si="47"/>
        <v>18.3</v>
      </c>
      <c r="AZ64" s="201">
        <f t="shared" si="22"/>
        <v>268.59999999999997</v>
      </c>
      <c r="BA64" s="200">
        <f t="shared" si="23"/>
        <v>296</v>
      </c>
      <c r="BB64" s="206">
        <f t="shared" si="24"/>
        <v>-9.1000000000000227</v>
      </c>
      <c r="BC64" s="199">
        <v>323.39999999999992</v>
      </c>
      <c r="BD64" s="200">
        <f>+ブリック!W63/1000</f>
        <v>4.05</v>
      </c>
      <c r="BE64" s="201">
        <f t="shared" si="25"/>
        <v>319.34999999999991</v>
      </c>
      <c r="BF64" s="200"/>
      <c r="BG64" s="202">
        <f t="shared" si="26"/>
        <v>323.39999999999992</v>
      </c>
      <c r="BH64" s="203">
        <v>58.79999999999999</v>
      </c>
      <c r="BI64" s="200">
        <f>+ルスツ羊蹄ぶた!W63/1000</f>
        <v>0</v>
      </c>
      <c r="BJ64" s="201">
        <f t="shared" si="27"/>
        <v>58.79999999999999</v>
      </c>
      <c r="BK64" s="200"/>
      <c r="BL64" s="206">
        <f t="shared" si="28"/>
        <v>58.79999999999999</v>
      </c>
      <c r="BM64" s="199">
        <f t="shared" si="46"/>
        <v>382.19999999999993</v>
      </c>
      <c r="BN64" s="200">
        <f t="shared" si="30"/>
        <v>4.05</v>
      </c>
      <c r="BO64" s="201">
        <f t="shared" si="31"/>
        <v>378.14999999999992</v>
      </c>
      <c r="BP64" s="200">
        <f t="shared" si="32"/>
        <v>0</v>
      </c>
      <c r="BQ64" s="206">
        <f t="shared" si="33"/>
        <v>382.19999999999993</v>
      </c>
      <c r="BR64" s="199">
        <v>0</v>
      </c>
      <c r="BS64" s="200">
        <f>+料飲共通!W63/1000</f>
        <v>0</v>
      </c>
      <c r="BT64" s="201">
        <f t="shared" si="34"/>
        <v>0</v>
      </c>
      <c r="BU64" s="200">
        <v>0</v>
      </c>
      <c r="BV64" s="206">
        <f t="shared" si="35"/>
        <v>0</v>
      </c>
      <c r="BW64" s="199">
        <f t="shared" si="48"/>
        <v>927.09999999999991</v>
      </c>
      <c r="BX64" s="200">
        <f t="shared" si="37"/>
        <v>97.699999999999989</v>
      </c>
      <c r="BY64" s="201">
        <f t="shared" si="0"/>
        <v>829.39999999999986</v>
      </c>
      <c r="BZ64" s="200">
        <f t="shared" si="49"/>
        <v>550</v>
      </c>
      <c r="CA64" s="206">
        <f t="shared" si="39"/>
        <v>377.09999999999991</v>
      </c>
    </row>
    <row r="65" spans="1:79" s="83" customFormat="1" ht="22" customHeight="1">
      <c r="A65" s="99"/>
      <c r="B65" s="87" t="s">
        <v>118</v>
      </c>
      <c r="C65" s="88"/>
      <c r="D65" s="88"/>
      <c r="E65" s="199">
        <v>130</v>
      </c>
      <c r="F65" s="200">
        <f>+ﾇｰﾍﾞﾙﾌﾟｰｽ!W64/1000</f>
        <v>180</v>
      </c>
      <c r="G65" s="201">
        <f t="shared" si="1"/>
        <v>-50</v>
      </c>
      <c r="H65" s="200">
        <v>74</v>
      </c>
      <c r="I65" s="202">
        <f t="shared" si="2"/>
        <v>56</v>
      </c>
      <c r="J65" s="203">
        <v>0</v>
      </c>
      <c r="K65" s="200">
        <f>+ｶﾌｪﾙﾎﾟ!W64/1000</f>
        <v>0</v>
      </c>
      <c r="L65" s="201">
        <f t="shared" si="3"/>
        <v>0</v>
      </c>
      <c r="M65" s="200">
        <v>0</v>
      </c>
      <c r="N65" s="204">
        <f t="shared" si="4"/>
        <v>0</v>
      </c>
      <c r="O65" s="205">
        <v>0</v>
      </c>
      <c r="P65" s="200">
        <f>+ｶﾌｪｾﾚｽﾃ!W64/1000</f>
        <v>0</v>
      </c>
      <c r="Q65" s="201">
        <f t="shared" si="5"/>
        <v>0</v>
      </c>
      <c r="R65" s="200">
        <v>0</v>
      </c>
      <c r="S65" s="202">
        <f t="shared" si="6"/>
        <v>0</v>
      </c>
      <c r="T65" s="199">
        <f t="shared" si="7"/>
        <v>130</v>
      </c>
      <c r="U65" s="200">
        <f t="shared" si="8"/>
        <v>180</v>
      </c>
      <c r="V65" s="201">
        <f t="shared" si="9"/>
        <v>-50</v>
      </c>
      <c r="W65" s="200">
        <f t="shared" si="10"/>
        <v>74</v>
      </c>
      <c r="X65" s="206">
        <f t="shared" si="11"/>
        <v>56</v>
      </c>
      <c r="Y65" s="205"/>
      <c r="Z65" s="200"/>
      <c r="AA65" s="201">
        <f t="shared" si="12"/>
        <v>0</v>
      </c>
      <c r="AB65" s="200">
        <v>0</v>
      </c>
      <c r="AC65" s="204">
        <f t="shared" si="13"/>
        <v>0</v>
      </c>
      <c r="AD65" s="205">
        <v>135</v>
      </c>
      <c r="AE65" s="200">
        <f>+ｼﾞｭｴﾙｽﾞ!W64/1000</f>
        <v>115</v>
      </c>
      <c r="AF65" s="201">
        <f t="shared" si="14"/>
        <v>20</v>
      </c>
      <c r="AG65" s="200">
        <v>37</v>
      </c>
      <c r="AH65" s="206">
        <f t="shared" si="15"/>
        <v>98</v>
      </c>
      <c r="AI65" s="199">
        <f t="shared" si="40"/>
        <v>135</v>
      </c>
      <c r="AJ65" s="200">
        <f t="shared" si="41"/>
        <v>115</v>
      </c>
      <c r="AK65" s="201">
        <f t="shared" si="42"/>
        <v>20</v>
      </c>
      <c r="AL65" s="200">
        <f t="shared" si="43"/>
        <v>37</v>
      </c>
      <c r="AM65" s="206">
        <f t="shared" si="44"/>
        <v>98</v>
      </c>
      <c r="AN65" s="199">
        <v>165</v>
      </c>
      <c r="AO65" s="200">
        <f>+ｶﾞｰﾃﾞﾝ!W64/1000</f>
        <v>65</v>
      </c>
      <c r="AP65" s="201">
        <f t="shared" si="16"/>
        <v>100</v>
      </c>
      <c r="AQ65" s="200">
        <v>66</v>
      </c>
      <c r="AR65" s="202">
        <f t="shared" si="17"/>
        <v>99</v>
      </c>
      <c r="AS65" s="203">
        <v>0</v>
      </c>
      <c r="AT65" s="200">
        <f>+ﾋﾞｱｶﾞｰﾃﾞﾝ!W64/1000</f>
        <v>0</v>
      </c>
      <c r="AU65" s="201">
        <f t="shared" si="18"/>
        <v>0</v>
      </c>
      <c r="AV65" s="200">
        <v>0</v>
      </c>
      <c r="AW65" s="206">
        <f t="shared" si="19"/>
        <v>0</v>
      </c>
      <c r="AX65" s="199">
        <f t="shared" si="20"/>
        <v>165</v>
      </c>
      <c r="AY65" s="200">
        <f t="shared" si="47"/>
        <v>65</v>
      </c>
      <c r="AZ65" s="201">
        <f t="shared" si="22"/>
        <v>100</v>
      </c>
      <c r="BA65" s="200">
        <f t="shared" si="23"/>
        <v>66</v>
      </c>
      <c r="BB65" s="206">
        <f t="shared" si="24"/>
        <v>99</v>
      </c>
      <c r="BC65" s="199">
        <v>0</v>
      </c>
      <c r="BD65" s="200">
        <f>+ブリック!W64/1000</f>
        <v>15</v>
      </c>
      <c r="BE65" s="201">
        <f t="shared" si="25"/>
        <v>-15</v>
      </c>
      <c r="BF65" s="200"/>
      <c r="BG65" s="202">
        <f t="shared" si="26"/>
        <v>0</v>
      </c>
      <c r="BH65" s="203">
        <v>0</v>
      </c>
      <c r="BI65" s="200">
        <f>+ルスツ羊蹄ぶた!W64/1000</f>
        <v>0</v>
      </c>
      <c r="BJ65" s="201">
        <f t="shared" si="27"/>
        <v>0</v>
      </c>
      <c r="BK65" s="200"/>
      <c r="BL65" s="206">
        <f t="shared" si="28"/>
        <v>0</v>
      </c>
      <c r="BM65" s="199">
        <f t="shared" si="46"/>
        <v>0</v>
      </c>
      <c r="BN65" s="200">
        <f t="shared" si="30"/>
        <v>15</v>
      </c>
      <c r="BO65" s="201">
        <f t="shared" si="31"/>
        <v>-15</v>
      </c>
      <c r="BP65" s="200">
        <f t="shared" si="32"/>
        <v>0</v>
      </c>
      <c r="BQ65" s="206">
        <f t="shared" si="33"/>
        <v>0</v>
      </c>
      <c r="BR65" s="199">
        <v>15</v>
      </c>
      <c r="BS65" s="200">
        <f>+料飲共通!W64/1000</f>
        <v>190</v>
      </c>
      <c r="BT65" s="201">
        <f t="shared" si="34"/>
        <v>-175</v>
      </c>
      <c r="BU65" s="200">
        <v>15</v>
      </c>
      <c r="BV65" s="206">
        <f t="shared" si="35"/>
        <v>0</v>
      </c>
      <c r="BW65" s="199">
        <f t="shared" si="48"/>
        <v>445</v>
      </c>
      <c r="BX65" s="200">
        <f t="shared" si="37"/>
        <v>565</v>
      </c>
      <c r="BY65" s="201">
        <f t="shared" si="0"/>
        <v>-120</v>
      </c>
      <c r="BZ65" s="200">
        <f t="shared" si="49"/>
        <v>192</v>
      </c>
      <c r="CA65" s="206">
        <f t="shared" si="39"/>
        <v>253</v>
      </c>
    </row>
    <row r="66" spans="1:79" s="83" customFormat="1" ht="22" customHeight="1">
      <c r="A66" s="99"/>
      <c r="B66" s="87" t="s">
        <v>120</v>
      </c>
      <c r="C66" s="88"/>
      <c r="D66" s="88"/>
      <c r="E66" s="199">
        <v>2991.44</v>
      </c>
      <c r="F66" s="200">
        <f>+ﾇｰﾍﾞﾙﾌﾟｰｽ!W65/1000</f>
        <v>4029.252</v>
      </c>
      <c r="G66" s="201">
        <f t="shared" si="1"/>
        <v>-1037.8119999999999</v>
      </c>
      <c r="H66" s="200">
        <v>3284</v>
      </c>
      <c r="I66" s="202">
        <f t="shared" si="2"/>
        <v>-292.55999999999995</v>
      </c>
      <c r="J66" s="203">
        <v>184</v>
      </c>
      <c r="K66" s="200">
        <f>+ｶﾌｪﾙﾎﾟ!W65/1000</f>
        <v>197</v>
      </c>
      <c r="L66" s="201">
        <f t="shared" si="3"/>
        <v>-13</v>
      </c>
      <c r="M66" s="200">
        <v>284</v>
      </c>
      <c r="N66" s="204">
        <f t="shared" si="4"/>
        <v>-100</v>
      </c>
      <c r="O66" s="205">
        <v>290</v>
      </c>
      <c r="P66" s="200">
        <f>+ｶﾌｪｾﾚｽﾃ!W65/1000</f>
        <v>218</v>
      </c>
      <c r="Q66" s="201">
        <f t="shared" si="5"/>
        <v>72</v>
      </c>
      <c r="R66" s="200">
        <v>168</v>
      </c>
      <c r="S66" s="202">
        <f t="shared" si="6"/>
        <v>122</v>
      </c>
      <c r="T66" s="199">
        <f t="shared" si="7"/>
        <v>3465.44</v>
      </c>
      <c r="U66" s="200">
        <f t="shared" si="8"/>
        <v>4444.2520000000004</v>
      </c>
      <c r="V66" s="201">
        <f t="shared" si="9"/>
        <v>-978.81200000000035</v>
      </c>
      <c r="W66" s="200">
        <f t="shared" si="10"/>
        <v>3736</v>
      </c>
      <c r="X66" s="206">
        <f t="shared" si="11"/>
        <v>-270.55999999999995</v>
      </c>
      <c r="Y66" s="205"/>
      <c r="Z66" s="200"/>
      <c r="AA66" s="201">
        <f t="shared" si="12"/>
        <v>0</v>
      </c>
      <c r="AB66" s="200">
        <v>679</v>
      </c>
      <c r="AC66" s="204">
        <f t="shared" si="13"/>
        <v>-679</v>
      </c>
      <c r="AD66" s="205">
        <v>3997.44</v>
      </c>
      <c r="AE66" s="200">
        <f>+ｼﾞｭｴﾙｽﾞ!W65/1000</f>
        <v>3766.9749999999999</v>
      </c>
      <c r="AF66" s="201">
        <f t="shared" si="14"/>
        <v>230.46500000000015</v>
      </c>
      <c r="AG66" s="200">
        <v>4936</v>
      </c>
      <c r="AH66" s="206">
        <f t="shared" si="15"/>
        <v>-938.56</v>
      </c>
      <c r="AI66" s="199">
        <f t="shared" si="40"/>
        <v>3997.44</v>
      </c>
      <c r="AJ66" s="200">
        <f t="shared" si="41"/>
        <v>3766.9749999999999</v>
      </c>
      <c r="AK66" s="201">
        <f t="shared" si="42"/>
        <v>230.46500000000015</v>
      </c>
      <c r="AL66" s="200">
        <f t="shared" si="43"/>
        <v>5615</v>
      </c>
      <c r="AM66" s="206">
        <f t="shared" si="44"/>
        <v>-1617.56</v>
      </c>
      <c r="AN66" s="199">
        <v>5337.64</v>
      </c>
      <c r="AO66" s="200">
        <f>+ｶﾞｰﾃﾞﾝ!W65/1000</f>
        <v>6455.1229999999996</v>
      </c>
      <c r="AP66" s="201">
        <f t="shared" si="16"/>
        <v>-1117.4829999999993</v>
      </c>
      <c r="AQ66" s="200">
        <v>6251</v>
      </c>
      <c r="AR66" s="202">
        <f t="shared" si="17"/>
        <v>-913.35999999999967</v>
      </c>
      <c r="AS66" s="203">
        <v>39740.5</v>
      </c>
      <c r="AT66" s="200">
        <f>+ﾋﾞｱｶﾞｰﾃﾞﾝ!W65/1000</f>
        <v>45669.087</v>
      </c>
      <c r="AU66" s="201">
        <f t="shared" si="18"/>
        <v>-5928.5869999999995</v>
      </c>
      <c r="AV66" s="200">
        <v>53569</v>
      </c>
      <c r="AW66" s="206">
        <f t="shared" si="19"/>
        <v>-13828.5</v>
      </c>
      <c r="AX66" s="199">
        <f t="shared" si="20"/>
        <v>45078.14</v>
      </c>
      <c r="AY66" s="200">
        <f t="shared" si="47"/>
        <v>52124.21</v>
      </c>
      <c r="AZ66" s="201">
        <f t="shared" si="22"/>
        <v>-7046.07</v>
      </c>
      <c r="BA66" s="200">
        <f t="shared" si="23"/>
        <v>59820</v>
      </c>
      <c r="BB66" s="206">
        <f t="shared" si="24"/>
        <v>-14741.86</v>
      </c>
      <c r="BC66" s="199">
        <v>2114.0649071656871</v>
      </c>
      <c r="BD66" s="200">
        <f>+ブリック!W65/1000</f>
        <v>4337.9539999999997</v>
      </c>
      <c r="BE66" s="201">
        <f t="shared" si="25"/>
        <v>-2223.8890928343126</v>
      </c>
      <c r="BF66" s="200"/>
      <c r="BG66" s="202">
        <f t="shared" si="26"/>
        <v>2114.0649071656871</v>
      </c>
      <c r="BH66" s="203">
        <v>1206.0342185232603</v>
      </c>
      <c r="BI66" s="200">
        <f>+ルスツ羊蹄ぶた!W65/1000</f>
        <v>1313.5630000000001</v>
      </c>
      <c r="BJ66" s="201">
        <f t="shared" si="27"/>
        <v>-107.52878147673982</v>
      </c>
      <c r="BK66" s="200"/>
      <c r="BL66" s="206">
        <f t="shared" si="28"/>
        <v>1206.0342185232603</v>
      </c>
      <c r="BM66" s="199">
        <f t="shared" si="46"/>
        <v>3320.0991256889474</v>
      </c>
      <c r="BN66" s="200">
        <f t="shared" si="30"/>
        <v>5651.5169999999998</v>
      </c>
      <c r="BO66" s="201">
        <f t="shared" si="31"/>
        <v>-2331.4178743110524</v>
      </c>
      <c r="BP66" s="200">
        <f t="shared" si="32"/>
        <v>0</v>
      </c>
      <c r="BQ66" s="206">
        <f t="shared" si="33"/>
        <v>3320.0991256889474</v>
      </c>
      <c r="BR66" s="199">
        <v>909.75</v>
      </c>
      <c r="BS66" s="200">
        <f>+料飲共通!W65/1000</f>
        <v>1124.0999999999999</v>
      </c>
      <c r="BT66" s="201">
        <f t="shared" si="34"/>
        <v>-214.34999999999991</v>
      </c>
      <c r="BU66" s="200">
        <v>1151</v>
      </c>
      <c r="BV66" s="206">
        <f t="shared" si="35"/>
        <v>-241.25</v>
      </c>
      <c r="BW66" s="199">
        <f t="shared" si="48"/>
        <v>56770.869125688943</v>
      </c>
      <c r="BX66" s="200">
        <f t="shared" si="37"/>
        <v>67111.054000000004</v>
      </c>
      <c r="BY66" s="201">
        <f t="shared" si="0"/>
        <v>-10340.18487431106</v>
      </c>
      <c r="BZ66" s="200">
        <f t="shared" si="49"/>
        <v>70322</v>
      </c>
      <c r="CA66" s="206">
        <f t="shared" si="39"/>
        <v>-13551.130874311057</v>
      </c>
    </row>
    <row r="67" spans="1:79" s="83" customFormat="1" ht="22" customHeight="1">
      <c r="A67" s="99"/>
      <c r="B67" s="87" t="s">
        <v>122</v>
      </c>
      <c r="C67" s="88"/>
      <c r="D67" s="88"/>
      <c r="E67" s="199">
        <v>0</v>
      </c>
      <c r="F67" s="200">
        <f>+ﾇｰﾍﾞﾙﾌﾟｰｽ!W66/1000</f>
        <v>0</v>
      </c>
      <c r="G67" s="201">
        <f t="shared" si="1"/>
        <v>0</v>
      </c>
      <c r="H67" s="200">
        <v>0</v>
      </c>
      <c r="I67" s="202">
        <f t="shared" si="2"/>
        <v>0</v>
      </c>
      <c r="J67" s="203">
        <v>0</v>
      </c>
      <c r="K67" s="200">
        <f>+ｶﾌｪﾙﾎﾟ!W66/1000</f>
        <v>0</v>
      </c>
      <c r="L67" s="201">
        <f t="shared" si="3"/>
        <v>0</v>
      </c>
      <c r="M67" s="200">
        <v>0</v>
      </c>
      <c r="N67" s="204">
        <f t="shared" si="4"/>
        <v>0</v>
      </c>
      <c r="O67" s="205">
        <v>0</v>
      </c>
      <c r="P67" s="200">
        <f>+ｶﾌｪｾﾚｽﾃ!W66/1000</f>
        <v>0</v>
      </c>
      <c r="Q67" s="201">
        <f t="shared" si="5"/>
        <v>0</v>
      </c>
      <c r="R67" s="200">
        <v>0</v>
      </c>
      <c r="S67" s="202">
        <f t="shared" si="6"/>
        <v>0</v>
      </c>
      <c r="T67" s="199">
        <f t="shared" si="7"/>
        <v>0</v>
      </c>
      <c r="U67" s="200">
        <f t="shared" si="8"/>
        <v>0</v>
      </c>
      <c r="V67" s="201">
        <f t="shared" si="9"/>
        <v>0</v>
      </c>
      <c r="W67" s="200">
        <f t="shared" si="10"/>
        <v>0</v>
      </c>
      <c r="X67" s="206">
        <f t="shared" si="11"/>
        <v>0</v>
      </c>
      <c r="Y67" s="205"/>
      <c r="Z67" s="200"/>
      <c r="AA67" s="201">
        <f t="shared" si="12"/>
        <v>0</v>
      </c>
      <c r="AB67" s="200">
        <v>0</v>
      </c>
      <c r="AC67" s="204">
        <f t="shared" si="13"/>
        <v>0</v>
      </c>
      <c r="AD67" s="205">
        <v>0</v>
      </c>
      <c r="AE67" s="200">
        <f>+ｼﾞｭｴﾙｽﾞ!W66/1000</f>
        <v>0</v>
      </c>
      <c r="AF67" s="201">
        <f t="shared" si="14"/>
        <v>0</v>
      </c>
      <c r="AG67" s="200">
        <v>0</v>
      </c>
      <c r="AH67" s="206">
        <f t="shared" si="15"/>
        <v>0</v>
      </c>
      <c r="AI67" s="199">
        <f t="shared" si="40"/>
        <v>0</v>
      </c>
      <c r="AJ67" s="200">
        <f t="shared" si="41"/>
        <v>0</v>
      </c>
      <c r="AK67" s="201">
        <f t="shared" si="42"/>
        <v>0</v>
      </c>
      <c r="AL67" s="200">
        <f t="shared" si="43"/>
        <v>0</v>
      </c>
      <c r="AM67" s="206">
        <f t="shared" si="44"/>
        <v>0</v>
      </c>
      <c r="AN67" s="199">
        <v>0</v>
      </c>
      <c r="AO67" s="200">
        <f>+ｶﾞｰﾃﾞﾝ!W66/1000</f>
        <v>0</v>
      </c>
      <c r="AP67" s="201">
        <f t="shared" si="16"/>
        <v>0</v>
      </c>
      <c r="AQ67" s="200">
        <v>0</v>
      </c>
      <c r="AR67" s="202">
        <f t="shared" si="17"/>
        <v>0</v>
      </c>
      <c r="AS67" s="203">
        <v>0</v>
      </c>
      <c r="AT67" s="200">
        <f>+ﾋﾞｱｶﾞｰﾃﾞﾝ!W66/1000</f>
        <v>0</v>
      </c>
      <c r="AU67" s="201">
        <f t="shared" si="18"/>
        <v>0</v>
      </c>
      <c r="AV67" s="200">
        <v>0</v>
      </c>
      <c r="AW67" s="206">
        <f t="shared" si="19"/>
        <v>0</v>
      </c>
      <c r="AX67" s="199">
        <f t="shared" si="20"/>
        <v>0</v>
      </c>
      <c r="AY67" s="200">
        <f t="shared" si="47"/>
        <v>0</v>
      </c>
      <c r="AZ67" s="201">
        <f t="shared" si="22"/>
        <v>0</v>
      </c>
      <c r="BA67" s="200">
        <f t="shared" si="23"/>
        <v>0</v>
      </c>
      <c r="BB67" s="206">
        <f t="shared" si="24"/>
        <v>0</v>
      </c>
      <c r="BC67" s="199">
        <v>0</v>
      </c>
      <c r="BD67" s="200">
        <f>+ブリック!W66/1000</f>
        <v>0</v>
      </c>
      <c r="BE67" s="201">
        <f t="shared" si="25"/>
        <v>0</v>
      </c>
      <c r="BF67" s="200"/>
      <c r="BG67" s="202">
        <f t="shared" si="26"/>
        <v>0</v>
      </c>
      <c r="BH67" s="203">
        <v>0</v>
      </c>
      <c r="BI67" s="200">
        <f>+ルスツ羊蹄ぶた!W66/1000</f>
        <v>0</v>
      </c>
      <c r="BJ67" s="201">
        <f t="shared" si="27"/>
        <v>0</v>
      </c>
      <c r="BK67" s="200"/>
      <c r="BL67" s="206">
        <f t="shared" si="28"/>
        <v>0</v>
      </c>
      <c r="BM67" s="199">
        <f t="shared" si="46"/>
        <v>0</v>
      </c>
      <c r="BN67" s="200">
        <f t="shared" si="30"/>
        <v>0</v>
      </c>
      <c r="BO67" s="201">
        <f t="shared" si="31"/>
        <v>0</v>
      </c>
      <c r="BP67" s="200">
        <f t="shared" si="32"/>
        <v>0</v>
      </c>
      <c r="BQ67" s="206">
        <f t="shared" si="33"/>
        <v>0</v>
      </c>
      <c r="BR67" s="199">
        <v>0</v>
      </c>
      <c r="BS67" s="200">
        <f>+料飲共通!W66/1000</f>
        <v>0</v>
      </c>
      <c r="BT67" s="201">
        <f t="shared" si="34"/>
        <v>0</v>
      </c>
      <c r="BU67" s="200">
        <v>0</v>
      </c>
      <c r="BV67" s="206">
        <f t="shared" si="35"/>
        <v>0</v>
      </c>
      <c r="BW67" s="199">
        <f t="shared" si="48"/>
        <v>0</v>
      </c>
      <c r="BX67" s="200">
        <f t="shared" si="37"/>
        <v>0</v>
      </c>
      <c r="BY67" s="201">
        <f t="shared" si="0"/>
        <v>0</v>
      </c>
      <c r="BZ67" s="200">
        <f t="shared" si="49"/>
        <v>0</v>
      </c>
      <c r="CA67" s="206">
        <f t="shared" si="39"/>
        <v>0</v>
      </c>
    </row>
    <row r="68" spans="1:79" s="83" customFormat="1" ht="22" customHeight="1">
      <c r="A68" s="99"/>
      <c r="B68" s="87" t="s">
        <v>124</v>
      </c>
      <c r="C68" s="88"/>
      <c r="D68" s="88"/>
      <c r="E68" s="199">
        <v>5175.3280000000004</v>
      </c>
      <c r="F68" s="200">
        <f>+ﾇｰﾍﾞﾙﾌﾟｰｽ!W67/1000</f>
        <v>3798.3220000000001</v>
      </c>
      <c r="G68" s="201">
        <f t="shared" si="1"/>
        <v>1377.0060000000003</v>
      </c>
      <c r="H68" s="200">
        <v>4755</v>
      </c>
      <c r="I68" s="202">
        <f t="shared" si="2"/>
        <v>420.32800000000043</v>
      </c>
      <c r="J68" s="203">
        <v>160</v>
      </c>
      <c r="K68" s="200">
        <f>+ｶﾌｪﾙﾎﾟ!W67/1000</f>
        <v>124.17100000000001</v>
      </c>
      <c r="L68" s="201">
        <f t="shared" si="3"/>
        <v>35.828999999999994</v>
      </c>
      <c r="M68" s="200">
        <v>163</v>
      </c>
      <c r="N68" s="204">
        <f t="shared" si="4"/>
        <v>-3</v>
      </c>
      <c r="O68" s="205">
        <v>160</v>
      </c>
      <c r="P68" s="200">
        <f>+ｶﾌｪｾﾚｽﾃ!W67/1000</f>
        <v>278.73599999999999</v>
      </c>
      <c r="Q68" s="201">
        <f t="shared" si="5"/>
        <v>-118.73599999999999</v>
      </c>
      <c r="R68" s="200">
        <v>189</v>
      </c>
      <c r="S68" s="202">
        <f t="shared" si="6"/>
        <v>-29</v>
      </c>
      <c r="T68" s="199">
        <f t="shared" si="7"/>
        <v>5495.3280000000004</v>
      </c>
      <c r="U68" s="200">
        <f t="shared" si="8"/>
        <v>4201.2290000000003</v>
      </c>
      <c r="V68" s="201">
        <f t="shared" si="9"/>
        <v>1294.0990000000002</v>
      </c>
      <c r="W68" s="200">
        <f t="shared" si="10"/>
        <v>5107</v>
      </c>
      <c r="X68" s="206">
        <f t="shared" si="11"/>
        <v>388.32800000000043</v>
      </c>
      <c r="Y68" s="205"/>
      <c r="Z68" s="200"/>
      <c r="AA68" s="201">
        <f t="shared" si="12"/>
        <v>0</v>
      </c>
      <c r="AB68" s="200">
        <v>0</v>
      </c>
      <c r="AC68" s="204">
        <f t="shared" si="13"/>
        <v>0</v>
      </c>
      <c r="AD68" s="205">
        <v>4544.5990000000002</v>
      </c>
      <c r="AE68" s="200">
        <f>+ｼﾞｭｴﾙｽﾞ!W67/1000</f>
        <v>4480.2240000000002</v>
      </c>
      <c r="AF68" s="201">
        <f t="shared" si="14"/>
        <v>64.375</v>
      </c>
      <c r="AG68" s="200">
        <v>4848</v>
      </c>
      <c r="AH68" s="206">
        <f t="shared" si="15"/>
        <v>-303.40099999999984</v>
      </c>
      <c r="AI68" s="199">
        <f t="shared" si="40"/>
        <v>4544.5990000000002</v>
      </c>
      <c r="AJ68" s="200">
        <f t="shared" si="41"/>
        <v>4480.2240000000002</v>
      </c>
      <c r="AK68" s="201">
        <f t="shared" si="42"/>
        <v>64.375</v>
      </c>
      <c r="AL68" s="200">
        <f t="shared" si="43"/>
        <v>4848</v>
      </c>
      <c r="AM68" s="206">
        <f t="shared" si="44"/>
        <v>-303.40099999999984</v>
      </c>
      <c r="AN68" s="199">
        <v>3853.22</v>
      </c>
      <c r="AO68" s="200">
        <f>+ｶﾞｰﾃﾞﾝ!W67/1000</f>
        <v>3911.221</v>
      </c>
      <c r="AP68" s="201">
        <f t="shared" si="16"/>
        <v>-58.001000000000204</v>
      </c>
      <c r="AQ68" s="200">
        <v>3589</v>
      </c>
      <c r="AR68" s="202">
        <f t="shared" si="17"/>
        <v>264.2199999999998</v>
      </c>
      <c r="AS68" s="203">
        <v>1920</v>
      </c>
      <c r="AT68" s="200">
        <f>+ﾋﾞｱｶﾞｰﾃﾞﾝ!W67/1000</f>
        <v>2650.3530000000001</v>
      </c>
      <c r="AU68" s="201">
        <f t="shared" si="18"/>
        <v>-730.35300000000007</v>
      </c>
      <c r="AV68" s="200">
        <v>1930</v>
      </c>
      <c r="AW68" s="206">
        <f t="shared" si="19"/>
        <v>-10</v>
      </c>
      <c r="AX68" s="199">
        <f t="shared" si="20"/>
        <v>5773.2199999999993</v>
      </c>
      <c r="AY68" s="200">
        <f t="shared" si="47"/>
        <v>6561.5740000000005</v>
      </c>
      <c r="AZ68" s="201">
        <f t="shared" si="22"/>
        <v>-788.35400000000118</v>
      </c>
      <c r="BA68" s="200">
        <f t="shared" si="23"/>
        <v>5519</v>
      </c>
      <c r="BB68" s="206">
        <f t="shared" si="24"/>
        <v>254.21999999999935</v>
      </c>
      <c r="BC68" s="199">
        <v>2334.0827988070296</v>
      </c>
      <c r="BD68" s="200">
        <f>+ブリック!W67/1000</f>
        <v>2594.4070000000002</v>
      </c>
      <c r="BE68" s="201">
        <f t="shared" si="25"/>
        <v>-260.32420119297058</v>
      </c>
      <c r="BF68" s="200"/>
      <c r="BG68" s="202">
        <f t="shared" si="26"/>
        <v>2334.0827988070296</v>
      </c>
      <c r="BH68" s="203">
        <v>1808.5031234627877</v>
      </c>
      <c r="BI68" s="200">
        <f>+ルスツ羊蹄ぶた!W67/1000</f>
        <v>922.35299999999995</v>
      </c>
      <c r="BJ68" s="201">
        <f t="shared" si="27"/>
        <v>886.15012346278775</v>
      </c>
      <c r="BK68" s="200"/>
      <c r="BL68" s="206">
        <f t="shared" si="28"/>
        <v>1808.5031234627877</v>
      </c>
      <c r="BM68" s="199">
        <f t="shared" si="46"/>
        <v>4142.5859222698173</v>
      </c>
      <c r="BN68" s="200">
        <f t="shared" si="30"/>
        <v>3516.76</v>
      </c>
      <c r="BO68" s="201">
        <f t="shared" si="31"/>
        <v>625.82592226981706</v>
      </c>
      <c r="BP68" s="200">
        <f t="shared" si="32"/>
        <v>0</v>
      </c>
      <c r="BQ68" s="206">
        <f t="shared" si="33"/>
        <v>4142.5859222698173</v>
      </c>
      <c r="BR68" s="199">
        <v>11.5</v>
      </c>
      <c r="BS68" s="200">
        <f>+料飲共通!W67/1000</f>
        <v>9</v>
      </c>
      <c r="BT68" s="201">
        <f t="shared" si="34"/>
        <v>2.5</v>
      </c>
      <c r="BU68" s="200">
        <v>117</v>
      </c>
      <c r="BV68" s="206">
        <f t="shared" si="35"/>
        <v>-105.5</v>
      </c>
      <c r="BW68" s="199">
        <f t="shared" si="48"/>
        <v>19967.232922269817</v>
      </c>
      <c r="BX68" s="200">
        <f t="shared" si="37"/>
        <v>18768.787000000004</v>
      </c>
      <c r="BY68" s="201">
        <f t="shared" si="0"/>
        <v>1198.4459222698133</v>
      </c>
      <c r="BZ68" s="200">
        <f t="shared" si="49"/>
        <v>15591</v>
      </c>
      <c r="CA68" s="206">
        <f t="shared" si="39"/>
        <v>4376.2329222698172</v>
      </c>
    </row>
    <row r="69" spans="1:79" s="83" customFormat="1" ht="22" hidden="1" customHeight="1" outlineLevel="1">
      <c r="A69" s="99"/>
      <c r="B69" s="96"/>
      <c r="C69" s="88" t="s">
        <v>124</v>
      </c>
      <c r="D69" s="88"/>
      <c r="E69" s="199">
        <v>5175.3280000000004</v>
      </c>
      <c r="F69" s="200">
        <f>+ﾇｰﾍﾞﾙﾌﾟｰｽ!W68/1000</f>
        <v>3798.3220000000001</v>
      </c>
      <c r="G69" s="201">
        <f t="shared" si="1"/>
        <v>1377.0060000000003</v>
      </c>
      <c r="H69" s="200">
        <v>4755</v>
      </c>
      <c r="I69" s="202">
        <f t="shared" si="2"/>
        <v>420.32800000000043</v>
      </c>
      <c r="J69" s="203">
        <v>160</v>
      </c>
      <c r="K69" s="200">
        <f>+ｶﾌｪﾙﾎﾟ!W68/1000</f>
        <v>124.17100000000001</v>
      </c>
      <c r="L69" s="201">
        <f t="shared" si="3"/>
        <v>35.828999999999994</v>
      </c>
      <c r="M69" s="200">
        <v>163</v>
      </c>
      <c r="N69" s="204">
        <f t="shared" si="4"/>
        <v>-3</v>
      </c>
      <c r="O69" s="205">
        <v>160</v>
      </c>
      <c r="P69" s="200">
        <f>+ｶﾌｪｾﾚｽﾃ!W68/1000</f>
        <v>278.73599999999999</v>
      </c>
      <c r="Q69" s="201">
        <f t="shared" si="5"/>
        <v>-118.73599999999999</v>
      </c>
      <c r="R69" s="200">
        <v>189</v>
      </c>
      <c r="S69" s="202">
        <f t="shared" si="6"/>
        <v>-29</v>
      </c>
      <c r="T69" s="199">
        <f t="shared" si="7"/>
        <v>5495.3280000000004</v>
      </c>
      <c r="U69" s="200">
        <f t="shared" si="8"/>
        <v>4201.2290000000003</v>
      </c>
      <c r="V69" s="201">
        <f t="shared" si="9"/>
        <v>1294.0990000000002</v>
      </c>
      <c r="W69" s="200">
        <f t="shared" si="10"/>
        <v>5107</v>
      </c>
      <c r="X69" s="206">
        <f t="shared" si="11"/>
        <v>388.32800000000043</v>
      </c>
      <c r="Y69" s="205"/>
      <c r="Z69" s="200"/>
      <c r="AA69" s="201">
        <f t="shared" si="12"/>
        <v>0</v>
      </c>
      <c r="AB69" s="200">
        <v>0</v>
      </c>
      <c r="AC69" s="204">
        <f t="shared" si="13"/>
        <v>0</v>
      </c>
      <c r="AD69" s="205">
        <v>4544.5990000000002</v>
      </c>
      <c r="AE69" s="200">
        <f>+ｼﾞｭｴﾙｽﾞ!W68/1000</f>
        <v>4480.2240000000002</v>
      </c>
      <c r="AF69" s="201">
        <f t="shared" si="14"/>
        <v>64.375</v>
      </c>
      <c r="AG69" s="200">
        <v>4848</v>
      </c>
      <c r="AH69" s="206">
        <f t="shared" si="15"/>
        <v>-303.40099999999984</v>
      </c>
      <c r="AI69" s="199">
        <f t="shared" si="40"/>
        <v>4544.5990000000002</v>
      </c>
      <c r="AJ69" s="200">
        <f t="shared" si="41"/>
        <v>4480.2240000000002</v>
      </c>
      <c r="AK69" s="201">
        <f t="shared" si="42"/>
        <v>64.375</v>
      </c>
      <c r="AL69" s="200">
        <f t="shared" si="43"/>
        <v>4848</v>
      </c>
      <c r="AM69" s="206">
        <f t="shared" si="44"/>
        <v>-303.40099999999984</v>
      </c>
      <c r="AN69" s="199">
        <v>3853.22</v>
      </c>
      <c r="AO69" s="200">
        <f>+ｶﾞｰﾃﾞﾝ!W68/1000</f>
        <v>3911.221</v>
      </c>
      <c r="AP69" s="201">
        <f t="shared" si="16"/>
        <v>-58.001000000000204</v>
      </c>
      <c r="AQ69" s="200">
        <v>3589</v>
      </c>
      <c r="AR69" s="202">
        <f t="shared" si="17"/>
        <v>264.2199999999998</v>
      </c>
      <c r="AS69" s="203">
        <v>1920</v>
      </c>
      <c r="AT69" s="200">
        <f>+ﾋﾞｱｶﾞｰﾃﾞﾝ!W68/1000</f>
        <v>2650.3530000000001</v>
      </c>
      <c r="AU69" s="201">
        <f t="shared" si="18"/>
        <v>-730.35300000000007</v>
      </c>
      <c r="AV69" s="200">
        <v>1930</v>
      </c>
      <c r="AW69" s="206">
        <f t="shared" si="19"/>
        <v>-10</v>
      </c>
      <c r="AX69" s="199">
        <f t="shared" si="20"/>
        <v>5773.2199999999993</v>
      </c>
      <c r="AY69" s="200">
        <f t="shared" si="47"/>
        <v>6561.5740000000005</v>
      </c>
      <c r="AZ69" s="201">
        <f t="shared" si="22"/>
        <v>-788.35400000000118</v>
      </c>
      <c r="BA69" s="200">
        <f t="shared" si="23"/>
        <v>5519</v>
      </c>
      <c r="BB69" s="206">
        <f t="shared" si="24"/>
        <v>254.21999999999935</v>
      </c>
      <c r="BC69" s="199">
        <v>0</v>
      </c>
      <c r="BD69" s="200">
        <f>+ブリック!W68/1000</f>
        <v>2594.4070000000002</v>
      </c>
      <c r="BE69" s="201">
        <f t="shared" si="25"/>
        <v>-2594.4070000000002</v>
      </c>
      <c r="BF69" s="200"/>
      <c r="BG69" s="202">
        <f t="shared" si="26"/>
        <v>0</v>
      </c>
      <c r="BH69" s="203">
        <v>0</v>
      </c>
      <c r="BI69" s="200">
        <f>+ルスツ羊蹄ぶた!W68/1000</f>
        <v>922.35299999999995</v>
      </c>
      <c r="BJ69" s="201">
        <f t="shared" si="27"/>
        <v>-922.35299999999995</v>
      </c>
      <c r="BK69" s="200"/>
      <c r="BL69" s="206">
        <f t="shared" si="28"/>
        <v>0</v>
      </c>
      <c r="BM69" s="199">
        <f t="shared" si="46"/>
        <v>0</v>
      </c>
      <c r="BN69" s="200">
        <f t="shared" si="30"/>
        <v>3516.76</v>
      </c>
      <c r="BO69" s="201">
        <f t="shared" si="31"/>
        <v>-3516.76</v>
      </c>
      <c r="BP69" s="200">
        <f t="shared" si="32"/>
        <v>0</v>
      </c>
      <c r="BQ69" s="206">
        <f t="shared" si="33"/>
        <v>0</v>
      </c>
      <c r="BR69" s="199">
        <v>11.5</v>
      </c>
      <c r="BS69" s="200">
        <f>+料飲共通!W68/1000</f>
        <v>9</v>
      </c>
      <c r="BT69" s="201">
        <f t="shared" si="34"/>
        <v>2.5</v>
      </c>
      <c r="BU69" s="200">
        <v>117</v>
      </c>
      <c r="BV69" s="206">
        <f t="shared" si="35"/>
        <v>-105.5</v>
      </c>
      <c r="BW69" s="199">
        <f t="shared" si="48"/>
        <v>15824.646999999999</v>
      </c>
      <c r="BX69" s="200">
        <f t="shared" si="37"/>
        <v>18768.787000000004</v>
      </c>
      <c r="BY69" s="201">
        <f t="shared" si="0"/>
        <v>-2944.1400000000049</v>
      </c>
      <c r="BZ69" s="200">
        <f t="shared" si="49"/>
        <v>15591</v>
      </c>
      <c r="CA69" s="206">
        <f t="shared" si="39"/>
        <v>233.64699999999903</v>
      </c>
    </row>
    <row r="70" spans="1:79" s="83" customFormat="1" ht="22" hidden="1" customHeight="1" outlineLevel="1">
      <c r="A70" s="99"/>
      <c r="B70" s="96"/>
      <c r="C70" s="88" t="s">
        <v>127</v>
      </c>
      <c r="D70" s="88"/>
      <c r="E70" s="199">
        <v>0</v>
      </c>
      <c r="F70" s="200">
        <f>+ﾇｰﾍﾞﾙﾌﾟｰｽ!W69/1000</f>
        <v>0</v>
      </c>
      <c r="G70" s="201">
        <f t="shared" si="1"/>
        <v>0</v>
      </c>
      <c r="H70" s="200">
        <v>0</v>
      </c>
      <c r="I70" s="202">
        <f t="shared" si="2"/>
        <v>0</v>
      </c>
      <c r="J70" s="203">
        <v>0</v>
      </c>
      <c r="K70" s="200">
        <f>+ｶﾌｪﾙﾎﾟ!W69/1000</f>
        <v>0</v>
      </c>
      <c r="L70" s="201">
        <f t="shared" si="3"/>
        <v>0</v>
      </c>
      <c r="M70" s="200">
        <v>0</v>
      </c>
      <c r="N70" s="204">
        <f t="shared" si="4"/>
        <v>0</v>
      </c>
      <c r="O70" s="205">
        <v>0</v>
      </c>
      <c r="P70" s="200">
        <f>+ｶﾌｪｾﾚｽﾃ!W69/1000</f>
        <v>0</v>
      </c>
      <c r="Q70" s="201">
        <f t="shared" si="5"/>
        <v>0</v>
      </c>
      <c r="R70" s="200">
        <v>0</v>
      </c>
      <c r="S70" s="202">
        <f t="shared" si="6"/>
        <v>0</v>
      </c>
      <c r="T70" s="199">
        <f t="shared" si="7"/>
        <v>0</v>
      </c>
      <c r="U70" s="200">
        <f t="shared" si="8"/>
        <v>0</v>
      </c>
      <c r="V70" s="201">
        <f t="shared" si="9"/>
        <v>0</v>
      </c>
      <c r="W70" s="200">
        <f t="shared" si="10"/>
        <v>0</v>
      </c>
      <c r="X70" s="206">
        <f t="shared" si="11"/>
        <v>0</v>
      </c>
      <c r="Y70" s="205"/>
      <c r="Z70" s="200"/>
      <c r="AA70" s="201">
        <f t="shared" si="12"/>
        <v>0</v>
      </c>
      <c r="AB70" s="200">
        <v>0</v>
      </c>
      <c r="AC70" s="204">
        <f t="shared" si="13"/>
        <v>0</v>
      </c>
      <c r="AD70" s="205">
        <v>0</v>
      </c>
      <c r="AE70" s="200">
        <f>+ｼﾞｭｴﾙｽﾞ!W69/1000</f>
        <v>0</v>
      </c>
      <c r="AF70" s="201">
        <f t="shared" si="14"/>
        <v>0</v>
      </c>
      <c r="AG70" s="200">
        <v>0</v>
      </c>
      <c r="AH70" s="206">
        <f t="shared" si="15"/>
        <v>0</v>
      </c>
      <c r="AI70" s="199">
        <f t="shared" si="40"/>
        <v>0</v>
      </c>
      <c r="AJ70" s="200">
        <f t="shared" si="41"/>
        <v>0</v>
      </c>
      <c r="AK70" s="201">
        <f t="shared" si="42"/>
        <v>0</v>
      </c>
      <c r="AL70" s="200">
        <f t="shared" si="43"/>
        <v>0</v>
      </c>
      <c r="AM70" s="206">
        <f t="shared" si="44"/>
        <v>0</v>
      </c>
      <c r="AN70" s="199">
        <v>0</v>
      </c>
      <c r="AO70" s="200">
        <f>+ｶﾞｰﾃﾞﾝ!W69/1000</f>
        <v>0</v>
      </c>
      <c r="AP70" s="201">
        <f t="shared" si="16"/>
        <v>0</v>
      </c>
      <c r="AQ70" s="200">
        <v>0</v>
      </c>
      <c r="AR70" s="202">
        <f t="shared" si="17"/>
        <v>0</v>
      </c>
      <c r="AS70" s="203">
        <v>0</v>
      </c>
      <c r="AT70" s="200">
        <f>+ﾋﾞｱｶﾞｰﾃﾞﾝ!W69/1000</f>
        <v>0</v>
      </c>
      <c r="AU70" s="201">
        <f t="shared" si="18"/>
        <v>0</v>
      </c>
      <c r="AV70" s="200">
        <v>0</v>
      </c>
      <c r="AW70" s="206">
        <f t="shared" si="19"/>
        <v>0</v>
      </c>
      <c r="AX70" s="199">
        <f t="shared" si="20"/>
        <v>0</v>
      </c>
      <c r="AY70" s="200">
        <f t="shared" si="47"/>
        <v>0</v>
      </c>
      <c r="AZ70" s="201">
        <f t="shared" si="22"/>
        <v>0</v>
      </c>
      <c r="BA70" s="200">
        <f t="shared" si="23"/>
        <v>0</v>
      </c>
      <c r="BB70" s="206">
        <f t="shared" si="24"/>
        <v>0</v>
      </c>
      <c r="BC70" s="199">
        <v>0</v>
      </c>
      <c r="BD70" s="200">
        <f>+ブリック!W69/1000</f>
        <v>0</v>
      </c>
      <c r="BE70" s="201">
        <f t="shared" si="25"/>
        <v>0</v>
      </c>
      <c r="BF70" s="200"/>
      <c r="BG70" s="202">
        <f t="shared" si="26"/>
        <v>0</v>
      </c>
      <c r="BH70" s="203">
        <v>0</v>
      </c>
      <c r="BI70" s="200">
        <f>+ルスツ羊蹄ぶた!W69/1000</f>
        <v>0</v>
      </c>
      <c r="BJ70" s="201">
        <f t="shared" si="27"/>
        <v>0</v>
      </c>
      <c r="BK70" s="200"/>
      <c r="BL70" s="206">
        <f t="shared" si="28"/>
        <v>0</v>
      </c>
      <c r="BM70" s="199">
        <f t="shared" si="46"/>
        <v>0</v>
      </c>
      <c r="BN70" s="200">
        <f t="shared" si="30"/>
        <v>0</v>
      </c>
      <c r="BO70" s="201">
        <f t="shared" si="31"/>
        <v>0</v>
      </c>
      <c r="BP70" s="200">
        <f t="shared" si="32"/>
        <v>0</v>
      </c>
      <c r="BQ70" s="206">
        <f t="shared" si="33"/>
        <v>0</v>
      </c>
      <c r="BR70" s="199">
        <v>0</v>
      </c>
      <c r="BS70" s="200">
        <f>+料飲共通!W69/1000</f>
        <v>0</v>
      </c>
      <c r="BT70" s="201">
        <f t="shared" si="34"/>
        <v>0</v>
      </c>
      <c r="BU70" s="200">
        <v>0</v>
      </c>
      <c r="BV70" s="206">
        <f t="shared" si="35"/>
        <v>0</v>
      </c>
      <c r="BW70" s="199">
        <f t="shared" si="48"/>
        <v>0</v>
      </c>
      <c r="BX70" s="200">
        <f t="shared" si="37"/>
        <v>0</v>
      </c>
      <c r="BY70" s="201">
        <f t="shared" si="0"/>
        <v>0</v>
      </c>
      <c r="BZ70" s="200">
        <f t="shared" si="49"/>
        <v>0</v>
      </c>
      <c r="CA70" s="206">
        <f t="shared" si="39"/>
        <v>0</v>
      </c>
    </row>
    <row r="71" spans="1:79" s="83" customFormat="1" ht="22" customHeight="1" collapsed="1">
      <c r="A71" s="99"/>
      <c r="B71" s="87" t="s">
        <v>129</v>
      </c>
      <c r="C71" s="88"/>
      <c r="D71" s="88"/>
      <c r="E71" s="199">
        <v>250</v>
      </c>
      <c r="F71" s="200">
        <f>+ﾇｰﾍﾞﾙﾌﾟｰｽ!W70/1000</f>
        <v>83.257000000000005</v>
      </c>
      <c r="G71" s="201">
        <f t="shared" si="1"/>
        <v>166.74299999999999</v>
      </c>
      <c r="H71" s="200">
        <v>77</v>
      </c>
      <c r="I71" s="202">
        <f t="shared" si="2"/>
        <v>173</v>
      </c>
      <c r="J71" s="203">
        <v>0</v>
      </c>
      <c r="K71" s="200">
        <f>+ｶﾌｪﾙﾎﾟ!W70/1000</f>
        <v>0</v>
      </c>
      <c r="L71" s="201">
        <f t="shared" si="3"/>
        <v>0</v>
      </c>
      <c r="M71" s="200">
        <v>0</v>
      </c>
      <c r="N71" s="204">
        <f t="shared" si="4"/>
        <v>0</v>
      </c>
      <c r="O71" s="205">
        <v>0</v>
      </c>
      <c r="P71" s="200">
        <f>+ｶﾌｪｾﾚｽﾃ!W70/1000</f>
        <v>0</v>
      </c>
      <c r="Q71" s="201">
        <f t="shared" si="5"/>
        <v>0</v>
      </c>
      <c r="R71" s="200">
        <v>0</v>
      </c>
      <c r="S71" s="202">
        <f t="shared" si="6"/>
        <v>0</v>
      </c>
      <c r="T71" s="199">
        <f t="shared" si="7"/>
        <v>250</v>
      </c>
      <c r="U71" s="200">
        <f t="shared" si="8"/>
        <v>83.257000000000005</v>
      </c>
      <c r="V71" s="201">
        <f t="shared" si="9"/>
        <v>166.74299999999999</v>
      </c>
      <c r="W71" s="200">
        <f t="shared" si="10"/>
        <v>77</v>
      </c>
      <c r="X71" s="206">
        <f t="shared" si="11"/>
        <v>173</v>
      </c>
      <c r="Y71" s="205"/>
      <c r="Z71" s="200"/>
      <c r="AA71" s="201">
        <f t="shared" si="12"/>
        <v>0</v>
      </c>
      <c r="AB71" s="200">
        <v>0</v>
      </c>
      <c r="AC71" s="204">
        <f t="shared" si="13"/>
        <v>0</v>
      </c>
      <c r="AD71" s="205">
        <v>129</v>
      </c>
      <c r="AE71" s="200">
        <f>+ｼﾞｭｴﾙｽﾞ!W70/1000</f>
        <v>99.83</v>
      </c>
      <c r="AF71" s="201">
        <f t="shared" si="14"/>
        <v>29.17</v>
      </c>
      <c r="AG71" s="200">
        <v>177</v>
      </c>
      <c r="AH71" s="206">
        <f t="shared" si="15"/>
        <v>-48</v>
      </c>
      <c r="AI71" s="199">
        <f t="shared" si="40"/>
        <v>129</v>
      </c>
      <c r="AJ71" s="200">
        <f t="shared" si="41"/>
        <v>99.83</v>
      </c>
      <c r="AK71" s="201">
        <f t="shared" si="42"/>
        <v>29.17</v>
      </c>
      <c r="AL71" s="200">
        <f t="shared" si="43"/>
        <v>177</v>
      </c>
      <c r="AM71" s="206">
        <f t="shared" si="44"/>
        <v>-48</v>
      </c>
      <c r="AN71" s="199">
        <v>182.72800000000001</v>
      </c>
      <c r="AO71" s="200">
        <f>+ｶﾞｰﾃﾞﾝ!W70/1000</f>
        <v>526.91200000000003</v>
      </c>
      <c r="AP71" s="201">
        <f t="shared" si="16"/>
        <v>-344.18400000000003</v>
      </c>
      <c r="AQ71" s="200">
        <v>335</v>
      </c>
      <c r="AR71" s="202">
        <f t="shared" si="17"/>
        <v>-152.27199999999999</v>
      </c>
      <c r="AS71" s="203">
        <v>0</v>
      </c>
      <c r="AT71" s="200">
        <f>+ﾋﾞｱｶﾞｰﾃﾞﾝ!W70/1000</f>
        <v>0</v>
      </c>
      <c r="AU71" s="201">
        <f t="shared" si="18"/>
        <v>0</v>
      </c>
      <c r="AV71" s="200">
        <v>0</v>
      </c>
      <c r="AW71" s="206">
        <f t="shared" si="19"/>
        <v>0</v>
      </c>
      <c r="AX71" s="199">
        <f t="shared" si="20"/>
        <v>182.72800000000001</v>
      </c>
      <c r="AY71" s="200">
        <f t="shared" si="47"/>
        <v>526.91200000000003</v>
      </c>
      <c r="AZ71" s="201">
        <f t="shared" si="22"/>
        <v>-344.18400000000003</v>
      </c>
      <c r="BA71" s="200">
        <f t="shared" si="23"/>
        <v>335</v>
      </c>
      <c r="BB71" s="206">
        <f t="shared" si="24"/>
        <v>-152.27199999999999</v>
      </c>
      <c r="BC71" s="199">
        <v>0</v>
      </c>
      <c r="BD71" s="200">
        <f>+ブリック!W70/1000</f>
        <v>8.6289999999999996</v>
      </c>
      <c r="BE71" s="201">
        <f t="shared" si="25"/>
        <v>-8.6289999999999996</v>
      </c>
      <c r="BF71" s="200"/>
      <c r="BG71" s="202">
        <f t="shared" si="26"/>
        <v>0</v>
      </c>
      <c r="BH71" s="203">
        <v>0</v>
      </c>
      <c r="BI71" s="200">
        <f>+ルスツ羊蹄ぶた!W70/1000</f>
        <v>0</v>
      </c>
      <c r="BJ71" s="201">
        <f t="shared" si="27"/>
        <v>0</v>
      </c>
      <c r="BK71" s="200"/>
      <c r="BL71" s="206">
        <f t="shared" si="28"/>
        <v>0</v>
      </c>
      <c r="BM71" s="199">
        <f t="shared" si="46"/>
        <v>0</v>
      </c>
      <c r="BN71" s="200">
        <f t="shared" si="30"/>
        <v>8.6289999999999996</v>
      </c>
      <c r="BO71" s="201">
        <f t="shared" si="31"/>
        <v>-8.6289999999999996</v>
      </c>
      <c r="BP71" s="200">
        <f t="shared" si="32"/>
        <v>0</v>
      </c>
      <c r="BQ71" s="206">
        <f t="shared" si="33"/>
        <v>0</v>
      </c>
      <c r="BR71" s="199">
        <v>818</v>
      </c>
      <c r="BS71" s="200">
        <f>+料飲共通!W70/1000</f>
        <v>953.51300000000003</v>
      </c>
      <c r="BT71" s="201">
        <f t="shared" si="34"/>
        <v>-135.51300000000003</v>
      </c>
      <c r="BU71" s="200">
        <v>1100</v>
      </c>
      <c r="BV71" s="206">
        <f t="shared" si="35"/>
        <v>-282</v>
      </c>
      <c r="BW71" s="199">
        <f t="shared" si="48"/>
        <v>1379.7280000000001</v>
      </c>
      <c r="BX71" s="200">
        <f t="shared" si="37"/>
        <v>1672.1410000000001</v>
      </c>
      <c r="BY71" s="201">
        <f t="shared" ref="BY71:BY118" si="50">+BW71-BX71</f>
        <v>-292.41300000000001</v>
      </c>
      <c r="BZ71" s="200">
        <f t="shared" si="49"/>
        <v>1689</v>
      </c>
      <c r="CA71" s="206">
        <f t="shared" si="39"/>
        <v>-309.27199999999993</v>
      </c>
    </row>
    <row r="72" spans="1:79" s="83" customFormat="1" ht="22" customHeight="1">
      <c r="A72" s="99"/>
      <c r="B72" s="87" t="s">
        <v>131</v>
      </c>
      <c r="C72" s="88"/>
      <c r="D72" s="88"/>
      <c r="E72" s="199">
        <v>362.6</v>
      </c>
      <c r="F72" s="200">
        <f>+ﾇｰﾍﾞﾙﾌﾟｰｽ!W71/1000</f>
        <v>226.107</v>
      </c>
      <c r="G72" s="201">
        <f t="shared" ref="G72:G111" si="51">+E72-F72</f>
        <v>136.49300000000002</v>
      </c>
      <c r="H72" s="200">
        <v>303</v>
      </c>
      <c r="I72" s="202">
        <f t="shared" ref="I72:I119" si="52">+E72-H72</f>
        <v>59.600000000000023</v>
      </c>
      <c r="J72" s="203">
        <v>500</v>
      </c>
      <c r="K72" s="200">
        <f>+ｶﾌｪﾙﾎﾟ!W71/1000</f>
        <v>450.1</v>
      </c>
      <c r="L72" s="201">
        <f t="shared" ref="L72:L111" si="53">+J72-K72</f>
        <v>49.899999999999977</v>
      </c>
      <c r="M72" s="200">
        <v>470</v>
      </c>
      <c r="N72" s="204">
        <f t="shared" ref="N72:N119" si="54">+J72-M72</f>
        <v>30</v>
      </c>
      <c r="O72" s="205">
        <v>58.109000000000002</v>
      </c>
      <c r="P72" s="200">
        <f>+ｶﾌｪｾﾚｽﾃ!W71/1000</f>
        <v>54.820999999999998</v>
      </c>
      <c r="Q72" s="201">
        <f t="shared" ref="Q72:Q111" si="55">+O72-P72</f>
        <v>3.2880000000000038</v>
      </c>
      <c r="R72" s="200">
        <v>58</v>
      </c>
      <c r="S72" s="202">
        <f t="shared" ref="S72:S119" si="56">+O72-R72</f>
        <v>0.10900000000000176</v>
      </c>
      <c r="T72" s="199">
        <f t="shared" ref="T72:T119" si="57">+E72+J72+O72</f>
        <v>920.70900000000006</v>
      </c>
      <c r="U72" s="200">
        <f t="shared" ref="U72:U119" si="58">+F72+K72+P72</f>
        <v>731.02800000000002</v>
      </c>
      <c r="V72" s="201">
        <f t="shared" ref="V72:V111" si="59">+T72-U72</f>
        <v>189.68100000000004</v>
      </c>
      <c r="W72" s="200">
        <f t="shared" ref="W72:W119" si="60">+H72+M72+R72</f>
        <v>831</v>
      </c>
      <c r="X72" s="206">
        <f t="shared" ref="X72:X119" si="61">+T72-W72</f>
        <v>89.70900000000006</v>
      </c>
      <c r="Y72" s="205"/>
      <c r="Z72" s="200"/>
      <c r="AA72" s="201">
        <f t="shared" ref="AA72:AA111" si="62">+Y72-Z72</f>
        <v>0</v>
      </c>
      <c r="AB72" s="200">
        <v>0</v>
      </c>
      <c r="AC72" s="204">
        <f t="shared" ref="AC72:AC119" si="63">+Y72-AB72</f>
        <v>0</v>
      </c>
      <c r="AD72" s="205">
        <v>1275.8</v>
      </c>
      <c r="AE72" s="200">
        <f>+ｼﾞｭｴﾙｽﾞ!W71/1000</f>
        <v>1053.7049999999999</v>
      </c>
      <c r="AF72" s="201">
        <f t="shared" ref="AF72:AF111" si="64">+AD72-AE72</f>
        <v>222.09500000000003</v>
      </c>
      <c r="AG72" s="200">
        <v>1265</v>
      </c>
      <c r="AH72" s="206">
        <f t="shared" ref="AH72:AH119" si="65">+AD72-AG72</f>
        <v>10.799999999999955</v>
      </c>
      <c r="AI72" s="199">
        <f t="shared" ref="AI72:AI119" si="66">+Y72+AD72</f>
        <v>1275.8</v>
      </c>
      <c r="AJ72" s="200">
        <f t="shared" ref="AJ72:AJ119" si="67">+Z72+AE72</f>
        <v>1053.7049999999999</v>
      </c>
      <c r="AK72" s="201">
        <f t="shared" ref="AK72:AK111" si="68">+AI72-AJ72</f>
        <v>222.09500000000003</v>
      </c>
      <c r="AL72" s="200">
        <f t="shared" ref="AL72:AL119" si="69">+AB72+AG72</f>
        <v>1265</v>
      </c>
      <c r="AM72" s="206">
        <f t="shared" ref="AM72:AM119" si="70">+AI72-AL72</f>
        <v>10.799999999999955</v>
      </c>
      <c r="AN72" s="199">
        <v>808.55</v>
      </c>
      <c r="AO72" s="200">
        <f>+ｶﾞｰﾃﾞﾝ!W71/1000</f>
        <v>608.56600000000003</v>
      </c>
      <c r="AP72" s="201">
        <f t="shared" ref="AP72:AP111" si="71">+AN72-AO72</f>
        <v>199.98399999999992</v>
      </c>
      <c r="AQ72" s="200">
        <v>814</v>
      </c>
      <c r="AR72" s="202">
        <f t="shared" ref="AR72:AR119" si="72">+AN72-AQ72</f>
        <v>-5.4500000000000455</v>
      </c>
      <c r="AS72" s="203">
        <v>77.763999999999996</v>
      </c>
      <c r="AT72" s="200">
        <f>+ﾋﾞｱｶﾞｰﾃﾞﾝ!W71/1000</f>
        <v>83.534999999999997</v>
      </c>
      <c r="AU72" s="201">
        <f t="shared" ref="AU72:AU111" si="73">+AS72-AT72</f>
        <v>-5.7710000000000008</v>
      </c>
      <c r="AV72" s="200">
        <v>110</v>
      </c>
      <c r="AW72" s="206">
        <f t="shared" ref="AW72:AW119" si="74">+AS72-AV72</f>
        <v>-32.236000000000004</v>
      </c>
      <c r="AX72" s="199">
        <f t="shared" ref="AX72:AX119" si="75">+AN72+AS72</f>
        <v>886.31399999999996</v>
      </c>
      <c r="AY72" s="200">
        <f t="shared" ref="AY72:AY119" si="76">+AO72+AT72</f>
        <v>692.101</v>
      </c>
      <c r="AZ72" s="201">
        <f t="shared" ref="AZ72:AZ119" si="77">+AX72-AY72</f>
        <v>194.21299999999997</v>
      </c>
      <c r="BA72" s="200">
        <f t="shared" ref="BA72:BA119" si="78">+AQ72+AV72</f>
        <v>924</v>
      </c>
      <c r="BB72" s="206">
        <f t="shared" ref="BB72:BB119" si="79">+AX72-BA72</f>
        <v>-37.686000000000035</v>
      </c>
      <c r="BC72" s="199">
        <v>461.89095345698252</v>
      </c>
      <c r="BD72" s="200">
        <f>+ブリック!W71/1000</f>
        <v>462.16399999999999</v>
      </c>
      <c r="BE72" s="201">
        <f t="shared" ref="BE72:BE111" si="80">+BC72-BD72</f>
        <v>-0.27304654301747178</v>
      </c>
      <c r="BF72" s="200"/>
      <c r="BG72" s="202">
        <f t="shared" ref="BG72:BG119" si="81">+BC72-BF72</f>
        <v>461.89095345698252</v>
      </c>
      <c r="BH72" s="203">
        <v>196.50122831341082</v>
      </c>
      <c r="BI72" s="200">
        <f>+ルスツ羊蹄ぶた!W71/1000</f>
        <v>304.339</v>
      </c>
      <c r="BJ72" s="201">
        <f t="shared" ref="BJ72:BJ111" si="82">+BH72-BI72</f>
        <v>-107.83777168658918</v>
      </c>
      <c r="BK72" s="200"/>
      <c r="BL72" s="206">
        <f t="shared" ref="BL72:BL119" si="83">+BH72-BK72</f>
        <v>196.50122831341082</v>
      </c>
      <c r="BM72" s="199">
        <f t="shared" si="46"/>
        <v>658.39218177039334</v>
      </c>
      <c r="BN72" s="200">
        <f t="shared" ref="BN72:BN119" si="84">+BD72+BI72</f>
        <v>766.50299999999993</v>
      </c>
      <c r="BO72" s="201">
        <f t="shared" ref="BO72:BO119" si="85">+BM72-BN72</f>
        <v>-108.11081822960659</v>
      </c>
      <c r="BP72" s="200">
        <f t="shared" ref="BP72:BP119" si="86">+BF72+BK72</f>
        <v>0</v>
      </c>
      <c r="BQ72" s="206">
        <f t="shared" ref="BQ72:BQ119" si="87">+BM72-BP72</f>
        <v>658.39218177039334</v>
      </c>
      <c r="BR72" s="199">
        <v>189.6</v>
      </c>
      <c r="BS72" s="200">
        <f>+料飲共通!W71/1000</f>
        <v>391.51799999999997</v>
      </c>
      <c r="BT72" s="201">
        <f t="shared" ref="BT72:BT111" si="88">+BR72-BS72</f>
        <v>-201.91799999999998</v>
      </c>
      <c r="BU72" s="200">
        <v>166</v>
      </c>
      <c r="BV72" s="206">
        <f t="shared" ref="BV72:BV119" si="89">+BR72-BU72</f>
        <v>23.599999999999994</v>
      </c>
      <c r="BW72" s="199">
        <f t="shared" ref="BW72:BW103" si="90">+T72+AI72+AX72+BM72+BR72</f>
        <v>3930.8151817703933</v>
      </c>
      <c r="BX72" s="200">
        <f t="shared" ref="BX72:BX119" si="91">+U72+AJ72+AY72+BN72+BS72</f>
        <v>3634.8549999999996</v>
      </c>
      <c r="BY72" s="201">
        <f t="shared" si="50"/>
        <v>295.96018177039377</v>
      </c>
      <c r="BZ72" s="200">
        <f t="shared" ref="BZ72:BZ103" si="92">+W72+AL72+BA72+BU72</f>
        <v>3186</v>
      </c>
      <c r="CA72" s="206">
        <f t="shared" ref="CA72:CA119" si="93">+BW72-BZ72</f>
        <v>744.81518177039334</v>
      </c>
    </row>
    <row r="73" spans="1:79" s="83" customFormat="1" ht="22" customHeight="1">
      <c r="A73" s="99"/>
      <c r="B73" s="87" t="s">
        <v>133</v>
      </c>
      <c r="C73" s="88"/>
      <c r="D73" s="88"/>
      <c r="E73" s="199">
        <v>8670.7109999999993</v>
      </c>
      <c r="F73" s="200">
        <f>+ﾇｰﾍﾞﾙﾌﾟｰｽ!W72/1000</f>
        <v>8555.3760000000002</v>
      </c>
      <c r="G73" s="201">
        <f t="shared" si="51"/>
        <v>115.33499999999913</v>
      </c>
      <c r="H73" s="200">
        <v>8898</v>
      </c>
      <c r="I73" s="202">
        <f t="shared" si="52"/>
        <v>-227.28900000000067</v>
      </c>
      <c r="J73" s="203">
        <v>1238.4949999999999</v>
      </c>
      <c r="K73" s="200">
        <f>+ｶﾌｪﾙﾎﾟ!W72/1000</f>
        <v>1219.9349999999999</v>
      </c>
      <c r="L73" s="201">
        <f t="shared" si="53"/>
        <v>18.559999999999945</v>
      </c>
      <c r="M73" s="200">
        <v>1271</v>
      </c>
      <c r="N73" s="204">
        <f t="shared" si="54"/>
        <v>-32.505000000000109</v>
      </c>
      <c r="O73" s="205">
        <v>0</v>
      </c>
      <c r="P73" s="200">
        <f>+ｶﾌｪｾﾚｽﾃ!W72/1000</f>
        <v>0</v>
      </c>
      <c r="Q73" s="201">
        <f t="shared" si="55"/>
        <v>0</v>
      </c>
      <c r="R73" s="200">
        <v>0</v>
      </c>
      <c r="S73" s="202">
        <f t="shared" si="56"/>
        <v>0</v>
      </c>
      <c r="T73" s="199">
        <f t="shared" si="57"/>
        <v>9909.2059999999983</v>
      </c>
      <c r="U73" s="200">
        <f t="shared" si="58"/>
        <v>9775.3109999999997</v>
      </c>
      <c r="V73" s="201">
        <f t="shared" si="59"/>
        <v>133.89499999999862</v>
      </c>
      <c r="W73" s="200">
        <f t="shared" si="60"/>
        <v>10169</v>
      </c>
      <c r="X73" s="206">
        <f t="shared" si="61"/>
        <v>-259.79400000000169</v>
      </c>
      <c r="Y73" s="205"/>
      <c r="Z73" s="200"/>
      <c r="AA73" s="201">
        <f t="shared" si="62"/>
        <v>0</v>
      </c>
      <c r="AB73" s="200">
        <v>0</v>
      </c>
      <c r="AC73" s="204">
        <f t="shared" si="63"/>
        <v>0</v>
      </c>
      <c r="AD73" s="205">
        <v>4240</v>
      </c>
      <c r="AE73" s="200">
        <f>+ｼﾞｭｴﾙｽﾞ!W72/1000</f>
        <v>4247.8280000000004</v>
      </c>
      <c r="AF73" s="201">
        <f t="shared" si="64"/>
        <v>-7.8280000000004293</v>
      </c>
      <c r="AG73" s="200">
        <v>4129</v>
      </c>
      <c r="AH73" s="206">
        <f t="shared" si="65"/>
        <v>111</v>
      </c>
      <c r="AI73" s="199">
        <f t="shared" si="66"/>
        <v>4240</v>
      </c>
      <c r="AJ73" s="200">
        <f t="shared" si="67"/>
        <v>4247.8280000000004</v>
      </c>
      <c r="AK73" s="201">
        <f t="shared" si="68"/>
        <v>-7.8280000000004293</v>
      </c>
      <c r="AL73" s="200">
        <f t="shared" si="69"/>
        <v>4129</v>
      </c>
      <c r="AM73" s="206">
        <f t="shared" si="70"/>
        <v>111</v>
      </c>
      <c r="AN73" s="199">
        <v>5040</v>
      </c>
      <c r="AO73" s="200">
        <f>+ｶﾞｰﾃﾞﾝ!W72/1000</f>
        <v>5334.3010000000004</v>
      </c>
      <c r="AP73" s="201">
        <f t="shared" si="71"/>
        <v>-294.30100000000039</v>
      </c>
      <c r="AQ73" s="200">
        <v>5512</v>
      </c>
      <c r="AR73" s="202">
        <f t="shared" si="72"/>
        <v>-472</v>
      </c>
      <c r="AS73" s="203">
        <v>890</v>
      </c>
      <c r="AT73" s="200">
        <f>+ﾋﾞｱｶﾞｰﾃﾞﾝ!W72/1000</f>
        <v>772.58</v>
      </c>
      <c r="AU73" s="201">
        <f t="shared" si="73"/>
        <v>117.41999999999996</v>
      </c>
      <c r="AV73" s="200">
        <v>1081</v>
      </c>
      <c r="AW73" s="206">
        <f t="shared" si="74"/>
        <v>-191</v>
      </c>
      <c r="AX73" s="199">
        <f t="shared" si="75"/>
        <v>5930</v>
      </c>
      <c r="AY73" s="200">
        <f t="shared" si="76"/>
        <v>6106.8810000000003</v>
      </c>
      <c r="AZ73" s="201">
        <f t="shared" si="77"/>
        <v>-176.88100000000031</v>
      </c>
      <c r="BA73" s="200">
        <f t="shared" si="78"/>
        <v>6593</v>
      </c>
      <c r="BB73" s="206">
        <f t="shared" si="79"/>
        <v>-663</v>
      </c>
      <c r="BC73" s="199">
        <v>2703.61</v>
      </c>
      <c r="BD73" s="200">
        <f>+ブリック!W72/1000</f>
        <v>2778.7190000000001</v>
      </c>
      <c r="BE73" s="201">
        <f t="shared" si="80"/>
        <v>-75.108999999999924</v>
      </c>
      <c r="BF73" s="200"/>
      <c r="BG73" s="202">
        <f t="shared" si="81"/>
        <v>2703.61</v>
      </c>
      <c r="BH73" s="203">
        <v>1457.26</v>
      </c>
      <c r="BI73" s="200">
        <f>+ルスツ羊蹄ぶた!W72/1000</f>
        <v>1664.48</v>
      </c>
      <c r="BJ73" s="201">
        <f t="shared" si="82"/>
        <v>-207.22000000000003</v>
      </c>
      <c r="BK73" s="200"/>
      <c r="BL73" s="206">
        <f t="shared" si="83"/>
        <v>1457.26</v>
      </c>
      <c r="BM73" s="199">
        <f t="shared" si="46"/>
        <v>4160.87</v>
      </c>
      <c r="BN73" s="200">
        <f t="shared" si="84"/>
        <v>4443.1990000000005</v>
      </c>
      <c r="BO73" s="201">
        <f t="shared" si="85"/>
        <v>-282.32900000000063</v>
      </c>
      <c r="BP73" s="200">
        <f t="shared" si="86"/>
        <v>0</v>
      </c>
      <c r="BQ73" s="206">
        <f t="shared" si="87"/>
        <v>4160.87</v>
      </c>
      <c r="BR73" s="199">
        <v>0</v>
      </c>
      <c r="BS73" s="200">
        <f>+料飲共通!W72/1000</f>
        <v>0</v>
      </c>
      <c r="BT73" s="201">
        <f t="shared" si="88"/>
        <v>0</v>
      </c>
      <c r="BU73" s="200">
        <v>0</v>
      </c>
      <c r="BV73" s="206">
        <f t="shared" si="89"/>
        <v>0</v>
      </c>
      <c r="BW73" s="199">
        <f t="shared" si="90"/>
        <v>24240.075999999997</v>
      </c>
      <c r="BX73" s="200">
        <f t="shared" si="91"/>
        <v>24573.219000000001</v>
      </c>
      <c r="BY73" s="201">
        <f t="shared" si="50"/>
        <v>-333.14300000000367</v>
      </c>
      <c r="BZ73" s="200">
        <f t="shared" si="92"/>
        <v>20891</v>
      </c>
      <c r="CA73" s="206">
        <f t="shared" si="93"/>
        <v>3349.0759999999973</v>
      </c>
    </row>
    <row r="74" spans="1:79" s="83" customFormat="1" ht="22" hidden="1" customHeight="1" outlineLevel="1">
      <c r="A74" s="99"/>
      <c r="B74" s="96"/>
      <c r="C74" s="88" t="s">
        <v>135</v>
      </c>
      <c r="D74" s="88"/>
      <c r="E74" s="199">
        <v>4679.99</v>
      </c>
      <c r="F74" s="200">
        <f>+ﾇｰﾍﾞﾙﾌﾟｰｽ!W73/1000</f>
        <v>4842.3500000000004</v>
      </c>
      <c r="G74" s="201">
        <f t="shared" si="51"/>
        <v>-162.36000000000058</v>
      </c>
      <c r="H74" s="200">
        <v>4763</v>
      </c>
      <c r="I74" s="202">
        <f t="shared" si="52"/>
        <v>-83.010000000000218</v>
      </c>
      <c r="J74" s="203">
        <v>668.57100000000003</v>
      </c>
      <c r="K74" s="200">
        <f>+ｶﾌｪﾙﾎﾟ!W73/1000</f>
        <v>691.76599999999996</v>
      </c>
      <c r="L74" s="201">
        <f t="shared" si="53"/>
        <v>-23.194999999999936</v>
      </c>
      <c r="M74" s="200">
        <v>680</v>
      </c>
      <c r="N74" s="204">
        <f t="shared" si="54"/>
        <v>-11.428999999999974</v>
      </c>
      <c r="O74" s="205">
        <v>0</v>
      </c>
      <c r="P74" s="200">
        <f>+ｶﾌｪｾﾚｽﾃ!W73/1000</f>
        <v>0</v>
      </c>
      <c r="Q74" s="201">
        <f t="shared" si="55"/>
        <v>0</v>
      </c>
      <c r="R74" s="200">
        <v>0</v>
      </c>
      <c r="S74" s="202">
        <f t="shared" si="56"/>
        <v>0</v>
      </c>
      <c r="T74" s="199">
        <f t="shared" si="57"/>
        <v>5348.5609999999997</v>
      </c>
      <c r="U74" s="200">
        <f t="shared" si="58"/>
        <v>5534.116</v>
      </c>
      <c r="V74" s="201">
        <f t="shared" si="59"/>
        <v>-185.55500000000029</v>
      </c>
      <c r="W74" s="200">
        <f t="shared" si="60"/>
        <v>5443</v>
      </c>
      <c r="X74" s="206">
        <f t="shared" si="61"/>
        <v>-94.439000000000306</v>
      </c>
      <c r="Y74" s="205"/>
      <c r="Z74" s="200"/>
      <c r="AA74" s="201">
        <f t="shared" si="62"/>
        <v>0</v>
      </c>
      <c r="AB74" s="200">
        <v>0</v>
      </c>
      <c r="AC74" s="204">
        <f t="shared" si="63"/>
        <v>0</v>
      </c>
      <c r="AD74" s="205">
        <v>3750</v>
      </c>
      <c r="AE74" s="200">
        <f>+ｼﾞｭｴﾙｽﾞ!W73/1000</f>
        <v>3749.2510000000002</v>
      </c>
      <c r="AF74" s="201">
        <f t="shared" si="64"/>
        <v>0.74899999999979627</v>
      </c>
      <c r="AG74" s="200">
        <v>3674</v>
      </c>
      <c r="AH74" s="206">
        <f t="shared" si="65"/>
        <v>76</v>
      </c>
      <c r="AI74" s="199">
        <f t="shared" si="66"/>
        <v>3750</v>
      </c>
      <c r="AJ74" s="200">
        <f t="shared" si="67"/>
        <v>3749.2510000000002</v>
      </c>
      <c r="AK74" s="201">
        <f t="shared" si="68"/>
        <v>0.74899999999979627</v>
      </c>
      <c r="AL74" s="200">
        <f t="shared" si="69"/>
        <v>3674</v>
      </c>
      <c r="AM74" s="206">
        <f t="shared" si="70"/>
        <v>76</v>
      </c>
      <c r="AN74" s="199">
        <v>3600</v>
      </c>
      <c r="AO74" s="200">
        <f>+ｶﾞｰﾃﾞﾝ!W73/1000</f>
        <v>3685.2040000000002</v>
      </c>
      <c r="AP74" s="201">
        <f t="shared" si="71"/>
        <v>-85.204000000000178</v>
      </c>
      <c r="AQ74" s="200">
        <v>3724</v>
      </c>
      <c r="AR74" s="202">
        <f t="shared" si="72"/>
        <v>-124</v>
      </c>
      <c r="AS74" s="203">
        <v>525</v>
      </c>
      <c r="AT74" s="200">
        <f>+ﾋﾞｱｶﾞｰﾃﾞﾝ!W73/1000</f>
        <v>542.98299999999995</v>
      </c>
      <c r="AU74" s="201">
        <f t="shared" si="73"/>
        <v>-17.982999999999947</v>
      </c>
      <c r="AV74" s="200">
        <v>690</v>
      </c>
      <c r="AW74" s="206">
        <f t="shared" si="74"/>
        <v>-165</v>
      </c>
      <c r="AX74" s="199">
        <f t="shared" si="75"/>
        <v>4125</v>
      </c>
      <c r="AY74" s="200">
        <f t="shared" si="76"/>
        <v>4228.1869999999999</v>
      </c>
      <c r="AZ74" s="201">
        <f t="shared" si="77"/>
        <v>-103.1869999999999</v>
      </c>
      <c r="BA74" s="200">
        <f t="shared" si="78"/>
        <v>4414</v>
      </c>
      <c r="BB74" s="206">
        <f t="shared" si="79"/>
        <v>-289</v>
      </c>
      <c r="BC74" s="199">
        <v>0</v>
      </c>
      <c r="BD74" s="200">
        <f>+ブリック!W73/1000</f>
        <v>481.495</v>
      </c>
      <c r="BE74" s="201">
        <f t="shared" si="80"/>
        <v>-481.495</v>
      </c>
      <c r="BF74" s="200"/>
      <c r="BG74" s="202">
        <f t="shared" si="81"/>
        <v>0</v>
      </c>
      <c r="BH74" s="203">
        <v>0</v>
      </c>
      <c r="BI74" s="200">
        <f>+ルスツ羊蹄ぶた!W73/1000</f>
        <v>365.29700000000003</v>
      </c>
      <c r="BJ74" s="201">
        <f t="shared" si="82"/>
        <v>-365.29700000000003</v>
      </c>
      <c r="BK74" s="200"/>
      <c r="BL74" s="206">
        <f t="shared" si="83"/>
        <v>0</v>
      </c>
      <c r="BM74" s="199">
        <f t="shared" si="46"/>
        <v>0</v>
      </c>
      <c r="BN74" s="200">
        <f t="shared" si="84"/>
        <v>846.79200000000003</v>
      </c>
      <c r="BO74" s="201">
        <f t="shared" si="85"/>
        <v>-846.79200000000003</v>
      </c>
      <c r="BP74" s="200">
        <f t="shared" si="86"/>
        <v>0</v>
      </c>
      <c r="BQ74" s="206">
        <f t="shared" si="87"/>
        <v>0</v>
      </c>
      <c r="BR74" s="199">
        <v>0</v>
      </c>
      <c r="BS74" s="200">
        <f>+料飲共通!W73/1000</f>
        <v>0</v>
      </c>
      <c r="BT74" s="201">
        <f t="shared" si="88"/>
        <v>0</v>
      </c>
      <c r="BU74" s="200">
        <v>0</v>
      </c>
      <c r="BV74" s="206">
        <f t="shared" si="89"/>
        <v>0</v>
      </c>
      <c r="BW74" s="199">
        <f t="shared" si="90"/>
        <v>13223.561</v>
      </c>
      <c r="BX74" s="200">
        <f t="shared" si="91"/>
        <v>14358.346</v>
      </c>
      <c r="BY74" s="201">
        <f t="shared" si="50"/>
        <v>-1134.7849999999999</v>
      </c>
      <c r="BZ74" s="200">
        <f t="shared" si="92"/>
        <v>13531</v>
      </c>
      <c r="CA74" s="206">
        <f t="shared" si="93"/>
        <v>-307.43900000000031</v>
      </c>
    </row>
    <row r="75" spans="1:79" s="83" customFormat="1" ht="22" hidden="1" customHeight="1" outlineLevel="1">
      <c r="A75" s="99"/>
      <c r="B75" s="96"/>
      <c r="C75" s="88" t="s">
        <v>137</v>
      </c>
      <c r="D75" s="88"/>
      <c r="E75" s="199">
        <v>549.41499999999996</v>
      </c>
      <c r="F75" s="200">
        <f>+ﾇｰﾍﾞﾙﾌﾟｰｽ!W74/1000</f>
        <v>567.40800000000002</v>
      </c>
      <c r="G75" s="201">
        <f t="shared" si="51"/>
        <v>-17.993000000000052</v>
      </c>
      <c r="H75" s="200">
        <v>575</v>
      </c>
      <c r="I75" s="202">
        <f t="shared" si="52"/>
        <v>-25.585000000000036</v>
      </c>
      <c r="J75" s="203">
        <v>78.299000000000007</v>
      </c>
      <c r="K75" s="200">
        <f>+ｶﾌｪﾙﾎﾟ!W74/1000</f>
        <v>78.789000000000001</v>
      </c>
      <c r="L75" s="201">
        <f t="shared" si="53"/>
        <v>-0.48999999999999488</v>
      </c>
      <c r="M75" s="200">
        <v>82</v>
      </c>
      <c r="N75" s="204">
        <f t="shared" si="54"/>
        <v>-3.7009999999999934</v>
      </c>
      <c r="O75" s="205">
        <v>0</v>
      </c>
      <c r="P75" s="200">
        <f>+ｶﾌｪｾﾚｽﾃ!W74/1000</f>
        <v>0</v>
      </c>
      <c r="Q75" s="201">
        <f t="shared" si="55"/>
        <v>0</v>
      </c>
      <c r="R75" s="200">
        <v>0</v>
      </c>
      <c r="S75" s="202">
        <f t="shared" si="56"/>
        <v>0</v>
      </c>
      <c r="T75" s="199">
        <f t="shared" si="57"/>
        <v>627.71399999999994</v>
      </c>
      <c r="U75" s="200">
        <f t="shared" si="58"/>
        <v>646.197</v>
      </c>
      <c r="V75" s="201">
        <f t="shared" si="59"/>
        <v>-18.483000000000061</v>
      </c>
      <c r="W75" s="200">
        <f t="shared" si="60"/>
        <v>657</v>
      </c>
      <c r="X75" s="206">
        <f t="shared" si="61"/>
        <v>-29.286000000000058</v>
      </c>
      <c r="Y75" s="205"/>
      <c r="Z75" s="200"/>
      <c r="AA75" s="201">
        <f t="shared" si="62"/>
        <v>0</v>
      </c>
      <c r="AB75" s="200">
        <v>0</v>
      </c>
      <c r="AC75" s="204">
        <f t="shared" si="63"/>
        <v>0</v>
      </c>
      <c r="AD75" s="205">
        <v>490</v>
      </c>
      <c r="AE75" s="200">
        <f>+ｼﾞｭｴﾙｽﾞ!W74/1000</f>
        <v>498.577</v>
      </c>
      <c r="AF75" s="201">
        <f t="shared" si="64"/>
        <v>-8.5769999999999982</v>
      </c>
      <c r="AG75" s="200">
        <v>455</v>
      </c>
      <c r="AH75" s="206">
        <f t="shared" si="65"/>
        <v>35</v>
      </c>
      <c r="AI75" s="199">
        <f t="shared" si="66"/>
        <v>490</v>
      </c>
      <c r="AJ75" s="200">
        <f t="shared" si="67"/>
        <v>498.577</v>
      </c>
      <c r="AK75" s="201">
        <f t="shared" si="68"/>
        <v>-8.5769999999999982</v>
      </c>
      <c r="AL75" s="200">
        <f t="shared" si="69"/>
        <v>455</v>
      </c>
      <c r="AM75" s="206">
        <f t="shared" si="70"/>
        <v>35</v>
      </c>
      <c r="AN75" s="199">
        <v>720</v>
      </c>
      <c r="AO75" s="200">
        <f>+ｶﾞｰﾃﾞﾝ!W74/1000</f>
        <v>637.32000000000005</v>
      </c>
      <c r="AP75" s="201">
        <f t="shared" si="71"/>
        <v>82.67999999999995</v>
      </c>
      <c r="AQ75" s="200">
        <v>742</v>
      </c>
      <c r="AR75" s="202">
        <f t="shared" si="72"/>
        <v>-22</v>
      </c>
      <c r="AS75" s="203">
        <v>215</v>
      </c>
      <c r="AT75" s="200">
        <f>+ﾋﾞｱｶﾞｰﾃﾞﾝ!W74/1000</f>
        <v>229.59700000000001</v>
      </c>
      <c r="AU75" s="201">
        <f t="shared" si="73"/>
        <v>-14.597000000000008</v>
      </c>
      <c r="AV75" s="200">
        <v>247</v>
      </c>
      <c r="AW75" s="206">
        <f t="shared" si="74"/>
        <v>-32</v>
      </c>
      <c r="AX75" s="199">
        <f t="shared" si="75"/>
        <v>935</v>
      </c>
      <c r="AY75" s="200">
        <f t="shared" si="76"/>
        <v>866.91700000000003</v>
      </c>
      <c r="AZ75" s="201">
        <f t="shared" si="77"/>
        <v>68.08299999999997</v>
      </c>
      <c r="BA75" s="200">
        <f t="shared" si="78"/>
        <v>989</v>
      </c>
      <c r="BB75" s="206">
        <f t="shared" si="79"/>
        <v>-54</v>
      </c>
      <c r="BC75" s="199">
        <v>0</v>
      </c>
      <c r="BD75" s="200">
        <f>+ブリック!W74/1000</f>
        <v>268</v>
      </c>
      <c r="BE75" s="201">
        <f t="shared" si="80"/>
        <v>-268</v>
      </c>
      <c r="BF75" s="200"/>
      <c r="BG75" s="202">
        <f t="shared" si="81"/>
        <v>0</v>
      </c>
      <c r="BH75" s="203">
        <v>0</v>
      </c>
      <c r="BI75" s="200">
        <f>+ルスツ羊蹄ぶた!W74/1000</f>
        <v>369.4</v>
      </c>
      <c r="BJ75" s="201">
        <f t="shared" si="82"/>
        <v>-369.4</v>
      </c>
      <c r="BK75" s="200"/>
      <c r="BL75" s="206">
        <f t="shared" si="83"/>
        <v>0</v>
      </c>
      <c r="BM75" s="199">
        <f t="shared" si="46"/>
        <v>0</v>
      </c>
      <c r="BN75" s="200">
        <f t="shared" si="84"/>
        <v>637.4</v>
      </c>
      <c r="BO75" s="201">
        <f t="shared" si="85"/>
        <v>-637.4</v>
      </c>
      <c r="BP75" s="200">
        <f t="shared" si="86"/>
        <v>0</v>
      </c>
      <c r="BQ75" s="206">
        <f t="shared" si="87"/>
        <v>0</v>
      </c>
      <c r="BR75" s="199">
        <v>0</v>
      </c>
      <c r="BS75" s="200">
        <f>+料飲共通!W74/1000</f>
        <v>0</v>
      </c>
      <c r="BT75" s="201">
        <f t="shared" si="88"/>
        <v>0</v>
      </c>
      <c r="BU75" s="200">
        <v>0</v>
      </c>
      <c r="BV75" s="206">
        <f t="shared" si="89"/>
        <v>0</v>
      </c>
      <c r="BW75" s="199">
        <f t="shared" si="90"/>
        <v>2052.7139999999999</v>
      </c>
      <c r="BX75" s="200">
        <f t="shared" si="91"/>
        <v>2649.0909999999999</v>
      </c>
      <c r="BY75" s="201">
        <f t="shared" si="50"/>
        <v>-596.37699999999995</v>
      </c>
      <c r="BZ75" s="200">
        <f t="shared" si="92"/>
        <v>2101</v>
      </c>
      <c r="CA75" s="206">
        <f t="shared" si="93"/>
        <v>-48.286000000000058</v>
      </c>
    </row>
    <row r="76" spans="1:79" s="83" customFormat="1" ht="22" hidden="1" customHeight="1" outlineLevel="1">
      <c r="A76" s="99"/>
      <c r="B76" s="96"/>
      <c r="C76" s="88" t="s">
        <v>139</v>
      </c>
      <c r="D76" s="88"/>
      <c r="E76" s="199">
        <v>3441.306</v>
      </c>
      <c r="F76" s="200">
        <f>+ﾇｰﾍﾞﾙﾌﾟｰｽ!W75/1000</f>
        <v>3145.6179999999999</v>
      </c>
      <c r="G76" s="201">
        <f t="shared" si="51"/>
        <v>295.6880000000001</v>
      </c>
      <c r="H76" s="200">
        <v>3560</v>
      </c>
      <c r="I76" s="202">
        <f t="shared" si="52"/>
        <v>-118.69399999999996</v>
      </c>
      <c r="J76" s="203">
        <v>491.625</v>
      </c>
      <c r="K76" s="200">
        <f>+ｶﾌｪﾙﾎﾟ!W75/1000</f>
        <v>449.38</v>
      </c>
      <c r="L76" s="201">
        <f t="shared" si="53"/>
        <v>42.245000000000005</v>
      </c>
      <c r="M76" s="200">
        <v>509</v>
      </c>
      <c r="N76" s="204">
        <f t="shared" si="54"/>
        <v>-17.375</v>
      </c>
      <c r="O76" s="205">
        <v>0</v>
      </c>
      <c r="P76" s="200">
        <f>+ｶﾌｪｾﾚｽﾃ!W75/1000</f>
        <v>0</v>
      </c>
      <c r="Q76" s="201">
        <f t="shared" si="55"/>
        <v>0</v>
      </c>
      <c r="R76" s="200">
        <v>0</v>
      </c>
      <c r="S76" s="202">
        <f t="shared" si="56"/>
        <v>0</v>
      </c>
      <c r="T76" s="199">
        <f t="shared" si="57"/>
        <v>3932.931</v>
      </c>
      <c r="U76" s="200">
        <f t="shared" si="58"/>
        <v>3594.998</v>
      </c>
      <c r="V76" s="201">
        <f t="shared" si="59"/>
        <v>337.93299999999999</v>
      </c>
      <c r="W76" s="200">
        <f t="shared" si="60"/>
        <v>4069</v>
      </c>
      <c r="X76" s="206">
        <f t="shared" si="61"/>
        <v>-136.06899999999996</v>
      </c>
      <c r="Y76" s="205"/>
      <c r="Z76" s="200"/>
      <c r="AA76" s="201">
        <f t="shared" si="62"/>
        <v>0</v>
      </c>
      <c r="AB76" s="200">
        <v>0</v>
      </c>
      <c r="AC76" s="204">
        <f t="shared" si="63"/>
        <v>0</v>
      </c>
      <c r="AD76" s="205">
        <v>0</v>
      </c>
      <c r="AE76" s="200">
        <f>+ｼﾞｭｴﾙｽﾞ!W75/1000</f>
        <v>0</v>
      </c>
      <c r="AF76" s="201">
        <f t="shared" si="64"/>
        <v>0</v>
      </c>
      <c r="AG76" s="200">
        <v>0</v>
      </c>
      <c r="AH76" s="206">
        <f t="shared" si="65"/>
        <v>0</v>
      </c>
      <c r="AI76" s="199">
        <f t="shared" si="66"/>
        <v>0</v>
      </c>
      <c r="AJ76" s="200">
        <f t="shared" si="67"/>
        <v>0</v>
      </c>
      <c r="AK76" s="201">
        <f t="shared" si="68"/>
        <v>0</v>
      </c>
      <c r="AL76" s="200">
        <f t="shared" si="69"/>
        <v>0</v>
      </c>
      <c r="AM76" s="206">
        <f t="shared" si="70"/>
        <v>0</v>
      </c>
      <c r="AN76" s="199">
        <v>720</v>
      </c>
      <c r="AO76" s="200">
        <f>+ｶﾞｰﾃﾞﾝ!W75/1000</f>
        <v>1011.777</v>
      </c>
      <c r="AP76" s="201">
        <f t="shared" si="71"/>
        <v>-291.77700000000004</v>
      </c>
      <c r="AQ76" s="200">
        <v>1046</v>
      </c>
      <c r="AR76" s="202">
        <f t="shared" si="72"/>
        <v>-326</v>
      </c>
      <c r="AS76" s="203">
        <v>150</v>
      </c>
      <c r="AT76" s="200">
        <f>+ﾋﾞｱｶﾞｰﾃﾞﾝ!W75/1000</f>
        <v>0</v>
      </c>
      <c r="AU76" s="201">
        <f t="shared" si="73"/>
        <v>150</v>
      </c>
      <c r="AV76" s="200">
        <v>138</v>
      </c>
      <c r="AW76" s="206">
        <f t="shared" si="74"/>
        <v>12</v>
      </c>
      <c r="AX76" s="199">
        <f t="shared" si="75"/>
        <v>870</v>
      </c>
      <c r="AY76" s="200">
        <f t="shared" si="76"/>
        <v>1011.777</v>
      </c>
      <c r="AZ76" s="201">
        <f t="shared" si="77"/>
        <v>-141.77700000000004</v>
      </c>
      <c r="BA76" s="200">
        <f t="shared" si="78"/>
        <v>1184</v>
      </c>
      <c r="BB76" s="206">
        <f t="shared" si="79"/>
        <v>-314</v>
      </c>
      <c r="BC76" s="199">
        <v>0</v>
      </c>
      <c r="BD76" s="200">
        <f>+ブリック!W75/1000</f>
        <v>576.89800000000002</v>
      </c>
      <c r="BE76" s="201">
        <f t="shared" si="80"/>
        <v>-576.89800000000002</v>
      </c>
      <c r="BF76" s="200"/>
      <c r="BG76" s="202">
        <f t="shared" si="81"/>
        <v>0</v>
      </c>
      <c r="BH76" s="203">
        <v>0</v>
      </c>
      <c r="BI76" s="200">
        <f>+ルスツ羊蹄ぶた!W75/1000</f>
        <v>689.25599999999997</v>
      </c>
      <c r="BJ76" s="201">
        <f t="shared" si="82"/>
        <v>-689.25599999999997</v>
      </c>
      <c r="BK76" s="200"/>
      <c r="BL76" s="206">
        <f t="shared" si="83"/>
        <v>0</v>
      </c>
      <c r="BM76" s="199">
        <f t="shared" si="46"/>
        <v>0</v>
      </c>
      <c r="BN76" s="200">
        <f t="shared" si="84"/>
        <v>1266.154</v>
      </c>
      <c r="BO76" s="201">
        <f t="shared" si="85"/>
        <v>-1266.154</v>
      </c>
      <c r="BP76" s="200">
        <f t="shared" si="86"/>
        <v>0</v>
      </c>
      <c r="BQ76" s="206">
        <f t="shared" si="87"/>
        <v>0</v>
      </c>
      <c r="BR76" s="199">
        <v>0</v>
      </c>
      <c r="BS76" s="200">
        <f>+料飲共通!W75/1000</f>
        <v>0</v>
      </c>
      <c r="BT76" s="201">
        <f t="shared" si="88"/>
        <v>0</v>
      </c>
      <c r="BU76" s="200">
        <v>0</v>
      </c>
      <c r="BV76" s="206">
        <f t="shared" si="89"/>
        <v>0</v>
      </c>
      <c r="BW76" s="199">
        <f t="shared" si="90"/>
        <v>4802.9310000000005</v>
      </c>
      <c r="BX76" s="200">
        <f t="shared" si="91"/>
        <v>5872.9290000000001</v>
      </c>
      <c r="BY76" s="201">
        <f t="shared" si="50"/>
        <v>-1069.9979999999996</v>
      </c>
      <c r="BZ76" s="200">
        <f t="shared" si="92"/>
        <v>5253</v>
      </c>
      <c r="CA76" s="206">
        <f t="shared" si="93"/>
        <v>-450.06899999999951</v>
      </c>
    </row>
    <row r="77" spans="1:79" s="83" customFormat="1" ht="22" hidden="1" customHeight="1" outlineLevel="1">
      <c r="A77" s="99"/>
      <c r="B77" s="96"/>
      <c r="C77" s="88" t="s">
        <v>141</v>
      </c>
      <c r="D77" s="88"/>
      <c r="E77" s="199">
        <v>0</v>
      </c>
      <c r="F77" s="200">
        <f>+ﾇｰﾍﾞﾙﾌﾟｰｽ!W76/1000</f>
        <v>0</v>
      </c>
      <c r="G77" s="201">
        <f t="shared" si="51"/>
        <v>0</v>
      </c>
      <c r="H77" s="200">
        <v>0</v>
      </c>
      <c r="I77" s="202">
        <f t="shared" si="52"/>
        <v>0</v>
      </c>
      <c r="J77" s="203">
        <v>0</v>
      </c>
      <c r="K77" s="200">
        <f>+ｶﾌｪﾙﾎﾟ!W76/1000</f>
        <v>0</v>
      </c>
      <c r="L77" s="201">
        <f t="shared" si="53"/>
        <v>0</v>
      </c>
      <c r="M77" s="200">
        <v>0</v>
      </c>
      <c r="N77" s="204">
        <f t="shared" si="54"/>
        <v>0</v>
      </c>
      <c r="O77" s="205">
        <v>0</v>
      </c>
      <c r="P77" s="200">
        <f>+ｶﾌｪｾﾚｽﾃ!W76/1000</f>
        <v>0</v>
      </c>
      <c r="Q77" s="201">
        <f t="shared" si="55"/>
        <v>0</v>
      </c>
      <c r="R77" s="200">
        <v>0</v>
      </c>
      <c r="S77" s="202">
        <f t="shared" si="56"/>
        <v>0</v>
      </c>
      <c r="T77" s="199">
        <f t="shared" si="57"/>
        <v>0</v>
      </c>
      <c r="U77" s="200">
        <f t="shared" si="58"/>
        <v>0</v>
      </c>
      <c r="V77" s="201">
        <f t="shared" si="59"/>
        <v>0</v>
      </c>
      <c r="W77" s="200">
        <f t="shared" si="60"/>
        <v>0</v>
      </c>
      <c r="X77" s="206">
        <f t="shared" si="61"/>
        <v>0</v>
      </c>
      <c r="Y77" s="205"/>
      <c r="Z77" s="200"/>
      <c r="AA77" s="201">
        <f t="shared" si="62"/>
        <v>0</v>
      </c>
      <c r="AB77" s="200">
        <v>0</v>
      </c>
      <c r="AC77" s="204">
        <f t="shared" si="63"/>
        <v>0</v>
      </c>
      <c r="AD77" s="205">
        <v>0</v>
      </c>
      <c r="AE77" s="200">
        <f>+ｼﾞｭｴﾙｽﾞ!W76/1000</f>
        <v>0</v>
      </c>
      <c r="AF77" s="201">
        <f t="shared" si="64"/>
        <v>0</v>
      </c>
      <c r="AG77" s="200">
        <v>0</v>
      </c>
      <c r="AH77" s="206">
        <f t="shared" si="65"/>
        <v>0</v>
      </c>
      <c r="AI77" s="199">
        <f t="shared" si="66"/>
        <v>0</v>
      </c>
      <c r="AJ77" s="200">
        <f t="shared" si="67"/>
        <v>0</v>
      </c>
      <c r="AK77" s="201">
        <f t="shared" si="68"/>
        <v>0</v>
      </c>
      <c r="AL77" s="200">
        <f t="shared" si="69"/>
        <v>0</v>
      </c>
      <c r="AM77" s="206">
        <f t="shared" si="70"/>
        <v>0</v>
      </c>
      <c r="AN77" s="199">
        <v>0</v>
      </c>
      <c r="AO77" s="200">
        <f>+ｶﾞｰﾃﾞﾝ!W76/1000</f>
        <v>0</v>
      </c>
      <c r="AP77" s="201">
        <f t="shared" si="71"/>
        <v>0</v>
      </c>
      <c r="AQ77" s="200">
        <v>0</v>
      </c>
      <c r="AR77" s="202">
        <f t="shared" si="72"/>
        <v>0</v>
      </c>
      <c r="AS77" s="203">
        <v>0</v>
      </c>
      <c r="AT77" s="200">
        <f>+ﾋﾞｱｶﾞｰﾃﾞﾝ!W76/1000</f>
        <v>0</v>
      </c>
      <c r="AU77" s="201">
        <f t="shared" si="73"/>
        <v>0</v>
      </c>
      <c r="AV77" s="200">
        <v>6</v>
      </c>
      <c r="AW77" s="206">
        <f t="shared" si="74"/>
        <v>-6</v>
      </c>
      <c r="AX77" s="199">
        <f t="shared" si="75"/>
        <v>0</v>
      </c>
      <c r="AY77" s="200">
        <f t="shared" si="76"/>
        <v>0</v>
      </c>
      <c r="AZ77" s="201">
        <f t="shared" si="77"/>
        <v>0</v>
      </c>
      <c r="BA77" s="200">
        <f t="shared" si="78"/>
        <v>6</v>
      </c>
      <c r="BB77" s="206">
        <f t="shared" si="79"/>
        <v>-6</v>
      </c>
      <c r="BC77" s="199">
        <v>0</v>
      </c>
      <c r="BD77" s="200">
        <f>+ブリック!W76/1000</f>
        <v>0</v>
      </c>
      <c r="BE77" s="201">
        <f t="shared" si="80"/>
        <v>0</v>
      </c>
      <c r="BF77" s="200"/>
      <c r="BG77" s="202">
        <f t="shared" si="81"/>
        <v>0</v>
      </c>
      <c r="BH77" s="203">
        <v>0</v>
      </c>
      <c r="BI77" s="200">
        <f>+ルスツ羊蹄ぶた!W76/1000</f>
        <v>0</v>
      </c>
      <c r="BJ77" s="201">
        <f t="shared" si="82"/>
        <v>0</v>
      </c>
      <c r="BK77" s="200"/>
      <c r="BL77" s="206">
        <f t="shared" si="83"/>
        <v>0</v>
      </c>
      <c r="BM77" s="199">
        <f t="shared" si="46"/>
        <v>0</v>
      </c>
      <c r="BN77" s="200">
        <f t="shared" si="84"/>
        <v>0</v>
      </c>
      <c r="BO77" s="201">
        <f t="shared" si="85"/>
        <v>0</v>
      </c>
      <c r="BP77" s="200">
        <f t="shared" si="86"/>
        <v>0</v>
      </c>
      <c r="BQ77" s="206">
        <f t="shared" si="87"/>
        <v>0</v>
      </c>
      <c r="BR77" s="199">
        <v>0</v>
      </c>
      <c r="BS77" s="200">
        <f>+料飲共通!W76/1000</f>
        <v>0</v>
      </c>
      <c r="BT77" s="201">
        <f t="shared" si="88"/>
        <v>0</v>
      </c>
      <c r="BU77" s="200">
        <v>0</v>
      </c>
      <c r="BV77" s="206">
        <f t="shared" si="89"/>
        <v>0</v>
      </c>
      <c r="BW77" s="199">
        <f t="shared" si="90"/>
        <v>0</v>
      </c>
      <c r="BX77" s="200">
        <f t="shared" si="91"/>
        <v>0</v>
      </c>
      <c r="BY77" s="201">
        <f t="shared" si="50"/>
        <v>0</v>
      </c>
      <c r="BZ77" s="200">
        <f t="shared" si="92"/>
        <v>6</v>
      </c>
      <c r="CA77" s="206">
        <f t="shared" si="93"/>
        <v>-6</v>
      </c>
    </row>
    <row r="78" spans="1:79" s="83" customFormat="1" ht="22" hidden="1" customHeight="1" outlineLevel="1">
      <c r="A78" s="99"/>
      <c r="B78" s="96"/>
      <c r="C78" s="88" t="s">
        <v>143</v>
      </c>
      <c r="D78" s="88"/>
      <c r="E78" s="199">
        <v>0</v>
      </c>
      <c r="F78" s="200">
        <f>+ﾇｰﾍﾞﾙﾌﾟｰｽ!W77/1000</f>
        <v>0</v>
      </c>
      <c r="G78" s="201">
        <f t="shared" si="51"/>
        <v>0</v>
      </c>
      <c r="H78" s="200">
        <v>0</v>
      </c>
      <c r="I78" s="202">
        <f t="shared" si="52"/>
        <v>0</v>
      </c>
      <c r="J78" s="203">
        <v>0</v>
      </c>
      <c r="K78" s="200">
        <f>+ｶﾌｪﾙﾎﾟ!W77/1000</f>
        <v>0</v>
      </c>
      <c r="L78" s="201">
        <f t="shared" si="53"/>
        <v>0</v>
      </c>
      <c r="M78" s="200">
        <v>0</v>
      </c>
      <c r="N78" s="204">
        <f t="shared" si="54"/>
        <v>0</v>
      </c>
      <c r="O78" s="205">
        <v>0</v>
      </c>
      <c r="P78" s="200">
        <f>+ｶﾌｪｾﾚｽﾃ!W77/1000</f>
        <v>0</v>
      </c>
      <c r="Q78" s="201">
        <f t="shared" si="55"/>
        <v>0</v>
      </c>
      <c r="R78" s="200">
        <v>0</v>
      </c>
      <c r="S78" s="202">
        <f t="shared" si="56"/>
        <v>0</v>
      </c>
      <c r="T78" s="199">
        <f t="shared" si="57"/>
        <v>0</v>
      </c>
      <c r="U78" s="200">
        <f t="shared" si="58"/>
        <v>0</v>
      </c>
      <c r="V78" s="201">
        <f t="shared" si="59"/>
        <v>0</v>
      </c>
      <c r="W78" s="200">
        <f t="shared" si="60"/>
        <v>0</v>
      </c>
      <c r="X78" s="206">
        <f t="shared" si="61"/>
        <v>0</v>
      </c>
      <c r="Y78" s="205"/>
      <c r="Z78" s="200"/>
      <c r="AA78" s="201">
        <f t="shared" si="62"/>
        <v>0</v>
      </c>
      <c r="AB78" s="200">
        <v>0</v>
      </c>
      <c r="AC78" s="204">
        <f t="shared" si="63"/>
        <v>0</v>
      </c>
      <c r="AD78" s="205">
        <v>0</v>
      </c>
      <c r="AE78" s="200">
        <f>+ｼﾞｭｴﾙｽﾞ!W77/1000</f>
        <v>0</v>
      </c>
      <c r="AF78" s="201">
        <f t="shared" si="64"/>
        <v>0</v>
      </c>
      <c r="AG78" s="200">
        <v>0</v>
      </c>
      <c r="AH78" s="206">
        <f t="shared" si="65"/>
        <v>0</v>
      </c>
      <c r="AI78" s="199">
        <f t="shared" si="66"/>
        <v>0</v>
      </c>
      <c r="AJ78" s="200">
        <f t="shared" si="67"/>
        <v>0</v>
      </c>
      <c r="AK78" s="201">
        <f t="shared" si="68"/>
        <v>0</v>
      </c>
      <c r="AL78" s="200">
        <f t="shared" si="69"/>
        <v>0</v>
      </c>
      <c r="AM78" s="206">
        <f t="shared" si="70"/>
        <v>0</v>
      </c>
      <c r="AN78" s="199">
        <v>0</v>
      </c>
      <c r="AO78" s="200">
        <f>+ｶﾞｰﾃﾞﾝ!W77/1000</f>
        <v>0</v>
      </c>
      <c r="AP78" s="201">
        <f t="shared" si="71"/>
        <v>0</v>
      </c>
      <c r="AQ78" s="200">
        <v>0</v>
      </c>
      <c r="AR78" s="202">
        <f t="shared" si="72"/>
        <v>0</v>
      </c>
      <c r="AS78" s="203">
        <v>0</v>
      </c>
      <c r="AT78" s="200">
        <f>+ﾋﾞｱｶﾞｰﾃﾞﾝ!W77/1000</f>
        <v>0</v>
      </c>
      <c r="AU78" s="201">
        <f t="shared" si="73"/>
        <v>0</v>
      </c>
      <c r="AV78" s="200">
        <v>0</v>
      </c>
      <c r="AW78" s="206">
        <f t="shared" si="74"/>
        <v>0</v>
      </c>
      <c r="AX78" s="199">
        <f t="shared" si="75"/>
        <v>0</v>
      </c>
      <c r="AY78" s="200">
        <f t="shared" si="76"/>
        <v>0</v>
      </c>
      <c r="AZ78" s="201">
        <f t="shared" si="77"/>
        <v>0</v>
      </c>
      <c r="BA78" s="200">
        <f t="shared" si="78"/>
        <v>0</v>
      </c>
      <c r="BB78" s="206">
        <f t="shared" si="79"/>
        <v>0</v>
      </c>
      <c r="BC78" s="199">
        <v>0</v>
      </c>
      <c r="BD78" s="200">
        <f>+ブリック!W77/1000</f>
        <v>1452.326</v>
      </c>
      <c r="BE78" s="201">
        <f t="shared" si="80"/>
        <v>-1452.326</v>
      </c>
      <c r="BF78" s="200"/>
      <c r="BG78" s="202">
        <f t="shared" si="81"/>
        <v>0</v>
      </c>
      <c r="BH78" s="203">
        <v>0</v>
      </c>
      <c r="BI78" s="200">
        <f>+ルスツ羊蹄ぶた!W77/1000</f>
        <v>240.52699999999999</v>
      </c>
      <c r="BJ78" s="201">
        <f t="shared" si="82"/>
        <v>-240.52699999999999</v>
      </c>
      <c r="BK78" s="200"/>
      <c r="BL78" s="206">
        <f t="shared" si="83"/>
        <v>0</v>
      </c>
      <c r="BM78" s="199">
        <f t="shared" si="46"/>
        <v>0</v>
      </c>
      <c r="BN78" s="200">
        <f t="shared" si="84"/>
        <v>1692.8530000000001</v>
      </c>
      <c r="BO78" s="201">
        <f t="shared" si="85"/>
        <v>-1692.8530000000001</v>
      </c>
      <c r="BP78" s="200">
        <f t="shared" si="86"/>
        <v>0</v>
      </c>
      <c r="BQ78" s="206">
        <f t="shared" si="87"/>
        <v>0</v>
      </c>
      <c r="BR78" s="199">
        <v>0</v>
      </c>
      <c r="BS78" s="200">
        <f>+料飲共通!W77/1000</f>
        <v>0</v>
      </c>
      <c r="BT78" s="201">
        <f t="shared" si="88"/>
        <v>0</v>
      </c>
      <c r="BU78" s="200">
        <v>0</v>
      </c>
      <c r="BV78" s="206">
        <f t="shared" si="89"/>
        <v>0</v>
      </c>
      <c r="BW78" s="199">
        <f t="shared" si="90"/>
        <v>0</v>
      </c>
      <c r="BX78" s="200">
        <f t="shared" si="91"/>
        <v>1692.8530000000001</v>
      </c>
      <c r="BY78" s="201">
        <f t="shared" si="50"/>
        <v>-1692.8530000000001</v>
      </c>
      <c r="BZ78" s="200">
        <f t="shared" si="92"/>
        <v>0</v>
      </c>
      <c r="CA78" s="206">
        <f t="shared" si="93"/>
        <v>0</v>
      </c>
    </row>
    <row r="79" spans="1:79" s="83" customFormat="1" ht="22" customHeight="1" collapsed="1">
      <c r="A79" s="99"/>
      <c r="B79" s="87" t="s">
        <v>145</v>
      </c>
      <c r="C79" s="88"/>
      <c r="D79" s="88"/>
      <c r="E79" s="199">
        <v>29.716000000000001</v>
      </c>
      <c r="F79" s="200">
        <f>+ﾇｰﾍﾞﾙﾌﾟｰｽ!W78/1000</f>
        <v>0.83299999999999996</v>
      </c>
      <c r="G79" s="201">
        <f t="shared" si="51"/>
        <v>28.883000000000003</v>
      </c>
      <c r="H79" s="200">
        <v>23</v>
      </c>
      <c r="I79" s="202">
        <f t="shared" si="52"/>
        <v>6.7160000000000011</v>
      </c>
      <c r="J79" s="203">
        <v>0</v>
      </c>
      <c r="K79" s="200">
        <f>+ｶﾌｪﾙﾎﾟ!W78/1000</f>
        <v>0</v>
      </c>
      <c r="L79" s="201">
        <f t="shared" si="53"/>
        <v>0</v>
      </c>
      <c r="M79" s="200">
        <v>0</v>
      </c>
      <c r="N79" s="204">
        <f t="shared" si="54"/>
        <v>0</v>
      </c>
      <c r="O79" s="205">
        <v>0</v>
      </c>
      <c r="P79" s="200">
        <f>+ｶﾌｪｾﾚｽﾃ!W78/1000</f>
        <v>0</v>
      </c>
      <c r="Q79" s="201">
        <f t="shared" si="55"/>
        <v>0</v>
      </c>
      <c r="R79" s="200">
        <v>0</v>
      </c>
      <c r="S79" s="202">
        <f t="shared" si="56"/>
        <v>0</v>
      </c>
      <c r="T79" s="199">
        <f t="shared" si="57"/>
        <v>29.716000000000001</v>
      </c>
      <c r="U79" s="200">
        <f t="shared" si="58"/>
        <v>0.83299999999999996</v>
      </c>
      <c r="V79" s="201">
        <f t="shared" si="59"/>
        <v>28.883000000000003</v>
      </c>
      <c r="W79" s="200">
        <f t="shared" si="60"/>
        <v>23</v>
      </c>
      <c r="X79" s="206">
        <f t="shared" si="61"/>
        <v>6.7160000000000011</v>
      </c>
      <c r="Y79" s="205"/>
      <c r="Z79" s="200"/>
      <c r="AA79" s="201">
        <f t="shared" si="62"/>
        <v>0</v>
      </c>
      <c r="AB79" s="200">
        <v>0</v>
      </c>
      <c r="AC79" s="204">
        <f t="shared" si="63"/>
        <v>0</v>
      </c>
      <c r="AD79" s="205">
        <v>18</v>
      </c>
      <c r="AE79" s="200">
        <f>+ｼﾞｭｴﾙｽﾞ!W78/1000</f>
        <v>11.186</v>
      </c>
      <c r="AF79" s="201">
        <f t="shared" si="64"/>
        <v>6.8140000000000001</v>
      </c>
      <c r="AG79" s="200">
        <v>18</v>
      </c>
      <c r="AH79" s="206">
        <f t="shared" si="65"/>
        <v>0</v>
      </c>
      <c r="AI79" s="199">
        <f t="shared" si="66"/>
        <v>18</v>
      </c>
      <c r="AJ79" s="200">
        <f t="shared" si="67"/>
        <v>11.186</v>
      </c>
      <c r="AK79" s="201">
        <f t="shared" si="68"/>
        <v>6.8140000000000001</v>
      </c>
      <c r="AL79" s="200">
        <f t="shared" si="69"/>
        <v>18</v>
      </c>
      <c r="AM79" s="206">
        <f t="shared" si="70"/>
        <v>0</v>
      </c>
      <c r="AN79" s="199">
        <v>42</v>
      </c>
      <c r="AO79" s="200">
        <f>+ｶﾞｰﾃﾞﾝ!W78/1000</f>
        <v>30.088999999999999</v>
      </c>
      <c r="AP79" s="201">
        <f t="shared" si="71"/>
        <v>11.911000000000001</v>
      </c>
      <c r="AQ79" s="200">
        <v>32</v>
      </c>
      <c r="AR79" s="202">
        <f t="shared" si="72"/>
        <v>10</v>
      </c>
      <c r="AS79" s="203">
        <v>17.7</v>
      </c>
      <c r="AT79" s="200">
        <f>+ﾋﾞｱｶﾞｰﾃﾞﾝ!W78/1000</f>
        <v>16.11</v>
      </c>
      <c r="AU79" s="201">
        <f t="shared" si="73"/>
        <v>1.5899999999999999</v>
      </c>
      <c r="AV79" s="200">
        <v>0</v>
      </c>
      <c r="AW79" s="206">
        <f t="shared" si="74"/>
        <v>17.7</v>
      </c>
      <c r="AX79" s="199">
        <f t="shared" si="75"/>
        <v>59.7</v>
      </c>
      <c r="AY79" s="200">
        <f t="shared" si="76"/>
        <v>46.198999999999998</v>
      </c>
      <c r="AZ79" s="201">
        <f t="shared" si="77"/>
        <v>13.501000000000005</v>
      </c>
      <c r="BA79" s="200">
        <f t="shared" si="78"/>
        <v>32</v>
      </c>
      <c r="BB79" s="206">
        <f t="shared" si="79"/>
        <v>27.700000000000003</v>
      </c>
      <c r="BC79" s="199">
        <v>17.261581505617141</v>
      </c>
      <c r="BD79" s="200">
        <f>+ブリック!W78/1000</f>
        <v>849.572</v>
      </c>
      <c r="BE79" s="201">
        <f t="shared" si="80"/>
        <v>-832.31041849438282</v>
      </c>
      <c r="BF79" s="200"/>
      <c r="BG79" s="202">
        <f t="shared" si="81"/>
        <v>17.261581505617141</v>
      </c>
      <c r="BH79" s="203">
        <v>0</v>
      </c>
      <c r="BI79" s="200">
        <f>+ルスツ羊蹄ぶた!W78/1000</f>
        <v>685.78</v>
      </c>
      <c r="BJ79" s="201">
        <f t="shared" si="82"/>
        <v>-685.78</v>
      </c>
      <c r="BK79" s="200"/>
      <c r="BL79" s="206">
        <f t="shared" si="83"/>
        <v>0</v>
      </c>
      <c r="BM79" s="199">
        <f t="shared" si="46"/>
        <v>17.261581505617141</v>
      </c>
      <c r="BN79" s="200">
        <f t="shared" si="84"/>
        <v>1535.3519999999999</v>
      </c>
      <c r="BO79" s="201">
        <f t="shared" si="85"/>
        <v>-1518.0904184943827</v>
      </c>
      <c r="BP79" s="200">
        <f t="shared" si="86"/>
        <v>0</v>
      </c>
      <c r="BQ79" s="206">
        <f t="shared" si="87"/>
        <v>17.261581505617141</v>
      </c>
      <c r="BR79" s="199">
        <v>0</v>
      </c>
      <c r="BS79" s="200">
        <f>+料飲共通!W78/1000</f>
        <v>0</v>
      </c>
      <c r="BT79" s="201">
        <f t="shared" si="88"/>
        <v>0</v>
      </c>
      <c r="BU79" s="200">
        <v>0</v>
      </c>
      <c r="BV79" s="206">
        <f t="shared" si="89"/>
        <v>0</v>
      </c>
      <c r="BW79" s="199">
        <f t="shared" si="90"/>
        <v>124.67758150561714</v>
      </c>
      <c r="BX79" s="200">
        <f t="shared" si="91"/>
        <v>1593.57</v>
      </c>
      <c r="BY79" s="201">
        <f t="shared" si="50"/>
        <v>-1468.8924184943828</v>
      </c>
      <c r="BZ79" s="200">
        <f t="shared" si="92"/>
        <v>73</v>
      </c>
      <c r="CA79" s="206">
        <f t="shared" si="93"/>
        <v>51.677581505617141</v>
      </c>
    </row>
    <row r="80" spans="1:79" s="83" customFormat="1" ht="22" customHeight="1">
      <c r="A80" s="99"/>
      <c r="B80" s="87" t="s">
        <v>147</v>
      </c>
      <c r="C80" s="88"/>
      <c r="D80" s="88"/>
      <c r="E80" s="199">
        <v>2420</v>
      </c>
      <c r="F80" s="200">
        <f>+ﾇｰﾍﾞﾙﾌﾟｰｽ!W79/1000</f>
        <v>1330</v>
      </c>
      <c r="G80" s="201">
        <f t="shared" si="51"/>
        <v>1090</v>
      </c>
      <c r="H80" s="200">
        <v>1907</v>
      </c>
      <c r="I80" s="202">
        <f t="shared" si="52"/>
        <v>513</v>
      </c>
      <c r="J80" s="203">
        <v>70</v>
      </c>
      <c r="K80" s="200">
        <f>+ｶﾌｪﾙﾎﾟ!W79/1000</f>
        <v>0</v>
      </c>
      <c r="L80" s="201">
        <f t="shared" si="53"/>
        <v>70</v>
      </c>
      <c r="M80" s="200">
        <v>68</v>
      </c>
      <c r="N80" s="204">
        <f t="shared" si="54"/>
        <v>2</v>
      </c>
      <c r="O80" s="205">
        <v>0</v>
      </c>
      <c r="P80" s="200">
        <f>+ｶﾌｪｾﾚｽﾃ!W79/1000</f>
        <v>0</v>
      </c>
      <c r="Q80" s="201">
        <f t="shared" si="55"/>
        <v>0</v>
      </c>
      <c r="R80" s="200">
        <v>0</v>
      </c>
      <c r="S80" s="202">
        <f t="shared" si="56"/>
        <v>0</v>
      </c>
      <c r="T80" s="199">
        <f t="shared" si="57"/>
        <v>2490</v>
      </c>
      <c r="U80" s="200">
        <f t="shared" si="58"/>
        <v>1330</v>
      </c>
      <c r="V80" s="201">
        <f t="shared" si="59"/>
        <v>1160</v>
      </c>
      <c r="W80" s="200">
        <f t="shared" si="60"/>
        <v>1975</v>
      </c>
      <c r="X80" s="206">
        <f t="shared" si="61"/>
        <v>515</v>
      </c>
      <c r="Y80" s="205"/>
      <c r="Z80" s="200"/>
      <c r="AA80" s="201">
        <f t="shared" si="62"/>
        <v>0</v>
      </c>
      <c r="AB80" s="200">
        <v>0</v>
      </c>
      <c r="AC80" s="204">
        <f t="shared" si="63"/>
        <v>0</v>
      </c>
      <c r="AD80" s="205">
        <v>2420</v>
      </c>
      <c r="AE80" s="200">
        <f>+ｼﾞｭｴﾙｽﾞ!W79/1000</f>
        <v>1073.5</v>
      </c>
      <c r="AF80" s="201">
        <f t="shared" si="64"/>
        <v>1346.5</v>
      </c>
      <c r="AG80" s="200">
        <v>2223</v>
      </c>
      <c r="AH80" s="206">
        <f t="shared" si="65"/>
        <v>197</v>
      </c>
      <c r="AI80" s="199">
        <f t="shared" si="66"/>
        <v>2420</v>
      </c>
      <c r="AJ80" s="200">
        <f t="shared" si="67"/>
        <v>1073.5</v>
      </c>
      <c r="AK80" s="201">
        <f t="shared" si="68"/>
        <v>1346.5</v>
      </c>
      <c r="AL80" s="200">
        <f t="shared" si="69"/>
        <v>2223</v>
      </c>
      <c r="AM80" s="206">
        <f t="shared" si="70"/>
        <v>197</v>
      </c>
      <c r="AN80" s="199">
        <v>2480</v>
      </c>
      <c r="AO80" s="200">
        <f>+ｶﾞｰﾃﾞﾝ!W79/1000</f>
        <v>1270.8</v>
      </c>
      <c r="AP80" s="201">
        <f t="shared" si="71"/>
        <v>1209.2</v>
      </c>
      <c r="AQ80" s="200">
        <v>1361</v>
      </c>
      <c r="AR80" s="202">
        <f t="shared" si="72"/>
        <v>1119</v>
      </c>
      <c r="AS80" s="203">
        <v>1850</v>
      </c>
      <c r="AT80" s="200">
        <f>+ﾋﾞｱｶﾞｰﾃﾞﾝ!W79/1000</f>
        <v>145</v>
      </c>
      <c r="AU80" s="201">
        <f t="shared" si="73"/>
        <v>1705</v>
      </c>
      <c r="AV80" s="200">
        <v>785</v>
      </c>
      <c r="AW80" s="206">
        <f t="shared" si="74"/>
        <v>1065</v>
      </c>
      <c r="AX80" s="199">
        <f t="shared" si="75"/>
        <v>4330</v>
      </c>
      <c r="AY80" s="200">
        <f t="shared" si="76"/>
        <v>1415.8</v>
      </c>
      <c r="AZ80" s="201">
        <f t="shared" si="77"/>
        <v>2914.2</v>
      </c>
      <c r="BA80" s="200">
        <f t="shared" si="78"/>
        <v>2146</v>
      </c>
      <c r="BB80" s="206">
        <f t="shared" si="79"/>
        <v>2184</v>
      </c>
      <c r="BC80" s="199">
        <v>0</v>
      </c>
      <c r="BD80" s="200">
        <f>+ブリック!W79/1000</f>
        <v>2557</v>
      </c>
      <c r="BE80" s="201">
        <f t="shared" si="80"/>
        <v>-2557</v>
      </c>
      <c r="BF80" s="200"/>
      <c r="BG80" s="202">
        <f t="shared" si="81"/>
        <v>0</v>
      </c>
      <c r="BH80" s="203">
        <v>0</v>
      </c>
      <c r="BI80" s="200">
        <f>+ルスツ羊蹄ぶた!W79/1000</f>
        <v>542.5</v>
      </c>
      <c r="BJ80" s="201">
        <f t="shared" si="82"/>
        <v>-542.5</v>
      </c>
      <c r="BK80" s="200"/>
      <c r="BL80" s="206">
        <f t="shared" si="83"/>
        <v>0</v>
      </c>
      <c r="BM80" s="199">
        <f t="shared" si="46"/>
        <v>0</v>
      </c>
      <c r="BN80" s="200">
        <f t="shared" si="84"/>
        <v>3099.5</v>
      </c>
      <c r="BO80" s="201">
        <f t="shared" si="85"/>
        <v>-3099.5</v>
      </c>
      <c r="BP80" s="200">
        <f t="shared" si="86"/>
        <v>0</v>
      </c>
      <c r="BQ80" s="206">
        <f t="shared" si="87"/>
        <v>0</v>
      </c>
      <c r="BR80" s="199">
        <v>400</v>
      </c>
      <c r="BS80" s="200">
        <f>+料飲共通!W79/1000</f>
        <v>1071.7</v>
      </c>
      <c r="BT80" s="201">
        <f t="shared" si="88"/>
        <v>-671.7</v>
      </c>
      <c r="BU80" s="200">
        <v>4475</v>
      </c>
      <c r="BV80" s="206">
        <f t="shared" si="89"/>
        <v>-4075</v>
      </c>
      <c r="BW80" s="199">
        <f t="shared" si="90"/>
        <v>9640</v>
      </c>
      <c r="BX80" s="200">
        <f t="shared" si="91"/>
        <v>7990.5</v>
      </c>
      <c r="BY80" s="201">
        <f t="shared" si="50"/>
        <v>1649.5</v>
      </c>
      <c r="BZ80" s="200">
        <f t="shared" si="92"/>
        <v>10819</v>
      </c>
      <c r="CA80" s="206">
        <f t="shared" si="93"/>
        <v>-1179</v>
      </c>
    </row>
    <row r="81" spans="1:79" s="83" customFormat="1" ht="22" customHeight="1">
      <c r="A81" s="99"/>
      <c r="B81" s="87" t="s">
        <v>149</v>
      </c>
      <c r="C81" s="88"/>
      <c r="D81" s="88"/>
      <c r="E81" s="199">
        <v>0</v>
      </c>
      <c r="F81" s="200">
        <f>+ﾇｰﾍﾞﾙﾌﾟｰｽ!W80/1000</f>
        <v>0</v>
      </c>
      <c r="G81" s="201">
        <f t="shared" si="51"/>
        <v>0</v>
      </c>
      <c r="H81" s="200">
        <v>0</v>
      </c>
      <c r="I81" s="202">
        <f t="shared" si="52"/>
        <v>0</v>
      </c>
      <c r="J81" s="203">
        <v>0</v>
      </c>
      <c r="K81" s="200">
        <f>+ｶﾌｪﾙﾎﾟ!W80/1000</f>
        <v>0</v>
      </c>
      <c r="L81" s="201">
        <f t="shared" si="53"/>
        <v>0</v>
      </c>
      <c r="M81" s="200">
        <v>0</v>
      </c>
      <c r="N81" s="204">
        <f t="shared" si="54"/>
        <v>0</v>
      </c>
      <c r="O81" s="205">
        <v>0</v>
      </c>
      <c r="P81" s="200">
        <f>+ｶﾌｪｾﾚｽﾃ!W80/1000</f>
        <v>0</v>
      </c>
      <c r="Q81" s="201">
        <f t="shared" si="55"/>
        <v>0</v>
      </c>
      <c r="R81" s="200">
        <v>0</v>
      </c>
      <c r="S81" s="202">
        <f t="shared" si="56"/>
        <v>0</v>
      </c>
      <c r="T81" s="199">
        <f t="shared" si="57"/>
        <v>0</v>
      </c>
      <c r="U81" s="200">
        <f t="shared" si="58"/>
        <v>0</v>
      </c>
      <c r="V81" s="201">
        <f t="shared" si="59"/>
        <v>0</v>
      </c>
      <c r="W81" s="200">
        <f t="shared" si="60"/>
        <v>0</v>
      </c>
      <c r="X81" s="206">
        <f t="shared" si="61"/>
        <v>0</v>
      </c>
      <c r="Y81" s="205"/>
      <c r="Z81" s="200"/>
      <c r="AA81" s="201">
        <f t="shared" si="62"/>
        <v>0</v>
      </c>
      <c r="AB81" s="200">
        <v>0</v>
      </c>
      <c r="AC81" s="204">
        <f t="shared" si="63"/>
        <v>0</v>
      </c>
      <c r="AD81" s="205">
        <v>0</v>
      </c>
      <c r="AE81" s="200">
        <f>+ｼﾞｭｴﾙｽﾞ!W80/1000</f>
        <v>0</v>
      </c>
      <c r="AF81" s="201">
        <f t="shared" si="64"/>
        <v>0</v>
      </c>
      <c r="AG81" s="200">
        <v>3</v>
      </c>
      <c r="AH81" s="206">
        <f t="shared" si="65"/>
        <v>-3</v>
      </c>
      <c r="AI81" s="199">
        <f t="shared" si="66"/>
        <v>0</v>
      </c>
      <c r="AJ81" s="200">
        <f t="shared" si="67"/>
        <v>0</v>
      </c>
      <c r="AK81" s="201">
        <f t="shared" si="68"/>
        <v>0</v>
      </c>
      <c r="AL81" s="200">
        <f t="shared" si="69"/>
        <v>3</v>
      </c>
      <c r="AM81" s="206">
        <f t="shared" si="70"/>
        <v>-3</v>
      </c>
      <c r="AN81" s="199">
        <v>0</v>
      </c>
      <c r="AO81" s="200">
        <f>+ｶﾞｰﾃﾞﾝ!W80/1000</f>
        <v>0</v>
      </c>
      <c r="AP81" s="201">
        <f t="shared" si="71"/>
        <v>0</v>
      </c>
      <c r="AQ81" s="200">
        <v>0</v>
      </c>
      <c r="AR81" s="202">
        <f t="shared" si="72"/>
        <v>0</v>
      </c>
      <c r="AS81" s="203">
        <v>0</v>
      </c>
      <c r="AT81" s="200">
        <f>+ﾋﾞｱｶﾞｰﾃﾞﾝ!W80/1000</f>
        <v>0</v>
      </c>
      <c r="AU81" s="201">
        <f t="shared" si="73"/>
        <v>0</v>
      </c>
      <c r="AV81" s="200">
        <v>0</v>
      </c>
      <c r="AW81" s="206">
        <f t="shared" si="74"/>
        <v>0</v>
      </c>
      <c r="AX81" s="199">
        <f t="shared" si="75"/>
        <v>0</v>
      </c>
      <c r="AY81" s="200">
        <f t="shared" si="76"/>
        <v>0</v>
      </c>
      <c r="AZ81" s="201">
        <f t="shared" si="77"/>
        <v>0</v>
      </c>
      <c r="BA81" s="200">
        <f t="shared" si="78"/>
        <v>0</v>
      </c>
      <c r="BB81" s="206">
        <f t="shared" si="79"/>
        <v>0</v>
      </c>
      <c r="BC81" s="199">
        <v>0</v>
      </c>
      <c r="BD81" s="200">
        <f>+ブリック!W80/1000</f>
        <v>0</v>
      </c>
      <c r="BE81" s="201">
        <f t="shared" si="80"/>
        <v>0</v>
      </c>
      <c r="BF81" s="200"/>
      <c r="BG81" s="202">
        <f t="shared" si="81"/>
        <v>0</v>
      </c>
      <c r="BH81" s="203">
        <v>0</v>
      </c>
      <c r="BI81" s="200">
        <f>+ルスツ羊蹄ぶた!W80/1000</f>
        <v>0</v>
      </c>
      <c r="BJ81" s="201">
        <f t="shared" si="82"/>
        <v>0</v>
      </c>
      <c r="BK81" s="200"/>
      <c r="BL81" s="206">
        <f t="shared" si="83"/>
        <v>0</v>
      </c>
      <c r="BM81" s="199">
        <f t="shared" si="46"/>
        <v>0</v>
      </c>
      <c r="BN81" s="200">
        <f t="shared" si="84"/>
        <v>0</v>
      </c>
      <c r="BO81" s="201">
        <f t="shared" si="85"/>
        <v>0</v>
      </c>
      <c r="BP81" s="200">
        <f t="shared" si="86"/>
        <v>0</v>
      </c>
      <c r="BQ81" s="206">
        <f t="shared" si="87"/>
        <v>0</v>
      </c>
      <c r="BR81" s="199">
        <v>40</v>
      </c>
      <c r="BS81" s="200">
        <f>+料飲共通!W80/1000</f>
        <v>2.149</v>
      </c>
      <c r="BT81" s="201">
        <f t="shared" si="88"/>
        <v>37.850999999999999</v>
      </c>
      <c r="BU81" s="200">
        <v>774</v>
      </c>
      <c r="BV81" s="206">
        <f t="shared" si="89"/>
        <v>-734</v>
      </c>
      <c r="BW81" s="199">
        <f t="shared" si="90"/>
        <v>40</v>
      </c>
      <c r="BX81" s="200">
        <f t="shared" si="91"/>
        <v>2.149</v>
      </c>
      <c r="BY81" s="201">
        <f t="shared" si="50"/>
        <v>37.850999999999999</v>
      </c>
      <c r="BZ81" s="200">
        <f t="shared" si="92"/>
        <v>777</v>
      </c>
      <c r="CA81" s="206">
        <f t="shared" si="93"/>
        <v>-737</v>
      </c>
    </row>
    <row r="82" spans="1:79" s="83" customFormat="1" ht="22" hidden="1" customHeight="1" outlineLevel="1">
      <c r="A82" s="99"/>
      <c r="B82" s="96"/>
      <c r="C82" s="88" t="s">
        <v>151</v>
      </c>
      <c r="D82" s="88"/>
      <c r="E82" s="199">
        <v>0</v>
      </c>
      <c r="F82" s="200">
        <f>+ﾇｰﾍﾞﾙﾌﾟｰｽ!W81/1000</f>
        <v>0</v>
      </c>
      <c r="G82" s="201">
        <f t="shared" si="51"/>
        <v>0</v>
      </c>
      <c r="H82" s="200">
        <v>0</v>
      </c>
      <c r="I82" s="202">
        <f t="shared" si="52"/>
        <v>0</v>
      </c>
      <c r="J82" s="203">
        <v>0</v>
      </c>
      <c r="K82" s="200">
        <f>+ｶﾌｪﾙﾎﾟ!W81/1000</f>
        <v>0</v>
      </c>
      <c r="L82" s="201">
        <f t="shared" si="53"/>
        <v>0</v>
      </c>
      <c r="M82" s="200">
        <v>0</v>
      </c>
      <c r="N82" s="204">
        <f t="shared" si="54"/>
        <v>0</v>
      </c>
      <c r="O82" s="205">
        <v>0</v>
      </c>
      <c r="P82" s="200">
        <f>+ｶﾌｪｾﾚｽﾃ!W81/1000</f>
        <v>0</v>
      </c>
      <c r="Q82" s="201">
        <f t="shared" si="55"/>
        <v>0</v>
      </c>
      <c r="R82" s="200">
        <v>0</v>
      </c>
      <c r="S82" s="202">
        <f t="shared" si="56"/>
        <v>0</v>
      </c>
      <c r="T82" s="199">
        <f t="shared" si="57"/>
        <v>0</v>
      </c>
      <c r="U82" s="200">
        <f t="shared" si="58"/>
        <v>0</v>
      </c>
      <c r="V82" s="201">
        <f t="shared" si="59"/>
        <v>0</v>
      </c>
      <c r="W82" s="200">
        <f t="shared" si="60"/>
        <v>0</v>
      </c>
      <c r="X82" s="206">
        <f t="shared" si="61"/>
        <v>0</v>
      </c>
      <c r="Y82" s="205"/>
      <c r="Z82" s="200"/>
      <c r="AA82" s="201">
        <f t="shared" si="62"/>
        <v>0</v>
      </c>
      <c r="AB82" s="200">
        <v>0</v>
      </c>
      <c r="AC82" s="204">
        <f t="shared" si="63"/>
        <v>0</v>
      </c>
      <c r="AD82" s="205">
        <v>0</v>
      </c>
      <c r="AE82" s="200">
        <f>+ｼﾞｭｴﾙｽﾞ!W81/1000</f>
        <v>0</v>
      </c>
      <c r="AF82" s="201">
        <f t="shared" si="64"/>
        <v>0</v>
      </c>
      <c r="AG82" s="200">
        <v>0</v>
      </c>
      <c r="AH82" s="206">
        <f t="shared" si="65"/>
        <v>0</v>
      </c>
      <c r="AI82" s="199">
        <f t="shared" si="66"/>
        <v>0</v>
      </c>
      <c r="AJ82" s="200">
        <f t="shared" si="67"/>
        <v>0</v>
      </c>
      <c r="AK82" s="201">
        <f t="shared" si="68"/>
        <v>0</v>
      </c>
      <c r="AL82" s="200">
        <f t="shared" si="69"/>
        <v>0</v>
      </c>
      <c r="AM82" s="206">
        <f t="shared" si="70"/>
        <v>0</v>
      </c>
      <c r="AN82" s="199">
        <v>0</v>
      </c>
      <c r="AO82" s="200">
        <f>+ｶﾞｰﾃﾞﾝ!W81/1000</f>
        <v>0</v>
      </c>
      <c r="AP82" s="201">
        <f t="shared" si="71"/>
        <v>0</v>
      </c>
      <c r="AQ82" s="200">
        <v>0</v>
      </c>
      <c r="AR82" s="202">
        <f t="shared" si="72"/>
        <v>0</v>
      </c>
      <c r="AS82" s="203">
        <v>0</v>
      </c>
      <c r="AT82" s="200">
        <f>+ﾋﾞｱｶﾞｰﾃﾞﾝ!W81/1000</f>
        <v>0</v>
      </c>
      <c r="AU82" s="201">
        <f t="shared" si="73"/>
        <v>0</v>
      </c>
      <c r="AV82" s="200">
        <v>0</v>
      </c>
      <c r="AW82" s="206">
        <f t="shared" si="74"/>
        <v>0</v>
      </c>
      <c r="AX82" s="199">
        <f t="shared" si="75"/>
        <v>0</v>
      </c>
      <c r="AY82" s="200">
        <f t="shared" si="76"/>
        <v>0</v>
      </c>
      <c r="AZ82" s="201">
        <f t="shared" si="77"/>
        <v>0</v>
      </c>
      <c r="BA82" s="200">
        <f t="shared" si="78"/>
        <v>0</v>
      </c>
      <c r="BB82" s="206">
        <f t="shared" si="79"/>
        <v>0</v>
      </c>
      <c r="BC82" s="199">
        <v>0</v>
      </c>
      <c r="BD82" s="200">
        <f>+ブリック!W81/1000</f>
        <v>0</v>
      </c>
      <c r="BE82" s="201">
        <f t="shared" si="80"/>
        <v>0</v>
      </c>
      <c r="BF82" s="200"/>
      <c r="BG82" s="202">
        <f t="shared" si="81"/>
        <v>0</v>
      </c>
      <c r="BH82" s="203">
        <v>0</v>
      </c>
      <c r="BI82" s="200">
        <f>+ルスツ羊蹄ぶた!W81/1000</f>
        <v>0</v>
      </c>
      <c r="BJ82" s="201">
        <f t="shared" si="82"/>
        <v>0</v>
      </c>
      <c r="BK82" s="200"/>
      <c r="BL82" s="206">
        <f t="shared" si="83"/>
        <v>0</v>
      </c>
      <c r="BM82" s="199">
        <f t="shared" si="46"/>
        <v>0</v>
      </c>
      <c r="BN82" s="200">
        <f t="shared" si="84"/>
        <v>0</v>
      </c>
      <c r="BO82" s="201">
        <f t="shared" si="85"/>
        <v>0</v>
      </c>
      <c r="BP82" s="200">
        <f t="shared" si="86"/>
        <v>0</v>
      </c>
      <c r="BQ82" s="206">
        <f t="shared" si="87"/>
        <v>0</v>
      </c>
      <c r="BR82" s="199">
        <v>40</v>
      </c>
      <c r="BS82" s="200">
        <f>+料飲共通!W81/1000</f>
        <v>2.149</v>
      </c>
      <c r="BT82" s="201">
        <f t="shared" si="88"/>
        <v>37.850999999999999</v>
      </c>
      <c r="BU82" s="200">
        <v>774</v>
      </c>
      <c r="BV82" s="206">
        <f t="shared" si="89"/>
        <v>-734</v>
      </c>
      <c r="BW82" s="199">
        <f t="shared" si="90"/>
        <v>40</v>
      </c>
      <c r="BX82" s="200">
        <f t="shared" si="91"/>
        <v>2.149</v>
      </c>
      <c r="BY82" s="201">
        <f t="shared" si="50"/>
        <v>37.850999999999999</v>
      </c>
      <c r="BZ82" s="200">
        <f t="shared" si="92"/>
        <v>774</v>
      </c>
      <c r="CA82" s="206">
        <f t="shared" si="93"/>
        <v>-734</v>
      </c>
    </row>
    <row r="83" spans="1:79" s="83" customFormat="1" ht="22" hidden="1" customHeight="1" outlineLevel="1">
      <c r="A83" s="99"/>
      <c r="B83" s="96"/>
      <c r="C83" s="88" t="s">
        <v>153</v>
      </c>
      <c r="D83" s="88"/>
      <c r="E83" s="199">
        <v>0</v>
      </c>
      <c r="F83" s="200">
        <f>+ﾇｰﾍﾞﾙﾌﾟｰｽ!W82/1000</f>
        <v>0</v>
      </c>
      <c r="G83" s="201">
        <f t="shared" si="51"/>
        <v>0</v>
      </c>
      <c r="H83" s="200">
        <v>0</v>
      </c>
      <c r="I83" s="202">
        <f t="shared" si="52"/>
        <v>0</v>
      </c>
      <c r="J83" s="203">
        <v>0</v>
      </c>
      <c r="K83" s="200">
        <f>+ｶﾌｪﾙﾎﾟ!W82/1000</f>
        <v>0</v>
      </c>
      <c r="L83" s="201">
        <f t="shared" si="53"/>
        <v>0</v>
      </c>
      <c r="M83" s="200">
        <v>0</v>
      </c>
      <c r="N83" s="204">
        <f t="shared" si="54"/>
        <v>0</v>
      </c>
      <c r="O83" s="205">
        <v>0</v>
      </c>
      <c r="P83" s="200">
        <f>+ｶﾌｪｾﾚｽﾃ!W82/1000</f>
        <v>0</v>
      </c>
      <c r="Q83" s="201">
        <f t="shared" si="55"/>
        <v>0</v>
      </c>
      <c r="R83" s="200">
        <v>0</v>
      </c>
      <c r="S83" s="202">
        <f t="shared" si="56"/>
        <v>0</v>
      </c>
      <c r="T83" s="199">
        <f t="shared" si="57"/>
        <v>0</v>
      </c>
      <c r="U83" s="200">
        <f t="shared" si="58"/>
        <v>0</v>
      </c>
      <c r="V83" s="201">
        <f t="shared" si="59"/>
        <v>0</v>
      </c>
      <c r="W83" s="200">
        <f t="shared" si="60"/>
        <v>0</v>
      </c>
      <c r="X83" s="206">
        <f t="shared" si="61"/>
        <v>0</v>
      </c>
      <c r="Y83" s="205"/>
      <c r="Z83" s="200"/>
      <c r="AA83" s="201">
        <f t="shared" si="62"/>
        <v>0</v>
      </c>
      <c r="AB83" s="200">
        <v>0</v>
      </c>
      <c r="AC83" s="204">
        <f t="shared" si="63"/>
        <v>0</v>
      </c>
      <c r="AD83" s="205">
        <v>0</v>
      </c>
      <c r="AE83" s="200">
        <f>+ｼﾞｭｴﾙｽﾞ!W82/1000</f>
        <v>0</v>
      </c>
      <c r="AF83" s="201">
        <f t="shared" si="64"/>
        <v>0</v>
      </c>
      <c r="AG83" s="200">
        <v>3</v>
      </c>
      <c r="AH83" s="206">
        <f t="shared" si="65"/>
        <v>-3</v>
      </c>
      <c r="AI83" s="199">
        <f t="shared" si="66"/>
        <v>0</v>
      </c>
      <c r="AJ83" s="200">
        <f t="shared" si="67"/>
        <v>0</v>
      </c>
      <c r="AK83" s="201">
        <f t="shared" si="68"/>
        <v>0</v>
      </c>
      <c r="AL83" s="200">
        <f t="shared" si="69"/>
        <v>3</v>
      </c>
      <c r="AM83" s="206">
        <f t="shared" si="70"/>
        <v>-3</v>
      </c>
      <c r="AN83" s="199">
        <v>0</v>
      </c>
      <c r="AO83" s="200">
        <f>+ｶﾞｰﾃﾞﾝ!W82/1000</f>
        <v>0</v>
      </c>
      <c r="AP83" s="201">
        <f t="shared" si="71"/>
        <v>0</v>
      </c>
      <c r="AQ83" s="200">
        <v>0</v>
      </c>
      <c r="AR83" s="202">
        <f t="shared" si="72"/>
        <v>0</v>
      </c>
      <c r="AS83" s="203">
        <v>0</v>
      </c>
      <c r="AT83" s="200">
        <f>+ﾋﾞｱｶﾞｰﾃﾞﾝ!W82/1000</f>
        <v>0</v>
      </c>
      <c r="AU83" s="201">
        <f t="shared" si="73"/>
        <v>0</v>
      </c>
      <c r="AV83" s="200">
        <v>0</v>
      </c>
      <c r="AW83" s="206">
        <f t="shared" si="74"/>
        <v>0</v>
      </c>
      <c r="AX83" s="199">
        <f t="shared" si="75"/>
        <v>0</v>
      </c>
      <c r="AY83" s="200">
        <f t="shared" si="76"/>
        <v>0</v>
      </c>
      <c r="AZ83" s="201">
        <f t="shared" si="77"/>
        <v>0</v>
      </c>
      <c r="BA83" s="200">
        <f t="shared" si="78"/>
        <v>0</v>
      </c>
      <c r="BB83" s="206">
        <f t="shared" si="79"/>
        <v>0</v>
      </c>
      <c r="BC83" s="199">
        <v>0</v>
      </c>
      <c r="BD83" s="200">
        <f>+ブリック!W82/1000</f>
        <v>0</v>
      </c>
      <c r="BE83" s="201">
        <f t="shared" si="80"/>
        <v>0</v>
      </c>
      <c r="BF83" s="200"/>
      <c r="BG83" s="202">
        <f t="shared" si="81"/>
        <v>0</v>
      </c>
      <c r="BH83" s="203">
        <v>0</v>
      </c>
      <c r="BI83" s="200">
        <f>+ルスツ羊蹄ぶた!W82/1000</f>
        <v>0</v>
      </c>
      <c r="BJ83" s="201">
        <f t="shared" si="82"/>
        <v>0</v>
      </c>
      <c r="BK83" s="200"/>
      <c r="BL83" s="206">
        <f t="shared" si="83"/>
        <v>0</v>
      </c>
      <c r="BM83" s="199">
        <f t="shared" si="46"/>
        <v>0</v>
      </c>
      <c r="BN83" s="200">
        <f t="shared" si="84"/>
        <v>0</v>
      </c>
      <c r="BO83" s="201">
        <f t="shared" si="85"/>
        <v>0</v>
      </c>
      <c r="BP83" s="200">
        <f t="shared" si="86"/>
        <v>0</v>
      </c>
      <c r="BQ83" s="206">
        <f t="shared" si="87"/>
        <v>0</v>
      </c>
      <c r="BR83" s="199">
        <v>0</v>
      </c>
      <c r="BS83" s="200">
        <f>+料飲共通!W82/1000</f>
        <v>0</v>
      </c>
      <c r="BT83" s="201">
        <f t="shared" si="88"/>
        <v>0</v>
      </c>
      <c r="BU83" s="200">
        <v>0</v>
      </c>
      <c r="BV83" s="206">
        <f t="shared" si="89"/>
        <v>0</v>
      </c>
      <c r="BW83" s="199">
        <f t="shared" si="90"/>
        <v>0</v>
      </c>
      <c r="BX83" s="200">
        <f t="shared" si="91"/>
        <v>0</v>
      </c>
      <c r="BY83" s="201">
        <f t="shared" si="50"/>
        <v>0</v>
      </c>
      <c r="BZ83" s="200">
        <f t="shared" si="92"/>
        <v>3</v>
      </c>
      <c r="CA83" s="206">
        <f t="shared" si="93"/>
        <v>-3</v>
      </c>
    </row>
    <row r="84" spans="1:79" s="83" customFormat="1" ht="22" customHeight="1" collapsed="1">
      <c r="A84" s="99"/>
      <c r="B84" s="87" t="s">
        <v>155</v>
      </c>
      <c r="C84" s="88"/>
      <c r="D84" s="88"/>
      <c r="E84" s="199">
        <v>0</v>
      </c>
      <c r="F84" s="200">
        <f>+ﾇｰﾍﾞﾙﾌﾟｰｽ!W83/1000</f>
        <v>0</v>
      </c>
      <c r="G84" s="201">
        <f t="shared" si="51"/>
        <v>0</v>
      </c>
      <c r="H84" s="200">
        <v>0</v>
      </c>
      <c r="I84" s="202">
        <f t="shared" si="52"/>
        <v>0</v>
      </c>
      <c r="J84" s="203">
        <v>0</v>
      </c>
      <c r="K84" s="200">
        <f>+ｶﾌｪﾙﾎﾟ!W83/1000</f>
        <v>0</v>
      </c>
      <c r="L84" s="201">
        <f t="shared" si="53"/>
        <v>0</v>
      </c>
      <c r="M84" s="200">
        <v>0</v>
      </c>
      <c r="N84" s="204">
        <f t="shared" si="54"/>
        <v>0</v>
      </c>
      <c r="O84" s="205">
        <v>0</v>
      </c>
      <c r="P84" s="200">
        <f>+ｶﾌｪｾﾚｽﾃ!W83/1000</f>
        <v>0</v>
      </c>
      <c r="Q84" s="201">
        <f t="shared" si="55"/>
        <v>0</v>
      </c>
      <c r="R84" s="200">
        <v>0</v>
      </c>
      <c r="S84" s="202">
        <f t="shared" si="56"/>
        <v>0</v>
      </c>
      <c r="T84" s="199">
        <f t="shared" si="57"/>
        <v>0</v>
      </c>
      <c r="U84" s="200">
        <f t="shared" si="58"/>
        <v>0</v>
      </c>
      <c r="V84" s="201">
        <f t="shared" si="59"/>
        <v>0</v>
      </c>
      <c r="W84" s="200">
        <f t="shared" si="60"/>
        <v>0</v>
      </c>
      <c r="X84" s="206">
        <f t="shared" si="61"/>
        <v>0</v>
      </c>
      <c r="Y84" s="205"/>
      <c r="Z84" s="200"/>
      <c r="AA84" s="201">
        <f t="shared" si="62"/>
        <v>0</v>
      </c>
      <c r="AB84" s="200">
        <v>0</v>
      </c>
      <c r="AC84" s="204">
        <f t="shared" si="63"/>
        <v>0</v>
      </c>
      <c r="AD84" s="205">
        <v>0</v>
      </c>
      <c r="AE84" s="200">
        <f>+ｼﾞｭｴﾙｽﾞ!W83/1000</f>
        <v>0</v>
      </c>
      <c r="AF84" s="201">
        <f t="shared" si="64"/>
        <v>0</v>
      </c>
      <c r="AG84" s="200">
        <v>0</v>
      </c>
      <c r="AH84" s="206">
        <f t="shared" si="65"/>
        <v>0</v>
      </c>
      <c r="AI84" s="199">
        <f t="shared" si="66"/>
        <v>0</v>
      </c>
      <c r="AJ84" s="200">
        <f t="shared" si="67"/>
        <v>0</v>
      </c>
      <c r="AK84" s="201">
        <f t="shared" si="68"/>
        <v>0</v>
      </c>
      <c r="AL84" s="200">
        <f t="shared" si="69"/>
        <v>0</v>
      </c>
      <c r="AM84" s="206">
        <f t="shared" si="70"/>
        <v>0</v>
      </c>
      <c r="AN84" s="199">
        <v>0</v>
      </c>
      <c r="AO84" s="200">
        <f>+ｶﾞｰﾃﾞﾝ!W83/1000</f>
        <v>0</v>
      </c>
      <c r="AP84" s="201">
        <f t="shared" si="71"/>
        <v>0</v>
      </c>
      <c r="AQ84" s="200">
        <v>0</v>
      </c>
      <c r="AR84" s="202">
        <f t="shared" si="72"/>
        <v>0</v>
      </c>
      <c r="AS84" s="203">
        <v>0</v>
      </c>
      <c r="AT84" s="200">
        <f>+ﾋﾞｱｶﾞｰﾃﾞﾝ!W83/1000</f>
        <v>0</v>
      </c>
      <c r="AU84" s="201">
        <f t="shared" si="73"/>
        <v>0</v>
      </c>
      <c r="AV84" s="200">
        <v>0</v>
      </c>
      <c r="AW84" s="206">
        <f t="shared" si="74"/>
        <v>0</v>
      </c>
      <c r="AX84" s="199">
        <f t="shared" si="75"/>
        <v>0</v>
      </c>
      <c r="AY84" s="200">
        <f t="shared" si="76"/>
        <v>0</v>
      </c>
      <c r="AZ84" s="201">
        <f t="shared" si="77"/>
        <v>0</v>
      </c>
      <c r="BA84" s="200">
        <f t="shared" si="78"/>
        <v>0</v>
      </c>
      <c r="BB84" s="206">
        <f t="shared" si="79"/>
        <v>0</v>
      </c>
      <c r="BC84" s="199">
        <v>0</v>
      </c>
      <c r="BD84" s="200">
        <f>+ブリック!W83/1000</f>
        <v>0</v>
      </c>
      <c r="BE84" s="201">
        <f t="shared" si="80"/>
        <v>0</v>
      </c>
      <c r="BF84" s="200"/>
      <c r="BG84" s="202">
        <f t="shared" si="81"/>
        <v>0</v>
      </c>
      <c r="BH84" s="203">
        <v>0</v>
      </c>
      <c r="BI84" s="200">
        <f>+ルスツ羊蹄ぶた!W83/1000</f>
        <v>0</v>
      </c>
      <c r="BJ84" s="201">
        <f t="shared" si="82"/>
        <v>0</v>
      </c>
      <c r="BK84" s="200"/>
      <c r="BL84" s="206">
        <f t="shared" si="83"/>
        <v>0</v>
      </c>
      <c r="BM84" s="199">
        <f t="shared" si="46"/>
        <v>0</v>
      </c>
      <c r="BN84" s="200">
        <f t="shared" si="84"/>
        <v>0</v>
      </c>
      <c r="BO84" s="201">
        <f t="shared" si="85"/>
        <v>0</v>
      </c>
      <c r="BP84" s="200">
        <f t="shared" si="86"/>
        <v>0</v>
      </c>
      <c r="BQ84" s="206">
        <f t="shared" si="87"/>
        <v>0</v>
      </c>
      <c r="BR84" s="199">
        <v>0</v>
      </c>
      <c r="BS84" s="200">
        <f>+料飲共通!W83/1000</f>
        <v>0</v>
      </c>
      <c r="BT84" s="201">
        <f t="shared" si="88"/>
        <v>0</v>
      </c>
      <c r="BU84" s="200">
        <v>0</v>
      </c>
      <c r="BV84" s="206">
        <f t="shared" si="89"/>
        <v>0</v>
      </c>
      <c r="BW84" s="199">
        <f t="shared" si="90"/>
        <v>0</v>
      </c>
      <c r="BX84" s="200">
        <f t="shared" si="91"/>
        <v>0</v>
      </c>
      <c r="BY84" s="201">
        <f t="shared" si="50"/>
        <v>0</v>
      </c>
      <c r="BZ84" s="200">
        <f t="shared" si="92"/>
        <v>0</v>
      </c>
      <c r="CA84" s="206">
        <f t="shared" si="93"/>
        <v>0</v>
      </c>
    </row>
    <row r="85" spans="1:79" s="83" customFormat="1" ht="22" customHeight="1">
      <c r="A85" s="99"/>
      <c r="B85" s="85" t="s">
        <v>157</v>
      </c>
      <c r="C85" s="86"/>
      <c r="D85" s="86"/>
      <c r="E85" s="191">
        <v>0</v>
      </c>
      <c r="F85" s="192">
        <f>+ﾇｰﾍﾞﾙﾌﾟｰｽ!W84/1000</f>
        <v>0</v>
      </c>
      <c r="G85" s="193">
        <f t="shared" si="51"/>
        <v>0</v>
      </c>
      <c r="H85" s="192">
        <v>0</v>
      </c>
      <c r="I85" s="194">
        <f t="shared" si="52"/>
        <v>0</v>
      </c>
      <c r="J85" s="195">
        <v>0</v>
      </c>
      <c r="K85" s="192">
        <f>+ｶﾌｪﾙﾎﾟ!W84/1000</f>
        <v>0</v>
      </c>
      <c r="L85" s="193">
        <f t="shared" si="53"/>
        <v>0</v>
      </c>
      <c r="M85" s="192">
        <v>0</v>
      </c>
      <c r="N85" s="196">
        <f t="shared" si="54"/>
        <v>0</v>
      </c>
      <c r="O85" s="197">
        <v>0</v>
      </c>
      <c r="P85" s="192">
        <f>+ｶﾌｪｾﾚｽﾃ!W84/1000</f>
        <v>0</v>
      </c>
      <c r="Q85" s="193">
        <f t="shared" si="55"/>
        <v>0</v>
      </c>
      <c r="R85" s="192">
        <v>0</v>
      </c>
      <c r="S85" s="194">
        <f t="shared" si="56"/>
        <v>0</v>
      </c>
      <c r="T85" s="191">
        <f t="shared" si="57"/>
        <v>0</v>
      </c>
      <c r="U85" s="192">
        <f t="shared" si="58"/>
        <v>0</v>
      </c>
      <c r="V85" s="193">
        <f t="shared" si="59"/>
        <v>0</v>
      </c>
      <c r="W85" s="192">
        <f t="shared" si="60"/>
        <v>0</v>
      </c>
      <c r="X85" s="198">
        <f t="shared" si="61"/>
        <v>0</v>
      </c>
      <c r="Y85" s="197"/>
      <c r="Z85" s="192"/>
      <c r="AA85" s="193">
        <f t="shared" si="62"/>
        <v>0</v>
      </c>
      <c r="AB85" s="192">
        <v>0</v>
      </c>
      <c r="AC85" s="196">
        <f t="shared" si="63"/>
        <v>0</v>
      </c>
      <c r="AD85" s="197">
        <v>0</v>
      </c>
      <c r="AE85" s="192">
        <f>+ｼﾞｭｴﾙｽﾞ!W84/1000</f>
        <v>0</v>
      </c>
      <c r="AF85" s="193">
        <f t="shared" si="64"/>
        <v>0</v>
      </c>
      <c r="AG85" s="192">
        <v>0</v>
      </c>
      <c r="AH85" s="198">
        <f t="shared" si="65"/>
        <v>0</v>
      </c>
      <c r="AI85" s="191">
        <f t="shared" si="66"/>
        <v>0</v>
      </c>
      <c r="AJ85" s="192">
        <f t="shared" si="67"/>
        <v>0</v>
      </c>
      <c r="AK85" s="193">
        <f t="shared" si="68"/>
        <v>0</v>
      </c>
      <c r="AL85" s="192">
        <f t="shared" si="69"/>
        <v>0</v>
      </c>
      <c r="AM85" s="198">
        <f t="shared" si="70"/>
        <v>0</v>
      </c>
      <c r="AN85" s="191">
        <v>0</v>
      </c>
      <c r="AO85" s="192">
        <f>+ｶﾞｰﾃﾞﾝ!W84/1000</f>
        <v>3</v>
      </c>
      <c r="AP85" s="193">
        <f t="shared" si="71"/>
        <v>-3</v>
      </c>
      <c r="AQ85" s="192">
        <v>0</v>
      </c>
      <c r="AR85" s="194">
        <f t="shared" si="72"/>
        <v>0</v>
      </c>
      <c r="AS85" s="195">
        <v>0</v>
      </c>
      <c r="AT85" s="192">
        <f>+ﾋﾞｱｶﾞｰﾃﾞﾝ!W84/1000</f>
        <v>0</v>
      </c>
      <c r="AU85" s="193">
        <f t="shared" si="73"/>
        <v>0</v>
      </c>
      <c r="AV85" s="192">
        <v>0</v>
      </c>
      <c r="AW85" s="198">
        <f t="shared" si="74"/>
        <v>0</v>
      </c>
      <c r="AX85" s="191">
        <f t="shared" si="75"/>
        <v>0</v>
      </c>
      <c r="AY85" s="192">
        <f t="shared" si="76"/>
        <v>3</v>
      </c>
      <c r="AZ85" s="193">
        <f t="shared" si="77"/>
        <v>-3</v>
      </c>
      <c r="BA85" s="192">
        <f t="shared" si="78"/>
        <v>0</v>
      </c>
      <c r="BB85" s="198">
        <f t="shared" si="79"/>
        <v>0</v>
      </c>
      <c r="BC85" s="191">
        <v>0</v>
      </c>
      <c r="BD85" s="192">
        <f>+ブリック!W84/1000</f>
        <v>0</v>
      </c>
      <c r="BE85" s="193">
        <f t="shared" si="80"/>
        <v>0</v>
      </c>
      <c r="BF85" s="192"/>
      <c r="BG85" s="194">
        <f t="shared" si="81"/>
        <v>0</v>
      </c>
      <c r="BH85" s="195">
        <v>0</v>
      </c>
      <c r="BI85" s="192">
        <f>+ルスツ羊蹄ぶた!W84/1000</f>
        <v>0</v>
      </c>
      <c r="BJ85" s="193">
        <f t="shared" si="82"/>
        <v>0</v>
      </c>
      <c r="BK85" s="192"/>
      <c r="BL85" s="198">
        <f t="shared" si="83"/>
        <v>0</v>
      </c>
      <c r="BM85" s="191">
        <f t="shared" ref="BM85:BM119" si="94">+BC85+BH85</f>
        <v>0</v>
      </c>
      <c r="BN85" s="192">
        <f t="shared" si="84"/>
        <v>0</v>
      </c>
      <c r="BO85" s="193">
        <f t="shared" si="85"/>
        <v>0</v>
      </c>
      <c r="BP85" s="192">
        <f t="shared" si="86"/>
        <v>0</v>
      </c>
      <c r="BQ85" s="198">
        <f t="shared" si="87"/>
        <v>0</v>
      </c>
      <c r="BR85" s="191">
        <v>0</v>
      </c>
      <c r="BS85" s="192">
        <f>+料飲共通!W84/1000</f>
        <v>0</v>
      </c>
      <c r="BT85" s="193">
        <f t="shared" si="88"/>
        <v>0</v>
      </c>
      <c r="BU85" s="192">
        <v>0</v>
      </c>
      <c r="BV85" s="198">
        <f t="shared" si="89"/>
        <v>0</v>
      </c>
      <c r="BW85" s="191">
        <f t="shared" si="90"/>
        <v>0</v>
      </c>
      <c r="BX85" s="192">
        <f t="shared" si="91"/>
        <v>3</v>
      </c>
      <c r="BY85" s="193">
        <f t="shared" si="50"/>
        <v>-3</v>
      </c>
      <c r="BZ85" s="192">
        <f t="shared" si="92"/>
        <v>0</v>
      </c>
      <c r="CA85" s="198">
        <f t="shared" si="93"/>
        <v>0</v>
      </c>
    </row>
    <row r="86" spans="1:79" s="83" customFormat="1" ht="22" customHeight="1" thickBot="1">
      <c r="A86" s="89" t="s">
        <v>159</v>
      </c>
      <c r="B86" s="100"/>
      <c r="C86" s="100"/>
      <c r="D86" s="100"/>
      <c r="E86" s="231">
        <v>5815.0559999999996</v>
      </c>
      <c r="F86" s="232">
        <f>+ﾇｰﾍﾞﾙﾌﾟｰｽ!W85/1000</f>
        <v>4460.3760000000002</v>
      </c>
      <c r="G86" s="232">
        <f t="shared" si="51"/>
        <v>1354.6799999999994</v>
      </c>
      <c r="H86" s="232">
        <v>7350</v>
      </c>
      <c r="I86" s="233">
        <f t="shared" si="52"/>
        <v>-1534.9440000000004</v>
      </c>
      <c r="J86" s="234">
        <v>684.88300000000004</v>
      </c>
      <c r="K86" s="232">
        <f>+ｶﾌｪﾙﾎﾟ!W85/1000</f>
        <v>684.88300000000004</v>
      </c>
      <c r="L86" s="232">
        <f t="shared" si="53"/>
        <v>0</v>
      </c>
      <c r="M86" s="232">
        <v>685</v>
      </c>
      <c r="N86" s="235">
        <f t="shared" si="54"/>
        <v>-0.1169999999999618</v>
      </c>
      <c r="O86" s="233">
        <v>513.10900000000004</v>
      </c>
      <c r="P86" s="232">
        <f>+ｶﾌｪｾﾚｽﾃ!W85/1000</f>
        <v>513.10900000000004</v>
      </c>
      <c r="Q86" s="232">
        <f t="shared" si="55"/>
        <v>0</v>
      </c>
      <c r="R86" s="232">
        <v>513</v>
      </c>
      <c r="S86" s="233">
        <f t="shared" si="56"/>
        <v>0.10900000000003729</v>
      </c>
      <c r="T86" s="231">
        <f t="shared" si="57"/>
        <v>7013.0479999999998</v>
      </c>
      <c r="U86" s="232">
        <f t="shared" si="58"/>
        <v>5658.3680000000004</v>
      </c>
      <c r="V86" s="232">
        <f t="shared" si="59"/>
        <v>1354.6799999999994</v>
      </c>
      <c r="W86" s="232">
        <f t="shared" si="60"/>
        <v>8548</v>
      </c>
      <c r="X86" s="236">
        <f t="shared" si="61"/>
        <v>-1534.9520000000002</v>
      </c>
      <c r="Y86" s="233"/>
      <c r="Z86" s="232"/>
      <c r="AA86" s="232">
        <f t="shared" si="62"/>
        <v>0</v>
      </c>
      <c r="AB86" s="232">
        <v>0</v>
      </c>
      <c r="AC86" s="235">
        <f t="shared" si="63"/>
        <v>0</v>
      </c>
      <c r="AD86" s="233">
        <v>3560.82</v>
      </c>
      <c r="AE86" s="232">
        <f>+ｼﾞｭｴﾙｽﾞ!W85/1000</f>
        <v>3600.5439999999999</v>
      </c>
      <c r="AF86" s="232">
        <f t="shared" si="64"/>
        <v>-39.723999999999705</v>
      </c>
      <c r="AG86" s="232">
        <v>3317</v>
      </c>
      <c r="AH86" s="236">
        <f t="shared" si="65"/>
        <v>243.82000000000016</v>
      </c>
      <c r="AI86" s="231">
        <f t="shared" si="66"/>
        <v>3560.82</v>
      </c>
      <c r="AJ86" s="232">
        <f t="shared" si="67"/>
        <v>3600.5439999999999</v>
      </c>
      <c r="AK86" s="232">
        <f t="shared" si="68"/>
        <v>-39.723999999999705</v>
      </c>
      <c r="AL86" s="232">
        <f t="shared" si="69"/>
        <v>3317</v>
      </c>
      <c r="AM86" s="236">
        <f t="shared" si="70"/>
        <v>243.82000000000016</v>
      </c>
      <c r="AN86" s="231">
        <v>10698.156000000001</v>
      </c>
      <c r="AO86" s="232">
        <f>+ｶﾞｰﾃﾞﾝ!W85/1000</f>
        <v>12814.710999999999</v>
      </c>
      <c r="AP86" s="232">
        <f t="shared" si="71"/>
        <v>-2116.5549999999985</v>
      </c>
      <c r="AQ86" s="232">
        <v>11899</v>
      </c>
      <c r="AR86" s="233">
        <f t="shared" si="72"/>
        <v>-1200.8439999999991</v>
      </c>
      <c r="AS86" s="234">
        <v>384.173</v>
      </c>
      <c r="AT86" s="232">
        <f>+ﾋﾞｱｶﾞｰﾃﾞﾝ!W85/1000</f>
        <v>1135.221</v>
      </c>
      <c r="AU86" s="232">
        <f t="shared" si="73"/>
        <v>-751.048</v>
      </c>
      <c r="AV86" s="232">
        <v>384</v>
      </c>
      <c r="AW86" s="236">
        <f t="shared" si="74"/>
        <v>0.17300000000000182</v>
      </c>
      <c r="AX86" s="231">
        <f t="shared" si="75"/>
        <v>11082.329000000002</v>
      </c>
      <c r="AY86" s="232">
        <f t="shared" si="76"/>
        <v>13949.931999999999</v>
      </c>
      <c r="AZ86" s="232">
        <f t="shared" si="77"/>
        <v>-2867.6029999999973</v>
      </c>
      <c r="BA86" s="232">
        <f t="shared" si="78"/>
        <v>12283</v>
      </c>
      <c r="BB86" s="236">
        <f t="shared" si="79"/>
        <v>-1200.6709999999985</v>
      </c>
      <c r="BC86" s="231">
        <v>2476.1312564102564</v>
      </c>
      <c r="BD86" s="232">
        <f>+ブリック!W85/1000</f>
        <v>3824.404</v>
      </c>
      <c r="BE86" s="232">
        <f t="shared" si="80"/>
        <v>-1348.2727435897436</v>
      </c>
      <c r="BF86" s="232"/>
      <c r="BG86" s="233">
        <f t="shared" si="81"/>
        <v>2476.1312564102564</v>
      </c>
      <c r="BH86" s="234">
        <v>488.46154509585972</v>
      </c>
      <c r="BI86" s="232">
        <f>+ルスツ羊蹄ぶた!W85/1000</f>
        <v>565.81299999999999</v>
      </c>
      <c r="BJ86" s="232">
        <f t="shared" si="82"/>
        <v>-77.351454904140269</v>
      </c>
      <c r="BK86" s="232"/>
      <c r="BL86" s="236">
        <f t="shared" si="83"/>
        <v>488.46154509585972</v>
      </c>
      <c r="BM86" s="231">
        <f t="shared" si="94"/>
        <v>2964.5928015061163</v>
      </c>
      <c r="BN86" s="232">
        <f t="shared" si="84"/>
        <v>4390.2169999999996</v>
      </c>
      <c r="BO86" s="232">
        <f t="shared" si="85"/>
        <v>-1425.6241984938833</v>
      </c>
      <c r="BP86" s="232">
        <f t="shared" si="86"/>
        <v>0</v>
      </c>
      <c r="BQ86" s="236">
        <f t="shared" si="87"/>
        <v>2964.5928015061163</v>
      </c>
      <c r="BR86" s="231">
        <v>0</v>
      </c>
      <c r="BS86" s="232">
        <f>+料飲共通!W85/1000</f>
        <v>120</v>
      </c>
      <c r="BT86" s="232">
        <f t="shared" si="88"/>
        <v>-120</v>
      </c>
      <c r="BU86" s="232">
        <v>0</v>
      </c>
      <c r="BV86" s="236">
        <f t="shared" si="89"/>
        <v>0</v>
      </c>
      <c r="BW86" s="231">
        <f t="shared" si="90"/>
        <v>24620.789801506115</v>
      </c>
      <c r="BX86" s="232">
        <f t="shared" si="91"/>
        <v>27719.060999999998</v>
      </c>
      <c r="BY86" s="232">
        <f t="shared" si="50"/>
        <v>-3098.2711984938833</v>
      </c>
      <c r="BZ86" s="232">
        <f t="shared" si="92"/>
        <v>24148</v>
      </c>
      <c r="CA86" s="236">
        <f t="shared" si="93"/>
        <v>472.7898015061146</v>
      </c>
    </row>
    <row r="87" spans="1:79" s="83" customFormat="1" ht="22" hidden="1" customHeight="1" outlineLevel="1" thickBot="1">
      <c r="A87" s="101"/>
      <c r="B87" s="102" t="s">
        <v>93</v>
      </c>
      <c r="C87" s="86"/>
      <c r="D87" s="86"/>
      <c r="E87" s="191">
        <v>0</v>
      </c>
      <c r="F87" s="192">
        <f>+ﾇｰﾍﾞﾙﾌﾟｰｽ!W86/1000</f>
        <v>0</v>
      </c>
      <c r="G87" s="193">
        <f t="shared" si="51"/>
        <v>0</v>
      </c>
      <c r="H87" s="192">
        <v>0</v>
      </c>
      <c r="I87" s="194">
        <f t="shared" si="52"/>
        <v>0</v>
      </c>
      <c r="J87" s="195">
        <v>0</v>
      </c>
      <c r="K87" s="192">
        <f>+ｶﾌｪﾙﾎﾟ!W86/1000</f>
        <v>0</v>
      </c>
      <c r="L87" s="193">
        <f t="shared" si="53"/>
        <v>0</v>
      </c>
      <c r="M87" s="192">
        <v>0</v>
      </c>
      <c r="N87" s="196">
        <f t="shared" si="54"/>
        <v>0</v>
      </c>
      <c r="O87" s="197">
        <v>0</v>
      </c>
      <c r="P87" s="192">
        <f>+ｶﾌｪｾﾚｽﾃ!W86/1000</f>
        <v>0</v>
      </c>
      <c r="Q87" s="193">
        <f t="shared" si="55"/>
        <v>0</v>
      </c>
      <c r="R87" s="192">
        <v>0</v>
      </c>
      <c r="S87" s="194">
        <f t="shared" si="56"/>
        <v>0</v>
      </c>
      <c r="T87" s="191">
        <f t="shared" si="57"/>
        <v>0</v>
      </c>
      <c r="U87" s="192">
        <f t="shared" si="58"/>
        <v>0</v>
      </c>
      <c r="V87" s="193">
        <f t="shared" si="59"/>
        <v>0</v>
      </c>
      <c r="W87" s="192">
        <f t="shared" si="60"/>
        <v>0</v>
      </c>
      <c r="X87" s="198">
        <f t="shared" si="61"/>
        <v>0</v>
      </c>
      <c r="Y87" s="197"/>
      <c r="Z87" s="192"/>
      <c r="AA87" s="193">
        <f t="shared" si="62"/>
        <v>0</v>
      </c>
      <c r="AB87" s="192">
        <v>0</v>
      </c>
      <c r="AC87" s="196">
        <f t="shared" si="63"/>
        <v>0</v>
      </c>
      <c r="AD87" s="197">
        <v>338.06799999999998</v>
      </c>
      <c r="AE87" s="192">
        <f>+ｼﾞｭｴﾙｽﾞ!W86/1000</f>
        <v>338.06799999999998</v>
      </c>
      <c r="AF87" s="193">
        <f t="shared" si="64"/>
        <v>0</v>
      </c>
      <c r="AG87" s="192">
        <v>338</v>
      </c>
      <c r="AH87" s="198">
        <f t="shared" si="65"/>
        <v>6.7999999999983629E-2</v>
      </c>
      <c r="AI87" s="191">
        <f t="shared" si="66"/>
        <v>338.06799999999998</v>
      </c>
      <c r="AJ87" s="192">
        <f t="shared" si="67"/>
        <v>338.06799999999998</v>
      </c>
      <c r="AK87" s="193">
        <f t="shared" si="68"/>
        <v>0</v>
      </c>
      <c r="AL87" s="192">
        <f t="shared" si="69"/>
        <v>338</v>
      </c>
      <c r="AM87" s="198">
        <f t="shared" si="70"/>
        <v>6.7999999999983629E-2</v>
      </c>
      <c r="AN87" s="191">
        <v>0</v>
      </c>
      <c r="AO87" s="192">
        <f>+ｶﾞｰﾃﾞﾝ!W86/1000</f>
        <v>0</v>
      </c>
      <c r="AP87" s="193">
        <f t="shared" si="71"/>
        <v>0</v>
      </c>
      <c r="AQ87" s="192">
        <v>0</v>
      </c>
      <c r="AR87" s="194">
        <f t="shared" si="72"/>
        <v>0</v>
      </c>
      <c r="AS87" s="195">
        <v>0</v>
      </c>
      <c r="AT87" s="192">
        <f>+ﾋﾞｱｶﾞｰﾃﾞﾝ!W86/1000</f>
        <v>0</v>
      </c>
      <c r="AU87" s="193">
        <f t="shared" si="73"/>
        <v>0</v>
      </c>
      <c r="AV87" s="192">
        <v>0</v>
      </c>
      <c r="AW87" s="198">
        <f t="shared" si="74"/>
        <v>0</v>
      </c>
      <c r="AX87" s="191">
        <f t="shared" si="75"/>
        <v>0</v>
      </c>
      <c r="AY87" s="192">
        <f t="shared" si="76"/>
        <v>0</v>
      </c>
      <c r="AZ87" s="193">
        <f t="shared" si="77"/>
        <v>0</v>
      </c>
      <c r="BA87" s="192">
        <f t="shared" si="78"/>
        <v>0</v>
      </c>
      <c r="BB87" s="198">
        <f t="shared" si="79"/>
        <v>0</v>
      </c>
      <c r="BC87" s="191">
        <v>256.41025641025641</v>
      </c>
      <c r="BD87" s="192">
        <f>+ブリック!W86/1000</f>
        <v>651.67399999999998</v>
      </c>
      <c r="BE87" s="193">
        <f t="shared" si="80"/>
        <v>-395.26374358974357</v>
      </c>
      <c r="BF87" s="192"/>
      <c r="BG87" s="194">
        <f t="shared" si="81"/>
        <v>256.41025641025641</v>
      </c>
      <c r="BH87" s="195">
        <v>38.46153846153846</v>
      </c>
      <c r="BI87" s="192">
        <f>+ルスツ羊蹄ぶた!W86/1000</f>
        <v>0</v>
      </c>
      <c r="BJ87" s="193">
        <f t="shared" si="82"/>
        <v>38.46153846153846</v>
      </c>
      <c r="BK87" s="192"/>
      <c r="BL87" s="198">
        <f t="shared" si="83"/>
        <v>38.46153846153846</v>
      </c>
      <c r="BM87" s="191">
        <f t="shared" si="94"/>
        <v>294.87179487179486</v>
      </c>
      <c r="BN87" s="192">
        <f t="shared" si="84"/>
        <v>651.67399999999998</v>
      </c>
      <c r="BO87" s="193">
        <f t="shared" si="85"/>
        <v>-356.80220512820512</v>
      </c>
      <c r="BP87" s="192">
        <f t="shared" si="86"/>
        <v>0</v>
      </c>
      <c r="BQ87" s="198">
        <f t="shared" si="87"/>
        <v>294.87179487179486</v>
      </c>
      <c r="BR87" s="191">
        <v>0</v>
      </c>
      <c r="BS87" s="192">
        <f>+料飲共通!W86/1000</f>
        <v>0</v>
      </c>
      <c r="BT87" s="193">
        <f t="shared" si="88"/>
        <v>0</v>
      </c>
      <c r="BU87" s="192">
        <v>0</v>
      </c>
      <c r="BV87" s="198">
        <f t="shared" si="89"/>
        <v>0</v>
      </c>
      <c r="BW87" s="191">
        <f t="shared" si="90"/>
        <v>632.9397948717949</v>
      </c>
      <c r="BX87" s="192">
        <f t="shared" si="91"/>
        <v>989.74199999999996</v>
      </c>
      <c r="BY87" s="193">
        <f t="shared" si="50"/>
        <v>-356.80220512820506</v>
      </c>
      <c r="BZ87" s="192">
        <f t="shared" si="92"/>
        <v>338</v>
      </c>
      <c r="CA87" s="198">
        <f t="shared" si="93"/>
        <v>294.9397948717949</v>
      </c>
    </row>
    <row r="88" spans="1:79" s="83" customFormat="1" ht="22" hidden="1" customHeight="1" outlineLevel="1" thickTop="1" thickBot="1">
      <c r="A88" s="101"/>
      <c r="B88" s="85" t="s">
        <v>162</v>
      </c>
      <c r="C88" s="86"/>
      <c r="D88" s="86"/>
      <c r="E88" s="191">
        <v>583.33299999999997</v>
      </c>
      <c r="F88" s="192">
        <f>+ﾇｰﾍﾞﾙﾌﾟｰｽ!W87/1000</f>
        <v>0</v>
      </c>
      <c r="G88" s="193">
        <f t="shared" si="51"/>
        <v>583.33299999999997</v>
      </c>
      <c r="H88" s="192">
        <v>0</v>
      </c>
      <c r="I88" s="194">
        <f t="shared" si="52"/>
        <v>583.33299999999997</v>
      </c>
      <c r="J88" s="195">
        <v>0</v>
      </c>
      <c r="K88" s="192">
        <f>+ｶﾌｪﾙﾎﾟ!W87/1000</f>
        <v>0</v>
      </c>
      <c r="L88" s="193">
        <f t="shared" si="53"/>
        <v>0</v>
      </c>
      <c r="M88" s="192">
        <v>0</v>
      </c>
      <c r="N88" s="196">
        <f t="shared" si="54"/>
        <v>0</v>
      </c>
      <c r="O88" s="197">
        <v>257.803</v>
      </c>
      <c r="P88" s="192">
        <f>+ｶﾌｪｾﾚｽﾃ!W87/1000</f>
        <v>257.803</v>
      </c>
      <c r="Q88" s="193">
        <f t="shared" si="55"/>
        <v>0</v>
      </c>
      <c r="R88" s="192">
        <v>258</v>
      </c>
      <c r="S88" s="194">
        <f t="shared" si="56"/>
        <v>-0.19700000000000273</v>
      </c>
      <c r="T88" s="191">
        <f t="shared" si="57"/>
        <v>841.13599999999997</v>
      </c>
      <c r="U88" s="192">
        <f t="shared" si="58"/>
        <v>257.803</v>
      </c>
      <c r="V88" s="193">
        <f t="shared" si="59"/>
        <v>583.33299999999997</v>
      </c>
      <c r="W88" s="192">
        <f t="shared" si="60"/>
        <v>258</v>
      </c>
      <c r="X88" s="198">
        <f t="shared" si="61"/>
        <v>583.13599999999997</v>
      </c>
      <c r="Y88" s="197"/>
      <c r="Z88" s="192"/>
      <c r="AA88" s="193">
        <f t="shared" si="62"/>
        <v>0</v>
      </c>
      <c r="AB88" s="192">
        <v>0</v>
      </c>
      <c r="AC88" s="196">
        <f t="shared" si="63"/>
        <v>0</v>
      </c>
      <c r="AD88" s="197">
        <v>958.95699999999999</v>
      </c>
      <c r="AE88" s="192">
        <f>+ｼﾞｭｴﾙｽﾞ!W87/1000</f>
        <v>553.95699999999999</v>
      </c>
      <c r="AF88" s="193">
        <f t="shared" si="64"/>
        <v>405</v>
      </c>
      <c r="AG88" s="192">
        <v>554</v>
      </c>
      <c r="AH88" s="198">
        <f t="shared" si="65"/>
        <v>404.95699999999999</v>
      </c>
      <c r="AI88" s="191">
        <f t="shared" si="66"/>
        <v>958.95699999999999</v>
      </c>
      <c r="AJ88" s="192">
        <f t="shared" si="67"/>
        <v>553.95699999999999</v>
      </c>
      <c r="AK88" s="193">
        <f t="shared" si="68"/>
        <v>405</v>
      </c>
      <c r="AL88" s="192">
        <f t="shared" si="69"/>
        <v>554</v>
      </c>
      <c r="AM88" s="198">
        <f t="shared" si="70"/>
        <v>404.95699999999999</v>
      </c>
      <c r="AN88" s="191">
        <v>5652.58</v>
      </c>
      <c r="AO88" s="192">
        <f>+ｶﾞｰﾃﾞﾝ!W87/1000</f>
        <v>7719.1090000000004</v>
      </c>
      <c r="AP88" s="193">
        <f t="shared" si="71"/>
        <v>-2066.5290000000005</v>
      </c>
      <c r="AQ88" s="192">
        <v>7021</v>
      </c>
      <c r="AR88" s="194">
        <f t="shared" si="72"/>
        <v>-1368.42</v>
      </c>
      <c r="AS88" s="195">
        <v>0</v>
      </c>
      <c r="AT88" s="192">
        <f>+ﾋﾞｱｶﾞｰﾃﾞﾝ!W87/1000</f>
        <v>0</v>
      </c>
      <c r="AU88" s="193">
        <f t="shared" si="73"/>
        <v>0</v>
      </c>
      <c r="AV88" s="192">
        <v>0</v>
      </c>
      <c r="AW88" s="198">
        <f t="shared" si="74"/>
        <v>0</v>
      </c>
      <c r="AX88" s="191">
        <f t="shared" si="75"/>
        <v>5652.58</v>
      </c>
      <c r="AY88" s="192">
        <f t="shared" si="76"/>
        <v>7719.1090000000004</v>
      </c>
      <c r="AZ88" s="193">
        <f t="shared" si="77"/>
        <v>-2066.5290000000005</v>
      </c>
      <c r="BA88" s="192">
        <f t="shared" si="78"/>
        <v>7021</v>
      </c>
      <c r="BB88" s="198">
        <f t="shared" si="79"/>
        <v>-1368.42</v>
      </c>
      <c r="BC88" s="191">
        <v>1000</v>
      </c>
      <c r="BD88" s="192">
        <f>+ブリック!W87/1000</f>
        <v>2205.8330000000001</v>
      </c>
      <c r="BE88" s="193">
        <f t="shared" si="80"/>
        <v>-1205.8330000000001</v>
      </c>
      <c r="BF88" s="192"/>
      <c r="BG88" s="194">
        <f t="shared" si="81"/>
        <v>1000</v>
      </c>
      <c r="BH88" s="195">
        <v>150</v>
      </c>
      <c r="BI88" s="192">
        <f>+ルスツ羊蹄ぶた!W87/1000</f>
        <v>398.60500000000002</v>
      </c>
      <c r="BJ88" s="193">
        <f t="shared" si="82"/>
        <v>-248.60500000000002</v>
      </c>
      <c r="BK88" s="192"/>
      <c r="BL88" s="198">
        <f t="shared" si="83"/>
        <v>150</v>
      </c>
      <c r="BM88" s="191">
        <f t="shared" si="94"/>
        <v>1150</v>
      </c>
      <c r="BN88" s="192">
        <f t="shared" si="84"/>
        <v>2604.4380000000001</v>
      </c>
      <c r="BO88" s="193">
        <f t="shared" si="85"/>
        <v>-1454.4380000000001</v>
      </c>
      <c r="BP88" s="192">
        <f t="shared" si="86"/>
        <v>0</v>
      </c>
      <c r="BQ88" s="198">
        <f t="shared" si="87"/>
        <v>1150</v>
      </c>
      <c r="BR88" s="191">
        <v>0</v>
      </c>
      <c r="BS88" s="192">
        <f>+料飲共通!W87/1000</f>
        <v>0</v>
      </c>
      <c r="BT88" s="193">
        <f t="shared" si="88"/>
        <v>0</v>
      </c>
      <c r="BU88" s="192">
        <v>0</v>
      </c>
      <c r="BV88" s="198">
        <f t="shared" si="89"/>
        <v>0</v>
      </c>
      <c r="BW88" s="191">
        <f t="shared" si="90"/>
        <v>8602.6729999999989</v>
      </c>
      <c r="BX88" s="192">
        <f t="shared" si="91"/>
        <v>11135.307000000001</v>
      </c>
      <c r="BY88" s="193">
        <f t="shared" si="50"/>
        <v>-2532.6340000000018</v>
      </c>
      <c r="BZ88" s="192">
        <f t="shared" si="92"/>
        <v>7833</v>
      </c>
      <c r="CA88" s="198">
        <f t="shared" si="93"/>
        <v>769.67299999999886</v>
      </c>
    </row>
    <row r="89" spans="1:79" s="83" customFormat="1" ht="22" hidden="1" customHeight="1" outlineLevel="1" thickTop="1" thickBot="1">
      <c r="A89" s="101"/>
      <c r="B89" s="85" t="s">
        <v>97</v>
      </c>
      <c r="C89" s="86"/>
      <c r="D89" s="86"/>
      <c r="E89" s="191">
        <v>0</v>
      </c>
      <c r="F89" s="192">
        <f>+ﾇｰﾍﾞﾙﾌﾟｰｽ!W88/1000</f>
        <v>0</v>
      </c>
      <c r="G89" s="193">
        <f t="shared" si="51"/>
        <v>0</v>
      </c>
      <c r="H89" s="192">
        <v>0</v>
      </c>
      <c r="I89" s="194">
        <f t="shared" si="52"/>
        <v>0</v>
      </c>
      <c r="J89" s="195">
        <v>0</v>
      </c>
      <c r="K89" s="192">
        <f>+ｶﾌｪﾙﾎﾟ!W88/1000</f>
        <v>0</v>
      </c>
      <c r="L89" s="193">
        <f t="shared" si="53"/>
        <v>0</v>
      </c>
      <c r="M89" s="192">
        <v>0</v>
      </c>
      <c r="N89" s="196">
        <f t="shared" si="54"/>
        <v>0</v>
      </c>
      <c r="O89" s="197">
        <v>0</v>
      </c>
      <c r="P89" s="192">
        <f>+ｶﾌｪｾﾚｽﾃ!W88/1000</f>
        <v>0</v>
      </c>
      <c r="Q89" s="193">
        <f t="shared" si="55"/>
        <v>0</v>
      </c>
      <c r="R89" s="192">
        <v>0</v>
      </c>
      <c r="S89" s="194">
        <f t="shared" si="56"/>
        <v>0</v>
      </c>
      <c r="T89" s="191">
        <f t="shared" si="57"/>
        <v>0</v>
      </c>
      <c r="U89" s="192">
        <f t="shared" si="58"/>
        <v>0</v>
      </c>
      <c r="V89" s="193">
        <f t="shared" si="59"/>
        <v>0</v>
      </c>
      <c r="W89" s="192">
        <f t="shared" si="60"/>
        <v>0</v>
      </c>
      <c r="X89" s="198">
        <f t="shared" si="61"/>
        <v>0</v>
      </c>
      <c r="Y89" s="197"/>
      <c r="Z89" s="192"/>
      <c r="AA89" s="193">
        <f t="shared" si="62"/>
        <v>0</v>
      </c>
      <c r="AB89" s="192">
        <v>0</v>
      </c>
      <c r="AC89" s="196">
        <f t="shared" si="63"/>
        <v>0</v>
      </c>
      <c r="AD89" s="197">
        <v>0</v>
      </c>
      <c r="AE89" s="192">
        <f>+ｼﾞｭｴﾙｽﾞ!W88/1000</f>
        <v>0</v>
      </c>
      <c r="AF89" s="193">
        <f t="shared" si="64"/>
        <v>0</v>
      </c>
      <c r="AG89" s="192">
        <v>0</v>
      </c>
      <c r="AH89" s="198">
        <f t="shared" si="65"/>
        <v>0</v>
      </c>
      <c r="AI89" s="191">
        <f t="shared" si="66"/>
        <v>0</v>
      </c>
      <c r="AJ89" s="192">
        <f t="shared" si="67"/>
        <v>0</v>
      </c>
      <c r="AK89" s="193">
        <f t="shared" si="68"/>
        <v>0</v>
      </c>
      <c r="AL89" s="192">
        <f t="shared" si="69"/>
        <v>0</v>
      </c>
      <c r="AM89" s="198">
        <f t="shared" si="70"/>
        <v>0</v>
      </c>
      <c r="AN89" s="191">
        <v>0</v>
      </c>
      <c r="AO89" s="192">
        <f>+ｶﾞｰﾃﾞﾝ!W88/1000</f>
        <v>0</v>
      </c>
      <c r="AP89" s="193">
        <f t="shared" si="71"/>
        <v>0</v>
      </c>
      <c r="AQ89" s="192">
        <v>0</v>
      </c>
      <c r="AR89" s="194">
        <f t="shared" si="72"/>
        <v>0</v>
      </c>
      <c r="AS89" s="195">
        <v>0</v>
      </c>
      <c r="AT89" s="192">
        <f>+ﾋﾞｱｶﾞｰﾃﾞﾝ!W88/1000</f>
        <v>0</v>
      </c>
      <c r="AU89" s="193">
        <f t="shared" si="73"/>
        <v>0</v>
      </c>
      <c r="AV89" s="192">
        <v>0</v>
      </c>
      <c r="AW89" s="198">
        <f t="shared" si="74"/>
        <v>0</v>
      </c>
      <c r="AX89" s="191">
        <f t="shared" si="75"/>
        <v>0</v>
      </c>
      <c r="AY89" s="192">
        <f t="shared" si="76"/>
        <v>0</v>
      </c>
      <c r="AZ89" s="193">
        <f t="shared" si="77"/>
        <v>0</v>
      </c>
      <c r="BA89" s="192">
        <f t="shared" si="78"/>
        <v>0</v>
      </c>
      <c r="BB89" s="198">
        <f t="shared" si="79"/>
        <v>0</v>
      </c>
      <c r="BC89" s="191">
        <v>0</v>
      </c>
      <c r="BD89" s="192">
        <f>+ブリック!W88/1000</f>
        <v>0</v>
      </c>
      <c r="BE89" s="193">
        <f t="shared" si="80"/>
        <v>0</v>
      </c>
      <c r="BF89" s="192"/>
      <c r="BG89" s="194">
        <f t="shared" si="81"/>
        <v>0</v>
      </c>
      <c r="BH89" s="195">
        <v>0</v>
      </c>
      <c r="BI89" s="192">
        <f>+ルスツ羊蹄ぶた!W88/1000</f>
        <v>0</v>
      </c>
      <c r="BJ89" s="193">
        <f t="shared" si="82"/>
        <v>0</v>
      </c>
      <c r="BK89" s="192"/>
      <c r="BL89" s="198">
        <f t="shared" si="83"/>
        <v>0</v>
      </c>
      <c r="BM89" s="191">
        <f t="shared" si="94"/>
        <v>0</v>
      </c>
      <c r="BN89" s="192">
        <f t="shared" si="84"/>
        <v>0</v>
      </c>
      <c r="BO89" s="193">
        <f t="shared" si="85"/>
        <v>0</v>
      </c>
      <c r="BP89" s="192">
        <f t="shared" si="86"/>
        <v>0</v>
      </c>
      <c r="BQ89" s="198">
        <f t="shared" si="87"/>
        <v>0</v>
      </c>
      <c r="BR89" s="191">
        <v>0</v>
      </c>
      <c r="BS89" s="192">
        <f>+料飲共通!W88/1000</f>
        <v>0</v>
      </c>
      <c r="BT89" s="193">
        <f t="shared" si="88"/>
        <v>0</v>
      </c>
      <c r="BU89" s="192">
        <v>0</v>
      </c>
      <c r="BV89" s="198">
        <f t="shared" si="89"/>
        <v>0</v>
      </c>
      <c r="BW89" s="191">
        <f t="shared" si="90"/>
        <v>0</v>
      </c>
      <c r="BX89" s="192">
        <f t="shared" si="91"/>
        <v>0</v>
      </c>
      <c r="BY89" s="193">
        <f t="shared" si="50"/>
        <v>0</v>
      </c>
      <c r="BZ89" s="192">
        <f t="shared" si="92"/>
        <v>0</v>
      </c>
      <c r="CA89" s="198">
        <f t="shared" si="93"/>
        <v>0</v>
      </c>
    </row>
    <row r="90" spans="1:79" s="83" customFormat="1" ht="22" hidden="1" customHeight="1" outlineLevel="1" thickTop="1" thickBot="1">
      <c r="A90" s="101"/>
      <c r="B90" s="85" t="s">
        <v>165</v>
      </c>
      <c r="C90" s="86"/>
      <c r="D90" s="86"/>
      <c r="E90" s="191">
        <v>500</v>
      </c>
      <c r="F90" s="192">
        <f>+ﾇｰﾍﾞﾙﾌﾟｰｽ!W89/1000</f>
        <v>0</v>
      </c>
      <c r="G90" s="193">
        <f t="shared" si="51"/>
        <v>500</v>
      </c>
      <c r="H90" s="192">
        <v>0</v>
      </c>
      <c r="I90" s="194">
        <f t="shared" si="52"/>
        <v>500</v>
      </c>
      <c r="J90" s="195">
        <v>180.55699999999999</v>
      </c>
      <c r="K90" s="192">
        <f>+ｶﾌｪﾙﾎﾟ!W89/1000</f>
        <v>180.55699999999999</v>
      </c>
      <c r="L90" s="193">
        <f t="shared" si="53"/>
        <v>0</v>
      </c>
      <c r="M90" s="192">
        <v>181</v>
      </c>
      <c r="N90" s="196">
        <f t="shared" si="54"/>
        <v>-0.44300000000001205</v>
      </c>
      <c r="O90" s="197">
        <v>0</v>
      </c>
      <c r="P90" s="192">
        <f>+ｶﾌｪｾﾚｽﾃ!W89/1000</f>
        <v>0</v>
      </c>
      <c r="Q90" s="193">
        <f t="shared" si="55"/>
        <v>0</v>
      </c>
      <c r="R90" s="192">
        <v>0</v>
      </c>
      <c r="S90" s="194">
        <f t="shared" si="56"/>
        <v>0</v>
      </c>
      <c r="T90" s="191">
        <f t="shared" si="57"/>
        <v>680.55700000000002</v>
      </c>
      <c r="U90" s="192">
        <f t="shared" si="58"/>
        <v>180.55699999999999</v>
      </c>
      <c r="V90" s="193">
        <f t="shared" si="59"/>
        <v>500</v>
      </c>
      <c r="W90" s="192">
        <f t="shared" si="60"/>
        <v>181</v>
      </c>
      <c r="X90" s="198">
        <f t="shared" si="61"/>
        <v>499.55700000000002</v>
      </c>
      <c r="Y90" s="197"/>
      <c r="Z90" s="192"/>
      <c r="AA90" s="193">
        <f t="shared" si="62"/>
        <v>0</v>
      </c>
      <c r="AB90" s="192">
        <v>0</v>
      </c>
      <c r="AC90" s="196">
        <f t="shared" si="63"/>
        <v>0</v>
      </c>
      <c r="AD90" s="197">
        <v>175.1</v>
      </c>
      <c r="AE90" s="192">
        <f>+ｼﾞｭｴﾙｽﾞ!W89/1000</f>
        <v>175.1</v>
      </c>
      <c r="AF90" s="193">
        <f t="shared" si="64"/>
        <v>0</v>
      </c>
      <c r="AG90" s="192">
        <v>175</v>
      </c>
      <c r="AH90" s="198">
        <f t="shared" si="65"/>
        <v>9.9999999999994316E-2</v>
      </c>
      <c r="AI90" s="191">
        <f t="shared" si="66"/>
        <v>175.1</v>
      </c>
      <c r="AJ90" s="192">
        <f t="shared" si="67"/>
        <v>175.1</v>
      </c>
      <c r="AK90" s="193">
        <f t="shared" si="68"/>
        <v>0</v>
      </c>
      <c r="AL90" s="192">
        <f t="shared" si="69"/>
        <v>175</v>
      </c>
      <c r="AM90" s="198">
        <f t="shared" si="70"/>
        <v>9.9999999999994316E-2</v>
      </c>
      <c r="AN90" s="191">
        <v>403.78199999999998</v>
      </c>
      <c r="AO90" s="192">
        <f>+ｶﾞｰﾃﾞﾝ!W89/1000</f>
        <v>197.321</v>
      </c>
      <c r="AP90" s="193">
        <f t="shared" si="71"/>
        <v>206.46099999999998</v>
      </c>
      <c r="AQ90" s="192">
        <v>143</v>
      </c>
      <c r="AR90" s="194">
        <f t="shared" si="72"/>
        <v>260.78199999999998</v>
      </c>
      <c r="AS90" s="195">
        <v>0</v>
      </c>
      <c r="AT90" s="192">
        <f>+ﾋﾞｱｶﾞｰﾃﾞﾝ!W89/1000</f>
        <v>0</v>
      </c>
      <c r="AU90" s="193">
        <f t="shared" si="73"/>
        <v>0</v>
      </c>
      <c r="AV90" s="192">
        <v>0</v>
      </c>
      <c r="AW90" s="198">
        <f t="shared" si="74"/>
        <v>0</v>
      </c>
      <c r="AX90" s="191">
        <f t="shared" si="75"/>
        <v>403.78199999999998</v>
      </c>
      <c r="AY90" s="192">
        <f t="shared" si="76"/>
        <v>197.321</v>
      </c>
      <c r="AZ90" s="193">
        <f t="shared" si="77"/>
        <v>206.46099999999998</v>
      </c>
      <c r="BA90" s="192">
        <f t="shared" si="78"/>
        <v>143</v>
      </c>
      <c r="BB90" s="198">
        <f t="shared" si="79"/>
        <v>260.78199999999998</v>
      </c>
      <c r="BC90" s="191">
        <v>0</v>
      </c>
      <c r="BD90" s="192">
        <f>+ブリック!W89/1000</f>
        <v>0</v>
      </c>
      <c r="BE90" s="193">
        <f t="shared" si="80"/>
        <v>0</v>
      </c>
      <c r="BF90" s="192"/>
      <c r="BG90" s="194">
        <f t="shared" si="81"/>
        <v>0</v>
      </c>
      <c r="BH90" s="195">
        <v>0</v>
      </c>
      <c r="BI90" s="192">
        <f>+ルスツ羊蹄ぶた!W89/1000</f>
        <v>0</v>
      </c>
      <c r="BJ90" s="193">
        <f t="shared" si="82"/>
        <v>0</v>
      </c>
      <c r="BK90" s="192"/>
      <c r="BL90" s="198">
        <f t="shared" si="83"/>
        <v>0</v>
      </c>
      <c r="BM90" s="191">
        <f t="shared" si="94"/>
        <v>0</v>
      </c>
      <c r="BN90" s="192">
        <f t="shared" si="84"/>
        <v>0</v>
      </c>
      <c r="BO90" s="193">
        <f t="shared" si="85"/>
        <v>0</v>
      </c>
      <c r="BP90" s="192">
        <f t="shared" si="86"/>
        <v>0</v>
      </c>
      <c r="BQ90" s="198">
        <f t="shared" si="87"/>
        <v>0</v>
      </c>
      <c r="BR90" s="191">
        <v>0</v>
      </c>
      <c r="BS90" s="192">
        <f>+料飲共通!W89/1000</f>
        <v>0</v>
      </c>
      <c r="BT90" s="193">
        <f t="shared" si="88"/>
        <v>0</v>
      </c>
      <c r="BU90" s="192">
        <v>0</v>
      </c>
      <c r="BV90" s="198">
        <f t="shared" si="89"/>
        <v>0</v>
      </c>
      <c r="BW90" s="191">
        <f t="shared" si="90"/>
        <v>1259.4390000000001</v>
      </c>
      <c r="BX90" s="192">
        <f t="shared" si="91"/>
        <v>552.97799999999995</v>
      </c>
      <c r="BY90" s="193">
        <f t="shared" si="50"/>
        <v>706.46100000000013</v>
      </c>
      <c r="BZ90" s="192">
        <f t="shared" si="92"/>
        <v>499</v>
      </c>
      <c r="CA90" s="198">
        <f t="shared" si="93"/>
        <v>760.43900000000008</v>
      </c>
    </row>
    <row r="91" spans="1:79" s="83" customFormat="1" ht="22" hidden="1" customHeight="1" outlineLevel="1" thickTop="1" thickBot="1">
      <c r="A91" s="101"/>
      <c r="B91" s="85" t="s">
        <v>101</v>
      </c>
      <c r="C91" s="86"/>
      <c r="D91" s="86"/>
      <c r="E91" s="191">
        <v>4445.38</v>
      </c>
      <c r="F91" s="192">
        <f>+ﾇｰﾍﾞﾙﾌﾟｰｽ!W90/1000</f>
        <v>4125.38</v>
      </c>
      <c r="G91" s="193">
        <f t="shared" si="51"/>
        <v>320</v>
      </c>
      <c r="H91" s="192">
        <v>7063</v>
      </c>
      <c r="I91" s="194">
        <f t="shared" si="52"/>
        <v>-2617.62</v>
      </c>
      <c r="J91" s="195">
        <v>440.99299999999999</v>
      </c>
      <c r="K91" s="192">
        <f>+ｶﾌｪﾙﾎﾟ!W90/1000</f>
        <v>440.99299999999999</v>
      </c>
      <c r="L91" s="193">
        <f t="shared" si="53"/>
        <v>0</v>
      </c>
      <c r="M91" s="192">
        <v>441</v>
      </c>
      <c r="N91" s="196">
        <f t="shared" si="54"/>
        <v>-7.0000000000050022E-3</v>
      </c>
      <c r="O91" s="197">
        <v>255.30600000000001</v>
      </c>
      <c r="P91" s="192">
        <f>+ｶﾌｪｾﾚｽﾃ!W90/1000</f>
        <v>255.30600000000001</v>
      </c>
      <c r="Q91" s="193">
        <f t="shared" si="55"/>
        <v>0</v>
      </c>
      <c r="R91" s="192">
        <v>255</v>
      </c>
      <c r="S91" s="194">
        <f t="shared" si="56"/>
        <v>0.3060000000000116</v>
      </c>
      <c r="T91" s="191">
        <f t="shared" si="57"/>
        <v>5141.6790000000001</v>
      </c>
      <c r="U91" s="192">
        <f t="shared" si="58"/>
        <v>4821.6790000000001</v>
      </c>
      <c r="V91" s="193">
        <f t="shared" si="59"/>
        <v>320</v>
      </c>
      <c r="W91" s="192">
        <f t="shared" si="60"/>
        <v>7759</v>
      </c>
      <c r="X91" s="198">
        <f t="shared" si="61"/>
        <v>-2617.3209999999999</v>
      </c>
      <c r="Y91" s="197"/>
      <c r="Z91" s="192"/>
      <c r="AA91" s="193">
        <f t="shared" si="62"/>
        <v>0</v>
      </c>
      <c r="AB91" s="192">
        <v>0</v>
      </c>
      <c r="AC91" s="196">
        <f t="shared" si="63"/>
        <v>0</v>
      </c>
      <c r="AD91" s="197">
        <v>1769.326</v>
      </c>
      <c r="AE91" s="192">
        <f>+ｼﾞｭｴﾙｽﾞ!W90/1000</f>
        <v>1653.52</v>
      </c>
      <c r="AF91" s="193">
        <f t="shared" si="64"/>
        <v>115.80600000000004</v>
      </c>
      <c r="AG91" s="192">
        <v>1845</v>
      </c>
      <c r="AH91" s="198">
        <f t="shared" si="65"/>
        <v>-75.673999999999978</v>
      </c>
      <c r="AI91" s="191">
        <f t="shared" si="66"/>
        <v>1769.326</v>
      </c>
      <c r="AJ91" s="192">
        <f t="shared" si="67"/>
        <v>1653.52</v>
      </c>
      <c r="AK91" s="193">
        <f t="shared" si="68"/>
        <v>115.80600000000004</v>
      </c>
      <c r="AL91" s="192">
        <f t="shared" si="69"/>
        <v>1845</v>
      </c>
      <c r="AM91" s="198">
        <f t="shared" si="70"/>
        <v>-75.673999999999978</v>
      </c>
      <c r="AN91" s="191">
        <v>3349.2020000000002</v>
      </c>
      <c r="AO91" s="192">
        <f>+ｶﾞｰﾃﾞﾝ!W90/1000</f>
        <v>3410.7020000000002</v>
      </c>
      <c r="AP91" s="193">
        <f t="shared" si="71"/>
        <v>-61.5</v>
      </c>
      <c r="AQ91" s="192">
        <v>3310</v>
      </c>
      <c r="AR91" s="194">
        <f t="shared" si="72"/>
        <v>39.202000000000226</v>
      </c>
      <c r="AS91" s="195">
        <v>120.84</v>
      </c>
      <c r="AT91" s="192">
        <f>+ﾋﾞｱｶﾞｰﾃﾞﾝ!W90/1000</f>
        <v>772.99199999999996</v>
      </c>
      <c r="AU91" s="193">
        <f t="shared" si="73"/>
        <v>-652.15199999999993</v>
      </c>
      <c r="AV91" s="192">
        <v>121</v>
      </c>
      <c r="AW91" s="198">
        <f t="shared" si="74"/>
        <v>-0.15999999999999659</v>
      </c>
      <c r="AX91" s="191">
        <f t="shared" si="75"/>
        <v>3470.0420000000004</v>
      </c>
      <c r="AY91" s="192">
        <f t="shared" si="76"/>
        <v>4183.6940000000004</v>
      </c>
      <c r="AZ91" s="193">
        <f t="shared" si="77"/>
        <v>-713.65200000000004</v>
      </c>
      <c r="BA91" s="192">
        <f t="shared" si="78"/>
        <v>3431</v>
      </c>
      <c r="BB91" s="198">
        <f t="shared" si="79"/>
        <v>39.042000000000371</v>
      </c>
      <c r="BC91" s="191">
        <v>500</v>
      </c>
      <c r="BD91" s="192">
        <f>+ブリック!W90/1000</f>
        <v>679.822</v>
      </c>
      <c r="BE91" s="193">
        <f t="shared" si="80"/>
        <v>-179.822</v>
      </c>
      <c r="BF91" s="192"/>
      <c r="BG91" s="194">
        <f t="shared" si="81"/>
        <v>500</v>
      </c>
      <c r="BH91" s="195">
        <v>6.6343212545342266E-6</v>
      </c>
      <c r="BI91" s="192">
        <f>+ルスツ羊蹄ぶた!W90/1000</f>
        <v>17.053999999999998</v>
      </c>
      <c r="BJ91" s="193">
        <f t="shared" si="82"/>
        <v>-17.053993365678743</v>
      </c>
      <c r="BK91" s="192"/>
      <c r="BL91" s="198">
        <f t="shared" si="83"/>
        <v>6.6343212545342266E-6</v>
      </c>
      <c r="BM91" s="191">
        <f t="shared" si="94"/>
        <v>500.00000663432127</v>
      </c>
      <c r="BN91" s="192">
        <f t="shared" si="84"/>
        <v>696.87599999999998</v>
      </c>
      <c r="BO91" s="193">
        <f t="shared" si="85"/>
        <v>-196.87599336567871</v>
      </c>
      <c r="BP91" s="192">
        <f t="shared" si="86"/>
        <v>0</v>
      </c>
      <c r="BQ91" s="198">
        <f t="shared" si="87"/>
        <v>500.00000663432127</v>
      </c>
      <c r="BR91" s="191">
        <v>0</v>
      </c>
      <c r="BS91" s="192">
        <f>+料飲共通!W90/1000</f>
        <v>0</v>
      </c>
      <c r="BT91" s="193">
        <f t="shared" si="88"/>
        <v>0</v>
      </c>
      <c r="BU91" s="192">
        <v>0</v>
      </c>
      <c r="BV91" s="198">
        <f t="shared" si="89"/>
        <v>0</v>
      </c>
      <c r="BW91" s="191">
        <f t="shared" si="90"/>
        <v>10881.047006634322</v>
      </c>
      <c r="BX91" s="192">
        <f t="shared" si="91"/>
        <v>11355.769</v>
      </c>
      <c r="BY91" s="193">
        <f t="shared" si="50"/>
        <v>-474.72199336567792</v>
      </c>
      <c r="BZ91" s="192">
        <f t="shared" si="92"/>
        <v>13035</v>
      </c>
      <c r="CA91" s="198">
        <f t="shared" si="93"/>
        <v>-2153.9529933656777</v>
      </c>
    </row>
    <row r="92" spans="1:79" s="83" customFormat="1" ht="22" hidden="1" customHeight="1" outlineLevel="1" thickTop="1" thickBot="1">
      <c r="A92" s="101"/>
      <c r="B92" s="85" t="s">
        <v>103</v>
      </c>
      <c r="C92" s="86"/>
      <c r="D92" s="86"/>
      <c r="E92" s="191">
        <v>0</v>
      </c>
      <c r="F92" s="192">
        <f>+ﾇｰﾍﾞﾙﾌﾟｰｽ!W91/1000</f>
        <v>0</v>
      </c>
      <c r="G92" s="193">
        <f t="shared" si="51"/>
        <v>0</v>
      </c>
      <c r="H92" s="192">
        <v>0</v>
      </c>
      <c r="I92" s="194">
        <f t="shared" si="52"/>
        <v>0</v>
      </c>
      <c r="J92" s="195">
        <v>0</v>
      </c>
      <c r="K92" s="192">
        <f>+ｶﾌｪﾙﾎﾟ!W91/1000</f>
        <v>0</v>
      </c>
      <c r="L92" s="193">
        <f t="shared" si="53"/>
        <v>0</v>
      </c>
      <c r="M92" s="192">
        <v>0</v>
      </c>
      <c r="N92" s="196">
        <f t="shared" si="54"/>
        <v>0</v>
      </c>
      <c r="O92" s="197">
        <v>0</v>
      </c>
      <c r="P92" s="192">
        <f>+ｶﾌｪｾﾚｽﾃ!W91/1000</f>
        <v>0</v>
      </c>
      <c r="Q92" s="193">
        <f t="shared" si="55"/>
        <v>0</v>
      </c>
      <c r="R92" s="192">
        <v>0</v>
      </c>
      <c r="S92" s="194">
        <f t="shared" si="56"/>
        <v>0</v>
      </c>
      <c r="T92" s="191">
        <f t="shared" si="57"/>
        <v>0</v>
      </c>
      <c r="U92" s="192">
        <f t="shared" si="58"/>
        <v>0</v>
      </c>
      <c r="V92" s="193">
        <f t="shared" si="59"/>
        <v>0</v>
      </c>
      <c r="W92" s="192">
        <f t="shared" si="60"/>
        <v>0</v>
      </c>
      <c r="X92" s="198">
        <f t="shared" si="61"/>
        <v>0</v>
      </c>
      <c r="Y92" s="197"/>
      <c r="Z92" s="192"/>
      <c r="AA92" s="193">
        <f t="shared" si="62"/>
        <v>0</v>
      </c>
      <c r="AB92" s="192">
        <v>0</v>
      </c>
      <c r="AC92" s="196">
        <f t="shared" si="63"/>
        <v>0</v>
      </c>
      <c r="AD92" s="197">
        <v>0</v>
      </c>
      <c r="AE92" s="192">
        <f>+ｼﾞｭｴﾙｽﾞ!W91/1000</f>
        <v>420.09800000000001</v>
      </c>
      <c r="AF92" s="193">
        <f t="shared" si="64"/>
        <v>-420.09800000000001</v>
      </c>
      <c r="AG92" s="192">
        <v>0</v>
      </c>
      <c r="AH92" s="198">
        <f t="shared" si="65"/>
        <v>0</v>
      </c>
      <c r="AI92" s="191">
        <f t="shared" si="66"/>
        <v>0</v>
      </c>
      <c r="AJ92" s="192">
        <f t="shared" si="67"/>
        <v>420.09800000000001</v>
      </c>
      <c r="AK92" s="193">
        <f t="shared" si="68"/>
        <v>-420.09800000000001</v>
      </c>
      <c r="AL92" s="192">
        <f t="shared" si="69"/>
        <v>0</v>
      </c>
      <c r="AM92" s="198">
        <f t="shared" si="70"/>
        <v>0</v>
      </c>
      <c r="AN92" s="191">
        <v>0</v>
      </c>
      <c r="AO92" s="192">
        <f>+ｶﾞｰﾃﾞﾝ!W91/1000</f>
        <v>0</v>
      </c>
      <c r="AP92" s="193">
        <f t="shared" si="71"/>
        <v>0</v>
      </c>
      <c r="AQ92" s="192">
        <v>0</v>
      </c>
      <c r="AR92" s="194">
        <f t="shared" si="72"/>
        <v>0</v>
      </c>
      <c r="AS92" s="195">
        <v>0</v>
      </c>
      <c r="AT92" s="192">
        <f>+ﾋﾞｱｶﾞｰﾃﾞﾝ!W91/1000</f>
        <v>0</v>
      </c>
      <c r="AU92" s="193">
        <f t="shared" si="73"/>
        <v>0</v>
      </c>
      <c r="AV92" s="192">
        <v>0</v>
      </c>
      <c r="AW92" s="198">
        <f t="shared" si="74"/>
        <v>0</v>
      </c>
      <c r="AX92" s="191">
        <f t="shared" si="75"/>
        <v>0</v>
      </c>
      <c r="AY92" s="192">
        <f t="shared" si="76"/>
        <v>0</v>
      </c>
      <c r="AZ92" s="193">
        <f t="shared" si="77"/>
        <v>0</v>
      </c>
      <c r="BA92" s="192">
        <f t="shared" si="78"/>
        <v>0</v>
      </c>
      <c r="BB92" s="198">
        <f t="shared" si="79"/>
        <v>0</v>
      </c>
      <c r="BC92" s="191">
        <v>0</v>
      </c>
      <c r="BD92" s="192">
        <f>+ブリック!W91/1000</f>
        <v>0</v>
      </c>
      <c r="BE92" s="193">
        <f t="shared" si="80"/>
        <v>0</v>
      </c>
      <c r="BF92" s="192"/>
      <c r="BG92" s="194">
        <f t="shared" si="81"/>
        <v>0</v>
      </c>
      <c r="BH92" s="195">
        <v>0</v>
      </c>
      <c r="BI92" s="192">
        <f>+ルスツ羊蹄ぶた!W91/1000</f>
        <v>0</v>
      </c>
      <c r="BJ92" s="193">
        <f t="shared" si="82"/>
        <v>0</v>
      </c>
      <c r="BK92" s="192"/>
      <c r="BL92" s="198">
        <f t="shared" si="83"/>
        <v>0</v>
      </c>
      <c r="BM92" s="191">
        <f t="shared" si="94"/>
        <v>0</v>
      </c>
      <c r="BN92" s="192">
        <f t="shared" si="84"/>
        <v>0</v>
      </c>
      <c r="BO92" s="193">
        <f t="shared" si="85"/>
        <v>0</v>
      </c>
      <c r="BP92" s="192">
        <f t="shared" si="86"/>
        <v>0</v>
      </c>
      <c r="BQ92" s="198">
        <f t="shared" si="87"/>
        <v>0</v>
      </c>
      <c r="BR92" s="191">
        <v>0</v>
      </c>
      <c r="BS92" s="192">
        <f>+料飲共通!W91/1000</f>
        <v>0</v>
      </c>
      <c r="BT92" s="193">
        <f t="shared" si="88"/>
        <v>0</v>
      </c>
      <c r="BU92" s="192">
        <v>0</v>
      </c>
      <c r="BV92" s="198">
        <f t="shared" si="89"/>
        <v>0</v>
      </c>
      <c r="BW92" s="191">
        <f t="shared" si="90"/>
        <v>0</v>
      </c>
      <c r="BX92" s="192">
        <f t="shared" si="91"/>
        <v>420.09800000000001</v>
      </c>
      <c r="BY92" s="193">
        <f t="shared" si="50"/>
        <v>-420.09800000000001</v>
      </c>
      <c r="BZ92" s="192">
        <f t="shared" si="92"/>
        <v>0</v>
      </c>
      <c r="CA92" s="198">
        <f t="shared" si="93"/>
        <v>0</v>
      </c>
    </row>
    <row r="93" spans="1:79" s="83" customFormat="1" ht="22" hidden="1" customHeight="1" outlineLevel="1" thickTop="1" thickBot="1">
      <c r="A93" s="101"/>
      <c r="B93" s="85" t="s">
        <v>169</v>
      </c>
      <c r="C93" s="86"/>
      <c r="D93" s="86"/>
      <c r="E93" s="191">
        <v>218.34399999999999</v>
      </c>
      <c r="F93" s="192">
        <f>+ﾇｰﾍﾞﾙﾌﾟｰｽ!W92/1000</f>
        <v>266.99700000000001</v>
      </c>
      <c r="G93" s="193">
        <f t="shared" si="51"/>
        <v>-48.65300000000002</v>
      </c>
      <c r="H93" s="192">
        <v>218</v>
      </c>
      <c r="I93" s="194">
        <f t="shared" si="52"/>
        <v>0.34399999999999409</v>
      </c>
      <c r="J93" s="195">
        <v>63.332999999999998</v>
      </c>
      <c r="K93" s="192">
        <f>+ｶﾌｪﾙﾎﾟ!W92/1000</f>
        <v>63.332999999999998</v>
      </c>
      <c r="L93" s="193">
        <f t="shared" si="53"/>
        <v>0</v>
      </c>
      <c r="M93" s="192">
        <v>63</v>
      </c>
      <c r="N93" s="196">
        <f t="shared" si="54"/>
        <v>0.33299999999999841</v>
      </c>
      <c r="O93" s="197">
        <v>0</v>
      </c>
      <c r="P93" s="192">
        <f>+ｶﾌｪｾﾚｽﾃ!W92/1000</f>
        <v>0</v>
      </c>
      <c r="Q93" s="193">
        <f t="shared" si="55"/>
        <v>0</v>
      </c>
      <c r="R93" s="192">
        <v>0</v>
      </c>
      <c r="S93" s="194">
        <f t="shared" si="56"/>
        <v>0</v>
      </c>
      <c r="T93" s="191">
        <f t="shared" si="57"/>
        <v>281.67700000000002</v>
      </c>
      <c r="U93" s="192">
        <f t="shared" si="58"/>
        <v>330.33000000000004</v>
      </c>
      <c r="V93" s="193">
        <f t="shared" si="59"/>
        <v>-48.65300000000002</v>
      </c>
      <c r="W93" s="192">
        <f t="shared" si="60"/>
        <v>281</v>
      </c>
      <c r="X93" s="198">
        <f t="shared" si="61"/>
        <v>0.67700000000002092</v>
      </c>
      <c r="Y93" s="197"/>
      <c r="Z93" s="192"/>
      <c r="AA93" s="193">
        <f t="shared" si="62"/>
        <v>0</v>
      </c>
      <c r="AB93" s="192">
        <v>0</v>
      </c>
      <c r="AC93" s="196">
        <f t="shared" si="63"/>
        <v>0</v>
      </c>
      <c r="AD93" s="197">
        <v>319.36900000000003</v>
      </c>
      <c r="AE93" s="192">
        <f>+ｼﾞｭｴﾙｽﾞ!W92/1000</f>
        <v>459.80099999999999</v>
      </c>
      <c r="AF93" s="193">
        <f t="shared" si="64"/>
        <v>-140.43199999999996</v>
      </c>
      <c r="AG93" s="192">
        <v>405</v>
      </c>
      <c r="AH93" s="198">
        <f t="shared" si="65"/>
        <v>-85.630999999999972</v>
      </c>
      <c r="AI93" s="191">
        <f t="shared" si="66"/>
        <v>319.36900000000003</v>
      </c>
      <c r="AJ93" s="192">
        <f t="shared" si="67"/>
        <v>459.80099999999999</v>
      </c>
      <c r="AK93" s="193">
        <f t="shared" si="68"/>
        <v>-140.43199999999996</v>
      </c>
      <c r="AL93" s="192">
        <f t="shared" si="69"/>
        <v>405</v>
      </c>
      <c r="AM93" s="198">
        <f t="shared" si="70"/>
        <v>-85.630999999999972</v>
      </c>
      <c r="AN93" s="191">
        <v>1292.5920000000001</v>
      </c>
      <c r="AO93" s="192">
        <f>+ｶﾞｰﾃﾞﾝ!W92/1000</f>
        <v>1487.579</v>
      </c>
      <c r="AP93" s="193">
        <f t="shared" si="71"/>
        <v>-194.98699999999985</v>
      </c>
      <c r="AQ93" s="192">
        <v>1424</v>
      </c>
      <c r="AR93" s="194">
        <f t="shared" si="72"/>
        <v>-131.4079999999999</v>
      </c>
      <c r="AS93" s="195">
        <v>263.33300000000003</v>
      </c>
      <c r="AT93" s="192">
        <f>+ﾋﾞｱｶﾞｰﾃﾞﾝ!W92/1000</f>
        <v>362.22899999999998</v>
      </c>
      <c r="AU93" s="193">
        <f t="shared" si="73"/>
        <v>-98.895999999999958</v>
      </c>
      <c r="AV93" s="192">
        <v>263</v>
      </c>
      <c r="AW93" s="198">
        <f t="shared" si="74"/>
        <v>0.33300000000002683</v>
      </c>
      <c r="AX93" s="191">
        <f t="shared" si="75"/>
        <v>1555.9250000000002</v>
      </c>
      <c r="AY93" s="192">
        <f t="shared" si="76"/>
        <v>1849.808</v>
      </c>
      <c r="AZ93" s="193">
        <f t="shared" si="77"/>
        <v>-293.88299999999981</v>
      </c>
      <c r="BA93" s="192">
        <f t="shared" si="78"/>
        <v>1687</v>
      </c>
      <c r="BB93" s="198">
        <f t="shared" si="79"/>
        <v>-131.07499999999982</v>
      </c>
      <c r="BC93" s="191">
        <v>0</v>
      </c>
      <c r="BD93" s="192">
        <f>+ブリック!W92/1000</f>
        <v>287.07499999999999</v>
      </c>
      <c r="BE93" s="193">
        <f t="shared" si="80"/>
        <v>-287.07499999999999</v>
      </c>
      <c r="BF93" s="192"/>
      <c r="BG93" s="194">
        <f t="shared" si="81"/>
        <v>0</v>
      </c>
      <c r="BH93" s="195">
        <v>0</v>
      </c>
      <c r="BI93" s="192">
        <f>+ルスツ羊蹄ぶた!W92/1000</f>
        <v>150.154</v>
      </c>
      <c r="BJ93" s="193">
        <f t="shared" si="82"/>
        <v>-150.154</v>
      </c>
      <c r="BK93" s="192"/>
      <c r="BL93" s="198">
        <f t="shared" si="83"/>
        <v>0</v>
      </c>
      <c r="BM93" s="191">
        <f t="shared" si="94"/>
        <v>0</v>
      </c>
      <c r="BN93" s="192">
        <f t="shared" si="84"/>
        <v>437.22899999999998</v>
      </c>
      <c r="BO93" s="193">
        <f t="shared" si="85"/>
        <v>-437.22899999999998</v>
      </c>
      <c r="BP93" s="192">
        <f t="shared" si="86"/>
        <v>0</v>
      </c>
      <c r="BQ93" s="198">
        <f t="shared" si="87"/>
        <v>0</v>
      </c>
      <c r="BR93" s="191">
        <v>0</v>
      </c>
      <c r="BS93" s="192">
        <f>+料飲共通!W92/1000</f>
        <v>120</v>
      </c>
      <c r="BT93" s="193">
        <f t="shared" si="88"/>
        <v>-120</v>
      </c>
      <c r="BU93" s="192">
        <v>0</v>
      </c>
      <c r="BV93" s="198">
        <f t="shared" si="89"/>
        <v>0</v>
      </c>
      <c r="BW93" s="191">
        <f t="shared" si="90"/>
        <v>2156.9710000000005</v>
      </c>
      <c r="BX93" s="192">
        <f t="shared" si="91"/>
        <v>3197.1680000000001</v>
      </c>
      <c r="BY93" s="193">
        <f t="shared" si="50"/>
        <v>-1040.1969999999997</v>
      </c>
      <c r="BZ93" s="192">
        <f t="shared" si="92"/>
        <v>2373</v>
      </c>
      <c r="CA93" s="198">
        <f t="shared" si="93"/>
        <v>-216.02899999999954</v>
      </c>
    </row>
    <row r="94" spans="1:79" s="83" customFormat="1" ht="22" hidden="1" customHeight="1" outlineLevel="1" thickTop="1" thickBot="1">
      <c r="A94" s="101"/>
      <c r="B94" s="85" t="s">
        <v>171</v>
      </c>
      <c r="C94" s="86"/>
      <c r="D94" s="86"/>
      <c r="E94" s="191">
        <v>0</v>
      </c>
      <c r="F94" s="192">
        <f>+ﾇｰﾍﾞﾙﾌﾟｰｽ!W93/1000</f>
        <v>0</v>
      </c>
      <c r="G94" s="193">
        <f t="shared" si="51"/>
        <v>0</v>
      </c>
      <c r="H94" s="192">
        <v>0</v>
      </c>
      <c r="I94" s="194">
        <f t="shared" si="52"/>
        <v>0</v>
      </c>
      <c r="J94" s="195">
        <v>0</v>
      </c>
      <c r="K94" s="192">
        <f>+ｶﾌｪﾙﾎﾟ!W93/1000</f>
        <v>0</v>
      </c>
      <c r="L94" s="193">
        <f t="shared" si="53"/>
        <v>0</v>
      </c>
      <c r="M94" s="192">
        <v>0</v>
      </c>
      <c r="N94" s="196">
        <f t="shared" si="54"/>
        <v>0</v>
      </c>
      <c r="O94" s="197">
        <v>0</v>
      </c>
      <c r="P94" s="192">
        <f>+ｶﾌｪｾﾚｽﾃ!W93/1000</f>
        <v>0</v>
      </c>
      <c r="Q94" s="193">
        <f t="shared" si="55"/>
        <v>0</v>
      </c>
      <c r="R94" s="192">
        <v>0</v>
      </c>
      <c r="S94" s="194">
        <f t="shared" si="56"/>
        <v>0</v>
      </c>
      <c r="T94" s="191">
        <f t="shared" si="57"/>
        <v>0</v>
      </c>
      <c r="U94" s="192">
        <f t="shared" si="58"/>
        <v>0</v>
      </c>
      <c r="V94" s="193">
        <f t="shared" si="59"/>
        <v>0</v>
      </c>
      <c r="W94" s="192">
        <f t="shared" si="60"/>
        <v>0</v>
      </c>
      <c r="X94" s="198">
        <f t="shared" si="61"/>
        <v>0</v>
      </c>
      <c r="Y94" s="197"/>
      <c r="Z94" s="192"/>
      <c r="AA94" s="193">
        <f t="shared" si="62"/>
        <v>0</v>
      </c>
      <c r="AB94" s="192">
        <v>0</v>
      </c>
      <c r="AC94" s="196">
        <f t="shared" si="63"/>
        <v>0</v>
      </c>
      <c r="AD94" s="197">
        <v>0</v>
      </c>
      <c r="AE94" s="192">
        <f>+ｼﾞｭｴﾙｽﾞ!W93/1000</f>
        <v>0</v>
      </c>
      <c r="AF94" s="193">
        <f t="shared" si="64"/>
        <v>0</v>
      </c>
      <c r="AG94" s="192">
        <v>0</v>
      </c>
      <c r="AH94" s="198">
        <f t="shared" si="65"/>
        <v>0</v>
      </c>
      <c r="AI94" s="191">
        <f t="shared" si="66"/>
        <v>0</v>
      </c>
      <c r="AJ94" s="192">
        <f t="shared" si="67"/>
        <v>0</v>
      </c>
      <c r="AK94" s="193">
        <f t="shared" si="68"/>
        <v>0</v>
      </c>
      <c r="AL94" s="192">
        <f t="shared" si="69"/>
        <v>0</v>
      </c>
      <c r="AM94" s="198">
        <f t="shared" si="70"/>
        <v>0</v>
      </c>
      <c r="AN94" s="191">
        <v>0</v>
      </c>
      <c r="AO94" s="192">
        <f>+ｶﾞｰﾃﾞﾝ!W93/1000</f>
        <v>0</v>
      </c>
      <c r="AP94" s="193">
        <f t="shared" si="71"/>
        <v>0</v>
      </c>
      <c r="AQ94" s="192">
        <v>0</v>
      </c>
      <c r="AR94" s="194">
        <f t="shared" si="72"/>
        <v>0</v>
      </c>
      <c r="AS94" s="195">
        <v>0</v>
      </c>
      <c r="AT94" s="192">
        <f>+ﾋﾞｱｶﾞｰﾃﾞﾝ!W93/1000</f>
        <v>0</v>
      </c>
      <c r="AU94" s="193">
        <f t="shared" si="73"/>
        <v>0</v>
      </c>
      <c r="AV94" s="192">
        <v>0</v>
      </c>
      <c r="AW94" s="198">
        <f t="shared" si="74"/>
        <v>0</v>
      </c>
      <c r="AX94" s="191">
        <f t="shared" si="75"/>
        <v>0</v>
      </c>
      <c r="AY94" s="192">
        <f t="shared" si="76"/>
        <v>0</v>
      </c>
      <c r="AZ94" s="193">
        <f t="shared" si="77"/>
        <v>0</v>
      </c>
      <c r="BA94" s="192">
        <f t="shared" si="78"/>
        <v>0</v>
      </c>
      <c r="BB94" s="198">
        <f t="shared" si="79"/>
        <v>0</v>
      </c>
      <c r="BC94" s="191">
        <v>719.721</v>
      </c>
      <c r="BD94" s="192">
        <f>+ブリック!W93/1000</f>
        <v>0</v>
      </c>
      <c r="BE94" s="193">
        <f t="shared" si="80"/>
        <v>719.721</v>
      </c>
      <c r="BF94" s="192"/>
      <c r="BG94" s="194">
        <f t="shared" si="81"/>
        <v>719.721</v>
      </c>
      <c r="BH94" s="195">
        <v>300</v>
      </c>
      <c r="BI94" s="192">
        <f>+ルスツ羊蹄ぶた!W93/1000</f>
        <v>0</v>
      </c>
      <c r="BJ94" s="193">
        <f t="shared" si="82"/>
        <v>300</v>
      </c>
      <c r="BK94" s="192"/>
      <c r="BL94" s="198">
        <f t="shared" si="83"/>
        <v>300</v>
      </c>
      <c r="BM94" s="191">
        <f t="shared" si="94"/>
        <v>1019.721</v>
      </c>
      <c r="BN94" s="192">
        <f t="shared" si="84"/>
        <v>0</v>
      </c>
      <c r="BO94" s="193">
        <f t="shared" si="85"/>
        <v>1019.721</v>
      </c>
      <c r="BP94" s="192">
        <f t="shared" si="86"/>
        <v>0</v>
      </c>
      <c r="BQ94" s="198">
        <f t="shared" si="87"/>
        <v>1019.721</v>
      </c>
      <c r="BR94" s="191">
        <v>0</v>
      </c>
      <c r="BS94" s="192">
        <f>+料飲共通!W93/1000</f>
        <v>0</v>
      </c>
      <c r="BT94" s="193">
        <f t="shared" si="88"/>
        <v>0</v>
      </c>
      <c r="BU94" s="192">
        <v>0</v>
      </c>
      <c r="BV94" s="198">
        <f t="shared" si="89"/>
        <v>0</v>
      </c>
      <c r="BW94" s="191">
        <f t="shared" si="90"/>
        <v>1019.721</v>
      </c>
      <c r="BX94" s="192">
        <f t="shared" si="91"/>
        <v>0</v>
      </c>
      <c r="BY94" s="193">
        <f t="shared" si="50"/>
        <v>1019.721</v>
      </c>
      <c r="BZ94" s="192">
        <f t="shared" si="92"/>
        <v>0</v>
      </c>
      <c r="CA94" s="198">
        <f t="shared" si="93"/>
        <v>1019.721</v>
      </c>
    </row>
    <row r="95" spans="1:79" s="83" customFormat="1" ht="22" hidden="1" customHeight="1" outlineLevel="1" thickTop="1" thickBot="1">
      <c r="A95" s="101"/>
      <c r="B95" s="85" t="s">
        <v>173</v>
      </c>
      <c r="C95" s="86"/>
      <c r="D95" s="86"/>
      <c r="E95" s="191">
        <v>67.998999999999995</v>
      </c>
      <c r="F95" s="192">
        <f>+ﾇｰﾍﾞﾙﾌﾟｰｽ!W94/1000</f>
        <v>67.998999999999995</v>
      </c>
      <c r="G95" s="193">
        <f t="shared" si="51"/>
        <v>0</v>
      </c>
      <c r="H95" s="192">
        <v>68</v>
      </c>
      <c r="I95" s="194">
        <f t="shared" si="52"/>
        <v>-1.0000000000047748E-3</v>
      </c>
      <c r="J95" s="195">
        <v>0</v>
      </c>
      <c r="K95" s="192">
        <f>+ｶﾌｪﾙﾎﾟ!W94/1000</f>
        <v>0</v>
      </c>
      <c r="L95" s="193">
        <f t="shared" si="53"/>
        <v>0</v>
      </c>
      <c r="M95" s="192">
        <v>0</v>
      </c>
      <c r="N95" s="196">
        <f t="shared" si="54"/>
        <v>0</v>
      </c>
      <c r="O95" s="197">
        <v>0</v>
      </c>
      <c r="P95" s="192">
        <f>+ｶﾌｪｾﾚｽﾃ!W94/1000</f>
        <v>0</v>
      </c>
      <c r="Q95" s="193">
        <f t="shared" si="55"/>
        <v>0</v>
      </c>
      <c r="R95" s="192">
        <v>0</v>
      </c>
      <c r="S95" s="194">
        <f t="shared" si="56"/>
        <v>0</v>
      </c>
      <c r="T95" s="191">
        <f t="shared" si="57"/>
        <v>67.998999999999995</v>
      </c>
      <c r="U95" s="192">
        <f t="shared" si="58"/>
        <v>67.998999999999995</v>
      </c>
      <c r="V95" s="193">
        <f t="shared" si="59"/>
        <v>0</v>
      </c>
      <c r="W95" s="192">
        <f t="shared" si="60"/>
        <v>68</v>
      </c>
      <c r="X95" s="198">
        <f t="shared" si="61"/>
        <v>-1.0000000000047748E-3</v>
      </c>
      <c r="Y95" s="197"/>
      <c r="Z95" s="192"/>
      <c r="AA95" s="193">
        <f t="shared" si="62"/>
        <v>0</v>
      </c>
      <c r="AB95" s="192">
        <v>0</v>
      </c>
      <c r="AC95" s="196">
        <f t="shared" si="63"/>
        <v>0</v>
      </c>
      <c r="AD95" s="197">
        <v>0</v>
      </c>
      <c r="AE95" s="192">
        <f>+ｼﾞｭｴﾙｽﾞ!W94/1000</f>
        <v>0</v>
      </c>
      <c r="AF95" s="193">
        <f t="shared" si="64"/>
        <v>0</v>
      </c>
      <c r="AG95" s="192">
        <v>0</v>
      </c>
      <c r="AH95" s="198">
        <f t="shared" si="65"/>
        <v>0</v>
      </c>
      <c r="AI95" s="191">
        <f t="shared" si="66"/>
        <v>0</v>
      </c>
      <c r="AJ95" s="192">
        <f t="shared" si="67"/>
        <v>0</v>
      </c>
      <c r="AK95" s="193">
        <f t="shared" si="68"/>
        <v>0</v>
      </c>
      <c r="AL95" s="192">
        <f t="shared" si="69"/>
        <v>0</v>
      </c>
      <c r="AM95" s="198">
        <f t="shared" si="70"/>
        <v>0</v>
      </c>
      <c r="AN95" s="191">
        <v>0</v>
      </c>
      <c r="AO95" s="192">
        <f>+ｶﾞｰﾃﾞﾝ!W94/1000</f>
        <v>0</v>
      </c>
      <c r="AP95" s="193">
        <f t="shared" si="71"/>
        <v>0</v>
      </c>
      <c r="AQ95" s="192">
        <v>0</v>
      </c>
      <c r="AR95" s="194">
        <f t="shared" si="72"/>
        <v>0</v>
      </c>
      <c r="AS95" s="195">
        <v>0</v>
      </c>
      <c r="AT95" s="192">
        <f>+ﾋﾞｱｶﾞｰﾃﾞﾝ!W94/1000</f>
        <v>0</v>
      </c>
      <c r="AU95" s="193">
        <f t="shared" si="73"/>
        <v>0</v>
      </c>
      <c r="AV95" s="192">
        <v>0</v>
      </c>
      <c r="AW95" s="198">
        <f t="shared" si="74"/>
        <v>0</v>
      </c>
      <c r="AX95" s="191">
        <f t="shared" si="75"/>
        <v>0</v>
      </c>
      <c r="AY95" s="192">
        <f t="shared" si="76"/>
        <v>0</v>
      </c>
      <c r="AZ95" s="193">
        <f t="shared" si="77"/>
        <v>0</v>
      </c>
      <c r="BA95" s="192">
        <f t="shared" si="78"/>
        <v>0</v>
      </c>
      <c r="BB95" s="198">
        <f t="shared" si="79"/>
        <v>0</v>
      </c>
      <c r="BC95" s="191">
        <v>0</v>
      </c>
      <c r="BD95" s="192">
        <f>+ブリック!W94/1000</f>
        <v>0</v>
      </c>
      <c r="BE95" s="193">
        <f t="shared" si="80"/>
        <v>0</v>
      </c>
      <c r="BF95" s="192"/>
      <c r="BG95" s="194">
        <f t="shared" si="81"/>
        <v>0</v>
      </c>
      <c r="BH95" s="195">
        <v>0</v>
      </c>
      <c r="BI95" s="192">
        <f>+ルスツ羊蹄ぶた!W94/1000</f>
        <v>0</v>
      </c>
      <c r="BJ95" s="193">
        <f t="shared" si="82"/>
        <v>0</v>
      </c>
      <c r="BK95" s="192"/>
      <c r="BL95" s="198">
        <f t="shared" si="83"/>
        <v>0</v>
      </c>
      <c r="BM95" s="191">
        <f t="shared" si="94"/>
        <v>0</v>
      </c>
      <c r="BN95" s="192">
        <f t="shared" si="84"/>
        <v>0</v>
      </c>
      <c r="BO95" s="193">
        <f t="shared" si="85"/>
        <v>0</v>
      </c>
      <c r="BP95" s="192">
        <f t="shared" si="86"/>
        <v>0</v>
      </c>
      <c r="BQ95" s="198">
        <f t="shared" si="87"/>
        <v>0</v>
      </c>
      <c r="BR95" s="191">
        <v>0</v>
      </c>
      <c r="BS95" s="192">
        <f>+料飲共通!W94/1000</f>
        <v>0</v>
      </c>
      <c r="BT95" s="193">
        <f t="shared" si="88"/>
        <v>0</v>
      </c>
      <c r="BU95" s="192">
        <v>0</v>
      </c>
      <c r="BV95" s="198">
        <f t="shared" si="89"/>
        <v>0</v>
      </c>
      <c r="BW95" s="191">
        <f t="shared" si="90"/>
        <v>67.998999999999995</v>
      </c>
      <c r="BX95" s="192">
        <f t="shared" si="91"/>
        <v>67.998999999999995</v>
      </c>
      <c r="BY95" s="193">
        <f t="shared" si="50"/>
        <v>0</v>
      </c>
      <c r="BZ95" s="192">
        <f t="shared" si="92"/>
        <v>68</v>
      </c>
      <c r="CA95" s="198">
        <f t="shared" si="93"/>
        <v>-1.0000000000047748E-3</v>
      </c>
    </row>
    <row r="96" spans="1:79" s="83" customFormat="1" ht="22" hidden="1" customHeight="1" outlineLevel="1" thickTop="1" thickBot="1">
      <c r="A96" s="101"/>
      <c r="B96" s="85" t="s">
        <v>175</v>
      </c>
      <c r="C96" s="86"/>
      <c r="D96" s="86"/>
      <c r="E96" s="191">
        <v>0</v>
      </c>
      <c r="F96" s="192">
        <f>+ﾇｰﾍﾞﾙﾌﾟｰｽ!W95/1000</f>
        <v>0</v>
      </c>
      <c r="G96" s="193">
        <f t="shared" si="51"/>
        <v>0</v>
      </c>
      <c r="H96" s="192">
        <v>0</v>
      </c>
      <c r="I96" s="194">
        <f t="shared" si="52"/>
        <v>0</v>
      </c>
      <c r="J96" s="195">
        <v>0</v>
      </c>
      <c r="K96" s="192">
        <f>+ｶﾌｪﾙﾎﾟ!W95/1000</f>
        <v>0</v>
      </c>
      <c r="L96" s="193">
        <f t="shared" si="53"/>
        <v>0</v>
      </c>
      <c r="M96" s="192">
        <v>0</v>
      </c>
      <c r="N96" s="196">
        <f t="shared" si="54"/>
        <v>0</v>
      </c>
      <c r="O96" s="197">
        <v>0</v>
      </c>
      <c r="P96" s="192">
        <f>+ｶﾌｪｾﾚｽﾃ!W95/1000</f>
        <v>0</v>
      </c>
      <c r="Q96" s="193">
        <f t="shared" si="55"/>
        <v>0</v>
      </c>
      <c r="R96" s="192">
        <v>0</v>
      </c>
      <c r="S96" s="194">
        <f t="shared" si="56"/>
        <v>0</v>
      </c>
      <c r="T96" s="191">
        <f t="shared" si="57"/>
        <v>0</v>
      </c>
      <c r="U96" s="192">
        <f t="shared" si="58"/>
        <v>0</v>
      </c>
      <c r="V96" s="193">
        <f t="shared" si="59"/>
        <v>0</v>
      </c>
      <c r="W96" s="192">
        <f t="shared" si="60"/>
        <v>0</v>
      </c>
      <c r="X96" s="198">
        <f t="shared" si="61"/>
        <v>0</v>
      </c>
      <c r="Y96" s="197"/>
      <c r="Z96" s="192"/>
      <c r="AA96" s="193">
        <f t="shared" si="62"/>
        <v>0</v>
      </c>
      <c r="AB96" s="192">
        <v>0</v>
      </c>
      <c r="AC96" s="196">
        <f t="shared" si="63"/>
        <v>0</v>
      </c>
      <c r="AD96" s="197">
        <v>0</v>
      </c>
      <c r="AE96" s="192">
        <f>+ｼﾞｭｴﾙｽﾞ!W95/1000</f>
        <v>0</v>
      </c>
      <c r="AF96" s="193">
        <f t="shared" si="64"/>
        <v>0</v>
      </c>
      <c r="AG96" s="192">
        <v>0</v>
      </c>
      <c r="AH96" s="198">
        <f t="shared" si="65"/>
        <v>0</v>
      </c>
      <c r="AI96" s="191">
        <f t="shared" si="66"/>
        <v>0</v>
      </c>
      <c r="AJ96" s="192">
        <f t="shared" si="67"/>
        <v>0</v>
      </c>
      <c r="AK96" s="193">
        <f t="shared" si="68"/>
        <v>0</v>
      </c>
      <c r="AL96" s="192">
        <f t="shared" si="69"/>
        <v>0</v>
      </c>
      <c r="AM96" s="198">
        <f t="shared" si="70"/>
        <v>0</v>
      </c>
      <c r="AN96" s="191">
        <v>0</v>
      </c>
      <c r="AO96" s="192">
        <f>+ｶﾞｰﾃﾞﾝ!W95/1000</f>
        <v>0</v>
      </c>
      <c r="AP96" s="193">
        <f t="shared" si="71"/>
        <v>0</v>
      </c>
      <c r="AQ96" s="192">
        <v>0</v>
      </c>
      <c r="AR96" s="194">
        <f t="shared" si="72"/>
        <v>0</v>
      </c>
      <c r="AS96" s="195">
        <v>0</v>
      </c>
      <c r="AT96" s="192">
        <f>+ﾋﾞｱｶﾞｰﾃﾞﾝ!W95/1000</f>
        <v>0</v>
      </c>
      <c r="AU96" s="193">
        <f t="shared" si="73"/>
        <v>0</v>
      </c>
      <c r="AV96" s="192">
        <v>0</v>
      </c>
      <c r="AW96" s="198">
        <f t="shared" si="74"/>
        <v>0</v>
      </c>
      <c r="AX96" s="191">
        <f t="shared" si="75"/>
        <v>0</v>
      </c>
      <c r="AY96" s="192">
        <f t="shared" si="76"/>
        <v>0</v>
      </c>
      <c r="AZ96" s="193">
        <f t="shared" si="77"/>
        <v>0</v>
      </c>
      <c r="BA96" s="192">
        <f t="shared" si="78"/>
        <v>0</v>
      </c>
      <c r="BB96" s="198">
        <f t="shared" si="79"/>
        <v>0</v>
      </c>
      <c r="BC96" s="191">
        <v>0</v>
      </c>
      <c r="BD96" s="192">
        <f>+ブリック!W95/1000</f>
        <v>0</v>
      </c>
      <c r="BE96" s="193">
        <f t="shared" si="80"/>
        <v>0</v>
      </c>
      <c r="BF96" s="192"/>
      <c r="BG96" s="194">
        <f t="shared" si="81"/>
        <v>0</v>
      </c>
      <c r="BH96" s="195">
        <v>0</v>
      </c>
      <c r="BI96" s="192">
        <f>+ルスツ羊蹄ぶた!W95/1000</f>
        <v>0</v>
      </c>
      <c r="BJ96" s="193">
        <f t="shared" si="82"/>
        <v>0</v>
      </c>
      <c r="BK96" s="192"/>
      <c r="BL96" s="198">
        <f t="shared" si="83"/>
        <v>0</v>
      </c>
      <c r="BM96" s="191">
        <f t="shared" si="94"/>
        <v>0</v>
      </c>
      <c r="BN96" s="192">
        <f t="shared" si="84"/>
        <v>0</v>
      </c>
      <c r="BO96" s="193">
        <f t="shared" si="85"/>
        <v>0</v>
      </c>
      <c r="BP96" s="192">
        <f t="shared" si="86"/>
        <v>0</v>
      </c>
      <c r="BQ96" s="198">
        <f t="shared" si="87"/>
        <v>0</v>
      </c>
      <c r="BR96" s="191">
        <v>0</v>
      </c>
      <c r="BS96" s="192">
        <f>+料飲共通!W95/1000</f>
        <v>0</v>
      </c>
      <c r="BT96" s="193">
        <f t="shared" si="88"/>
        <v>0</v>
      </c>
      <c r="BU96" s="192">
        <v>0</v>
      </c>
      <c r="BV96" s="198">
        <f t="shared" si="89"/>
        <v>0</v>
      </c>
      <c r="BW96" s="191">
        <f t="shared" si="90"/>
        <v>0</v>
      </c>
      <c r="BX96" s="192">
        <f t="shared" si="91"/>
        <v>0</v>
      </c>
      <c r="BY96" s="193">
        <f t="shared" si="50"/>
        <v>0</v>
      </c>
      <c r="BZ96" s="192">
        <f t="shared" si="92"/>
        <v>0</v>
      </c>
      <c r="CA96" s="198">
        <f t="shared" si="93"/>
        <v>0</v>
      </c>
    </row>
    <row r="97" spans="1:79" s="83" customFormat="1" ht="22" hidden="1" customHeight="1" outlineLevel="1" thickTop="1" thickBot="1">
      <c r="A97" s="101"/>
      <c r="B97" s="85" t="s">
        <v>177</v>
      </c>
      <c r="C97" s="86"/>
      <c r="D97" s="86"/>
      <c r="E97" s="191">
        <v>0</v>
      </c>
      <c r="F97" s="192">
        <f>+ﾇｰﾍﾞﾙﾌﾟｰｽ!W96/1000</f>
        <v>0</v>
      </c>
      <c r="G97" s="193">
        <f t="shared" si="51"/>
        <v>0</v>
      </c>
      <c r="H97" s="192">
        <v>0</v>
      </c>
      <c r="I97" s="194">
        <f t="shared" si="52"/>
        <v>0</v>
      </c>
      <c r="J97" s="195">
        <v>0</v>
      </c>
      <c r="K97" s="192">
        <f>+ｶﾌｪﾙﾎﾟ!W96/1000</f>
        <v>0</v>
      </c>
      <c r="L97" s="193">
        <f t="shared" si="53"/>
        <v>0</v>
      </c>
      <c r="M97" s="192">
        <v>0</v>
      </c>
      <c r="N97" s="196">
        <f t="shared" si="54"/>
        <v>0</v>
      </c>
      <c r="O97" s="197">
        <v>0</v>
      </c>
      <c r="P97" s="192">
        <f>+ｶﾌｪｾﾚｽﾃ!W96/1000</f>
        <v>0</v>
      </c>
      <c r="Q97" s="193">
        <f t="shared" si="55"/>
        <v>0</v>
      </c>
      <c r="R97" s="192">
        <v>0</v>
      </c>
      <c r="S97" s="194">
        <f t="shared" si="56"/>
        <v>0</v>
      </c>
      <c r="T97" s="191">
        <f t="shared" si="57"/>
        <v>0</v>
      </c>
      <c r="U97" s="192">
        <f t="shared" si="58"/>
        <v>0</v>
      </c>
      <c r="V97" s="193">
        <f t="shared" si="59"/>
        <v>0</v>
      </c>
      <c r="W97" s="192">
        <f t="shared" si="60"/>
        <v>0</v>
      </c>
      <c r="X97" s="198">
        <f t="shared" si="61"/>
        <v>0</v>
      </c>
      <c r="Y97" s="197"/>
      <c r="Z97" s="192"/>
      <c r="AA97" s="193">
        <f t="shared" si="62"/>
        <v>0</v>
      </c>
      <c r="AB97" s="192">
        <v>0</v>
      </c>
      <c r="AC97" s="196">
        <f t="shared" si="63"/>
        <v>0</v>
      </c>
      <c r="AD97" s="197">
        <v>0</v>
      </c>
      <c r="AE97" s="192">
        <f>+ｼﾞｭｴﾙｽﾞ!W96/1000</f>
        <v>0</v>
      </c>
      <c r="AF97" s="193">
        <f t="shared" si="64"/>
        <v>0</v>
      </c>
      <c r="AG97" s="192">
        <v>0</v>
      </c>
      <c r="AH97" s="198">
        <f t="shared" si="65"/>
        <v>0</v>
      </c>
      <c r="AI97" s="191">
        <f t="shared" si="66"/>
        <v>0</v>
      </c>
      <c r="AJ97" s="192">
        <f t="shared" si="67"/>
        <v>0</v>
      </c>
      <c r="AK97" s="193">
        <f t="shared" si="68"/>
        <v>0</v>
      </c>
      <c r="AL97" s="192">
        <f t="shared" si="69"/>
        <v>0</v>
      </c>
      <c r="AM97" s="198">
        <f t="shared" si="70"/>
        <v>0</v>
      </c>
      <c r="AN97" s="191">
        <v>0</v>
      </c>
      <c r="AO97" s="192">
        <f>+ｶﾞｰﾃﾞﾝ!W96/1000</f>
        <v>0</v>
      </c>
      <c r="AP97" s="193">
        <f t="shared" si="71"/>
        <v>0</v>
      </c>
      <c r="AQ97" s="192">
        <v>0</v>
      </c>
      <c r="AR97" s="194">
        <f t="shared" si="72"/>
        <v>0</v>
      </c>
      <c r="AS97" s="195">
        <v>0</v>
      </c>
      <c r="AT97" s="192">
        <f>+ﾋﾞｱｶﾞｰﾃﾞﾝ!W96/1000</f>
        <v>0</v>
      </c>
      <c r="AU97" s="193">
        <f t="shared" si="73"/>
        <v>0</v>
      </c>
      <c r="AV97" s="192">
        <v>0</v>
      </c>
      <c r="AW97" s="198">
        <f t="shared" si="74"/>
        <v>0</v>
      </c>
      <c r="AX97" s="191">
        <f t="shared" si="75"/>
        <v>0</v>
      </c>
      <c r="AY97" s="192">
        <f t="shared" si="76"/>
        <v>0</v>
      </c>
      <c r="AZ97" s="193">
        <f t="shared" si="77"/>
        <v>0</v>
      </c>
      <c r="BA97" s="192">
        <f t="shared" si="78"/>
        <v>0</v>
      </c>
      <c r="BB97" s="198">
        <f t="shared" si="79"/>
        <v>0</v>
      </c>
      <c r="BC97" s="191">
        <v>0</v>
      </c>
      <c r="BD97" s="192">
        <f>+ブリック!W96/1000</f>
        <v>0</v>
      </c>
      <c r="BE97" s="193">
        <f t="shared" si="80"/>
        <v>0</v>
      </c>
      <c r="BF97" s="192"/>
      <c r="BG97" s="194">
        <f t="shared" si="81"/>
        <v>0</v>
      </c>
      <c r="BH97" s="195">
        <v>0</v>
      </c>
      <c r="BI97" s="192">
        <f>+ルスツ羊蹄ぶた!W96/1000</f>
        <v>0</v>
      </c>
      <c r="BJ97" s="193">
        <f t="shared" si="82"/>
        <v>0</v>
      </c>
      <c r="BK97" s="192"/>
      <c r="BL97" s="198">
        <f t="shared" si="83"/>
        <v>0</v>
      </c>
      <c r="BM97" s="191">
        <f t="shared" si="94"/>
        <v>0</v>
      </c>
      <c r="BN97" s="192">
        <f t="shared" si="84"/>
        <v>0</v>
      </c>
      <c r="BO97" s="193">
        <f t="shared" si="85"/>
        <v>0</v>
      </c>
      <c r="BP97" s="192">
        <f t="shared" si="86"/>
        <v>0</v>
      </c>
      <c r="BQ97" s="198">
        <f t="shared" si="87"/>
        <v>0</v>
      </c>
      <c r="BR97" s="191">
        <v>0</v>
      </c>
      <c r="BS97" s="192">
        <f>+料飲共通!W96/1000</f>
        <v>0</v>
      </c>
      <c r="BT97" s="193">
        <f t="shared" si="88"/>
        <v>0</v>
      </c>
      <c r="BU97" s="192">
        <v>0</v>
      </c>
      <c r="BV97" s="198">
        <f t="shared" si="89"/>
        <v>0</v>
      </c>
      <c r="BW97" s="191">
        <f t="shared" si="90"/>
        <v>0</v>
      </c>
      <c r="BX97" s="192">
        <f t="shared" si="91"/>
        <v>0</v>
      </c>
      <c r="BY97" s="193">
        <f t="shared" si="50"/>
        <v>0</v>
      </c>
      <c r="BZ97" s="192">
        <f t="shared" si="92"/>
        <v>0</v>
      </c>
      <c r="CA97" s="198">
        <f t="shared" si="93"/>
        <v>0</v>
      </c>
    </row>
    <row r="98" spans="1:79" s="83" customFormat="1" ht="22" customHeight="1" collapsed="1" thickTop="1" thickBot="1">
      <c r="A98" s="103" t="s">
        <v>179</v>
      </c>
      <c r="B98" s="104"/>
      <c r="C98" s="104"/>
      <c r="D98" s="104"/>
      <c r="E98" s="237">
        <v>84301.857980000001</v>
      </c>
      <c r="F98" s="238">
        <f>+ﾇｰﾍﾞﾙﾌﾟｰｽ!W97/1000</f>
        <v>90528.960000000006</v>
      </c>
      <c r="G98" s="238">
        <f t="shared" si="51"/>
        <v>-6227.1020200000057</v>
      </c>
      <c r="H98" s="238">
        <v>82882</v>
      </c>
      <c r="I98" s="239">
        <f t="shared" si="52"/>
        <v>1419.8579800000007</v>
      </c>
      <c r="J98" s="240">
        <v>6405.1620000000003</v>
      </c>
      <c r="K98" s="238">
        <f>+ｶﾌｪﾙﾎﾟ!W97/1000</f>
        <v>9591.4879999999994</v>
      </c>
      <c r="L98" s="238">
        <f t="shared" si="53"/>
        <v>-3186.3259999999991</v>
      </c>
      <c r="M98" s="238">
        <v>6782</v>
      </c>
      <c r="N98" s="241">
        <f t="shared" si="54"/>
        <v>-376.83799999999974</v>
      </c>
      <c r="O98" s="239">
        <v>4993.9669999999996</v>
      </c>
      <c r="P98" s="238">
        <f>+ｶﾌｪｾﾚｽﾃ!W97/1000</f>
        <v>2132.395</v>
      </c>
      <c r="Q98" s="238">
        <f t="shared" si="55"/>
        <v>2861.5719999999997</v>
      </c>
      <c r="R98" s="238">
        <v>5378</v>
      </c>
      <c r="S98" s="239">
        <f t="shared" si="56"/>
        <v>-384.03300000000036</v>
      </c>
      <c r="T98" s="237">
        <f t="shared" si="57"/>
        <v>95700.986980000001</v>
      </c>
      <c r="U98" s="238">
        <f t="shared" si="58"/>
        <v>102252.84300000001</v>
      </c>
      <c r="V98" s="238">
        <f t="shared" si="59"/>
        <v>-6551.8560200000065</v>
      </c>
      <c r="W98" s="238">
        <f t="shared" si="60"/>
        <v>95042</v>
      </c>
      <c r="X98" s="242">
        <f t="shared" si="61"/>
        <v>658.98698000000149</v>
      </c>
      <c r="Y98" s="239"/>
      <c r="Z98" s="238"/>
      <c r="AA98" s="238">
        <f t="shared" si="62"/>
        <v>0</v>
      </c>
      <c r="AB98" s="238">
        <v>6973</v>
      </c>
      <c r="AC98" s="241">
        <f t="shared" si="63"/>
        <v>-6973</v>
      </c>
      <c r="AD98" s="239">
        <v>93090.879419999997</v>
      </c>
      <c r="AE98" s="238">
        <f>+ｼﾞｭｴﾙｽﾞ!W97/1000</f>
        <v>83921.240999999995</v>
      </c>
      <c r="AF98" s="238">
        <f t="shared" si="64"/>
        <v>9169.638420000003</v>
      </c>
      <c r="AG98" s="238">
        <v>93887</v>
      </c>
      <c r="AH98" s="242">
        <f t="shared" si="65"/>
        <v>-796.12058000000252</v>
      </c>
      <c r="AI98" s="237">
        <f t="shared" si="66"/>
        <v>93090.879419999997</v>
      </c>
      <c r="AJ98" s="238">
        <f t="shared" si="67"/>
        <v>83921.240999999995</v>
      </c>
      <c r="AK98" s="238">
        <f t="shared" si="68"/>
        <v>9169.638420000003</v>
      </c>
      <c r="AL98" s="238">
        <f t="shared" si="69"/>
        <v>100860</v>
      </c>
      <c r="AM98" s="242">
        <f t="shared" si="70"/>
        <v>-7769.1205800000025</v>
      </c>
      <c r="AN98" s="237">
        <v>102988.39200000001</v>
      </c>
      <c r="AO98" s="238">
        <f>+ｶﾞｰﾃﾞﾝ!W97/1000</f>
        <v>119702.711</v>
      </c>
      <c r="AP98" s="238">
        <f t="shared" si="71"/>
        <v>-16714.318999999989</v>
      </c>
      <c r="AQ98" s="238">
        <v>124711</v>
      </c>
      <c r="AR98" s="239">
        <f t="shared" si="72"/>
        <v>-21722.607999999993</v>
      </c>
      <c r="AS98" s="240">
        <v>89563.119371999986</v>
      </c>
      <c r="AT98" s="238">
        <f>+ﾋﾞｱｶﾞｰﾃﾞﾝ!W97/1000</f>
        <v>80307.406000000003</v>
      </c>
      <c r="AU98" s="238">
        <f t="shared" si="73"/>
        <v>9255.7133719999838</v>
      </c>
      <c r="AV98" s="238">
        <v>81573</v>
      </c>
      <c r="AW98" s="242">
        <f t="shared" si="74"/>
        <v>7990.1193719999865</v>
      </c>
      <c r="AX98" s="237">
        <f t="shared" si="75"/>
        <v>192551.51137199998</v>
      </c>
      <c r="AY98" s="238">
        <f t="shared" si="76"/>
        <v>200010.117</v>
      </c>
      <c r="AZ98" s="238">
        <f t="shared" si="77"/>
        <v>-7458.6056280000194</v>
      </c>
      <c r="BA98" s="238">
        <f t="shared" si="78"/>
        <v>206284</v>
      </c>
      <c r="BB98" s="242">
        <f t="shared" si="79"/>
        <v>-13732.488628000021</v>
      </c>
      <c r="BC98" s="237">
        <v>51986.062600439196</v>
      </c>
      <c r="BD98" s="238">
        <f>+ブリック!W97/1000</f>
        <v>76835.921000000002</v>
      </c>
      <c r="BE98" s="238">
        <f t="shared" si="80"/>
        <v>-24849.858399560806</v>
      </c>
      <c r="BF98" s="238"/>
      <c r="BG98" s="239">
        <f t="shared" si="81"/>
        <v>51986.062600439196</v>
      </c>
      <c r="BH98" s="240">
        <v>29406.633009145487</v>
      </c>
      <c r="BI98" s="238">
        <f>+ルスツ羊蹄ぶた!W97/1000</f>
        <v>21243.06</v>
      </c>
      <c r="BJ98" s="238">
        <f t="shared" si="82"/>
        <v>8163.5730091454861</v>
      </c>
      <c r="BK98" s="238"/>
      <c r="BL98" s="242">
        <f t="shared" si="83"/>
        <v>29406.633009145487</v>
      </c>
      <c r="BM98" s="237">
        <f t="shared" si="94"/>
        <v>81392.695609584684</v>
      </c>
      <c r="BN98" s="238">
        <f t="shared" si="84"/>
        <v>98078.981</v>
      </c>
      <c r="BO98" s="238">
        <f t="shared" si="85"/>
        <v>-16686.285390415316</v>
      </c>
      <c r="BP98" s="238">
        <f t="shared" si="86"/>
        <v>0</v>
      </c>
      <c r="BQ98" s="242">
        <f t="shared" si="87"/>
        <v>81392.695609584684</v>
      </c>
      <c r="BR98" s="237">
        <v>28024.132448</v>
      </c>
      <c r="BS98" s="238">
        <f>+料飲共通!W97/1000</f>
        <v>49327.927000000003</v>
      </c>
      <c r="BT98" s="238">
        <f t="shared" si="88"/>
        <v>-21303.794552000003</v>
      </c>
      <c r="BU98" s="238">
        <v>33646</v>
      </c>
      <c r="BV98" s="242">
        <f t="shared" si="89"/>
        <v>-5621.8675519999997</v>
      </c>
      <c r="BW98" s="237">
        <f t="shared" si="90"/>
        <v>490760.20582958468</v>
      </c>
      <c r="BX98" s="238">
        <f t="shared" si="91"/>
        <v>533591.10900000005</v>
      </c>
      <c r="BY98" s="238">
        <f t="shared" si="50"/>
        <v>-42830.903170415375</v>
      </c>
      <c r="BZ98" s="238">
        <f t="shared" si="92"/>
        <v>435832</v>
      </c>
      <c r="CA98" s="242">
        <f t="shared" si="93"/>
        <v>54928.20582958468</v>
      </c>
    </row>
    <row r="99" spans="1:79" s="83" customFormat="1" ht="22" customHeight="1" thickBot="1">
      <c r="A99" s="105" t="s">
        <v>181</v>
      </c>
      <c r="B99" s="106"/>
      <c r="C99" s="106"/>
      <c r="D99" s="106"/>
      <c r="E99" s="243">
        <v>-14568.142980000001</v>
      </c>
      <c r="F99" s="244">
        <f>+ﾇｰﾍﾞﾙﾌﾟｰｽ!W98/1000</f>
        <v>-18436.172939999997</v>
      </c>
      <c r="G99" s="244">
        <f t="shared" si="51"/>
        <v>3868.0299599999962</v>
      </c>
      <c r="H99" s="244">
        <v>-10011</v>
      </c>
      <c r="I99" s="245">
        <f t="shared" si="52"/>
        <v>-4557.1429800000005</v>
      </c>
      <c r="J99" s="246">
        <v>-140.93604000000028</v>
      </c>
      <c r="K99" s="244">
        <f>+ｶﾌｪﾙﾎﾟ!W98/1000</f>
        <v>-9054.9904000000006</v>
      </c>
      <c r="L99" s="244">
        <f t="shared" si="53"/>
        <v>8914.0543600000001</v>
      </c>
      <c r="M99" s="244">
        <v>-976</v>
      </c>
      <c r="N99" s="247">
        <f t="shared" si="54"/>
        <v>835.06395999999972</v>
      </c>
      <c r="O99" s="245">
        <v>8662.0879999999997</v>
      </c>
      <c r="P99" s="244">
        <f>+ｶﾌｪｾﾚｽﾃ!W98/1000</f>
        <v>11882.841560000001</v>
      </c>
      <c r="Q99" s="244">
        <f t="shared" si="55"/>
        <v>-3220.753560000001</v>
      </c>
      <c r="R99" s="244">
        <v>8033</v>
      </c>
      <c r="S99" s="245">
        <f t="shared" si="56"/>
        <v>629.08799999999974</v>
      </c>
      <c r="T99" s="243">
        <f t="shared" si="57"/>
        <v>-6046.9910200000013</v>
      </c>
      <c r="U99" s="244">
        <f t="shared" si="58"/>
        <v>-15608.321779999998</v>
      </c>
      <c r="V99" s="244">
        <f t="shared" si="59"/>
        <v>9561.3307599999971</v>
      </c>
      <c r="W99" s="244">
        <f t="shared" si="60"/>
        <v>-2954</v>
      </c>
      <c r="X99" s="248">
        <f t="shared" si="61"/>
        <v>-3092.9910200000013</v>
      </c>
      <c r="Y99" s="245"/>
      <c r="Z99" s="244"/>
      <c r="AA99" s="244">
        <f t="shared" si="62"/>
        <v>0</v>
      </c>
      <c r="AB99" s="244">
        <v>16373</v>
      </c>
      <c r="AC99" s="247">
        <f t="shared" si="63"/>
        <v>-16373</v>
      </c>
      <c r="AD99" s="245">
        <v>23985.671355000006</v>
      </c>
      <c r="AE99" s="244">
        <f>+ｼﾞｭｴﾙｽﾞ!W98/1000</f>
        <v>32575.998712500001</v>
      </c>
      <c r="AF99" s="244">
        <f t="shared" si="64"/>
        <v>-8590.3273574999948</v>
      </c>
      <c r="AG99" s="244">
        <v>21352</v>
      </c>
      <c r="AH99" s="248">
        <f t="shared" si="65"/>
        <v>2633.6713550000059</v>
      </c>
      <c r="AI99" s="243">
        <f t="shared" si="66"/>
        <v>23985.671355000006</v>
      </c>
      <c r="AJ99" s="244">
        <f t="shared" si="67"/>
        <v>32575.998712500001</v>
      </c>
      <c r="AK99" s="244">
        <f t="shared" si="68"/>
        <v>-8590.3273574999948</v>
      </c>
      <c r="AL99" s="244">
        <f t="shared" si="69"/>
        <v>37725</v>
      </c>
      <c r="AM99" s="248">
        <f t="shared" si="70"/>
        <v>-13739.328644999994</v>
      </c>
      <c r="AN99" s="243">
        <v>-8621.8033200000209</v>
      </c>
      <c r="AO99" s="244">
        <f>+ｶﾞｰﾃﾞﾝ!W98/1000</f>
        <v>-17807.01641</v>
      </c>
      <c r="AP99" s="244">
        <f t="shared" si="71"/>
        <v>9185.2130899999793</v>
      </c>
      <c r="AQ99" s="244">
        <v>-30887</v>
      </c>
      <c r="AR99" s="245">
        <f t="shared" si="72"/>
        <v>22265.196679999979</v>
      </c>
      <c r="AS99" s="246">
        <v>15800.808955500019</v>
      </c>
      <c r="AT99" s="244">
        <f>+ﾋﾞｱｶﾞｰﾃﾞﾝ!W98/1000</f>
        <v>37383.982000000004</v>
      </c>
      <c r="AU99" s="244">
        <f t="shared" si="73"/>
        <v>-21583.173044499985</v>
      </c>
      <c r="AV99" s="244">
        <v>14540</v>
      </c>
      <c r="AW99" s="248">
        <f t="shared" si="74"/>
        <v>1260.8089555000188</v>
      </c>
      <c r="AX99" s="243">
        <f t="shared" si="75"/>
        <v>7179.0056354999979</v>
      </c>
      <c r="AY99" s="244">
        <f t="shared" si="76"/>
        <v>19576.965590000003</v>
      </c>
      <c r="AZ99" s="244">
        <f t="shared" si="77"/>
        <v>-12397.959954500006</v>
      </c>
      <c r="BA99" s="244">
        <f t="shared" si="78"/>
        <v>-16347</v>
      </c>
      <c r="BB99" s="248">
        <f t="shared" si="79"/>
        <v>23526.005635499998</v>
      </c>
      <c r="BC99" s="243">
        <v>1900.5973995608074</v>
      </c>
      <c r="BD99" s="244">
        <f>+ブリック!W98/1000</f>
        <v>-39628.608110000001</v>
      </c>
      <c r="BE99" s="244">
        <f t="shared" si="80"/>
        <v>41529.205509560808</v>
      </c>
      <c r="BF99" s="244"/>
      <c r="BG99" s="245">
        <f t="shared" si="81"/>
        <v>1900.5973995608074</v>
      </c>
      <c r="BH99" s="246">
        <v>3289.9269908545139</v>
      </c>
      <c r="BI99" s="244">
        <f>+ルスツ羊蹄ぶた!W98/1000</f>
        <v>413.9471400000001</v>
      </c>
      <c r="BJ99" s="244">
        <f t="shared" si="82"/>
        <v>2875.9798508545136</v>
      </c>
      <c r="BK99" s="244"/>
      <c r="BL99" s="248">
        <f t="shared" si="83"/>
        <v>3289.9269908545139</v>
      </c>
      <c r="BM99" s="243">
        <f t="shared" si="94"/>
        <v>5190.5243904153212</v>
      </c>
      <c r="BN99" s="244">
        <f t="shared" si="84"/>
        <v>-39214.660970000004</v>
      </c>
      <c r="BO99" s="244">
        <f t="shared" si="85"/>
        <v>44405.185360415329</v>
      </c>
      <c r="BP99" s="244">
        <f t="shared" si="86"/>
        <v>0</v>
      </c>
      <c r="BQ99" s="248">
        <f t="shared" si="87"/>
        <v>5190.5243904153212</v>
      </c>
      <c r="BR99" s="243">
        <v>-28024.132448</v>
      </c>
      <c r="BS99" s="244">
        <f>+料飲共通!W98/1000</f>
        <v>-49327.927000000003</v>
      </c>
      <c r="BT99" s="244">
        <f t="shared" si="88"/>
        <v>21303.794552000003</v>
      </c>
      <c r="BU99" s="244">
        <v>-33646</v>
      </c>
      <c r="BV99" s="248">
        <f t="shared" si="89"/>
        <v>5621.8675519999997</v>
      </c>
      <c r="BW99" s="243">
        <f t="shared" si="90"/>
        <v>2284.0779129153234</v>
      </c>
      <c r="BX99" s="244">
        <f t="shared" si="91"/>
        <v>-51997.945447500002</v>
      </c>
      <c r="BY99" s="244">
        <f t="shared" si="50"/>
        <v>54282.023360415325</v>
      </c>
      <c r="BZ99" s="244">
        <f t="shared" si="92"/>
        <v>-15222</v>
      </c>
      <c r="CA99" s="248">
        <f t="shared" si="93"/>
        <v>17506.077912915323</v>
      </c>
    </row>
    <row r="100" spans="1:79" s="83" customFormat="1" ht="22" customHeight="1">
      <c r="A100" s="107" t="s">
        <v>183</v>
      </c>
      <c r="B100" s="108"/>
      <c r="C100" s="108"/>
      <c r="D100" s="108"/>
      <c r="E100" s="249">
        <v>85.542000000000002</v>
      </c>
      <c r="F100" s="250">
        <f>+ﾇｰﾍﾞﾙﾌﾟｰｽ!W99/1000</f>
        <v>66.888000000000005</v>
      </c>
      <c r="G100" s="251">
        <f t="shared" si="51"/>
        <v>18.653999999999996</v>
      </c>
      <c r="H100" s="250">
        <v>321</v>
      </c>
      <c r="I100" s="252">
        <f t="shared" si="52"/>
        <v>-235.458</v>
      </c>
      <c r="J100" s="253">
        <v>0</v>
      </c>
      <c r="K100" s="250">
        <f>+ｶﾌｪﾙﾎﾟ!W99/1000</f>
        <v>17.728000000000002</v>
      </c>
      <c r="L100" s="251">
        <f t="shared" si="53"/>
        <v>-17.728000000000002</v>
      </c>
      <c r="M100" s="250">
        <v>1</v>
      </c>
      <c r="N100" s="254">
        <f t="shared" si="54"/>
        <v>-1</v>
      </c>
      <c r="O100" s="255">
        <v>0</v>
      </c>
      <c r="P100" s="250">
        <f>+ｶﾌｪｾﾚｽﾃ!W99/1000</f>
        <v>0</v>
      </c>
      <c r="Q100" s="251">
        <f t="shared" si="55"/>
        <v>0</v>
      </c>
      <c r="R100" s="250">
        <v>0</v>
      </c>
      <c r="S100" s="252">
        <f t="shared" si="56"/>
        <v>0</v>
      </c>
      <c r="T100" s="249">
        <f t="shared" si="57"/>
        <v>85.542000000000002</v>
      </c>
      <c r="U100" s="250">
        <f t="shared" si="58"/>
        <v>84.616000000000014</v>
      </c>
      <c r="V100" s="251">
        <f t="shared" si="59"/>
        <v>0.92599999999998772</v>
      </c>
      <c r="W100" s="250">
        <f t="shared" si="60"/>
        <v>322</v>
      </c>
      <c r="X100" s="256">
        <f t="shared" si="61"/>
        <v>-236.458</v>
      </c>
      <c r="Y100" s="255"/>
      <c r="Z100" s="250"/>
      <c r="AA100" s="251">
        <f t="shared" si="62"/>
        <v>0</v>
      </c>
      <c r="AB100" s="250">
        <v>0</v>
      </c>
      <c r="AC100" s="254">
        <f t="shared" si="63"/>
        <v>0</v>
      </c>
      <c r="AD100" s="255">
        <v>480.93</v>
      </c>
      <c r="AE100" s="250">
        <f>+ｼﾞｭｴﾙｽﾞ!W99/1000</f>
        <v>0.39100000000000001</v>
      </c>
      <c r="AF100" s="251">
        <f t="shared" si="64"/>
        <v>480.53899999999999</v>
      </c>
      <c r="AG100" s="250">
        <v>209</v>
      </c>
      <c r="AH100" s="256">
        <f t="shared" si="65"/>
        <v>271.93</v>
      </c>
      <c r="AI100" s="249">
        <f t="shared" si="66"/>
        <v>480.93</v>
      </c>
      <c r="AJ100" s="250">
        <f t="shared" si="67"/>
        <v>0.39100000000000001</v>
      </c>
      <c r="AK100" s="251">
        <f t="shared" si="68"/>
        <v>480.53899999999999</v>
      </c>
      <c r="AL100" s="250">
        <f t="shared" si="69"/>
        <v>209</v>
      </c>
      <c r="AM100" s="256">
        <f t="shared" si="70"/>
        <v>271.93</v>
      </c>
      <c r="AN100" s="249">
        <v>41.814</v>
      </c>
      <c r="AO100" s="250">
        <f>+ｶﾞｰﾃﾞﾝ!W99/1000</f>
        <v>12.090999999999999</v>
      </c>
      <c r="AP100" s="251">
        <f t="shared" si="71"/>
        <v>29.722999999999999</v>
      </c>
      <c r="AQ100" s="250">
        <v>106</v>
      </c>
      <c r="AR100" s="252">
        <f t="shared" si="72"/>
        <v>-64.186000000000007</v>
      </c>
      <c r="AS100" s="253">
        <v>0</v>
      </c>
      <c r="AT100" s="250">
        <f>+ﾋﾞｱｶﾞｰﾃﾞﾝ!W99/1000</f>
        <v>200</v>
      </c>
      <c r="AU100" s="251">
        <f t="shared" si="73"/>
        <v>-200</v>
      </c>
      <c r="AV100" s="250">
        <v>1409</v>
      </c>
      <c r="AW100" s="256">
        <f t="shared" si="74"/>
        <v>-1409</v>
      </c>
      <c r="AX100" s="249">
        <f t="shared" si="75"/>
        <v>41.814</v>
      </c>
      <c r="AY100" s="250">
        <f t="shared" si="76"/>
        <v>212.09100000000001</v>
      </c>
      <c r="AZ100" s="251">
        <f t="shared" si="77"/>
        <v>-170.27700000000002</v>
      </c>
      <c r="BA100" s="250">
        <f t="shared" si="78"/>
        <v>1515</v>
      </c>
      <c r="BB100" s="256">
        <f t="shared" si="79"/>
        <v>-1473.1859999999999</v>
      </c>
      <c r="BC100" s="249">
        <v>0</v>
      </c>
      <c r="BD100" s="250">
        <f>+ブリック!W99/1000</f>
        <v>0</v>
      </c>
      <c r="BE100" s="251">
        <f t="shared" si="80"/>
        <v>0</v>
      </c>
      <c r="BF100" s="250"/>
      <c r="BG100" s="252">
        <f t="shared" si="81"/>
        <v>0</v>
      </c>
      <c r="BH100" s="253">
        <v>0</v>
      </c>
      <c r="BI100" s="250">
        <f>+ルスツ羊蹄ぶた!W99/1000</f>
        <v>0</v>
      </c>
      <c r="BJ100" s="251">
        <f t="shared" si="82"/>
        <v>0</v>
      </c>
      <c r="BK100" s="250"/>
      <c r="BL100" s="256">
        <f t="shared" si="83"/>
        <v>0</v>
      </c>
      <c r="BM100" s="249">
        <f t="shared" si="94"/>
        <v>0</v>
      </c>
      <c r="BN100" s="250">
        <f t="shared" si="84"/>
        <v>0</v>
      </c>
      <c r="BO100" s="251">
        <f t="shared" si="85"/>
        <v>0</v>
      </c>
      <c r="BP100" s="250">
        <f t="shared" si="86"/>
        <v>0</v>
      </c>
      <c r="BQ100" s="256">
        <f t="shared" si="87"/>
        <v>0</v>
      </c>
      <c r="BR100" s="249">
        <v>15</v>
      </c>
      <c r="BS100" s="250">
        <f>+料飲共通!W99/1000</f>
        <v>90.91</v>
      </c>
      <c r="BT100" s="251">
        <f t="shared" si="88"/>
        <v>-75.91</v>
      </c>
      <c r="BU100" s="250">
        <v>15</v>
      </c>
      <c r="BV100" s="256">
        <f t="shared" si="89"/>
        <v>0</v>
      </c>
      <c r="BW100" s="249">
        <f t="shared" si="90"/>
        <v>623.28599999999994</v>
      </c>
      <c r="BX100" s="250">
        <f t="shared" si="91"/>
        <v>388.00800000000004</v>
      </c>
      <c r="BY100" s="251">
        <f t="shared" si="50"/>
        <v>235.27799999999991</v>
      </c>
      <c r="BZ100" s="250">
        <f t="shared" si="92"/>
        <v>2061</v>
      </c>
      <c r="CA100" s="256">
        <f t="shared" si="93"/>
        <v>-1437.7139999999999</v>
      </c>
    </row>
    <row r="101" spans="1:79" s="83" customFormat="1" ht="22" hidden="1" customHeight="1" outlineLevel="1">
      <c r="A101" s="109"/>
      <c r="B101" s="102" t="s">
        <v>185</v>
      </c>
      <c r="C101" s="86"/>
      <c r="D101" s="86"/>
      <c r="E101" s="191">
        <v>0</v>
      </c>
      <c r="F101" s="192">
        <f>+ﾇｰﾍﾞﾙﾌﾟｰｽ!W100/1000</f>
        <v>0</v>
      </c>
      <c r="G101" s="193">
        <f t="shared" si="51"/>
        <v>0</v>
      </c>
      <c r="H101" s="192">
        <v>0</v>
      </c>
      <c r="I101" s="194">
        <f t="shared" si="52"/>
        <v>0</v>
      </c>
      <c r="J101" s="195">
        <v>0</v>
      </c>
      <c r="K101" s="192">
        <f>+ｶﾌｪﾙﾎﾟ!W100/1000</f>
        <v>0</v>
      </c>
      <c r="L101" s="193">
        <f t="shared" si="53"/>
        <v>0</v>
      </c>
      <c r="M101" s="192">
        <v>0</v>
      </c>
      <c r="N101" s="196">
        <f t="shared" si="54"/>
        <v>0</v>
      </c>
      <c r="O101" s="197">
        <v>0</v>
      </c>
      <c r="P101" s="192">
        <f>+ｶﾌｪｾﾚｽﾃ!W100/1000</f>
        <v>0</v>
      </c>
      <c r="Q101" s="193">
        <f t="shared" si="55"/>
        <v>0</v>
      </c>
      <c r="R101" s="192">
        <v>0</v>
      </c>
      <c r="S101" s="194">
        <f t="shared" si="56"/>
        <v>0</v>
      </c>
      <c r="T101" s="191">
        <f t="shared" si="57"/>
        <v>0</v>
      </c>
      <c r="U101" s="192">
        <f t="shared" si="58"/>
        <v>0</v>
      </c>
      <c r="V101" s="193">
        <f t="shared" si="59"/>
        <v>0</v>
      </c>
      <c r="W101" s="192">
        <f t="shared" si="60"/>
        <v>0</v>
      </c>
      <c r="X101" s="198">
        <f t="shared" si="61"/>
        <v>0</v>
      </c>
      <c r="Y101" s="197"/>
      <c r="Z101" s="192"/>
      <c r="AA101" s="193">
        <f t="shared" si="62"/>
        <v>0</v>
      </c>
      <c r="AB101" s="192">
        <v>0</v>
      </c>
      <c r="AC101" s="196">
        <f t="shared" si="63"/>
        <v>0</v>
      </c>
      <c r="AD101" s="197">
        <v>0</v>
      </c>
      <c r="AE101" s="192">
        <f>+ｼﾞｭｴﾙｽﾞ!W100/1000</f>
        <v>0</v>
      </c>
      <c r="AF101" s="193">
        <f t="shared" si="64"/>
        <v>0</v>
      </c>
      <c r="AG101" s="192">
        <v>0</v>
      </c>
      <c r="AH101" s="198">
        <f t="shared" si="65"/>
        <v>0</v>
      </c>
      <c r="AI101" s="191">
        <f t="shared" si="66"/>
        <v>0</v>
      </c>
      <c r="AJ101" s="192">
        <f t="shared" si="67"/>
        <v>0</v>
      </c>
      <c r="AK101" s="193">
        <f t="shared" si="68"/>
        <v>0</v>
      </c>
      <c r="AL101" s="192">
        <f t="shared" si="69"/>
        <v>0</v>
      </c>
      <c r="AM101" s="198">
        <f t="shared" si="70"/>
        <v>0</v>
      </c>
      <c r="AN101" s="191">
        <v>0</v>
      </c>
      <c r="AO101" s="192">
        <f>+ｶﾞｰﾃﾞﾝ!W100/1000</f>
        <v>0</v>
      </c>
      <c r="AP101" s="193">
        <f t="shared" si="71"/>
        <v>0</v>
      </c>
      <c r="AQ101" s="192">
        <v>0</v>
      </c>
      <c r="AR101" s="194">
        <f t="shared" si="72"/>
        <v>0</v>
      </c>
      <c r="AS101" s="195">
        <v>0</v>
      </c>
      <c r="AT101" s="192">
        <f>+ﾋﾞｱｶﾞｰﾃﾞﾝ!W100/1000</f>
        <v>0</v>
      </c>
      <c r="AU101" s="193">
        <f t="shared" si="73"/>
        <v>0</v>
      </c>
      <c r="AV101" s="192">
        <v>0</v>
      </c>
      <c r="AW101" s="198">
        <f t="shared" si="74"/>
        <v>0</v>
      </c>
      <c r="AX101" s="191">
        <f t="shared" si="75"/>
        <v>0</v>
      </c>
      <c r="AY101" s="192">
        <f t="shared" si="76"/>
        <v>0</v>
      </c>
      <c r="AZ101" s="193">
        <f t="shared" si="77"/>
        <v>0</v>
      </c>
      <c r="BA101" s="192">
        <f t="shared" si="78"/>
        <v>0</v>
      </c>
      <c r="BB101" s="198">
        <f t="shared" si="79"/>
        <v>0</v>
      </c>
      <c r="BC101" s="191">
        <v>0</v>
      </c>
      <c r="BD101" s="192">
        <f>+ブリック!W100/1000</f>
        <v>0</v>
      </c>
      <c r="BE101" s="193">
        <f t="shared" si="80"/>
        <v>0</v>
      </c>
      <c r="BF101" s="192"/>
      <c r="BG101" s="194">
        <f t="shared" si="81"/>
        <v>0</v>
      </c>
      <c r="BH101" s="195">
        <v>0</v>
      </c>
      <c r="BI101" s="192">
        <f>+ルスツ羊蹄ぶた!W100/1000</f>
        <v>0</v>
      </c>
      <c r="BJ101" s="193">
        <f t="shared" si="82"/>
        <v>0</v>
      </c>
      <c r="BK101" s="192"/>
      <c r="BL101" s="198">
        <f t="shared" si="83"/>
        <v>0</v>
      </c>
      <c r="BM101" s="191">
        <f t="shared" si="94"/>
        <v>0</v>
      </c>
      <c r="BN101" s="192">
        <f t="shared" si="84"/>
        <v>0</v>
      </c>
      <c r="BO101" s="193">
        <f t="shared" si="85"/>
        <v>0</v>
      </c>
      <c r="BP101" s="192">
        <f t="shared" si="86"/>
        <v>0</v>
      </c>
      <c r="BQ101" s="198">
        <f t="shared" si="87"/>
        <v>0</v>
      </c>
      <c r="BR101" s="191">
        <v>0</v>
      </c>
      <c r="BS101" s="192">
        <f>+料飲共通!W100/1000</f>
        <v>0</v>
      </c>
      <c r="BT101" s="193">
        <f t="shared" si="88"/>
        <v>0</v>
      </c>
      <c r="BU101" s="192">
        <v>0</v>
      </c>
      <c r="BV101" s="198">
        <f t="shared" si="89"/>
        <v>0</v>
      </c>
      <c r="BW101" s="191">
        <f t="shared" si="90"/>
        <v>0</v>
      </c>
      <c r="BX101" s="192">
        <f t="shared" si="91"/>
        <v>0</v>
      </c>
      <c r="BY101" s="193">
        <f t="shared" si="50"/>
        <v>0</v>
      </c>
      <c r="BZ101" s="192">
        <f t="shared" si="92"/>
        <v>0</v>
      </c>
      <c r="CA101" s="198">
        <f t="shared" si="93"/>
        <v>0</v>
      </c>
    </row>
    <row r="102" spans="1:79" s="83" customFormat="1" ht="22" hidden="1" customHeight="1" outlineLevel="1" thickBot="1">
      <c r="A102" s="110"/>
      <c r="B102" s="111"/>
      <c r="C102" s="86" t="s">
        <v>187</v>
      </c>
      <c r="D102" s="86"/>
      <c r="E102" s="191">
        <v>0</v>
      </c>
      <c r="F102" s="192">
        <f>+ﾇｰﾍﾞﾙﾌﾟｰｽ!W101/1000</f>
        <v>0</v>
      </c>
      <c r="G102" s="193">
        <f t="shared" si="51"/>
        <v>0</v>
      </c>
      <c r="H102" s="192">
        <v>0</v>
      </c>
      <c r="I102" s="194">
        <f t="shared" si="52"/>
        <v>0</v>
      </c>
      <c r="J102" s="195">
        <v>0</v>
      </c>
      <c r="K102" s="192">
        <f>+ｶﾌｪﾙﾎﾟ!W101/1000</f>
        <v>0</v>
      </c>
      <c r="L102" s="193">
        <f t="shared" si="53"/>
        <v>0</v>
      </c>
      <c r="M102" s="192">
        <v>0</v>
      </c>
      <c r="N102" s="196">
        <f t="shared" si="54"/>
        <v>0</v>
      </c>
      <c r="O102" s="197">
        <v>0</v>
      </c>
      <c r="P102" s="192">
        <f>+ｶﾌｪｾﾚｽﾃ!W101/1000</f>
        <v>0</v>
      </c>
      <c r="Q102" s="193">
        <f t="shared" si="55"/>
        <v>0</v>
      </c>
      <c r="R102" s="192">
        <v>0</v>
      </c>
      <c r="S102" s="194">
        <f t="shared" si="56"/>
        <v>0</v>
      </c>
      <c r="T102" s="191">
        <f t="shared" si="57"/>
        <v>0</v>
      </c>
      <c r="U102" s="192">
        <f t="shared" si="58"/>
        <v>0</v>
      </c>
      <c r="V102" s="193">
        <f t="shared" si="59"/>
        <v>0</v>
      </c>
      <c r="W102" s="192">
        <f t="shared" si="60"/>
        <v>0</v>
      </c>
      <c r="X102" s="198">
        <f t="shared" si="61"/>
        <v>0</v>
      </c>
      <c r="Y102" s="197"/>
      <c r="Z102" s="192"/>
      <c r="AA102" s="193">
        <f t="shared" si="62"/>
        <v>0</v>
      </c>
      <c r="AB102" s="192">
        <v>0</v>
      </c>
      <c r="AC102" s="196">
        <f t="shared" si="63"/>
        <v>0</v>
      </c>
      <c r="AD102" s="197">
        <v>0</v>
      </c>
      <c r="AE102" s="192">
        <f>+ｼﾞｭｴﾙｽﾞ!W101/1000</f>
        <v>0</v>
      </c>
      <c r="AF102" s="193">
        <f t="shared" si="64"/>
        <v>0</v>
      </c>
      <c r="AG102" s="192">
        <v>0</v>
      </c>
      <c r="AH102" s="198">
        <f t="shared" si="65"/>
        <v>0</v>
      </c>
      <c r="AI102" s="191">
        <f t="shared" si="66"/>
        <v>0</v>
      </c>
      <c r="AJ102" s="192">
        <f t="shared" si="67"/>
        <v>0</v>
      </c>
      <c r="AK102" s="193">
        <f t="shared" si="68"/>
        <v>0</v>
      </c>
      <c r="AL102" s="192">
        <f t="shared" si="69"/>
        <v>0</v>
      </c>
      <c r="AM102" s="198">
        <f t="shared" si="70"/>
        <v>0</v>
      </c>
      <c r="AN102" s="191">
        <v>0</v>
      </c>
      <c r="AO102" s="192">
        <f>+ｶﾞｰﾃﾞﾝ!W101/1000</f>
        <v>0</v>
      </c>
      <c r="AP102" s="193">
        <f t="shared" si="71"/>
        <v>0</v>
      </c>
      <c r="AQ102" s="192">
        <v>0</v>
      </c>
      <c r="AR102" s="194">
        <f t="shared" si="72"/>
        <v>0</v>
      </c>
      <c r="AS102" s="195">
        <v>0</v>
      </c>
      <c r="AT102" s="192">
        <f>+ﾋﾞｱｶﾞｰﾃﾞﾝ!W101/1000</f>
        <v>0</v>
      </c>
      <c r="AU102" s="193">
        <f t="shared" si="73"/>
        <v>0</v>
      </c>
      <c r="AV102" s="192">
        <v>0</v>
      </c>
      <c r="AW102" s="198">
        <f t="shared" si="74"/>
        <v>0</v>
      </c>
      <c r="AX102" s="191">
        <f t="shared" si="75"/>
        <v>0</v>
      </c>
      <c r="AY102" s="192">
        <f t="shared" si="76"/>
        <v>0</v>
      </c>
      <c r="AZ102" s="193">
        <f t="shared" si="77"/>
        <v>0</v>
      </c>
      <c r="BA102" s="192">
        <f t="shared" si="78"/>
        <v>0</v>
      </c>
      <c r="BB102" s="198">
        <f t="shared" si="79"/>
        <v>0</v>
      </c>
      <c r="BC102" s="191">
        <v>0</v>
      </c>
      <c r="BD102" s="192">
        <f>+ブリック!W101/1000</f>
        <v>0</v>
      </c>
      <c r="BE102" s="193">
        <f t="shared" si="80"/>
        <v>0</v>
      </c>
      <c r="BF102" s="192"/>
      <c r="BG102" s="194">
        <f t="shared" si="81"/>
        <v>0</v>
      </c>
      <c r="BH102" s="195">
        <v>0</v>
      </c>
      <c r="BI102" s="192">
        <f>+ルスツ羊蹄ぶた!W101/1000</f>
        <v>0</v>
      </c>
      <c r="BJ102" s="193">
        <f t="shared" si="82"/>
        <v>0</v>
      </c>
      <c r="BK102" s="192"/>
      <c r="BL102" s="198">
        <f t="shared" si="83"/>
        <v>0</v>
      </c>
      <c r="BM102" s="191">
        <f t="shared" si="94"/>
        <v>0</v>
      </c>
      <c r="BN102" s="192">
        <f t="shared" si="84"/>
        <v>0</v>
      </c>
      <c r="BO102" s="193">
        <f t="shared" si="85"/>
        <v>0</v>
      </c>
      <c r="BP102" s="192">
        <f t="shared" si="86"/>
        <v>0</v>
      </c>
      <c r="BQ102" s="198">
        <f t="shared" si="87"/>
        <v>0</v>
      </c>
      <c r="BR102" s="191">
        <v>0</v>
      </c>
      <c r="BS102" s="192">
        <f>+料飲共通!W101/1000</f>
        <v>0</v>
      </c>
      <c r="BT102" s="193">
        <f t="shared" si="88"/>
        <v>0</v>
      </c>
      <c r="BU102" s="192">
        <v>0</v>
      </c>
      <c r="BV102" s="198">
        <f t="shared" si="89"/>
        <v>0</v>
      </c>
      <c r="BW102" s="191">
        <f t="shared" si="90"/>
        <v>0</v>
      </c>
      <c r="BX102" s="192">
        <f t="shared" si="91"/>
        <v>0</v>
      </c>
      <c r="BY102" s="193">
        <f t="shared" si="50"/>
        <v>0</v>
      </c>
      <c r="BZ102" s="192">
        <f t="shared" si="92"/>
        <v>0</v>
      </c>
      <c r="CA102" s="198">
        <f t="shared" si="93"/>
        <v>0</v>
      </c>
    </row>
    <row r="103" spans="1:79" s="83" customFormat="1" ht="22" hidden="1" customHeight="1" outlineLevel="1" thickBot="1">
      <c r="A103" s="110"/>
      <c r="B103" s="111"/>
      <c r="C103" s="86" t="s">
        <v>189</v>
      </c>
      <c r="D103" s="86"/>
      <c r="E103" s="191">
        <v>0</v>
      </c>
      <c r="F103" s="192">
        <f>+ﾇｰﾍﾞﾙﾌﾟｰｽ!W102/1000</f>
        <v>0</v>
      </c>
      <c r="G103" s="193">
        <f t="shared" si="51"/>
        <v>0</v>
      </c>
      <c r="H103" s="192">
        <v>0</v>
      </c>
      <c r="I103" s="194">
        <f t="shared" si="52"/>
        <v>0</v>
      </c>
      <c r="J103" s="195">
        <v>0</v>
      </c>
      <c r="K103" s="192">
        <f>+ｶﾌｪﾙﾎﾟ!W102/1000</f>
        <v>0</v>
      </c>
      <c r="L103" s="193">
        <f t="shared" si="53"/>
        <v>0</v>
      </c>
      <c r="M103" s="192">
        <v>0</v>
      </c>
      <c r="N103" s="196">
        <f t="shared" si="54"/>
        <v>0</v>
      </c>
      <c r="O103" s="197">
        <v>0</v>
      </c>
      <c r="P103" s="192">
        <f>+ｶﾌｪｾﾚｽﾃ!W102/1000</f>
        <v>0</v>
      </c>
      <c r="Q103" s="193">
        <f t="shared" si="55"/>
        <v>0</v>
      </c>
      <c r="R103" s="192">
        <v>0</v>
      </c>
      <c r="S103" s="194">
        <f t="shared" si="56"/>
        <v>0</v>
      </c>
      <c r="T103" s="191">
        <f t="shared" si="57"/>
        <v>0</v>
      </c>
      <c r="U103" s="192">
        <f t="shared" si="58"/>
        <v>0</v>
      </c>
      <c r="V103" s="193">
        <f t="shared" si="59"/>
        <v>0</v>
      </c>
      <c r="W103" s="192">
        <f t="shared" si="60"/>
        <v>0</v>
      </c>
      <c r="X103" s="198">
        <f t="shared" si="61"/>
        <v>0</v>
      </c>
      <c r="Y103" s="197"/>
      <c r="Z103" s="192"/>
      <c r="AA103" s="193">
        <f t="shared" si="62"/>
        <v>0</v>
      </c>
      <c r="AB103" s="192">
        <v>0</v>
      </c>
      <c r="AC103" s="196">
        <f t="shared" si="63"/>
        <v>0</v>
      </c>
      <c r="AD103" s="197">
        <v>0</v>
      </c>
      <c r="AE103" s="192">
        <f>+ｼﾞｭｴﾙｽﾞ!W102/1000</f>
        <v>0</v>
      </c>
      <c r="AF103" s="193">
        <f t="shared" si="64"/>
        <v>0</v>
      </c>
      <c r="AG103" s="192">
        <v>0</v>
      </c>
      <c r="AH103" s="198">
        <f t="shared" si="65"/>
        <v>0</v>
      </c>
      <c r="AI103" s="191">
        <f t="shared" si="66"/>
        <v>0</v>
      </c>
      <c r="AJ103" s="192">
        <f t="shared" si="67"/>
        <v>0</v>
      </c>
      <c r="AK103" s="193">
        <f t="shared" si="68"/>
        <v>0</v>
      </c>
      <c r="AL103" s="192">
        <f t="shared" si="69"/>
        <v>0</v>
      </c>
      <c r="AM103" s="198">
        <f t="shared" si="70"/>
        <v>0</v>
      </c>
      <c r="AN103" s="191">
        <v>0</v>
      </c>
      <c r="AO103" s="192">
        <f>+ｶﾞｰﾃﾞﾝ!W102/1000</f>
        <v>0</v>
      </c>
      <c r="AP103" s="193">
        <f t="shared" si="71"/>
        <v>0</v>
      </c>
      <c r="AQ103" s="192">
        <v>0</v>
      </c>
      <c r="AR103" s="194">
        <f t="shared" si="72"/>
        <v>0</v>
      </c>
      <c r="AS103" s="195">
        <v>0</v>
      </c>
      <c r="AT103" s="192">
        <f>+ﾋﾞｱｶﾞｰﾃﾞﾝ!W102/1000</f>
        <v>0</v>
      </c>
      <c r="AU103" s="193">
        <f t="shared" si="73"/>
        <v>0</v>
      </c>
      <c r="AV103" s="192">
        <v>0</v>
      </c>
      <c r="AW103" s="198">
        <f t="shared" si="74"/>
        <v>0</v>
      </c>
      <c r="AX103" s="191">
        <f t="shared" si="75"/>
        <v>0</v>
      </c>
      <c r="AY103" s="192">
        <f t="shared" si="76"/>
        <v>0</v>
      </c>
      <c r="AZ103" s="193">
        <f t="shared" si="77"/>
        <v>0</v>
      </c>
      <c r="BA103" s="192">
        <f t="shared" si="78"/>
        <v>0</v>
      </c>
      <c r="BB103" s="198">
        <f t="shared" si="79"/>
        <v>0</v>
      </c>
      <c r="BC103" s="191">
        <v>0</v>
      </c>
      <c r="BD103" s="192">
        <f>+ブリック!W102/1000</f>
        <v>0</v>
      </c>
      <c r="BE103" s="193">
        <f t="shared" si="80"/>
        <v>0</v>
      </c>
      <c r="BF103" s="192"/>
      <c r="BG103" s="194">
        <f t="shared" si="81"/>
        <v>0</v>
      </c>
      <c r="BH103" s="195">
        <v>0</v>
      </c>
      <c r="BI103" s="192">
        <f>+ルスツ羊蹄ぶた!W102/1000</f>
        <v>0</v>
      </c>
      <c r="BJ103" s="193">
        <f t="shared" si="82"/>
        <v>0</v>
      </c>
      <c r="BK103" s="192"/>
      <c r="BL103" s="198">
        <f t="shared" si="83"/>
        <v>0</v>
      </c>
      <c r="BM103" s="191">
        <f t="shared" si="94"/>
        <v>0</v>
      </c>
      <c r="BN103" s="192">
        <f t="shared" si="84"/>
        <v>0</v>
      </c>
      <c r="BO103" s="193">
        <f t="shared" si="85"/>
        <v>0</v>
      </c>
      <c r="BP103" s="192">
        <f t="shared" si="86"/>
        <v>0</v>
      </c>
      <c r="BQ103" s="198">
        <f t="shared" si="87"/>
        <v>0</v>
      </c>
      <c r="BR103" s="191">
        <v>0</v>
      </c>
      <c r="BS103" s="192">
        <f>+料飲共通!W102/1000</f>
        <v>0</v>
      </c>
      <c r="BT103" s="193">
        <f t="shared" si="88"/>
        <v>0</v>
      </c>
      <c r="BU103" s="192">
        <v>0</v>
      </c>
      <c r="BV103" s="198">
        <f t="shared" si="89"/>
        <v>0</v>
      </c>
      <c r="BW103" s="191">
        <f t="shared" si="90"/>
        <v>0</v>
      </c>
      <c r="BX103" s="192">
        <f t="shared" si="91"/>
        <v>0</v>
      </c>
      <c r="BY103" s="193">
        <f t="shared" si="50"/>
        <v>0</v>
      </c>
      <c r="BZ103" s="192">
        <f t="shared" si="92"/>
        <v>0</v>
      </c>
      <c r="CA103" s="198">
        <f t="shared" si="93"/>
        <v>0</v>
      </c>
    </row>
    <row r="104" spans="1:79" s="83" customFormat="1" ht="22" hidden="1" customHeight="1" outlineLevel="1" thickBot="1">
      <c r="A104" s="110"/>
      <c r="B104" s="111"/>
      <c r="C104" s="86" t="s">
        <v>191</v>
      </c>
      <c r="D104" s="86"/>
      <c r="E104" s="191">
        <v>0</v>
      </c>
      <c r="F104" s="192">
        <f>+ﾇｰﾍﾞﾙﾌﾟｰｽ!W103/1000</f>
        <v>0</v>
      </c>
      <c r="G104" s="193">
        <f t="shared" si="51"/>
        <v>0</v>
      </c>
      <c r="H104" s="192">
        <v>0</v>
      </c>
      <c r="I104" s="194">
        <f t="shared" si="52"/>
        <v>0</v>
      </c>
      <c r="J104" s="195">
        <v>0</v>
      </c>
      <c r="K104" s="192">
        <f>+ｶﾌｪﾙﾎﾟ!W103/1000</f>
        <v>0</v>
      </c>
      <c r="L104" s="193">
        <f t="shared" si="53"/>
        <v>0</v>
      </c>
      <c r="M104" s="192">
        <v>0</v>
      </c>
      <c r="N104" s="196">
        <f t="shared" si="54"/>
        <v>0</v>
      </c>
      <c r="O104" s="197">
        <v>0</v>
      </c>
      <c r="P104" s="192">
        <f>+ｶﾌｪｾﾚｽﾃ!W103/1000</f>
        <v>0</v>
      </c>
      <c r="Q104" s="193">
        <f t="shared" si="55"/>
        <v>0</v>
      </c>
      <c r="R104" s="192">
        <v>0</v>
      </c>
      <c r="S104" s="194">
        <f t="shared" si="56"/>
        <v>0</v>
      </c>
      <c r="T104" s="191">
        <f t="shared" si="57"/>
        <v>0</v>
      </c>
      <c r="U104" s="192">
        <f t="shared" si="58"/>
        <v>0</v>
      </c>
      <c r="V104" s="193">
        <f t="shared" si="59"/>
        <v>0</v>
      </c>
      <c r="W104" s="192">
        <f t="shared" si="60"/>
        <v>0</v>
      </c>
      <c r="X104" s="198">
        <f t="shared" si="61"/>
        <v>0</v>
      </c>
      <c r="Y104" s="197"/>
      <c r="Z104" s="192"/>
      <c r="AA104" s="193">
        <f t="shared" si="62"/>
        <v>0</v>
      </c>
      <c r="AB104" s="192">
        <v>0</v>
      </c>
      <c r="AC104" s="196">
        <f t="shared" si="63"/>
        <v>0</v>
      </c>
      <c r="AD104" s="197">
        <v>0</v>
      </c>
      <c r="AE104" s="192">
        <f>+ｼﾞｭｴﾙｽﾞ!W103/1000</f>
        <v>0</v>
      </c>
      <c r="AF104" s="193">
        <f t="shared" si="64"/>
        <v>0</v>
      </c>
      <c r="AG104" s="192">
        <v>0</v>
      </c>
      <c r="AH104" s="198">
        <f t="shared" si="65"/>
        <v>0</v>
      </c>
      <c r="AI104" s="191">
        <f t="shared" si="66"/>
        <v>0</v>
      </c>
      <c r="AJ104" s="192">
        <f t="shared" si="67"/>
        <v>0</v>
      </c>
      <c r="AK104" s="193">
        <f t="shared" si="68"/>
        <v>0</v>
      </c>
      <c r="AL104" s="192">
        <f t="shared" si="69"/>
        <v>0</v>
      </c>
      <c r="AM104" s="198">
        <f t="shared" si="70"/>
        <v>0</v>
      </c>
      <c r="AN104" s="191">
        <v>0</v>
      </c>
      <c r="AO104" s="192">
        <f>+ｶﾞｰﾃﾞﾝ!W103/1000</f>
        <v>0</v>
      </c>
      <c r="AP104" s="193">
        <f t="shared" si="71"/>
        <v>0</v>
      </c>
      <c r="AQ104" s="192">
        <v>0</v>
      </c>
      <c r="AR104" s="194">
        <f t="shared" si="72"/>
        <v>0</v>
      </c>
      <c r="AS104" s="195">
        <v>0</v>
      </c>
      <c r="AT104" s="192">
        <f>+ﾋﾞｱｶﾞｰﾃﾞﾝ!W103/1000</f>
        <v>0</v>
      </c>
      <c r="AU104" s="193">
        <f t="shared" si="73"/>
        <v>0</v>
      </c>
      <c r="AV104" s="192">
        <v>0</v>
      </c>
      <c r="AW104" s="198">
        <f t="shared" si="74"/>
        <v>0</v>
      </c>
      <c r="AX104" s="191">
        <f t="shared" si="75"/>
        <v>0</v>
      </c>
      <c r="AY104" s="192">
        <f t="shared" si="76"/>
        <v>0</v>
      </c>
      <c r="AZ104" s="193">
        <f t="shared" si="77"/>
        <v>0</v>
      </c>
      <c r="BA104" s="192">
        <f t="shared" si="78"/>
        <v>0</v>
      </c>
      <c r="BB104" s="198">
        <f t="shared" si="79"/>
        <v>0</v>
      </c>
      <c r="BC104" s="191">
        <v>0</v>
      </c>
      <c r="BD104" s="192">
        <f>+ブリック!W103/1000</f>
        <v>0</v>
      </c>
      <c r="BE104" s="193">
        <f t="shared" si="80"/>
        <v>0</v>
      </c>
      <c r="BF104" s="192"/>
      <c r="BG104" s="194">
        <f t="shared" si="81"/>
        <v>0</v>
      </c>
      <c r="BH104" s="195">
        <v>0</v>
      </c>
      <c r="BI104" s="192">
        <f>+ルスツ羊蹄ぶた!W103/1000</f>
        <v>0</v>
      </c>
      <c r="BJ104" s="193">
        <f t="shared" si="82"/>
        <v>0</v>
      </c>
      <c r="BK104" s="192"/>
      <c r="BL104" s="198">
        <f t="shared" si="83"/>
        <v>0</v>
      </c>
      <c r="BM104" s="191">
        <f t="shared" si="94"/>
        <v>0</v>
      </c>
      <c r="BN104" s="192">
        <f t="shared" si="84"/>
        <v>0</v>
      </c>
      <c r="BO104" s="193">
        <f t="shared" si="85"/>
        <v>0</v>
      </c>
      <c r="BP104" s="192">
        <f t="shared" si="86"/>
        <v>0</v>
      </c>
      <c r="BQ104" s="198">
        <f t="shared" si="87"/>
        <v>0</v>
      </c>
      <c r="BR104" s="191">
        <v>0</v>
      </c>
      <c r="BS104" s="192">
        <f>+料飲共通!W103/1000</f>
        <v>0</v>
      </c>
      <c r="BT104" s="193">
        <f t="shared" si="88"/>
        <v>0</v>
      </c>
      <c r="BU104" s="192">
        <v>0</v>
      </c>
      <c r="BV104" s="198">
        <f t="shared" si="89"/>
        <v>0</v>
      </c>
      <c r="BW104" s="191">
        <f t="shared" ref="BW104:BW119" si="95">+T104+AI104+AX104+BM104+BR104</f>
        <v>0</v>
      </c>
      <c r="BX104" s="192">
        <f t="shared" si="91"/>
        <v>0</v>
      </c>
      <c r="BY104" s="193">
        <f t="shared" si="50"/>
        <v>0</v>
      </c>
      <c r="BZ104" s="192">
        <f t="shared" ref="BZ104:BZ119" si="96">+W104+AL104+BA104+BU104</f>
        <v>0</v>
      </c>
      <c r="CA104" s="198">
        <f t="shared" si="93"/>
        <v>0</v>
      </c>
    </row>
    <row r="105" spans="1:79" s="83" customFormat="1" ht="22" hidden="1" customHeight="1" outlineLevel="1" thickBot="1">
      <c r="A105" s="110"/>
      <c r="B105" s="85" t="s">
        <v>193</v>
      </c>
      <c r="C105" s="86"/>
      <c r="D105" s="86"/>
      <c r="E105" s="191">
        <v>0</v>
      </c>
      <c r="F105" s="192">
        <f>+ﾇｰﾍﾞﾙﾌﾟｰｽ!W104/1000</f>
        <v>0</v>
      </c>
      <c r="G105" s="193">
        <f t="shared" si="51"/>
        <v>0</v>
      </c>
      <c r="H105" s="192">
        <v>0</v>
      </c>
      <c r="I105" s="194">
        <f t="shared" si="52"/>
        <v>0</v>
      </c>
      <c r="J105" s="195">
        <v>0</v>
      </c>
      <c r="K105" s="192">
        <f>+ｶﾌｪﾙﾎﾟ!W104/1000</f>
        <v>0</v>
      </c>
      <c r="L105" s="193">
        <f t="shared" si="53"/>
        <v>0</v>
      </c>
      <c r="M105" s="192">
        <v>0</v>
      </c>
      <c r="N105" s="196">
        <f t="shared" si="54"/>
        <v>0</v>
      </c>
      <c r="O105" s="197">
        <v>0</v>
      </c>
      <c r="P105" s="192">
        <f>+ｶﾌｪｾﾚｽﾃ!W104/1000</f>
        <v>0</v>
      </c>
      <c r="Q105" s="193">
        <f t="shared" si="55"/>
        <v>0</v>
      </c>
      <c r="R105" s="192">
        <v>0</v>
      </c>
      <c r="S105" s="194">
        <f t="shared" si="56"/>
        <v>0</v>
      </c>
      <c r="T105" s="191">
        <f t="shared" si="57"/>
        <v>0</v>
      </c>
      <c r="U105" s="192">
        <f t="shared" si="58"/>
        <v>0</v>
      </c>
      <c r="V105" s="193">
        <f t="shared" si="59"/>
        <v>0</v>
      </c>
      <c r="W105" s="192">
        <f t="shared" si="60"/>
        <v>0</v>
      </c>
      <c r="X105" s="198">
        <f t="shared" si="61"/>
        <v>0</v>
      </c>
      <c r="Y105" s="197"/>
      <c r="Z105" s="192"/>
      <c r="AA105" s="193">
        <f t="shared" si="62"/>
        <v>0</v>
      </c>
      <c r="AB105" s="192">
        <v>0</v>
      </c>
      <c r="AC105" s="196">
        <f t="shared" si="63"/>
        <v>0</v>
      </c>
      <c r="AD105" s="197">
        <v>0</v>
      </c>
      <c r="AE105" s="192">
        <f>+ｼﾞｭｴﾙｽﾞ!W104/1000</f>
        <v>0</v>
      </c>
      <c r="AF105" s="193">
        <f t="shared" si="64"/>
        <v>0</v>
      </c>
      <c r="AG105" s="192">
        <v>0</v>
      </c>
      <c r="AH105" s="198">
        <f t="shared" si="65"/>
        <v>0</v>
      </c>
      <c r="AI105" s="191">
        <f t="shared" si="66"/>
        <v>0</v>
      </c>
      <c r="AJ105" s="192">
        <f t="shared" si="67"/>
        <v>0</v>
      </c>
      <c r="AK105" s="193">
        <f t="shared" si="68"/>
        <v>0</v>
      </c>
      <c r="AL105" s="192">
        <f t="shared" si="69"/>
        <v>0</v>
      </c>
      <c r="AM105" s="198">
        <f t="shared" si="70"/>
        <v>0</v>
      </c>
      <c r="AN105" s="191">
        <v>0</v>
      </c>
      <c r="AO105" s="192">
        <f>+ｶﾞｰﾃﾞﾝ!W104/1000</f>
        <v>0</v>
      </c>
      <c r="AP105" s="193">
        <f t="shared" si="71"/>
        <v>0</v>
      </c>
      <c r="AQ105" s="192">
        <v>0</v>
      </c>
      <c r="AR105" s="194">
        <f t="shared" si="72"/>
        <v>0</v>
      </c>
      <c r="AS105" s="195">
        <v>0</v>
      </c>
      <c r="AT105" s="192">
        <f>+ﾋﾞｱｶﾞｰﾃﾞﾝ!W104/1000</f>
        <v>0</v>
      </c>
      <c r="AU105" s="193">
        <f t="shared" si="73"/>
        <v>0</v>
      </c>
      <c r="AV105" s="192">
        <v>0</v>
      </c>
      <c r="AW105" s="198">
        <f t="shared" si="74"/>
        <v>0</v>
      </c>
      <c r="AX105" s="191">
        <f t="shared" si="75"/>
        <v>0</v>
      </c>
      <c r="AY105" s="192">
        <f t="shared" si="76"/>
        <v>0</v>
      </c>
      <c r="AZ105" s="193">
        <f t="shared" si="77"/>
        <v>0</v>
      </c>
      <c r="BA105" s="192">
        <f t="shared" si="78"/>
        <v>0</v>
      </c>
      <c r="BB105" s="198">
        <f t="shared" si="79"/>
        <v>0</v>
      </c>
      <c r="BC105" s="191">
        <v>0</v>
      </c>
      <c r="BD105" s="192">
        <f>+ブリック!W104/1000</f>
        <v>0</v>
      </c>
      <c r="BE105" s="193">
        <f t="shared" si="80"/>
        <v>0</v>
      </c>
      <c r="BF105" s="192"/>
      <c r="BG105" s="194">
        <f t="shared" si="81"/>
        <v>0</v>
      </c>
      <c r="BH105" s="195">
        <v>0</v>
      </c>
      <c r="BI105" s="192">
        <f>+ルスツ羊蹄ぶた!W104/1000</f>
        <v>0</v>
      </c>
      <c r="BJ105" s="193">
        <f t="shared" si="82"/>
        <v>0</v>
      </c>
      <c r="BK105" s="192"/>
      <c r="BL105" s="198">
        <f t="shared" si="83"/>
        <v>0</v>
      </c>
      <c r="BM105" s="191">
        <f t="shared" si="94"/>
        <v>0</v>
      </c>
      <c r="BN105" s="192">
        <f t="shared" si="84"/>
        <v>0</v>
      </c>
      <c r="BO105" s="193">
        <f t="shared" si="85"/>
        <v>0</v>
      </c>
      <c r="BP105" s="192">
        <f t="shared" si="86"/>
        <v>0</v>
      </c>
      <c r="BQ105" s="198">
        <f t="shared" si="87"/>
        <v>0</v>
      </c>
      <c r="BR105" s="191">
        <v>0</v>
      </c>
      <c r="BS105" s="192">
        <f>+料飲共通!W104/1000</f>
        <v>0</v>
      </c>
      <c r="BT105" s="193">
        <f t="shared" si="88"/>
        <v>0</v>
      </c>
      <c r="BU105" s="192">
        <v>0</v>
      </c>
      <c r="BV105" s="198">
        <f t="shared" si="89"/>
        <v>0</v>
      </c>
      <c r="BW105" s="191">
        <f t="shared" si="95"/>
        <v>0</v>
      </c>
      <c r="BX105" s="192">
        <f t="shared" si="91"/>
        <v>0</v>
      </c>
      <c r="BY105" s="193">
        <f t="shared" si="50"/>
        <v>0</v>
      </c>
      <c r="BZ105" s="192">
        <f t="shared" si="96"/>
        <v>0</v>
      </c>
      <c r="CA105" s="198">
        <f t="shared" si="93"/>
        <v>0</v>
      </c>
    </row>
    <row r="106" spans="1:79" s="83" customFormat="1" ht="22" hidden="1" customHeight="1" outlineLevel="1" thickBot="1">
      <c r="A106" s="110"/>
      <c r="B106" s="85" t="s">
        <v>195</v>
      </c>
      <c r="C106" s="86"/>
      <c r="D106" s="86"/>
      <c r="E106" s="191">
        <v>85.542000000000002</v>
      </c>
      <c r="F106" s="192">
        <f>+ﾇｰﾍﾞﾙﾌﾟｰｽ!W105/1000</f>
        <v>66.888000000000005</v>
      </c>
      <c r="G106" s="193">
        <f t="shared" si="51"/>
        <v>18.653999999999996</v>
      </c>
      <c r="H106" s="192">
        <v>321</v>
      </c>
      <c r="I106" s="194">
        <f t="shared" si="52"/>
        <v>-235.458</v>
      </c>
      <c r="J106" s="195">
        <v>0</v>
      </c>
      <c r="K106" s="192">
        <f>+ｶﾌｪﾙﾎﾟ!W105/1000</f>
        <v>17.728000000000002</v>
      </c>
      <c r="L106" s="193">
        <f t="shared" si="53"/>
        <v>-17.728000000000002</v>
      </c>
      <c r="M106" s="192">
        <v>1</v>
      </c>
      <c r="N106" s="196">
        <f t="shared" si="54"/>
        <v>-1</v>
      </c>
      <c r="O106" s="197">
        <v>0</v>
      </c>
      <c r="P106" s="192">
        <f>+ｶﾌｪｾﾚｽﾃ!W105/1000</f>
        <v>0</v>
      </c>
      <c r="Q106" s="193">
        <f t="shared" si="55"/>
        <v>0</v>
      </c>
      <c r="R106" s="192">
        <v>0</v>
      </c>
      <c r="S106" s="194">
        <f t="shared" si="56"/>
        <v>0</v>
      </c>
      <c r="T106" s="191">
        <f t="shared" si="57"/>
        <v>85.542000000000002</v>
      </c>
      <c r="U106" s="192">
        <f t="shared" si="58"/>
        <v>84.616000000000014</v>
      </c>
      <c r="V106" s="193">
        <f t="shared" si="59"/>
        <v>0.92599999999998772</v>
      </c>
      <c r="W106" s="192">
        <f t="shared" si="60"/>
        <v>322</v>
      </c>
      <c r="X106" s="198">
        <f t="shared" si="61"/>
        <v>-236.458</v>
      </c>
      <c r="Y106" s="197"/>
      <c r="Z106" s="192"/>
      <c r="AA106" s="193">
        <f t="shared" si="62"/>
        <v>0</v>
      </c>
      <c r="AB106" s="192">
        <v>0</v>
      </c>
      <c r="AC106" s="196">
        <f t="shared" si="63"/>
        <v>0</v>
      </c>
      <c r="AD106" s="197">
        <v>480.93</v>
      </c>
      <c r="AE106" s="192">
        <f>+ｼﾞｭｴﾙｽﾞ!W105/1000</f>
        <v>0.39100000000000001</v>
      </c>
      <c r="AF106" s="193">
        <f t="shared" si="64"/>
        <v>480.53899999999999</v>
      </c>
      <c r="AG106" s="192">
        <v>209</v>
      </c>
      <c r="AH106" s="198">
        <f t="shared" si="65"/>
        <v>271.93</v>
      </c>
      <c r="AI106" s="191">
        <f t="shared" si="66"/>
        <v>480.93</v>
      </c>
      <c r="AJ106" s="192">
        <f t="shared" si="67"/>
        <v>0.39100000000000001</v>
      </c>
      <c r="AK106" s="193">
        <f t="shared" si="68"/>
        <v>480.53899999999999</v>
      </c>
      <c r="AL106" s="192">
        <f t="shared" si="69"/>
        <v>209</v>
      </c>
      <c r="AM106" s="198">
        <f t="shared" si="70"/>
        <v>271.93</v>
      </c>
      <c r="AN106" s="191">
        <v>41.814</v>
      </c>
      <c r="AO106" s="192">
        <f>+ｶﾞｰﾃﾞﾝ!W105/1000</f>
        <v>12.090999999999999</v>
      </c>
      <c r="AP106" s="193">
        <f t="shared" si="71"/>
        <v>29.722999999999999</v>
      </c>
      <c r="AQ106" s="192">
        <v>106</v>
      </c>
      <c r="AR106" s="194">
        <f t="shared" si="72"/>
        <v>-64.186000000000007</v>
      </c>
      <c r="AS106" s="195">
        <v>0</v>
      </c>
      <c r="AT106" s="192">
        <f>+ﾋﾞｱｶﾞｰﾃﾞﾝ!W105/1000</f>
        <v>200</v>
      </c>
      <c r="AU106" s="193">
        <f t="shared" si="73"/>
        <v>-200</v>
      </c>
      <c r="AV106" s="192">
        <v>1409</v>
      </c>
      <c r="AW106" s="198">
        <f t="shared" si="74"/>
        <v>-1409</v>
      </c>
      <c r="AX106" s="191">
        <f t="shared" si="75"/>
        <v>41.814</v>
      </c>
      <c r="AY106" s="192">
        <f t="shared" si="76"/>
        <v>212.09100000000001</v>
      </c>
      <c r="AZ106" s="193">
        <f t="shared" si="77"/>
        <v>-170.27700000000002</v>
      </c>
      <c r="BA106" s="192">
        <f t="shared" si="78"/>
        <v>1515</v>
      </c>
      <c r="BB106" s="198">
        <f t="shared" si="79"/>
        <v>-1473.1859999999999</v>
      </c>
      <c r="BC106" s="191">
        <v>0</v>
      </c>
      <c r="BD106" s="192">
        <f>+ブリック!W105/1000</f>
        <v>0</v>
      </c>
      <c r="BE106" s="193">
        <f t="shared" si="80"/>
        <v>0</v>
      </c>
      <c r="BF106" s="192"/>
      <c r="BG106" s="194">
        <f t="shared" si="81"/>
        <v>0</v>
      </c>
      <c r="BH106" s="195">
        <v>0</v>
      </c>
      <c r="BI106" s="192">
        <f>+ルスツ羊蹄ぶた!W105/1000</f>
        <v>0</v>
      </c>
      <c r="BJ106" s="193">
        <f t="shared" si="82"/>
        <v>0</v>
      </c>
      <c r="BK106" s="192"/>
      <c r="BL106" s="198">
        <f t="shared" si="83"/>
        <v>0</v>
      </c>
      <c r="BM106" s="191">
        <f t="shared" si="94"/>
        <v>0</v>
      </c>
      <c r="BN106" s="192">
        <f t="shared" si="84"/>
        <v>0</v>
      </c>
      <c r="BO106" s="193">
        <f t="shared" si="85"/>
        <v>0</v>
      </c>
      <c r="BP106" s="192">
        <f t="shared" si="86"/>
        <v>0</v>
      </c>
      <c r="BQ106" s="198">
        <f t="shared" si="87"/>
        <v>0</v>
      </c>
      <c r="BR106" s="191">
        <v>15</v>
      </c>
      <c r="BS106" s="192">
        <f>+料飲共通!W105/1000</f>
        <v>90.91</v>
      </c>
      <c r="BT106" s="193">
        <f t="shared" si="88"/>
        <v>-75.91</v>
      </c>
      <c r="BU106" s="192">
        <v>15</v>
      </c>
      <c r="BV106" s="198">
        <f t="shared" si="89"/>
        <v>0</v>
      </c>
      <c r="BW106" s="191">
        <f t="shared" si="95"/>
        <v>623.28599999999994</v>
      </c>
      <c r="BX106" s="192">
        <f t="shared" si="91"/>
        <v>388.00800000000004</v>
      </c>
      <c r="BY106" s="193">
        <f t="shared" si="50"/>
        <v>235.27799999999991</v>
      </c>
      <c r="BZ106" s="192">
        <f t="shared" si="96"/>
        <v>2061</v>
      </c>
      <c r="CA106" s="198">
        <f t="shared" si="93"/>
        <v>-1437.7139999999999</v>
      </c>
    </row>
    <row r="107" spans="1:79" s="83" customFormat="1" ht="22" hidden="1" customHeight="1" outlineLevel="1" thickBot="1">
      <c r="A107" s="110"/>
      <c r="B107" s="85" t="s">
        <v>191</v>
      </c>
      <c r="C107" s="86"/>
      <c r="D107" s="86"/>
      <c r="E107" s="191">
        <v>0</v>
      </c>
      <c r="F107" s="192">
        <f>+ﾇｰﾍﾞﾙﾌﾟｰｽ!W106/1000</f>
        <v>0</v>
      </c>
      <c r="G107" s="193">
        <f t="shared" si="51"/>
        <v>0</v>
      </c>
      <c r="H107" s="192">
        <v>0</v>
      </c>
      <c r="I107" s="194">
        <f t="shared" si="52"/>
        <v>0</v>
      </c>
      <c r="J107" s="195">
        <v>0</v>
      </c>
      <c r="K107" s="192">
        <f>+ｶﾌｪﾙﾎﾟ!W106/1000</f>
        <v>0</v>
      </c>
      <c r="L107" s="193">
        <f t="shared" si="53"/>
        <v>0</v>
      </c>
      <c r="M107" s="192">
        <v>0</v>
      </c>
      <c r="N107" s="196">
        <f t="shared" si="54"/>
        <v>0</v>
      </c>
      <c r="O107" s="197">
        <v>0</v>
      </c>
      <c r="P107" s="192">
        <f>+ｶﾌｪｾﾚｽﾃ!W106/1000</f>
        <v>0</v>
      </c>
      <c r="Q107" s="193">
        <f t="shared" si="55"/>
        <v>0</v>
      </c>
      <c r="R107" s="192">
        <v>0</v>
      </c>
      <c r="S107" s="194">
        <f t="shared" si="56"/>
        <v>0</v>
      </c>
      <c r="T107" s="191">
        <f t="shared" si="57"/>
        <v>0</v>
      </c>
      <c r="U107" s="192">
        <f t="shared" si="58"/>
        <v>0</v>
      </c>
      <c r="V107" s="193">
        <f t="shared" si="59"/>
        <v>0</v>
      </c>
      <c r="W107" s="192">
        <f t="shared" si="60"/>
        <v>0</v>
      </c>
      <c r="X107" s="198">
        <f t="shared" si="61"/>
        <v>0</v>
      </c>
      <c r="Y107" s="197"/>
      <c r="Z107" s="192"/>
      <c r="AA107" s="193">
        <f t="shared" si="62"/>
        <v>0</v>
      </c>
      <c r="AB107" s="192">
        <v>0</v>
      </c>
      <c r="AC107" s="196">
        <f t="shared" si="63"/>
        <v>0</v>
      </c>
      <c r="AD107" s="197">
        <v>0</v>
      </c>
      <c r="AE107" s="192">
        <f>+ｼﾞｭｴﾙｽﾞ!W106/1000</f>
        <v>0</v>
      </c>
      <c r="AF107" s="193">
        <f t="shared" si="64"/>
        <v>0</v>
      </c>
      <c r="AG107" s="192">
        <v>0</v>
      </c>
      <c r="AH107" s="198">
        <f t="shared" si="65"/>
        <v>0</v>
      </c>
      <c r="AI107" s="191">
        <f t="shared" si="66"/>
        <v>0</v>
      </c>
      <c r="AJ107" s="192">
        <f t="shared" si="67"/>
        <v>0</v>
      </c>
      <c r="AK107" s="193">
        <f t="shared" si="68"/>
        <v>0</v>
      </c>
      <c r="AL107" s="192">
        <f t="shared" si="69"/>
        <v>0</v>
      </c>
      <c r="AM107" s="198">
        <f t="shared" si="70"/>
        <v>0</v>
      </c>
      <c r="AN107" s="191">
        <v>0</v>
      </c>
      <c r="AO107" s="192">
        <f>+ｶﾞｰﾃﾞﾝ!W106/1000</f>
        <v>0</v>
      </c>
      <c r="AP107" s="193">
        <f t="shared" si="71"/>
        <v>0</v>
      </c>
      <c r="AQ107" s="192">
        <v>0</v>
      </c>
      <c r="AR107" s="194">
        <f t="shared" si="72"/>
        <v>0</v>
      </c>
      <c r="AS107" s="195">
        <v>0</v>
      </c>
      <c r="AT107" s="192">
        <f>+ﾋﾞｱｶﾞｰﾃﾞﾝ!W106/1000</f>
        <v>0</v>
      </c>
      <c r="AU107" s="193">
        <f t="shared" si="73"/>
        <v>0</v>
      </c>
      <c r="AV107" s="192">
        <v>0</v>
      </c>
      <c r="AW107" s="198">
        <f t="shared" si="74"/>
        <v>0</v>
      </c>
      <c r="AX107" s="191">
        <f t="shared" si="75"/>
        <v>0</v>
      </c>
      <c r="AY107" s="192">
        <f t="shared" si="76"/>
        <v>0</v>
      </c>
      <c r="AZ107" s="193">
        <f t="shared" si="77"/>
        <v>0</v>
      </c>
      <c r="BA107" s="192">
        <f t="shared" si="78"/>
        <v>0</v>
      </c>
      <c r="BB107" s="198">
        <f t="shared" si="79"/>
        <v>0</v>
      </c>
      <c r="BC107" s="191">
        <v>0</v>
      </c>
      <c r="BD107" s="192">
        <f>+ブリック!W106/1000</f>
        <v>0</v>
      </c>
      <c r="BE107" s="193">
        <f t="shared" si="80"/>
        <v>0</v>
      </c>
      <c r="BF107" s="192"/>
      <c r="BG107" s="194">
        <f t="shared" si="81"/>
        <v>0</v>
      </c>
      <c r="BH107" s="195">
        <v>0</v>
      </c>
      <c r="BI107" s="192">
        <f>+ルスツ羊蹄ぶた!W106/1000</f>
        <v>0</v>
      </c>
      <c r="BJ107" s="193">
        <f t="shared" si="82"/>
        <v>0</v>
      </c>
      <c r="BK107" s="192"/>
      <c r="BL107" s="198">
        <f t="shared" si="83"/>
        <v>0</v>
      </c>
      <c r="BM107" s="191">
        <f t="shared" si="94"/>
        <v>0</v>
      </c>
      <c r="BN107" s="192">
        <f t="shared" si="84"/>
        <v>0</v>
      </c>
      <c r="BO107" s="193">
        <f t="shared" si="85"/>
        <v>0</v>
      </c>
      <c r="BP107" s="192">
        <f t="shared" si="86"/>
        <v>0</v>
      </c>
      <c r="BQ107" s="198">
        <f t="shared" si="87"/>
        <v>0</v>
      </c>
      <c r="BR107" s="191">
        <v>0</v>
      </c>
      <c r="BS107" s="192">
        <f>+料飲共通!W106/1000</f>
        <v>0</v>
      </c>
      <c r="BT107" s="193">
        <f t="shared" si="88"/>
        <v>0</v>
      </c>
      <c r="BU107" s="192">
        <v>0</v>
      </c>
      <c r="BV107" s="198">
        <f t="shared" si="89"/>
        <v>0</v>
      </c>
      <c r="BW107" s="191">
        <f t="shared" si="95"/>
        <v>0</v>
      </c>
      <c r="BX107" s="192">
        <f t="shared" si="91"/>
        <v>0</v>
      </c>
      <c r="BY107" s="193">
        <f t="shared" si="50"/>
        <v>0</v>
      </c>
      <c r="BZ107" s="192">
        <f t="shared" si="96"/>
        <v>0</v>
      </c>
      <c r="CA107" s="198">
        <f t="shared" si="93"/>
        <v>0</v>
      </c>
    </row>
    <row r="108" spans="1:79" s="83" customFormat="1" ht="22" customHeight="1" collapsed="1" thickBot="1">
      <c r="A108" s="112" t="s">
        <v>198</v>
      </c>
      <c r="B108" s="113"/>
      <c r="C108" s="113"/>
      <c r="D108" s="113"/>
      <c r="E108" s="257">
        <v>0</v>
      </c>
      <c r="F108" s="258">
        <f>+ﾇｰﾍﾞﾙﾌﾟｰｽ!W107/1000</f>
        <v>0</v>
      </c>
      <c r="G108" s="259">
        <f t="shared" si="51"/>
        <v>0</v>
      </c>
      <c r="H108" s="258">
        <v>1</v>
      </c>
      <c r="I108" s="260">
        <f t="shared" si="52"/>
        <v>-1</v>
      </c>
      <c r="J108" s="261">
        <v>84.4</v>
      </c>
      <c r="K108" s="258">
        <f>+ｶﾌｪﾙﾎﾟ!W107/1000</f>
        <v>0</v>
      </c>
      <c r="L108" s="259">
        <f t="shared" si="53"/>
        <v>84.4</v>
      </c>
      <c r="M108" s="258">
        <v>89</v>
      </c>
      <c r="N108" s="262">
        <f t="shared" si="54"/>
        <v>-4.5999999999999943</v>
      </c>
      <c r="O108" s="263">
        <v>82.35</v>
      </c>
      <c r="P108" s="258">
        <f>+ｶﾌｪｾﾚｽﾃ!W107/1000</f>
        <v>0</v>
      </c>
      <c r="Q108" s="259">
        <f t="shared" si="55"/>
        <v>82.35</v>
      </c>
      <c r="R108" s="258">
        <v>89</v>
      </c>
      <c r="S108" s="260">
        <f t="shared" si="56"/>
        <v>-6.6500000000000057</v>
      </c>
      <c r="T108" s="257">
        <f t="shared" si="57"/>
        <v>166.75</v>
      </c>
      <c r="U108" s="258">
        <f t="shared" si="58"/>
        <v>0</v>
      </c>
      <c r="V108" s="259">
        <f t="shared" si="59"/>
        <v>166.75</v>
      </c>
      <c r="W108" s="258">
        <f t="shared" si="60"/>
        <v>179</v>
      </c>
      <c r="X108" s="264">
        <f t="shared" si="61"/>
        <v>-12.25</v>
      </c>
      <c r="Y108" s="263"/>
      <c r="Z108" s="258"/>
      <c r="AA108" s="259">
        <f t="shared" si="62"/>
        <v>0</v>
      </c>
      <c r="AB108" s="258">
        <v>0</v>
      </c>
      <c r="AC108" s="262">
        <f t="shared" si="63"/>
        <v>0</v>
      </c>
      <c r="AD108" s="263">
        <v>0</v>
      </c>
      <c r="AE108" s="258">
        <f>+ｼﾞｭｴﾙｽﾞ!W107/1000</f>
        <v>0</v>
      </c>
      <c r="AF108" s="259">
        <f t="shared" si="64"/>
        <v>0</v>
      </c>
      <c r="AG108" s="258">
        <v>1</v>
      </c>
      <c r="AH108" s="264">
        <f t="shared" si="65"/>
        <v>-1</v>
      </c>
      <c r="AI108" s="257">
        <f t="shared" si="66"/>
        <v>0</v>
      </c>
      <c r="AJ108" s="258">
        <f t="shared" si="67"/>
        <v>0</v>
      </c>
      <c r="AK108" s="259">
        <f t="shared" si="68"/>
        <v>0</v>
      </c>
      <c r="AL108" s="258">
        <f t="shared" si="69"/>
        <v>1</v>
      </c>
      <c r="AM108" s="264">
        <f t="shared" si="70"/>
        <v>-1</v>
      </c>
      <c r="AN108" s="257">
        <v>3.0000000000000001E-3</v>
      </c>
      <c r="AO108" s="258">
        <f>+ｶﾞｰﾃﾞﾝ!W107/1000</f>
        <v>97.31</v>
      </c>
      <c r="AP108" s="259">
        <f t="shared" si="71"/>
        <v>-97.307000000000002</v>
      </c>
      <c r="AQ108" s="258">
        <v>0</v>
      </c>
      <c r="AR108" s="260">
        <f t="shared" si="72"/>
        <v>3.0000000000000001E-3</v>
      </c>
      <c r="AS108" s="261">
        <v>2.4</v>
      </c>
      <c r="AT108" s="258">
        <f>+ﾋﾞｱｶﾞｰﾃﾞﾝ!W107/1000</f>
        <v>30.8</v>
      </c>
      <c r="AU108" s="259">
        <f t="shared" si="73"/>
        <v>-28.400000000000002</v>
      </c>
      <c r="AV108" s="258">
        <v>-3</v>
      </c>
      <c r="AW108" s="264">
        <f t="shared" si="74"/>
        <v>5.4</v>
      </c>
      <c r="AX108" s="257">
        <f t="shared" si="75"/>
        <v>2.403</v>
      </c>
      <c r="AY108" s="258">
        <f t="shared" si="76"/>
        <v>128.11000000000001</v>
      </c>
      <c r="AZ108" s="259">
        <f t="shared" si="77"/>
        <v>-125.70700000000001</v>
      </c>
      <c r="BA108" s="258">
        <f t="shared" si="78"/>
        <v>-3</v>
      </c>
      <c r="BB108" s="264">
        <f t="shared" si="79"/>
        <v>5.4030000000000005</v>
      </c>
      <c r="BC108" s="257">
        <v>0</v>
      </c>
      <c r="BD108" s="258">
        <f>+ブリック!W107/1000</f>
        <v>0</v>
      </c>
      <c r="BE108" s="259">
        <f t="shared" si="80"/>
        <v>0</v>
      </c>
      <c r="BF108" s="258"/>
      <c r="BG108" s="260">
        <f t="shared" si="81"/>
        <v>0</v>
      </c>
      <c r="BH108" s="261">
        <v>0</v>
      </c>
      <c r="BI108" s="258">
        <f>+ルスツ羊蹄ぶた!W107/1000</f>
        <v>0</v>
      </c>
      <c r="BJ108" s="259">
        <f t="shared" si="82"/>
        <v>0</v>
      </c>
      <c r="BK108" s="258"/>
      <c r="BL108" s="264">
        <f t="shared" si="83"/>
        <v>0</v>
      </c>
      <c r="BM108" s="257">
        <f t="shared" si="94"/>
        <v>0</v>
      </c>
      <c r="BN108" s="258">
        <f t="shared" si="84"/>
        <v>0</v>
      </c>
      <c r="BO108" s="259">
        <f t="shared" si="85"/>
        <v>0</v>
      </c>
      <c r="BP108" s="258">
        <f t="shared" si="86"/>
        <v>0</v>
      </c>
      <c r="BQ108" s="264">
        <f t="shared" si="87"/>
        <v>0</v>
      </c>
      <c r="BR108" s="257">
        <v>0</v>
      </c>
      <c r="BS108" s="258">
        <f>+料飲共通!W107/1000</f>
        <v>0</v>
      </c>
      <c r="BT108" s="259">
        <f t="shared" si="88"/>
        <v>0</v>
      </c>
      <c r="BU108" s="258">
        <v>0</v>
      </c>
      <c r="BV108" s="264">
        <f t="shared" si="89"/>
        <v>0</v>
      </c>
      <c r="BW108" s="257">
        <f t="shared" si="95"/>
        <v>169.15299999999999</v>
      </c>
      <c r="BX108" s="258">
        <f t="shared" si="91"/>
        <v>128.11000000000001</v>
      </c>
      <c r="BY108" s="259">
        <f t="shared" si="50"/>
        <v>41.042999999999978</v>
      </c>
      <c r="BZ108" s="258">
        <f t="shared" si="96"/>
        <v>177</v>
      </c>
      <c r="CA108" s="264">
        <f t="shared" si="93"/>
        <v>-7.8470000000000084</v>
      </c>
    </row>
    <row r="109" spans="1:79" s="83" customFormat="1" ht="22" hidden="1" customHeight="1" outlineLevel="1" thickBot="1">
      <c r="A109" s="109"/>
      <c r="B109" s="102" t="s">
        <v>200</v>
      </c>
      <c r="C109" s="86"/>
      <c r="D109" s="86"/>
      <c r="E109" s="191">
        <v>0</v>
      </c>
      <c r="F109" s="192">
        <f>+ﾇｰﾍﾞﾙﾌﾟｰｽ!W108/1000</f>
        <v>0</v>
      </c>
      <c r="G109" s="192">
        <f t="shared" si="51"/>
        <v>0</v>
      </c>
      <c r="H109" s="192">
        <v>0</v>
      </c>
      <c r="I109" s="197">
        <f t="shared" si="52"/>
        <v>0</v>
      </c>
      <c r="J109" s="195">
        <v>0</v>
      </c>
      <c r="K109" s="192">
        <f>+ｶﾌｪﾙﾎﾟ!W108/1000</f>
        <v>0</v>
      </c>
      <c r="L109" s="192">
        <f t="shared" si="53"/>
        <v>0</v>
      </c>
      <c r="M109" s="192">
        <v>0</v>
      </c>
      <c r="N109" s="265">
        <f t="shared" si="54"/>
        <v>0</v>
      </c>
      <c r="O109" s="197">
        <v>0</v>
      </c>
      <c r="P109" s="192">
        <f>+ｶﾌｪｾﾚｽﾃ!W108/1000</f>
        <v>0</v>
      </c>
      <c r="Q109" s="192">
        <f t="shared" si="55"/>
        <v>0</v>
      </c>
      <c r="R109" s="192">
        <v>0</v>
      </c>
      <c r="S109" s="197">
        <f t="shared" si="56"/>
        <v>0</v>
      </c>
      <c r="T109" s="191">
        <f t="shared" si="57"/>
        <v>0</v>
      </c>
      <c r="U109" s="192">
        <f t="shared" si="58"/>
        <v>0</v>
      </c>
      <c r="V109" s="192">
        <f t="shared" si="59"/>
        <v>0</v>
      </c>
      <c r="W109" s="192">
        <f t="shared" si="60"/>
        <v>0</v>
      </c>
      <c r="X109" s="266">
        <f t="shared" si="61"/>
        <v>0</v>
      </c>
      <c r="Y109" s="197"/>
      <c r="Z109" s="192"/>
      <c r="AA109" s="192">
        <f t="shared" si="62"/>
        <v>0</v>
      </c>
      <c r="AB109" s="192">
        <v>0</v>
      </c>
      <c r="AC109" s="265">
        <f t="shared" si="63"/>
        <v>0</v>
      </c>
      <c r="AD109" s="197">
        <v>0</v>
      </c>
      <c r="AE109" s="192">
        <f>+ｼﾞｭｴﾙｽﾞ!W108/1000</f>
        <v>0</v>
      </c>
      <c r="AF109" s="192">
        <f t="shared" si="64"/>
        <v>0</v>
      </c>
      <c r="AG109" s="192">
        <v>0</v>
      </c>
      <c r="AH109" s="266">
        <f t="shared" si="65"/>
        <v>0</v>
      </c>
      <c r="AI109" s="191">
        <f t="shared" si="66"/>
        <v>0</v>
      </c>
      <c r="AJ109" s="192">
        <f t="shared" si="67"/>
        <v>0</v>
      </c>
      <c r="AK109" s="192">
        <f t="shared" si="68"/>
        <v>0</v>
      </c>
      <c r="AL109" s="192">
        <f t="shared" si="69"/>
        <v>0</v>
      </c>
      <c r="AM109" s="266">
        <f t="shared" si="70"/>
        <v>0</v>
      </c>
      <c r="AN109" s="191">
        <v>0</v>
      </c>
      <c r="AO109" s="192">
        <f>+ｶﾞｰﾃﾞﾝ!W108/1000</f>
        <v>0</v>
      </c>
      <c r="AP109" s="192">
        <f t="shared" si="71"/>
        <v>0</v>
      </c>
      <c r="AQ109" s="192">
        <v>0</v>
      </c>
      <c r="AR109" s="197">
        <f t="shared" si="72"/>
        <v>0</v>
      </c>
      <c r="AS109" s="195">
        <v>0</v>
      </c>
      <c r="AT109" s="192">
        <f>+ﾋﾞｱｶﾞｰﾃﾞﾝ!W108/1000</f>
        <v>0</v>
      </c>
      <c r="AU109" s="192">
        <f t="shared" si="73"/>
        <v>0</v>
      </c>
      <c r="AV109" s="192">
        <v>0</v>
      </c>
      <c r="AW109" s="266">
        <f t="shared" si="74"/>
        <v>0</v>
      </c>
      <c r="AX109" s="191">
        <f t="shared" si="75"/>
        <v>0</v>
      </c>
      <c r="AY109" s="192">
        <f t="shared" si="76"/>
        <v>0</v>
      </c>
      <c r="AZ109" s="192">
        <f t="shared" si="77"/>
        <v>0</v>
      </c>
      <c r="BA109" s="192">
        <f t="shared" si="78"/>
        <v>0</v>
      </c>
      <c r="BB109" s="266">
        <f t="shared" si="79"/>
        <v>0</v>
      </c>
      <c r="BC109" s="191">
        <v>0</v>
      </c>
      <c r="BD109" s="192">
        <f>+ブリック!W108/1000</f>
        <v>0</v>
      </c>
      <c r="BE109" s="192">
        <f t="shared" si="80"/>
        <v>0</v>
      </c>
      <c r="BF109" s="192"/>
      <c r="BG109" s="197">
        <f t="shared" si="81"/>
        <v>0</v>
      </c>
      <c r="BH109" s="195">
        <v>0</v>
      </c>
      <c r="BI109" s="192">
        <f>+ルスツ羊蹄ぶた!W108/1000</f>
        <v>0</v>
      </c>
      <c r="BJ109" s="192">
        <f t="shared" si="82"/>
        <v>0</v>
      </c>
      <c r="BK109" s="192"/>
      <c r="BL109" s="266">
        <f t="shared" si="83"/>
        <v>0</v>
      </c>
      <c r="BM109" s="191">
        <f t="shared" si="94"/>
        <v>0</v>
      </c>
      <c r="BN109" s="192">
        <f t="shared" si="84"/>
        <v>0</v>
      </c>
      <c r="BO109" s="192">
        <f t="shared" si="85"/>
        <v>0</v>
      </c>
      <c r="BP109" s="192">
        <f t="shared" si="86"/>
        <v>0</v>
      </c>
      <c r="BQ109" s="266">
        <f t="shared" si="87"/>
        <v>0</v>
      </c>
      <c r="BR109" s="191">
        <v>0</v>
      </c>
      <c r="BS109" s="192">
        <f>+料飲共通!W108/1000</f>
        <v>0</v>
      </c>
      <c r="BT109" s="192">
        <f t="shared" si="88"/>
        <v>0</v>
      </c>
      <c r="BU109" s="192">
        <v>0</v>
      </c>
      <c r="BV109" s="266">
        <f t="shared" si="89"/>
        <v>0</v>
      </c>
      <c r="BW109" s="191">
        <f t="shared" si="95"/>
        <v>0</v>
      </c>
      <c r="BX109" s="192">
        <f t="shared" si="91"/>
        <v>0</v>
      </c>
      <c r="BY109" s="192">
        <f t="shared" si="50"/>
        <v>0</v>
      </c>
      <c r="BZ109" s="192">
        <f t="shared" si="96"/>
        <v>0</v>
      </c>
      <c r="CA109" s="266">
        <f t="shared" si="93"/>
        <v>0</v>
      </c>
    </row>
    <row r="110" spans="1:79" s="83" customFormat="1" ht="22" hidden="1" customHeight="1" outlineLevel="1" thickBot="1">
      <c r="A110" s="110"/>
      <c r="B110" s="85" t="s">
        <v>202</v>
      </c>
      <c r="C110" s="86"/>
      <c r="D110" s="86"/>
      <c r="E110" s="191">
        <v>0</v>
      </c>
      <c r="F110" s="192">
        <f>+ﾇｰﾍﾞﾙﾌﾟｰｽ!W109/1000</f>
        <v>0</v>
      </c>
      <c r="G110" s="192">
        <f t="shared" si="51"/>
        <v>0</v>
      </c>
      <c r="H110" s="192">
        <v>1</v>
      </c>
      <c r="I110" s="197">
        <f t="shared" si="52"/>
        <v>-1</v>
      </c>
      <c r="J110" s="195">
        <v>84.4</v>
      </c>
      <c r="K110" s="192">
        <f>+ｶﾌｪﾙﾎﾟ!W109/1000</f>
        <v>0</v>
      </c>
      <c r="L110" s="192">
        <f t="shared" si="53"/>
        <v>84.4</v>
      </c>
      <c r="M110" s="192">
        <v>89</v>
      </c>
      <c r="N110" s="265">
        <f t="shared" si="54"/>
        <v>-4.5999999999999943</v>
      </c>
      <c r="O110" s="197">
        <v>84.4</v>
      </c>
      <c r="P110" s="192">
        <f>+ｶﾌｪｾﾚｽﾃ!W109/1000</f>
        <v>0</v>
      </c>
      <c r="Q110" s="192">
        <f t="shared" si="55"/>
        <v>84.4</v>
      </c>
      <c r="R110" s="192">
        <v>89</v>
      </c>
      <c r="S110" s="197">
        <f t="shared" si="56"/>
        <v>-4.5999999999999943</v>
      </c>
      <c r="T110" s="191">
        <f t="shared" si="57"/>
        <v>168.8</v>
      </c>
      <c r="U110" s="192">
        <f t="shared" si="58"/>
        <v>0</v>
      </c>
      <c r="V110" s="192">
        <f t="shared" si="59"/>
        <v>168.8</v>
      </c>
      <c r="W110" s="192">
        <f t="shared" si="60"/>
        <v>179</v>
      </c>
      <c r="X110" s="266">
        <f t="shared" si="61"/>
        <v>-10.199999999999989</v>
      </c>
      <c r="Y110" s="197"/>
      <c r="Z110" s="192"/>
      <c r="AA110" s="192">
        <f t="shared" si="62"/>
        <v>0</v>
      </c>
      <c r="AB110" s="192">
        <v>0</v>
      </c>
      <c r="AC110" s="265">
        <f t="shared" si="63"/>
        <v>0</v>
      </c>
      <c r="AD110" s="197">
        <v>0</v>
      </c>
      <c r="AE110" s="192">
        <f>+ｼﾞｭｴﾙｽﾞ!W109/1000</f>
        <v>0</v>
      </c>
      <c r="AF110" s="192">
        <f t="shared" si="64"/>
        <v>0</v>
      </c>
      <c r="AG110" s="192">
        <v>1</v>
      </c>
      <c r="AH110" s="266">
        <f t="shared" si="65"/>
        <v>-1</v>
      </c>
      <c r="AI110" s="191">
        <f t="shared" si="66"/>
        <v>0</v>
      </c>
      <c r="AJ110" s="192">
        <f t="shared" si="67"/>
        <v>0</v>
      </c>
      <c r="AK110" s="192">
        <f t="shared" si="68"/>
        <v>0</v>
      </c>
      <c r="AL110" s="192">
        <f t="shared" si="69"/>
        <v>1</v>
      </c>
      <c r="AM110" s="266">
        <f t="shared" si="70"/>
        <v>-1</v>
      </c>
      <c r="AN110" s="191">
        <v>3.0000000000000001E-3</v>
      </c>
      <c r="AO110" s="192">
        <f>+ｶﾞｰﾃﾞﾝ!W109/1000</f>
        <v>96.91</v>
      </c>
      <c r="AP110" s="192">
        <f t="shared" si="71"/>
        <v>-96.906999999999996</v>
      </c>
      <c r="AQ110" s="192">
        <v>0</v>
      </c>
      <c r="AR110" s="197">
        <f t="shared" si="72"/>
        <v>3.0000000000000001E-3</v>
      </c>
      <c r="AS110" s="195">
        <v>0.7</v>
      </c>
      <c r="AT110" s="192">
        <f>+ﾋﾞｱｶﾞｰﾃﾞﾝ!W109/1000</f>
        <v>0</v>
      </c>
      <c r="AU110" s="192">
        <f t="shared" si="73"/>
        <v>0.7</v>
      </c>
      <c r="AV110" s="192">
        <v>-3</v>
      </c>
      <c r="AW110" s="266">
        <f t="shared" si="74"/>
        <v>3.7</v>
      </c>
      <c r="AX110" s="191">
        <f t="shared" si="75"/>
        <v>0.70299999999999996</v>
      </c>
      <c r="AY110" s="192">
        <f t="shared" si="76"/>
        <v>96.91</v>
      </c>
      <c r="AZ110" s="192">
        <f t="shared" si="77"/>
        <v>-96.206999999999994</v>
      </c>
      <c r="BA110" s="192">
        <f t="shared" si="78"/>
        <v>-3</v>
      </c>
      <c r="BB110" s="266">
        <f t="shared" si="79"/>
        <v>3.7029999999999998</v>
      </c>
      <c r="BC110" s="191">
        <v>0</v>
      </c>
      <c r="BD110" s="192">
        <f>+ブリック!W109/1000</f>
        <v>0</v>
      </c>
      <c r="BE110" s="192">
        <f t="shared" si="80"/>
        <v>0</v>
      </c>
      <c r="BF110" s="192"/>
      <c r="BG110" s="197">
        <f t="shared" si="81"/>
        <v>0</v>
      </c>
      <c r="BH110" s="195">
        <v>0</v>
      </c>
      <c r="BI110" s="192">
        <f>+ルスツ羊蹄ぶた!W109/1000</f>
        <v>0</v>
      </c>
      <c r="BJ110" s="192">
        <f t="shared" si="82"/>
        <v>0</v>
      </c>
      <c r="BK110" s="192"/>
      <c r="BL110" s="266">
        <f t="shared" si="83"/>
        <v>0</v>
      </c>
      <c r="BM110" s="191">
        <f t="shared" si="94"/>
        <v>0</v>
      </c>
      <c r="BN110" s="192">
        <f t="shared" si="84"/>
        <v>0</v>
      </c>
      <c r="BO110" s="192">
        <f t="shared" si="85"/>
        <v>0</v>
      </c>
      <c r="BP110" s="192">
        <f t="shared" si="86"/>
        <v>0</v>
      </c>
      <c r="BQ110" s="266">
        <f t="shared" si="87"/>
        <v>0</v>
      </c>
      <c r="BR110" s="191">
        <v>0</v>
      </c>
      <c r="BS110" s="192">
        <f>+料飲共通!W109/1000</f>
        <v>0</v>
      </c>
      <c r="BT110" s="192">
        <f t="shared" si="88"/>
        <v>0</v>
      </c>
      <c r="BU110" s="192">
        <v>0</v>
      </c>
      <c r="BV110" s="266">
        <f t="shared" si="89"/>
        <v>0</v>
      </c>
      <c r="BW110" s="191">
        <f t="shared" si="95"/>
        <v>169.50300000000001</v>
      </c>
      <c r="BX110" s="192">
        <f t="shared" si="91"/>
        <v>96.91</v>
      </c>
      <c r="BY110" s="192">
        <f t="shared" si="50"/>
        <v>72.593000000000018</v>
      </c>
      <c r="BZ110" s="192">
        <f t="shared" si="96"/>
        <v>177</v>
      </c>
      <c r="CA110" s="266">
        <f t="shared" si="93"/>
        <v>-7.4969999999999857</v>
      </c>
    </row>
    <row r="111" spans="1:79" s="83" customFormat="1" ht="22" hidden="1" customHeight="1" outlineLevel="1" thickBot="1">
      <c r="A111" s="110"/>
      <c r="B111" s="85" t="s">
        <v>191</v>
      </c>
      <c r="C111" s="86"/>
      <c r="D111" s="86"/>
      <c r="E111" s="191">
        <v>0</v>
      </c>
      <c r="F111" s="192">
        <f>+ﾇｰﾍﾞﾙﾌﾟｰｽ!W110/1000</f>
        <v>0</v>
      </c>
      <c r="G111" s="192">
        <f t="shared" si="51"/>
        <v>0</v>
      </c>
      <c r="H111" s="192">
        <v>0</v>
      </c>
      <c r="I111" s="197">
        <f t="shared" si="52"/>
        <v>0</v>
      </c>
      <c r="J111" s="195">
        <v>0</v>
      </c>
      <c r="K111" s="192">
        <f>+ｶﾌｪﾙﾎﾟ!W110/1000</f>
        <v>0</v>
      </c>
      <c r="L111" s="192">
        <f t="shared" si="53"/>
        <v>0</v>
      </c>
      <c r="M111" s="192">
        <v>0</v>
      </c>
      <c r="N111" s="265">
        <f t="shared" si="54"/>
        <v>0</v>
      </c>
      <c r="O111" s="197">
        <v>-2.0499999999999998</v>
      </c>
      <c r="P111" s="192">
        <f>+ｶﾌｪｾﾚｽﾃ!W110/1000</f>
        <v>0</v>
      </c>
      <c r="Q111" s="192">
        <f t="shared" si="55"/>
        <v>-2.0499999999999998</v>
      </c>
      <c r="R111" s="192">
        <v>0</v>
      </c>
      <c r="S111" s="197">
        <f t="shared" si="56"/>
        <v>-2.0499999999999998</v>
      </c>
      <c r="T111" s="191">
        <f t="shared" si="57"/>
        <v>-2.0499999999999998</v>
      </c>
      <c r="U111" s="192">
        <f t="shared" si="58"/>
        <v>0</v>
      </c>
      <c r="V111" s="192">
        <f t="shared" si="59"/>
        <v>-2.0499999999999998</v>
      </c>
      <c r="W111" s="192">
        <f t="shared" si="60"/>
        <v>0</v>
      </c>
      <c r="X111" s="266">
        <f t="shared" si="61"/>
        <v>-2.0499999999999998</v>
      </c>
      <c r="Y111" s="197"/>
      <c r="Z111" s="192"/>
      <c r="AA111" s="192">
        <f t="shared" si="62"/>
        <v>0</v>
      </c>
      <c r="AB111" s="192">
        <v>0</v>
      </c>
      <c r="AC111" s="265">
        <f t="shared" si="63"/>
        <v>0</v>
      </c>
      <c r="AD111" s="197">
        <v>0</v>
      </c>
      <c r="AE111" s="192">
        <f>+ｼﾞｭｴﾙｽﾞ!W110/1000</f>
        <v>0</v>
      </c>
      <c r="AF111" s="192">
        <f t="shared" si="64"/>
        <v>0</v>
      </c>
      <c r="AG111" s="192">
        <v>0</v>
      </c>
      <c r="AH111" s="266">
        <f t="shared" si="65"/>
        <v>0</v>
      </c>
      <c r="AI111" s="191">
        <f t="shared" si="66"/>
        <v>0</v>
      </c>
      <c r="AJ111" s="192">
        <f t="shared" si="67"/>
        <v>0</v>
      </c>
      <c r="AK111" s="192">
        <f t="shared" si="68"/>
        <v>0</v>
      </c>
      <c r="AL111" s="192">
        <f t="shared" si="69"/>
        <v>0</v>
      </c>
      <c r="AM111" s="266">
        <f t="shared" si="70"/>
        <v>0</v>
      </c>
      <c r="AN111" s="191">
        <v>0</v>
      </c>
      <c r="AO111" s="192">
        <f>+ｶﾞｰﾃﾞﾝ!W110/1000</f>
        <v>0.4</v>
      </c>
      <c r="AP111" s="192">
        <f t="shared" si="71"/>
        <v>-0.4</v>
      </c>
      <c r="AQ111" s="192">
        <v>0</v>
      </c>
      <c r="AR111" s="197">
        <f t="shared" si="72"/>
        <v>0</v>
      </c>
      <c r="AS111" s="195">
        <v>1.7</v>
      </c>
      <c r="AT111" s="192">
        <f>+ﾋﾞｱｶﾞｰﾃﾞﾝ!W110/1000</f>
        <v>30.8</v>
      </c>
      <c r="AU111" s="192">
        <f t="shared" si="73"/>
        <v>-29.1</v>
      </c>
      <c r="AV111" s="192">
        <v>0</v>
      </c>
      <c r="AW111" s="266">
        <f t="shared" si="74"/>
        <v>1.7</v>
      </c>
      <c r="AX111" s="191">
        <f t="shared" si="75"/>
        <v>1.7</v>
      </c>
      <c r="AY111" s="192">
        <f t="shared" si="76"/>
        <v>31.2</v>
      </c>
      <c r="AZ111" s="192">
        <f t="shared" si="77"/>
        <v>-29.5</v>
      </c>
      <c r="BA111" s="192">
        <f t="shared" si="78"/>
        <v>0</v>
      </c>
      <c r="BB111" s="266">
        <f t="shared" si="79"/>
        <v>1.7</v>
      </c>
      <c r="BC111" s="191">
        <v>0</v>
      </c>
      <c r="BD111" s="192">
        <f>+ブリック!W110/1000</f>
        <v>0</v>
      </c>
      <c r="BE111" s="192">
        <f t="shared" si="80"/>
        <v>0</v>
      </c>
      <c r="BF111" s="192"/>
      <c r="BG111" s="197">
        <f t="shared" si="81"/>
        <v>0</v>
      </c>
      <c r="BH111" s="195">
        <v>0</v>
      </c>
      <c r="BI111" s="192">
        <f>+ルスツ羊蹄ぶた!W110/1000</f>
        <v>0</v>
      </c>
      <c r="BJ111" s="192">
        <f t="shared" si="82"/>
        <v>0</v>
      </c>
      <c r="BK111" s="192"/>
      <c r="BL111" s="266">
        <f t="shared" si="83"/>
        <v>0</v>
      </c>
      <c r="BM111" s="191">
        <f t="shared" si="94"/>
        <v>0</v>
      </c>
      <c r="BN111" s="192">
        <f t="shared" si="84"/>
        <v>0</v>
      </c>
      <c r="BO111" s="192">
        <f t="shared" si="85"/>
        <v>0</v>
      </c>
      <c r="BP111" s="192">
        <f t="shared" si="86"/>
        <v>0</v>
      </c>
      <c r="BQ111" s="266">
        <f t="shared" si="87"/>
        <v>0</v>
      </c>
      <c r="BR111" s="191">
        <v>0</v>
      </c>
      <c r="BS111" s="192">
        <f>+料飲共通!W110/1000</f>
        <v>0</v>
      </c>
      <c r="BT111" s="192">
        <f t="shared" si="88"/>
        <v>0</v>
      </c>
      <c r="BU111" s="192">
        <v>0</v>
      </c>
      <c r="BV111" s="266">
        <f t="shared" si="89"/>
        <v>0</v>
      </c>
      <c r="BW111" s="191">
        <f t="shared" si="95"/>
        <v>-0.34999999999999987</v>
      </c>
      <c r="BX111" s="192">
        <f t="shared" si="91"/>
        <v>31.2</v>
      </c>
      <c r="BY111" s="192">
        <f t="shared" si="50"/>
        <v>-31.55</v>
      </c>
      <c r="BZ111" s="192">
        <f t="shared" si="96"/>
        <v>0</v>
      </c>
      <c r="CA111" s="266">
        <f t="shared" si="93"/>
        <v>-0.34999999999999987</v>
      </c>
    </row>
    <row r="112" spans="1:79" s="83" customFormat="1" ht="22" customHeight="1" collapsed="1" thickBot="1">
      <c r="A112" s="105" t="s">
        <v>205</v>
      </c>
      <c r="B112" s="106"/>
      <c r="C112" s="106"/>
      <c r="D112" s="106"/>
      <c r="E112" s="243">
        <v>-14482.600980000001</v>
      </c>
      <c r="F112" s="244">
        <f>+ﾇｰﾍﾞﾙﾌﾟｰｽ!W111/1000</f>
        <v>-18369.284939999998</v>
      </c>
      <c r="G112" s="244">
        <f>+E112-F112</f>
        <v>3886.6839599999967</v>
      </c>
      <c r="H112" s="244">
        <v>-9691</v>
      </c>
      <c r="I112" s="245">
        <f t="shared" si="52"/>
        <v>-4791.6009800000011</v>
      </c>
      <c r="J112" s="246">
        <v>-225.33604000000028</v>
      </c>
      <c r="K112" s="244">
        <f>+ｶﾌｪﾙﾎﾟ!W111/1000</f>
        <v>-9037.2623999999996</v>
      </c>
      <c r="L112" s="244">
        <f>+J112-K112</f>
        <v>8811.9263599999995</v>
      </c>
      <c r="M112" s="244">
        <v>-1064</v>
      </c>
      <c r="N112" s="247">
        <f t="shared" si="54"/>
        <v>838.66395999999975</v>
      </c>
      <c r="O112" s="245">
        <v>8579.7379999999994</v>
      </c>
      <c r="P112" s="244">
        <f>+ｶﾌｪｾﾚｽﾃ!W111/1000</f>
        <v>11882.841560000001</v>
      </c>
      <c r="Q112" s="244">
        <f>+O112-P112</f>
        <v>-3303.1035600000014</v>
      </c>
      <c r="R112" s="244">
        <v>7944</v>
      </c>
      <c r="S112" s="245">
        <f t="shared" si="56"/>
        <v>635.73799999999937</v>
      </c>
      <c r="T112" s="243">
        <f t="shared" si="57"/>
        <v>-6128.1990200000018</v>
      </c>
      <c r="U112" s="244">
        <f t="shared" si="58"/>
        <v>-15523.705779999997</v>
      </c>
      <c r="V112" s="244">
        <f>+T112-U112</f>
        <v>9395.5067599999948</v>
      </c>
      <c r="W112" s="244">
        <f t="shared" si="60"/>
        <v>-2811</v>
      </c>
      <c r="X112" s="248">
        <f t="shared" si="61"/>
        <v>-3317.1990200000018</v>
      </c>
      <c r="Y112" s="245"/>
      <c r="Z112" s="244"/>
      <c r="AA112" s="244">
        <f>+Y112-Z112</f>
        <v>0</v>
      </c>
      <c r="AB112" s="244">
        <v>16373</v>
      </c>
      <c r="AC112" s="247">
        <f t="shared" si="63"/>
        <v>-16373</v>
      </c>
      <c r="AD112" s="245">
        <v>24466.601355000003</v>
      </c>
      <c r="AE112" s="244">
        <f>+ｼﾞｭｴﾙｽﾞ!W111/1000</f>
        <v>32576.389712500004</v>
      </c>
      <c r="AF112" s="244">
        <f>+AD112-AE112</f>
        <v>-8109.7883575000014</v>
      </c>
      <c r="AG112" s="244">
        <v>21560</v>
      </c>
      <c r="AH112" s="248">
        <f t="shared" si="65"/>
        <v>2906.6013550000025</v>
      </c>
      <c r="AI112" s="243">
        <f t="shared" si="66"/>
        <v>24466.601355000003</v>
      </c>
      <c r="AJ112" s="244">
        <f t="shared" si="67"/>
        <v>32576.389712500004</v>
      </c>
      <c r="AK112" s="244">
        <f>+AI112-AJ112</f>
        <v>-8109.7883575000014</v>
      </c>
      <c r="AL112" s="244">
        <f t="shared" si="69"/>
        <v>37933</v>
      </c>
      <c r="AM112" s="248">
        <f t="shared" si="70"/>
        <v>-13466.398644999997</v>
      </c>
      <c r="AN112" s="243">
        <v>-8579.9923200000212</v>
      </c>
      <c r="AO112" s="244">
        <f>+ｶﾞｰﾃﾞﾝ!W111/1000</f>
        <v>-17892.235410000001</v>
      </c>
      <c r="AP112" s="244">
        <f>+AN112-AO112</f>
        <v>9312.2430899999799</v>
      </c>
      <c r="AQ112" s="244">
        <v>-30781</v>
      </c>
      <c r="AR112" s="245">
        <f t="shared" si="72"/>
        <v>22201.007679999981</v>
      </c>
      <c r="AS112" s="246">
        <v>15798.408955500019</v>
      </c>
      <c r="AT112" s="244">
        <f>+ﾋﾞｱｶﾞｰﾃﾞﾝ!W111/1000</f>
        <v>37553.182000000001</v>
      </c>
      <c r="AU112" s="244">
        <f>+AS112-AT112</f>
        <v>-21754.773044499983</v>
      </c>
      <c r="AV112" s="244">
        <v>15951</v>
      </c>
      <c r="AW112" s="248">
        <f t="shared" si="74"/>
        <v>-152.59104449998085</v>
      </c>
      <c r="AX112" s="243">
        <f t="shared" si="75"/>
        <v>7218.4166354999979</v>
      </c>
      <c r="AY112" s="244">
        <f t="shared" si="76"/>
        <v>19660.94659</v>
      </c>
      <c r="AZ112" s="244">
        <f t="shared" si="77"/>
        <v>-12442.529954500002</v>
      </c>
      <c r="BA112" s="244">
        <f t="shared" si="78"/>
        <v>-14830</v>
      </c>
      <c r="BB112" s="248">
        <f t="shared" si="79"/>
        <v>22048.416635499998</v>
      </c>
      <c r="BC112" s="243">
        <v>1900.5973995608074</v>
      </c>
      <c r="BD112" s="244">
        <f>+ブリック!W111/1000</f>
        <v>-39628.608110000001</v>
      </c>
      <c r="BE112" s="244">
        <f>+BC112-BD112</f>
        <v>41529.205509560808</v>
      </c>
      <c r="BF112" s="244"/>
      <c r="BG112" s="245">
        <f t="shared" si="81"/>
        <v>1900.5973995608074</v>
      </c>
      <c r="BH112" s="246">
        <v>3289.9269908545139</v>
      </c>
      <c r="BI112" s="244">
        <f>+ルスツ羊蹄ぶた!W111/1000</f>
        <v>413.9471400000001</v>
      </c>
      <c r="BJ112" s="244">
        <f>+BH112-BI112</f>
        <v>2875.9798508545136</v>
      </c>
      <c r="BK112" s="244"/>
      <c r="BL112" s="248">
        <f t="shared" si="83"/>
        <v>3289.9269908545139</v>
      </c>
      <c r="BM112" s="243">
        <f t="shared" si="94"/>
        <v>5190.5243904153212</v>
      </c>
      <c r="BN112" s="244">
        <f t="shared" si="84"/>
        <v>-39214.660970000004</v>
      </c>
      <c r="BO112" s="244">
        <f t="shared" si="85"/>
        <v>44405.185360415329</v>
      </c>
      <c r="BP112" s="244">
        <f t="shared" si="86"/>
        <v>0</v>
      </c>
      <c r="BQ112" s="248">
        <f t="shared" si="87"/>
        <v>5190.5243904153212</v>
      </c>
      <c r="BR112" s="243">
        <v>-28009.132448</v>
      </c>
      <c r="BS112" s="244">
        <f>+料飲共通!W111/1000</f>
        <v>-49237.017</v>
      </c>
      <c r="BT112" s="244">
        <f>+BR112-BS112</f>
        <v>21227.884552</v>
      </c>
      <c r="BU112" s="244">
        <v>-33631</v>
      </c>
      <c r="BV112" s="248">
        <f t="shared" si="89"/>
        <v>5621.8675519999997</v>
      </c>
      <c r="BW112" s="243">
        <f t="shared" si="95"/>
        <v>2738.2109129153177</v>
      </c>
      <c r="BX112" s="244">
        <f t="shared" si="91"/>
        <v>-51738.047447499994</v>
      </c>
      <c r="BY112" s="244">
        <f t="shared" si="50"/>
        <v>54476.258360415311</v>
      </c>
      <c r="BZ112" s="244">
        <f t="shared" si="96"/>
        <v>-13339</v>
      </c>
      <c r="CA112" s="248">
        <f t="shared" si="93"/>
        <v>16077.210912915318</v>
      </c>
    </row>
    <row r="113" spans="1:79" s="83" customFormat="1" ht="22" customHeight="1">
      <c r="A113" s="107" t="s">
        <v>207</v>
      </c>
      <c r="B113" s="108"/>
      <c r="C113" s="108"/>
      <c r="D113" s="108"/>
      <c r="E113" s="249">
        <v>0</v>
      </c>
      <c r="F113" s="250">
        <f>+ﾇｰﾍﾞﾙﾌﾟｰｽ!W112/1000</f>
        <v>0</v>
      </c>
      <c r="G113" s="251">
        <f t="shared" ref="G113:G119" si="97">+E113-F113</f>
        <v>0</v>
      </c>
      <c r="H113" s="250">
        <v>0</v>
      </c>
      <c r="I113" s="252">
        <f t="shared" si="52"/>
        <v>0</v>
      </c>
      <c r="J113" s="253">
        <v>0</v>
      </c>
      <c r="K113" s="250">
        <f>+ｶﾌｪﾙﾎﾟ!W112/1000</f>
        <v>0</v>
      </c>
      <c r="L113" s="251">
        <f t="shared" ref="L113:L119" si="98">+J113-K113</f>
        <v>0</v>
      </c>
      <c r="M113" s="250">
        <v>0</v>
      </c>
      <c r="N113" s="254">
        <f t="shared" si="54"/>
        <v>0</v>
      </c>
      <c r="O113" s="255">
        <v>0</v>
      </c>
      <c r="P113" s="250">
        <f>+ｶﾌｪｾﾚｽﾃ!W112/1000</f>
        <v>0</v>
      </c>
      <c r="Q113" s="251">
        <f t="shared" ref="Q113:Q119" si="99">+O113-P113</f>
        <v>0</v>
      </c>
      <c r="R113" s="250">
        <v>0</v>
      </c>
      <c r="S113" s="252">
        <f t="shared" si="56"/>
        <v>0</v>
      </c>
      <c r="T113" s="249">
        <f t="shared" si="57"/>
        <v>0</v>
      </c>
      <c r="U113" s="250">
        <f t="shared" si="58"/>
        <v>0</v>
      </c>
      <c r="V113" s="251">
        <f t="shared" ref="V113:V118" si="100">+T113-U113</f>
        <v>0</v>
      </c>
      <c r="W113" s="250">
        <f t="shared" si="60"/>
        <v>0</v>
      </c>
      <c r="X113" s="256">
        <f t="shared" si="61"/>
        <v>0</v>
      </c>
      <c r="Y113" s="255"/>
      <c r="Z113" s="250"/>
      <c r="AA113" s="251">
        <f t="shared" ref="AA113:AA119" si="101">+Y113-Z113</f>
        <v>0</v>
      </c>
      <c r="AB113" s="250">
        <v>0</v>
      </c>
      <c r="AC113" s="254">
        <f t="shared" si="63"/>
        <v>0</v>
      </c>
      <c r="AD113" s="255">
        <v>0</v>
      </c>
      <c r="AE113" s="250">
        <f>+ｼﾞｭｴﾙｽﾞ!W112/1000</f>
        <v>0</v>
      </c>
      <c r="AF113" s="251">
        <f t="shared" ref="AF113:AF119" si="102">+AD113-AE113</f>
        <v>0</v>
      </c>
      <c r="AG113" s="250">
        <v>0</v>
      </c>
      <c r="AH113" s="256">
        <f t="shared" si="65"/>
        <v>0</v>
      </c>
      <c r="AI113" s="249">
        <f t="shared" si="66"/>
        <v>0</v>
      </c>
      <c r="AJ113" s="250">
        <f t="shared" si="67"/>
        <v>0</v>
      </c>
      <c r="AK113" s="251">
        <f t="shared" ref="AK113:AK119" si="103">+AI113-AJ113</f>
        <v>0</v>
      </c>
      <c r="AL113" s="250">
        <f t="shared" si="69"/>
        <v>0</v>
      </c>
      <c r="AM113" s="256">
        <f t="shared" si="70"/>
        <v>0</v>
      </c>
      <c r="AN113" s="249">
        <v>0</v>
      </c>
      <c r="AO113" s="250">
        <f>+ｶﾞｰﾃﾞﾝ!W112/1000</f>
        <v>0</v>
      </c>
      <c r="AP113" s="251">
        <f t="shared" ref="AP113:AP119" si="104">+AN113-AO113</f>
        <v>0</v>
      </c>
      <c r="AQ113" s="250">
        <v>0</v>
      </c>
      <c r="AR113" s="252">
        <f t="shared" si="72"/>
        <v>0</v>
      </c>
      <c r="AS113" s="253">
        <v>0</v>
      </c>
      <c r="AT113" s="250">
        <f>+ﾋﾞｱｶﾞｰﾃﾞﾝ!W112/1000</f>
        <v>0</v>
      </c>
      <c r="AU113" s="251">
        <f t="shared" ref="AU113:AU119" si="105">+AS113-AT113</f>
        <v>0</v>
      </c>
      <c r="AV113" s="250">
        <v>0</v>
      </c>
      <c r="AW113" s="256">
        <f t="shared" si="74"/>
        <v>0</v>
      </c>
      <c r="AX113" s="249">
        <f t="shared" si="75"/>
        <v>0</v>
      </c>
      <c r="AY113" s="250">
        <f t="shared" si="76"/>
        <v>0</v>
      </c>
      <c r="AZ113" s="251">
        <f t="shared" si="77"/>
        <v>0</v>
      </c>
      <c r="BA113" s="250">
        <f t="shared" si="78"/>
        <v>0</v>
      </c>
      <c r="BB113" s="256">
        <f t="shared" si="79"/>
        <v>0</v>
      </c>
      <c r="BC113" s="249">
        <v>0</v>
      </c>
      <c r="BD113" s="250">
        <f>+ブリック!W112/1000</f>
        <v>0</v>
      </c>
      <c r="BE113" s="251">
        <f t="shared" ref="BE113:BE119" si="106">+BC113-BD113</f>
        <v>0</v>
      </c>
      <c r="BF113" s="250"/>
      <c r="BG113" s="252">
        <f t="shared" si="81"/>
        <v>0</v>
      </c>
      <c r="BH113" s="253">
        <v>0</v>
      </c>
      <c r="BI113" s="250">
        <f>+ルスツ羊蹄ぶた!W112/1000</f>
        <v>0</v>
      </c>
      <c r="BJ113" s="251">
        <f t="shared" ref="BJ113:BJ119" si="107">+BH113-BI113</f>
        <v>0</v>
      </c>
      <c r="BK113" s="250"/>
      <c r="BL113" s="256">
        <f t="shared" si="83"/>
        <v>0</v>
      </c>
      <c r="BM113" s="249">
        <f t="shared" si="94"/>
        <v>0</v>
      </c>
      <c r="BN113" s="250">
        <f t="shared" si="84"/>
        <v>0</v>
      </c>
      <c r="BO113" s="251">
        <f t="shared" si="85"/>
        <v>0</v>
      </c>
      <c r="BP113" s="250">
        <f t="shared" si="86"/>
        <v>0</v>
      </c>
      <c r="BQ113" s="256">
        <f t="shared" si="87"/>
        <v>0</v>
      </c>
      <c r="BR113" s="249">
        <v>0</v>
      </c>
      <c r="BS113" s="250">
        <f>+料飲共通!W112/1000</f>
        <v>0</v>
      </c>
      <c r="BT113" s="251">
        <f t="shared" ref="BT113:BT119" si="108">+BR113-BS113</f>
        <v>0</v>
      </c>
      <c r="BU113" s="250">
        <v>0</v>
      </c>
      <c r="BV113" s="256">
        <f t="shared" si="89"/>
        <v>0</v>
      </c>
      <c r="BW113" s="249">
        <f t="shared" si="95"/>
        <v>0</v>
      </c>
      <c r="BX113" s="250">
        <f t="shared" si="91"/>
        <v>0</v>
      </c>
      <c r="BY113" s="251">
        <f t="shared" si="50"/>
        <v>0</v>
      </c>
      <c r="BZ113" s="250">
        <f t="shared" si="96"/>
        <v>0</v>
      </c>
      <c r="CA113" s="256">
        <f t="shared" si="93"/>
        <v>0</v>
      </c>
    </row>
    <row r="114" spans="1:79" s="83" customFormat="1" ht="22" hidden="1" customHeight="1" outlineLevel="1">
      <c r="A114" s="109"/>
      <c r="B114" s="102" t="s">
        <v>209</v>
      </c>
      <c r="C114" s="86"/>
      <c r="D114" s="86"/>
      <c r="E114" s="191">
        <v>0</v>
      </c>
      <c r="F114" s="192">
        <f>+ﾇｰﾍﾞﾙﾌﾟｰｽ!W113/1000</f>
        <v>0</v>
      </c>
      <c r="G114" s="193">
        <f t="shared" si="97"/>
        <v>0</v>
      </c>
      <c r="H114" s="192">
        <v>0</v>
      </c>
      <c r="I114" s="194">
        <f t="shared" si="52"/>
        <v>0</v>
      </c>
      <c r="J114" s="195">
        <v>0</v>
      </c>
      <c r="K114" s="192">
        <f>+ｶﾌｪﾙﾎﾟ!W113/1000</f>
        <v>0</v>
      </c>
      <c r="L114" s="193">
        <f t="shared" si="98"/>
        <v>0</v>
      </c>
      <c r="M114" s="192">
        <v>0</v>
      </c>
      <c r="N114" s="196">
        <f t="shared" si="54"/>
        <v>0</v>
      </c>
      <c r="O114" s="197">
        <v>0</v>
      </c>
      <c r="P114" s="192">
        <f>+ｶﾌｪｾﾚｽﾃ!W113/1000</f>
        <v>0</v>
      </c>
      <c r="Q114" s="193">
        <f t="shared" si="99"/>
        <v>0</v>
      </c>
      <c r="R114" s="192">
        <v>0</v>
      </c>
      <c r="S114" s="194">
        <f t="shared" si="56"/>
        <v>0</v>
      </c>
      <c r="T114" s="191">
        <f t="shared" si="57"/>
        <v>0</v>
      </c>
      <c r="U114" s="192">
        <f t="shared" si="58"/>
        <v>0</v>
      </c>
      <c r="V114" s="193">
        <f t="shared" si="100"/>
        <v>0</v>
      </c>
      <c r="W114" s="192">
        <f t="shared" si="60"/>
        <v>0</v>
      </c>
      <c r="X114" s="198">
        <f t="shared" si="61"/>
        <v>0</v>
      </c>
      <c r="Y114" s="197"/>
      <c r="Z114" s="192"/>
      <c r="AA114" s="193">
        <f t="shared" si="101"/>
        <v>0</v>
      </c>
      <c r="AB114" s="192">
        <v>0</v>
      </c>
      <c r="AC114" s="196">
        <f t="shared" si="63"/>
        <v>0</v>
      </c>
      <c r="AD114" s="197">
        <v>0</v>
      </c>
      <c r="AE114" s="192">
        <f>+ｼﾞｭｴﾙｽﾞ!W113/1000</f>
        <v>0</v>
      </c>
      <c r="AF114" s="193">
        <f t="shared" si="102"/>
        <v>0</v>
      </c>
      <c r="AG114" s="192">
        <v>0</v>
      </c>
      <c r="AH114" s="198">
        <f t="shared" si="65"/>
        <v>0</v>
      </c>
      <c r="AI114" s="191">
        <f t="shared" si="66"/>
        <v>0</v>
      </c>
      <c r="AJ114" s="192">
        <f t="shared" si="67"/>
        <v>0</v>
      </c>
      <c r="AK114" s="193">
        <f t="shared" si="103"/>
        <v>0</v>
      </c>
      <c r="AL114" s="192">
        <f t="shared" si="69"/>
        <v>0</v>
      </c>
      <c r="AM114" s="198">
        <f t="shared" si="70"/>
        <v>0</v>
      </c>
      <c r="AN114" s="191">
        <v>0</v>
      </c>
      <c r="AO114" s="192">
        <f>+ｶﾞｰﾃﾞﾝ!W113/1000</f>
        <v>0</v>
      </c>
      <c r="AP114" s="193">
        <f t="shared" si="104"/>
        <v>0</v>
      </c>
      <c r="AQ114" s="192">
        <v>0</v>
      </c>
      <c r="AR114" s="194">
        <f t="shared" si="72"/>
        <v>0</v>
      </c>
      <c r="AS114" s="195">
        <v>0</v>
      </c>
      <c r="AT114" s="192">
        <f>+ﾋﾞｱｶﾞｰﾃﾞﾝ!W113/1000</f>
        <v>0</v>
      </c>
      <c r="AU114" s="193">
        <f t="shared" si="105"/>
        <v>0</v>
      </c>
      <c r="AV114" s="192">
        <v>0</v>
      </c>
      <c r="AW114" s="198">
        <f t="shared" si="74"/>
        <v>0</v>
      </c>
      <c r="AX114" s="191">
        <f t="shared" si="75"/>
        <v>0</v>
      </c>
      <c r="AY114" s="192">
        <f t="shared" si="76"/>
        <v>0</v>
      </c>
      <c r="AZ114" s="193">
        <f t="shared" si="77"/>
        <v>0</v>
      </c>
      <c r="BA114" s="192">
        <f t="shared" si="78"/>
        <v>0</v>
      </c>
      <c r="BB114" s="198">
        <f t="shared" si="79"/>
        <v>0</v>
      </c>
      <c r="BC114" s="191">
        <v>0</v>
      </c>
      <c r="BD114" s="192">
        <f>+ブリック!W113/1000</f>
        <v>0</v>
      </c>
      <c r="BE114" s="193">
        <f t="shared" si="106"/>
        <v>0</v>
      </c>
      <c r="BF114" s="192"/>
      <c r="BG114" s="194">
        <f t="shared" si="81"/>
        <v>0</v>
      </c>
      <c r="BH114" s="195">
        <v>0</v>
      </c>
      <c r="BI114" s="192">
        <f>+ルスツ羊蹄ぶた!W113/1000</f>
        <v>0</v>
      </c>
      <c r="BJ114" s="193">
        <f t="shared" si="107"/>
        <v>0</v>
      </c>
      <c r="BK114" s="192"/>
      <c r="BL114" s="198">
        <f t="shared" si="83"/>
        <v>0</v>
      </c>
      <c r="BM114" s="191">
        <f t="shared" si="94"/>
        <v>0</v>
      </c>
      <c r="BN114" s="192">
        <f t="shared" si="84"/>
        <v>0</v>
      </c>
      <c r="BO114" s="193">
        <f t="shared" si="85"/>
        <v>0</v>
      </c>
      <c r="BP114" s="192">
        <f t="shared" si="86"/>
        <v>0</v>
      </c>
      <c r="BQ114" s="198">
        <f t="shared" si="87"/>
        <v>0</v>
      </c>
      <c r="BR114" s="191">
        <v>0</v>
      </c>
      <c r="BS114" s="192">
        <f>+料飲共通!W113/1000</f>
        <v>0</v>
      </c>
      <c r="BT114" s="193">
        <f t="shared" si="108"/>
        <v>0</v>
      </c>
      <c r="BU114" s="192">
        <v>0</v>
      </c>
      <c r="BV114" s="198">
        <f t="shared" si="89"/>
        <v>0</v>
      </c>
      <c r="BW114" s="191">
        <f t="shared" si="95"/>
        <v>0</v>
      </c>
      <c r="BX114" s="192">
        <f t="shared" si="91"/>
        <v>0</v>
      </c>
      <c r="BY114" s="193">
        <f t="shared" si="50"/>
        <v>0</v>
      </c>
      <c r="BZ114" s="192">
        <f t="shared" si="96"/>
        <v>0</v>
      </c>
      <c r="CA114" s="198">
        <f t="shared" si="93"/>
        <v>0</v>
      </c>
    </row>
    <row r="115" spans="1:79" s="83" customFormat="1" ht="22" hidden="1" customHeight="1" outlineLevel="1" thickBot="1">
      <c r="A115" s="110"/>
      <c r="B115" s="85" t="s">
        <v>191</v>
      </c>
      <c r="C115" s="86"/>
      <c r="D115" s="86"/>
      <c r="E115" s="191">
        <v>0</v>
      </c>
      <c r="F115" s="192">
        <f>+ﾇｰﾍﾞﾙﾌﾟｰｽ!W114/1000</f>
        <v>0</v>
      </c>
      <c r="G115" s="193">
        <f t="shared" si="97"/>
        <v>0</v>
      </c>
      <c r="H115" s="192">
        <v>0</v>
      </c>
      <c r="I115" s="194">
        <f t="shared" si="52"/>
        <v>0</v>
      </c>
      <c r="J115" s="195">
        <v>0</v>
      </c>
      <c r="K115" s="192">
        <f>+ｶﾌｪﾙﾎﾟ!W114/1000</f>
        <v>0</v>
      </c>
      <c r="L115" s="193">
        <f t="shared" si="98"/>
        <v>0</v>
      </c>
      <c r="M115" s="192">
        <v>0</v>
      </c>
      <c r="N115" s="196">
        <f t="shared" si="54"/>
        <v>0</v>
      </c>
      <c r="O115" s="197">
        <v>0</v>
      </c>
      <c r="P115" s="192">
        <f>+ｶﾌｪｾﾚｽﾃ!W114/1000</f>
        <v>0</v>
      </c>
      <c r="Q115" s="193">
        <f t="shared" si="99"/>
        <v>0</v>
      </c>
      <c r="R115" s="192">
        <v>0</v>
      </c>
      <c r="S115" s="194">
        <f t="shared" si="56"/>
        <v>0</v>
      </c>
      <c r="T115" s="191">
        <f t="shared" si="57"/>
        <v>0</v>
      </c>
      <c r="U115" s="192">
        <f t="shared" si="58"/>
        <v>0</v>
      </c>
      <c r="V115" s="193">
        <f t="shared" si="100"/>
        <v>0</v>
      </c>
      <c r="W115" s="192">
        <f t="shared" si="60"/>
        <v>0</v>
      </c>
      <c r="X115" s="198">
        <f t="shared" si="61"/>
        <v>0</v>
      </c>
      <c r="Y115" s="197"/>
      <c r="Z115" s="192"/>
      <c r="AA115" s="193">
        <f t="shared" si="101"/>
        <v>0</v>
      </c>
      <c r="AB115" s="192">
        <v>0</v>
      </c>
      <c r="AC115" s="196">
        <f t="shared" si="63"/>
        <v>0</v>
      </c>
      <c r="AD115" s="197">
        <v>0</v>
      </c>
      <c r="AE115" s="192">
        <f>+ｼﾞｭｴﾙｽﾞ!W114/1000</f>
        <v>0</v>
      </c>
      <c r="AF115" s="193">
        <f t="shared" si="102"/>
        <v>0</v>
      </c>
      <c r="AG115" s="192">
        <v>0</v>
      </c>
      <c r="AH115" s="198">
        <f t="shared" si="65"/>
        <v>0</v>
      </c>
      <c r="AI115" s="191">
        <f t="shared" si="66"/>
        <v>0</v>
      </c>
      <c r="AJ115" s="192">
        <f t="shared" si="67"/>
        <v>0</v>
      </c>
      <c r="AK115" s="193">
        <f t="shared" si="103"/>
        <v>0</v>
      </c>
      <c r="AL115" s="192">
        <f t="shared" si="69"/>
        <v>0</v>
      </c>
      <c r="AM115" s="198">
        <f t="shared" si="70"/>
        <v>0</v>
      </c>
      <c r="AN115" s="191">
        <v>0</v>
      </c>
      <c r="AO115" s="192">
        <f>+ｶﾞｰﾃﾞﾝ!W114/1000</f>
        <v>0</v>
      </c>
      <c r="AP115" s="193">
        <f t="shared" si="104"/>
        <v>0</v>
      </c>
      <c r="AQ115" s="192">
        <v>0</v>
      </c>
      <c r="AR115" s="194">
        <f t="shared" si="72"/>
        <v>0</v>
      </c>
      <c r="AS115" s="195">
        <v>0</v>
      </c>
      <c r="AT115" s="192">
        <f>+ﾋﾞｱｶﾞｰﾃﾞﾝ!W114/1000</f>
        <v>0</v>
      </c>
      <c r="AU115" s="193">
        <f t="shared" si="105"/>
        <v>0</v>
      </c>
      <c r="AV115" s="192">
        <v>0</v>
      </c>
      <c r="AW115" s="198">
        <f t="shared" si="74"/>
        <v>0</v>
      </c>
      <c r="AX115" s="191">
        <f t="shared" si="75"/>
        <v>0</v>
      </c>
      <c r="AY115" s="192">
        <f t="shared" si="76"/>
        <v>0</v>
      </c>
      <c r="AZ115" s="193">
        <f t="shared" si="77"/>
        <v>0</v>
      </c>
      <c r="BA115" s="192">
        <f t="shared" si="78"/>
        <v>0</v>
      </c>
      <c r="BB115" s="198">
        <f t="shared" si="79"/>
        <v>0</v>
      </c>
      <c r="BC115" s="191">
        <v>0</v>
      </c>
      <c r="BD115" s="192">
        <f>+ブリック!W114/1000</f>
        <v>0</v>
      </c>
      <c r="BE115" s="193">
        <f t="shared" si="106"/>
        <v>0</v>
      </c>
      <c r="BF115" s="192"/>
      <c r="BG115" s="194">
        <f t="shared" si="81"/>
        <v>0</v>
      </c>
      <c r="BH115" s="195">
        <v>0</v>
      </c>
      <c r="BI115" s="192">
        <f>+ルスツ羊蹄ぶた!W114/1000</f>
        <v>0</v>
      </c>
      <c r="BJ115" s="193">
        <f t="shared" si="107"/>
        <v>0</v>
      </c>
      <c r="BK115" s="192"/>
      <c r="BL115" s="198">
        <f t="shared" si="83"/>
        <v>0</v>
      </c>
      <c r="BM115" s="191">
        <f t="shared" si="94"/>
        <v>0</v>
      </c>
      <c r="BN115" s="192">
        <f t="shared" si="84"/>
        <v>0</v>
      </c>
      <c r="BO115" s="193">
        <f t="shared" si="85"/>
        <v>0</v>
      </c>
      <c r="BP115" s="192">
        <f t="shared" si="86"/>
        <v>0</v>
      </c>
      <c r="BQ115" s="198">
        <f t="shared" si="87"/>
        <v>0</v>
      </c>
      <c r="BR115" s="191">
        <v>0</v>
      </c>
      <c r="BS115" s="192">
        <f>+料飲共通!W114/1000</f>
        <v>0</v>
      </c>
      <c r="BT115" s="193">
        <f t="shared" si="108"/>
        <v>0</v>
      </c>
      <c r="BU115" s="192">
        <v>0</v>
      </c>
      <c r="BV115" s="198">
        <f t="shared" si="89"/>
        <v>0</v>
      </c>
      <c r="BW115" s="191">
        <f t="shared" si="95"/>
        <v>0</v>
      </c>
      <c r="BX115" s="192">
        <f t="shared" si="91"/>
        <v>0</v>
      </c>
      <c r="BY115" s="193">
        <f t="shared" si="50"/>
        <v>0</v>
      </c>
      <c r="BZ115" s="192">
        <f t="shared" si="96"/>
        <v>0</v>
      </c>
      <c r="CA115" s="198">
        <f t="shared" si="93"/>
        <v>0</v>
      </c>
    </row>
    <row r="116" spans="1:79" s="83" customFormat="1" ht="22" customHeight="1" collapsed="1" thickBot="1">
      <c r="A116" s="112" t="s">
        <v>212</v>
      </c>
      <c r="B116" s="113"/>
      <c r="C116" s="113"/>
      <c r="D116" s="113"/>
      <c r="E116" s="257">
        <v>0</v>
      </c>
      <c r="F116" s="258">
        <f>+ﾇｰﾍﾞﾙﾌﾟｰｽ!W115/1000</f>
        <v>0</v>
      </c>
      <c r="G116" s="259">
        <f t="shared" si="97"/>
        <v>0</v>
      </c>
      <c r="H116" s="258">
        <v>0</v>
      </c>
      <c r="I116" s="260">
        <f t="shared" si="52"/>
        <v>0</v>
      </c>
      <c r="J116" s="261">
        <v>0</v>
      </c>
      <c r="K116" s="258">
        <f>+ｶﾌｪﾙﾎﾟ!W115/1000</f>
        <v>0</v>
      </c>
      <c r="L116" s="259">
        <f t="shared" si="98"/>
        <v>0</v>
      </c>
      <c r="M116" s="258">
        <v>0</v>
      </c>
      <c r="N116" s="262">
        <f t="shared" si="54"/>
        <v>0</v>
      </c>
      <c r="O116" s="263">
        <v>0</v>
      </c>
      <c r="P116" s="258">
        <f>+ｶﾌｪｾﾚｽﾃ!W115/1000</f>
        <v>0</v>
      </c>
      <c r="Q116" s="259">
        <f t="shared" si="99"/>
        <v>0</v>
      </c>
      <c r="R116" s="258">
        <v>0</v>
      </c>
      <c r="S116" s="260">
        <f t="shared" si="56"/>
        <v>0</v>
      </c>
      <c r="T116" s="257">
        <f t="shared" si="57"/>
        <v>0</v>
      </c>
      <c r="U116" s="258">
        <f t="shared" si="58"/>
        <v>0</v>
      </c>
      <c r="V116" s="259">
        <f t="shared" si="100"/>
        <v>0</v>
      </c>
      <c r="W116" s="258">
        <f t="shared" si="60"/>
        <v>0</v>
      </c>
      <c r="X116" s="264">
        <f t="shared" si="61"/>
        <v>0</v>
      </c>
      <c r="Y116" s="263"/>
      <c r="Z116" s="258"/>
      <c r="AA116" s="259">
        <f t="shared" si="101"/>
        <v>0</v>
      </c>
      <c r="AB116" s="258">
        <v>0</v>
      </c>
      <c r="AC116" s="262">
        <f t="shared" si="63"/>
        <v>0</v>
      </c>
      <c r="AD116" s="263">
        <v>0</v>
      </c>
      <c r="AE116" s="258">
        <f>+ｼﾞｭｴﾙｽﾞ!W115/1000</f>
        <v>0</v>
      </c>
      <c r="AF116" s="259">
        <f t="shared" si="102"/>
        <v>0</v>
      </c>
      <c r="AG116" s="258">
        <v>0</v>
      </c>
      <c r="AH116" s="264">
        <f t="shared" si="65"/>
        <v>0</v>
      </c>
      <c r="AI116" s="257">
        <f t="shared" si="66"/>
        <v>0</v>
      </c>
      <c r="AJ116" s="258">
        <f t="shared" si="67"/>
        <v>0</v>
      </c>
      <c r="AK116" s="259">
        <f t="shared" si="103"/>
        <v>0</v>
      </c>
      <c r="AL116" s="258">
        <f t="shared" si="69"/>
        <v>0</v>
      </c>
      <c r="AM116" s="264">
        <f t="shared" si="70"/>
        <v>0</v>
      </c>
      <c r="AN116" s="257">
        <v>0</v>
      </c>
      <c r="AO116" s="258">
        <f>+ｶﾞｰﾃﾞﾝ!W115/1000</f>
        <v>0</v>
      </c>
      <c r="AP116" s="259">
        <f t="shared" si="104"/>
        <v>0</v>
      </c>
      <c r="AQ116" s="258">
        <v>0</v>
      </c>
      <c r="AR116" s="260">
        <f t="shared" si="72"/>
        <v>0</v>
      </c>
      <c r="AS116" s="261">
        <v>0</v>
      </c>
      <c r="AT116" s="258">
        <f>+ﾋﾞｱｶﾞｰﾃﾞﾝ!W115/1000</f>
        <v>0</v>
      </c>
      <c r="AU116" s="259">
        <f t="shared" si="105"/>
        <v>0</v>
      </c>
      <c r="AV116" s="258">
        <v>0</v>
      </c>
      <c r="AW116" s="264">
        <f t="shared" si="74"/>
        <v>0</v>
      </c>
      <c r="AX116" s="257">
        <f t="shared" si="75"/>
        <v>0</v>
      </c>
      <c r="AY116" s="258">
        <f t="shared" si="76"/>
        <v>0</v>
      </c>
      <c r="AZ116" s="259">
        <f t="shared" si="77"/>
        <v>0</v>
      </c>
      <c r="BA116" s="258">
        <f t="shared" si="78"/>
        <v>0</v>
      </c>
      <c r="BB116" s="264">
        <f t="shared" si="79"/>
        <v>0</v>
      </c>
      <c r="BC116" s="257">
        <v>0</v>
      </c>
      <c r="BD116" s="258">
        <f>+ブリック!W115/1000</f>
        <v>0</v>
      </c>
      <c r="BE116" s="259">
        <f t="shared" si="106"/>
        <v>0</v>
      </c>
      <c r="BF116" s="258"/>
      <c r="BG116" s="260">
        <f t="shared" si="81"/>
        <v>0</v>
      </c>
      <c r="BH116" s="261">
        <v>0</v>
      </c>
      <c r="BI116" s="258">
        <f>+ルスツ羊蹄ぶた!W115/1000</f>
        <v>0</v>
      </c>
      <c r="BJ116" s="259">
        <f t="shared" si="107"/>
        <v>0</v>
      </c>
      <c r="BK116" s="258"/>
      <c r="BL116" s="264">
        <f t="shared" si="83"/>
        <v>0</v>
      </c>
      <c r="BM116" s="257">
        <f t="shared" si="94"/>
        <v>0</v>
      </c>
      <c r="BN116" s="258">
        <f t="shared" si="84"/>
        <v>0</v>
      </c>
      <c r="BO116" s="259">
        <f t="shared" si="85"/>
        <v>0</v>
      </c>
      <c r="BP116" s="258">
        <f t="shared" si="86"/>
        <v>0</v>
      </c>
      <c r="BQ116" s="264">
        <f t="shared" si="87"/>
        <v>0</v>
      </c>
      <c r="BR116" s="257">
        <v>0</v>
      </c>
      <c r="BS116" s="258">
        <f>+料飲共通!W115/1000</f>
        <v>0</v>
      </c>
      <c r="BT116" s="259">
        <f t="shared" si="108"/>
        <v>0</v>
      </c>
      <c r="BU116" s="258">
        <v>0</v>
      </c>
      <c r="BV116" s="264">
        <f t="shared" si="89"/>
        <v>0</v>
      </c>
      <c r="BW116" s="257">
        <f t="shared" si="95"/>
        <v>0</v>
      </c>
      <c r="BX116" s="258">
        <f t="shared" si="91"/>
        <v>0</v>
      </c>
      <c r="BY116" s="259">
        <f t="shared" si="50"/>
        <v>0</v>
      </c>
      <c r="BZ116" s="258">
        <f t="shared" si="96"/>
        <v>0</v>
      </c>
      <c r="CA116" s="264">
        <f t="shared" si="93"/>
        <v>0</v>
      </c>
    </row>
    <row r="117" spans="1:79" s="83" customFormat="1" ht="22" hidden="1" customHeight="1" outlineLevel="1" thickBot="1">
      <c r="A117" s="109"/>
      <c r="B117" s="102" t="s">
        <v>214</v>
      </c>
      <c r="C117" s="86"/>
      <c r="D117" s="86"/>
      <c r="E117" s="191">
        <v>0</v>
      </c>
      <c r="F117" s="192">
        <f>+ﾇｰﾍﾞﾙﾌﾟｰｽ!W116/1000</f>
        <v>0</v>
      </c>
      <c r="G117" s="192">
        <f t="shared" si="97"/>
        <v>0</v>
      </c>
      <c r="H117" s="192">
        <v>0</v>
      </c>
      <c r="I117" s="197">
        <f t="shared" si="52"/>
        <v>0</v>
      </c>
      <c r="J117" s="195">
        <v>0</v>
      </c>
      <c r="K117" s="192">
        <f>+ｶﾌｪﾙﾎﾟ!W116/1000</f>
        <v>0</v>
      </c>
      <c r="L117" s="192">
        <f t="shared" si="98"/>
        <v>0</v>
      </c>
      <c r="M117" s="192">
        <v>0</v>
      </c>
      <c r="N117" s="265">
        <f t="shared" si="54"/>
        <v>0</v>
      </c>
      <c r="O117" s="197">
        <v>0</v>
      </c>
      <c r="P117" s="192">
        <f>+ｶﾌｪｾﾚｽﾃ!W116/1000</f>
        <v>0</v>
      </c>
      <c r="Q117" s="192">
        <f t="shared" si="99"/>
        <v>0</v>
      </c>
      <c r="R117" s="192">
        <v>0</v>
      </c>
      <c r="S117" s="197">
        <f t="shared" si="56"/>
        <v>0</v>
      </c>
      <c r="T117" s="191">
        <f t="shared" si="57"/>
        <v>0</v>
      </c>
      <c r="U117" s="192">
        <f t="shared" si="58"/>
        <v>0</v>
      </c>
      <c r="V117" s="192">
        <f t="shared" si="100"/>
        <v>0</v>
      </c>
      <c r="W117" s="192">
        <f t="shared" si="60"/>
        <v>0</v>
      </c>
      <c r="X117" s="266">
        <f t="shared" si="61"/>
        <v>0</v>
      </c>
      <c r="Y117" s="197"/>
      <c r="Z117" s="192"/>
      <c r="AA117" s="192">
        <f t="shared" si="101"/>
        <v>0</v>
      </c>
      <c r="AB117" s="192">
        <v>0</v>
      </c>
      <c r="AC117" s="265">
        <f t="shared" si="63"/>
        <v>0</v>
      </c>
      <c r="AD117" s="197">
        <v>0</v>
      </c>
      <c r="AE117" s="192">
        <f>+ｼﾞｭｴﾙｽﾞ!W116/1000</f>
        <v>0</v>
      </c>
      <c r="AF117" s="192">
        <f t="shared" si="102"/>
        <v>0</v>
      </c>
      <c r="AG117" s="192">
        <v>0</v>
      </c>
      <c r="AH117" s="266">
        <f t="shared" si="65"/>
        <v>0</v>
      </c>
      <c r="AI117" s="191">
        <f t="shared" si="66"/>
        <v>0</v>
      </c>
      <c r="AJ117" s="192">
        <f t="shared" si="67"/>
        <v>0</v>
      </c>
      <c r="AK117" s="192">
        <f t="shared" si="103"/>
        <v>0</v>
      </c>
      <c r="AL117" s="192">
        <f t="shared" si="69"/>
        <v>0</v>
      </c>
      <c r="AM117" s="266">
        <f t="shared" si="70"/>
        <v>0</v>
      </c>
      <c r="AN117" s="191">
        <v>0</v>
      </c>
      <c r="AO117" s="192">
        <f>+ｶﾞｰﾃﾞﾝ!W116/1000</f>
        <v>0</v>
      </c>
      <c r="AP117" s="192">
        <f t="shared" si="104"/>
        <v>0</v>
      </c>
      <c r="AQ117" s="192">
        <v>0</v>
      </c>
      <c r="AR117" s="197">
        <f t="shared" si="72"/>
        <v>0</v>
      </c>
      <c r="AS117" s="195">
        <v>0</v>
      </c>
      <c r="AT117" s="192">
        <f>+ﾋﾞｱｶﾞｰﾃﾞﾝ!W116/1000</f>
        <v>0</v>
      </c>
      <c r="AU117" s="192">
        <f t="shared" si="105"/>
        <v>0</v>
      </c>
      <c r="AV117" s="192">
        <v>0</v>
      </c>
      <c r="AW117" s="266">
        <f t="shared" si="74"/>
        <v>0</v>
      </c>
      <c r="AX117" s="191">
        <f t="shared" si="75"/>
        <v>0</v>
      </c>
      <c r="AY117" s="192">
        <f t="shared" si="76"/>
        <v>0</v>
      </c>
      <c r="AZ117" s="192">
        <f t="shared" si="77"/>
        <v>0</v>
      </c>
      <c r="BA117" s="192">
        <f t="shared" si="78"/>
        <v>0</v>
      </c>
      <c r="BB117" s="266">
        <f t="shared" si="79"/>
        <v>0</v>
      </c>
      <c r="BC117" s="191">
        <v>0</v>
      </c>
      <c r="BD117" s="192">
        <f>+ブリック!W116/1000</f>
        <v>0</v>
      </c>
      <c r="BE117" s="192">
        <f t="shared" si="106"/>
        <v>0</v>
      </c>
      <c r="BF117" s="192"/>
      <c r="BG117" s="197">
        <f t="shared" si="81"/>
        <v>0</v>
      </c>
      <c r="BH117" s="195">
        <v>0</v>
      </c>
      <c r="BI117" s="192">
        <f>+ルスツ羊蹄ぶた!W116/1000</f>
        <v>0</v>
      </c>
      <c r="BJ117" s="192">
        <f t="shared" si="107"/>
        <v>0</v>
      </c>
      <c r="BK117" s="192"/>
      <c r="BL117" s="266">
        <f t="shared" si="83"/>
        <v>0</v>
      </c>
      <c r="BM117" s="191">
        <f t="shared" si="94"/>
        <v>0</v>
      </c>
      <c r="BN117" s="192">
        <f t="shared" si="84"/>
        <v>0</v>
      </c>
      <c r="BO117" s="192">
        <f t="shared" si="85"/>
        <v>0</v>
      </c>
      <c r="BP117" s="192">
        <f t="shared" si="86"/>
        <v>0</v>
      </c>
      <c r="BQ117" s="266">
        <f t="shared" si="87"/>
        <v>0</v>
      </c>
      <c r="BR117" s="191">
        <v>0</v>
      </c>
      <c r="BS117" s="192">
        <f>+料飲共通!W116/1000</f>
        <v>0</v>
      </c>
      <c r="BT117" s="192">
        <f t="shared" si="108"/>
        <v>0</v>
      </c>
      <c r="BU117" s="192">
        <v>0</v>
      </c>
      <c r="BV117" s="266">
        <f t="shared" si="89"/>
        <v>0</v>
      </c>
      <c r="BW117" s="191">
        <f t="shared" si="95"/>
        <v>0</v>
      </c>
      <c r="BX117" s="192">
        <f t="shared" si="91"/>
        <v>0</v>
      </c>
      <c r="BY117" s="192">
        <f t="shared" si="50"/>
        <v>0</v>
      </c>
      <c r="BZ117" s="192">
        <f t="shared" si="96"/>
        <v>0</v>
      </c>
      <c r="CA117" s="266">
        <f t="shared" si="93"/>
        <v>0</v>
      </c>
    </row>
    <row r="118" spans="1:79" s="83" customFormat="1" ht="22" hidden="1" customHeight="1" outlineLevel="1" thickBot="1">
      <c r="A118" s="110"/>
      <c r="B118" s="85" t="s">
        <v>191</v>
      </c>
      <c r="C118" s="86"/>
      <c r="D118" s="86"/>
      <c r="E118" s="191">
        <v>0</v>
      </c>
      <c r="F118" s="192">
        <f>+ﾇｰﾍﾞﾙﾌﾟｰｽ!W117/1000</f>
        <v>0</v>
      </c>
      <c r="G118" s="192">
        <f t="shared" si="97"/>
        <v>0</v>
      </c>
      <c r="H118" s="192">
        <v>0</v>
      </c>
      <c r="I118" s="197">
        <f t="shared" si="52"/>
        <v>0</v>
      </c>
      <c r="J118" s="195">
        <v>0</v>
      </c>
      <c r="K118" s="192">
        <f>+ｶﾌｪﾙﾎﾟ!W117/1000</f>
        <v>0</v>
      </c>
      <c r="L118" s="192">
        <f t="shared" si="98"/>
        <v>0</v>
      </c>
      <c r="M118" s="192">
        <v>0</v>
      </c>
      <c r="N118" s="265">
        <f t="shared" si="54"/>
        <v>0</v>
      </c>
      <c r="O118" s="197">
        <v>0</v>
      </c>
      <c r="P118" s="192">
        <f>+ｶﾌｪｾﾚｽﾃ!W117/1000</f>
        <v>0</v>
      </c>
      <c r="Q118" s="192">
        <f t="shared" si="99"/>
        <v>0</v>
      </c>
      <c r="R118" s="192">
        <v>0</v>
      </c>
      <c r="S118" s="197">
        <f t="shared" si="56"/>
        <v>0</v>
      </c>
      <c r="T118" s="191">
        <f t="shared" si="57"/>
        <v>0</v>
      </c>
      <c r="U118" s="192">
        <f t="shared" si="58"/>
        <v>0</v>
      </c>
      <c r="V118" s="192">
        <f t="shared" si="100"/>
        <v>0</v>
      </c>
      <c r="W118" s="192">
        <f t="shared" si="60"/>
        <v>0</v>
      </c>
      <c r="X118" s="266">
        <f t="shared" si="61"/>
        <v>0</v>
      </c>
      <c r="Y118" s="197"/>
      <c r="Z118" s="192"/>
      <c r="AA118" s="192">
        <f t="shared" si="101"/>
        <v>0</v>
      </c>
      <c r="AB118" s="192">
        <v>0</v>
      </c>
      <c r="AC118" s="265">
        <f t="shared" si="63"/>
        <v>0</v>
      </c>
      <c r="AD118" s="197">
        <v>0</v>
      </c>
      <c r="AE118" s="192">
        <f>+ｼﾞｭｴﾙｽﾞ!W117/1000</f>
        <v>0</v>
      </c>
      <c r="AF118" s="192">
        <f t="shared" si="102"/>
        <v>0</v>
      </c>
      <c r="AG118" s="192">
        <v>0</v>
      </c>
      <c r="AH118" s="266">
        <f t="shared" si="65"/>
        <v>0</v>
      </c>
      <c r="AI118" s="191">
        <f t="shared" si="66"/>
        <v>0</v>
      </c>
      <c r="AJ118" s="192">
        <f t="shared" si="67"/>
        <v>0</v>
      </c>
      <c r="AK118" s="192">
        <f t="shared" si="103"/>
        <v>0</v>
      </c>
      <c r="AL118" s="192">
        <f t="shared" si="69"/>
        <v>0</v>
      </c>
      <c r="AM118" s="266">
        <f t="shared" si="70"/>
        <v>0</v>
      </c>
      <c r="AN118" s="191">
        <v>0</v>
      </c>
      <c r="AO118" s="192">
        <f>+ｶﾞｰﾃﾞﾝ!W117/1000</f>
        <v>0</v>
      </c>
      <c r="AP118" s="192">
        <f t="shared" si="104"/>
        <v>0</v>
      </c>
      <c r="AQ118" s="192">
        <v>0</v>
      </c>
      <c r="AR118" s="197">
        <f t="shared" si="72"/>
        <v>0</v>
      </c>
      <c r="AS118" s="195">
        <v>0</v>
      </c>
      <c r="AT118" s="192">
        <f>+ﾋﾞｱｶﾞｰﾃﾞﾝ!W117/1000</f>
        <v>0</v>
      </c>
      <c r="AU118" s="192">
        <f t="shared" si="105"/>
        <v>0</v>
      </c>
      <c r="AV118" s="192">
        <v>0</v>
      </c>
      <c r="AW118" s="266">
        <f t="shared" si="74"/>
        <v>0</v>
      </c>
      <c r="AX118" s="191">
        <f t="shared" si="75"/>
        <v>0</v>
      </c>
      <c r="AY118" s="192">
        <f t="shared" si="76"/>
        <v>0</v>
      </c>
      <c r="AZ118" s="192">
        <f t="shared" si="77"/>
        <v>0</v>
      </c>
      <c r="BA118" s="192">
        <f t="shared" si="78"/>
        <v>0</v>
      </c>
      <c r="BB118" s="266">
        <f t="shared" si="79"/>
        <v>0</v>
      </c>
      <c r="BC118" s="191">
        <v>0</v>
      </c>
      <c r="BD118" s="192">
        <f>+ブリック!W117/1000</f>
        <v>0</v>
      </c>
      <c r="BE118" s="192">
        <f t="shared" si="106"/>
        <v>0</v>
      </c>
      <c r="BF118" s="192"/>
      <c r="BG118" s="197">
        <f t="shared" si="81"/>
        <v>0</v>
      </c>
      <c r="BH118" s="195">
        <v>0</v>
      </c>
      <c r="BI118" s="192">
        <f>+ルスツ羊蹄ぶた!W117/1000</f>
        <v>0</v>
      </c>
      <c r="BJ118" s="192">
        <f t="shared" si="107"/>
        <v>0</v>
      </c>
      <c r="BK118" s="192"/>
      <c r="BL118" s="266">
        <f t="shared" si="83"/>
        <v>0</v>
      </c>
      <c r="BM118" s="191">
        <f t="shared" si="94"/>
        <v>0</v>
      </c>
      <c r="BN118" s="192">
        <f t="shared" si="84"/>
        <v>0</v>
      </c>
      <c r="BO118" s="192">
        <f t="shared" si="85"/>
        <v>0</v>
      </c>
      <c r="BP118" s="192">
        <f t="shared" si="86"/>
        <v>0</v>
      </c>
      <c r="BQ118" s="266">
        <f t="shared" si="87"/>
        <v>0</v>
      </c>
      <c r="BR118" s="191">
        <v>0</v>
      </c>
      <c r="BS118" s="192">
        <f>+料飲共通!W117/1000</f>
        <v>0</v>
      </c>
      <c r="BT118" s="192">
        <f t="shared" si="108"/>
        <v>0</v>
      </c>
      <c r="BU118" s="192">
        <v>0</v>
      </c>
      <c r="BV118" s="266">
        <f t="shared" si="89"/>
        <v>0</v>
      </c>
      <c r="BW118" s="191">
        <f t="shared" si="95"/>
        <v>0</v>
      </c>
      <c r="BX118" s="192">
        <f t="shared" si="91"/>
        <v>0</v>
      </c>
      <c r="BY118" s="192">
        <f t="shared" si="50"/>
        <v>0</v>
      </c>
      <c r="BZ118" s="192">
        <f t="shared" si="96"/>
        <v>0</v>
      </c>
      <c r="CA118" s="266">
        <f t="shared" si="93"/>
        <v>0</v>
      </c>
    </row>
    <row r="119" spans="1:79" s="83" customFormat="1" ht="22" customHeight="1" collapsed="1" thickBot="1">
      <c r="A119" s="105" t="s">
        <v>217</v>
      </c>
      <c r="B119" s="106"/>
      <c r="C119" s="106"/>
      <c r="D119" s="106"/>
      <c r="E119" s="243">
        <v>-14482.600980000001</v>
      </c>
      <c r="F119" s="244">
        <f>+ﾇｰﾍﾞﾙﾌﾟｰｽ!W118/1000</f>
        <v>-18369.284939999998</v>
      </c>
      <c r="G119" s="244">
        <f t="shared" si="97"/>
        <v>3886.6839599999967</v>
      </c>
      <c r="H119" s="244">
        <v>-9691</v>
      </c>
      <c r="I119" s="245">
        <f t="shared" si="52"/>
        <v>-4791.6009800000011</v>
      </c>
      <c r="J119" s="246">
        <v>-225.33604000000028</v>
      </c>
      <c r="K119" s="244">
        <f>+ｶﾌｪﾙﾎﾟ!W118/1000</f>
        <v>-9037.2623999999996</v>
      </c>
      <c r="L119" s="244">
        <f t="shared" si="98"/>
        <v>8811.9263599999995</v>
      </c>
      <c r="M119" s="244">
        <v>-1064</v>
      </c>
      <c r="N119" s="247">
        <f t="shared" si="54"/>
        <v>838.66395999999975</v>
      </c>
      <c r="O119" s="245">
        <v>8579.7379999999994</v>
      </c>
      <c r="P119" s="244">
        <f>+ｶﾌｪｾﾚｽﾃ!W118/1000</f>
        <v>11882.841560000001</v>
      </c>
      <c r="Q119" s="244">
        <f t="shared" si="99"/>
        <v>-3303.1035600000014</v>
      </c>
      <c r="R119" s="244">
        <v>7944</v>
      </c>
      <c r="S119" s="245">
        <f t="shared" si="56"/>
        <v>635.73799999999937</v>
      </c>
      <c r="T119" s="243">
        <f t="shared" si="57"/>
        <v>-6128.1990200000018</v>
      </c>
      <c r="U119" s="244">
        <f t="shared" si="58"/>
        <v>-15523.705779999997</v>
      </c>
      <c r="V119" s="244">
        <f>+T119-U119</f>
        <v>9395.5067599999948</v>
      </c>
      <c r="W119" s="244">
        <f t="shared" si="60"/>
        <v>-2811</v>
      </c>
      <c r="X119" s="248">
        <f t="shared" si="61"/>
        <v>-3317.1990200000018</v>
      </c>
      <c r="Y119" s="245"/>
      <c r="Z119" s="244"/>
      <c r="AA119" s="244">
        <f t="shared" si="101"/>
        <v>0</v>
      </c>
      <c r="AB119" s="244">
        <v>16373</v>
      </c>
      <c r="AC119" s="247">
        <f t="shared" si="63"/>
        <v>-16373</v>
      </c>
      <c r="AD119" s="245">
        <v>24466.601355000003</v>
      </c>
      <c r="AE119" s="244">
        <f>+ｼﾞｭｴﾙｽﾞ!W118/1000</f>
        <v>32576.389712500004</v>
      </c>
      <c r="AF119" s="244">
        <f t="shared" si="102"/>
        <v>-8109.7883575000014</v>
      </c>
      <c r="AG119" s="244">
        <v>21560</v>
      </c>
      <c r="AH119" s="248">
        <f t="shared" si="65"/>
        <v>2906.6013550000025</v>
      </c>
      <c r="AI119" s="243">
        <f t="shared" si="66"/>
        <v>24466.601355000003</v>
      </c>
      <c r="AJ119" s="244">
        <f t="shared" si="67"/>
        <v>32576.389712500004</v>
      </c>
      <c r="AK119" s="244">
        <f t="shared" si="103"/>
        <v>-8109.7883575000014</v>
      </c>
      <c r="AL119" s="244">
        <f t="shared" si="69"/>
        <v>37933</v>
      </c>
      <c r="AM119" s="248">
        <f t="shared" si="70"/>
        <v>-13466.398644999997</v>
      </c>
      <c r="AN119" s="243">
        <v>-8579.9923200000212</v>
      </c>
      <c r="AO119" s="244">
        <f>+ｶﾞｰﾃﾞﾝ!W118/1000</f>
        <v>-17892.235410000001</v>
      </c>
      <c r="AP119" s="244">
        <f t="shared" si="104"/>
        <v>9312.2430899999799</v>
      </c>
      <c r="AQ119" s="244">
        <v>-30781</v>
      </c>
      <c r="AR119" s="245">
        <f t="shared" si="72"/>
        <v>22201.007679999981</v>
      </c>
      <c r="AS119" s="246">
        <v>15798.408955500019</v>
      </c>
      <c r="AT119" s="244">
        <f>+ﾋﾞｱｶﾞｰﾃﾞﾝ!W118/1000</f>
        <v>37553.182000000001</v>
      </c>
      <c r="AU119" s="244">
        <f t="shared" si="105"/>
        <v>-21754.773044499983</v>
      </c>
      <c r="AV119" s="244">
        <v>15951</v>
      </c>
      <c r="AW119" s="248">
        <f t="shared" si="74"/>
        <v>-152.59104449998085</v>
      </c>
      <c r="AX119" s="243">
        <f t="shared" si="75"/>
        <v>7218.4166354999979</v>
      </c>
      <c r="AY119" s="244">
        <f t="shared" si="76"/>
        <v>19660.94659</v>
      </c>
      <c r="AZ119" s="244">
        <f t="shared" si="77"/>
        <v>-12442.529954500002</v>
      </c>
      <c r="BA119" s="244">
        <f t="shared" si="78"/>
        <v>-14830</v>
      </c>
      <c r="BB119" s="248">
        <f t="shared" si="79"/>
        <v>22048.416635499998</v>
      </c>
      <c r="BC119" s="243">
        <v>1900.5973995608074</v>
      </c>
      <c r="BD119" s="244">
        <f>+ブリック!W118/1000</f>
        <v>-39628.608110000001</v>
      </c>
      <c r="BE119" s="244">
        <f t="shared" si="106"/>
        <v>41529.205509560808</v>
      </c>
      <c r="BF119" s="244"/>
      <c r="BG119" s="245">
        <f t="shared" si="81"/>
        <v>1900.5973995608074</v>
      </c>
      <c r="BH119" s="246">
        <v>3289.9269908545139</v>
      </c>
      <c r="BI119" s="244">
        <f>+ルスツ羊蹄ぶた!W118/1000</f>
        <v>413.9471400000001</v>
      </c>
      <c r="BJ119" s="244">
        <f t="shared" si="107"/>
        <v>2875.9798508545136</v>
      </c>
      <c r="BK119" s="244"/>
      <c r="BL119" s="248">
        <f t="shared" si="83"/>
        <v>3289.9269908545139</v>
      </c>
      <c r="BM119" s="243">
        <f t="shared" si="94"/>
        <v>5190.5243904153212</v>
      </c>
      <c r="BN119" s="244">
        <f t="shared" si="84"/>
        <v>-39214.660970000004</v>
      </c>
      <c r="BO119" s="244">
        <f t="shared" si="85"/>
        <v>44405.185360415329</v>
      </c>
      <c r="BP119" s="244">
        <f t="shared" si="86"/>
        <v>0</v>
      </c>
      <c r="BQ119" s="248">
        <f t="shared" si="87"/>
        <v>5190.5243904153212</v>
      </c>
      <c r="BR119" s="243">
        <v>-28009.132448</v>
      </c>
      <c r="BS119" s="244">
        <f>+料飲共通!W118/1000</f>
        <v>-49237.017</v>
      </c>
      <c r="BT119" s="244">
        <f t="shared" si="108"/>
        <v>21227.884552</v>
      </c>
      <c r="BU119" s="244">
        <v>-33631</v>
      </c>
      <c r="BV119" s="248">
        <f t="shared" si="89"/>
        <v>5621.8675519999997</v>
      </c>
      <c r="BW119" s="243">
        <f t="shared" si="95"/>
        <v>2738.2109129153177</v>
      </c>
      <c r="BX119" s="244">
        <f t="shared" si="91"/>
        <v>-51738.047447499994</v>
      </c>
      <c r="BY119" s="244">
        <f>+BW119-BX119</f>
        <v>54476.258360415311</v>
      </c>
      <c r="BZ119" s="244">
        <f t="shared" si="96"/>
        <v>-13339</v>
      </c>
      <c r="CA119" s="248">
        <f t="shared" si="93"/>
        <v>16077.210912915318</v>
      </c>
    </row>
    <row r="120" spans="1:79" ht="18" hidden="1" customHeight="1" outlineLevel="1" thickBot="1">
      <c r="A120" s="114"/>
      <c r="B120" s="114"/>
      <c r="C120" s="118"/>
      <c r="D120" s="118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54"/>
      <c r="BJ120" s="54"/>
      <c r="BK120" s="54"/>
      <c r="BL120" s="54"/>
      <c r="BM120" s="54"/>
      <c r="BN120" s="54"/>
      <c r="BO120" s="54"/>
      <c r="BP120" s="54"/>
      <c r="BQ120" s="54"/>
      <c r="BR120" s="54"/>
      <c r="BS120" s="54"/>
      <c r="BT120" s="54"/>
      <c r="BU120" s="54"/>
      <c r="BV120" s="54"/>
      <c r="BW120" s="115" t="e">
        <f>+#REF!+#REF!+#REF!+#REF!+#REF!+#REF!+#REF!+#REF!</f>
        <v>#REF!</v>
      </c>
      <c r="BX120" s="115" t="e">
        <f>+#REF!+#REF!+#REF!+#REF!+#REF!+#REF!+#REF!+#REF!</f>
        <v>#REF!</v>
      </c>
      <c r="BY120" s="115" t="e">
        <f>+#REF!+#REF!+#REF!+#REF!+#REF!+#REF!+#REF!+#REF!</f>
        <v>#REF!</v>
      </c>
      <c r="BZ120" s="115" t="e">
        <f>+#REF!+#REF!+#REF!+#REF!+#REF!+#REF!+#REF!+#REF!</f>
        <v>#REF!</v>
      </c>
      <c r="CA120" s="115" t="e">
        <f>+#REF!+#REF!+#REF!+#REF!+#REF!+#REF!+#REF!+#REF!</f>
        <v>#REF!</v>
      </c>
    </row>
    <row r="121" spans="1:79" ht="18" hidden="1" customHeight="1" outlineLevel="1">
      <c r="C121" s="118"/>
      <c r="D121" s="118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54"/>
      <c r="BJ121" s="54"/>
      <c r="BK121" s="54"/>
      <c r="BL121" s="54"/>
      <c r="BM121" s="54"/>
      <c r="BN121" s="54"/>
      <c r="BO121" s="54"/>
      <c r="BP121" s="54"/>
      <c r="BQ121" s="54"/>
      <c r="BR121" s="54"/>
      <c r="BS121" s="54"/>
      <c r="BT121" s="54"/>
      <c r="BU121" s="54"/>
      <c r="BV121" s="54"/>
      <c r="BW121" s="115" t="e">
        <f t="shared" ref="BW121:CA121" si="109">+BW119-BW120</f>
        <v>#REF!</v>
      </c>
      <c r="BX121" s="115" t="e">
        <f t="shared" si="109"/>
        <v>#REF!</v>
      </c>
      <c r="BY121" s="115" t="e">
        <f t="shared" si="109"/>
        <v>#REF!</v>
      </c>
      <c r="BZ121" s="115" t="e">
        <f t="shared" si="109"/>
        <v>#REF!</v>
      </c>
      <c r="CA121" s="115" t="e">
        <f t="shared" si="109"/>
        <v>#REF!</v>
      </c>
    </row>
    <row r="122" spans="1:79" collapsed="1">
      <c r="BW122" s="54"/>
      <c r="BX122" s="54"/>
      <c r="BY122" s="54"/>
      <c r="BZ122" s="54"/>
      <c r="CA122" s="54"/>
    </row>
  </sheetData>
  <mergeCells count="18">
    <mergeCell ref="AK2:AM2"/>
    <mergeCell ref="BY2:CA2"/>
    <mergeCell ref="Y5:AC5"/>
    <mergeCell ref="AI4:AM5"/>
    <mergeCell ref="AX4:BB5"/>
    <mergeCell ref="BR5:BV5"/>
    <mergeCell ref="BW5:CA5"/>
    <mergeCell ref="BC5:BG5"/>
    <mergeCell ref="BH5:BL5"/>
    <mergeCell ref="BM4:BQ5"/>
    <mergeCell ref="A3:B6"/>
    <mergeCell ref="AD5:AH5"/>
    <mergeCell ref="AN5:AR5"/>
    <mergeCell ref="AS5:AW5"/>
    <mergeCell ref="E5:I5"/>
    <mergeCell ref="J5:N5"/>
    <mergeCell ref="O5:S5"/>
    <mergeCell ref="T4:X5"/>
  </mergeCells>
  <phoneticPr fontId="2"/>
  <printOptions verticalCentered="1"/>
  <pageMargins left="0.59055118110236227" right="0" top="0" bottom="0" header="0" footer="0"/>
  <pageSetup paperSize="8" scale="59" fitToWidth="0" orientation="landscape" cellComments="asDisplayed" r:id="rId1"/>
  <colBreaks count="1" manualBreakCount="1">
    <brk id="39" max="11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6A5A-B0F5-46BB-BE8C-C6C42E63C4D3}">
  <dimension ref="A1:X118"/>
  <sheetViews>
    <sheetView showGridLines="0" zoomScaleNormal="100" workbookViewId="0">
      <pane xSplit="10" ySplit="5" topLeftCell="K6" activePane="bottomRight" state="frozen"/>
      <selection activeCell="Q127" sqref="Q127"/>
      <selection pane="topRight" activeCell="Q127" sqref="Q127"/>
      <selection pane="bottomLeft" activeCell="Q127" sqref="Q127"/>
      <selection pane="bottomRight" activeCell="U35" sqref="U35"/>
    </sheetView>
  </sheetViews>
  <sheetFormatPr baseColWidth="10" defaultColWidth="9" defaultRowHeight="18"/>
  <cols>
    <col min="1" max="1" width="5.83203125" style="49" customWidth="1"/>
    <col min="2" max="8" width="2.33203125" style="49" customWidth="1"/>
    <col min="9" max="9" width="2.1640625" style="49" customWidth="1"/>
    <col min="10" max="10" width="0" style="49" hidden="1" customWidth="1"/>
    <col min="11" max="16" width="12.1640625" style="49" bestFit="1" customWidth="1"/>
    <col min="17" max="19" width="13" style="49" bestFit="1" customWidth="1"/>
    <col min="20" max="22" width="12.1640625" style="49" bestFit="1" customWidth="1"/>
    <col min="23" max="23" width="12.1640625" style="51" bestFit="1" customWidth="1"/>
    <col min="24" max="16384" width="9" style="51"/>
  </cols>
  <sheetData>
    <row r="1" spans="1:24" ht="20" customHeight="1">
      <c r="A1" s="56" t="s">
        <v>258</v>
      </c>
      <c r="V1" s="49" t="s">
        <v>255</v>
      </c>
      <c r="W1" s="138" t="e">
        <f>X1+ﾇｰﾍﾞﾙﾌﾟｰｽ!X1+ｶﾌｪﾙﾎﾟ!X1+ｶﾌｪｾﾚｽﾃ!X1+ｼﾞｭｴﾙｽﾞ!X1+ｶﾞｰﾃﾞﾝ!X1+ﾋﾞｱｶﾞｰﾃﾞﾝ!X1+#REF!</f>
        <v>#REF!</v>
      </c>
      <c r="X1" s="137">
        <f>SUM(K6:P6)</f>
        <v>0</v>
      </c>
    </row>
    <row r="3" spans="1:24" ht="11.75" customHeight="1">
      <c r="A3" s="57" t="s">
        <v>218</v>
      </c>
    </row>
    <row r="4" spans="1:24" s="58" customFormat="1" ht="11.75" customHeight="1">
      <c r="A4" s="177" t="s">
        <v>0</v>
      </c>
      <c r="B4" s="179" t="s">
        <v>1</v>
      </c>
      <c r="C4" s="180"/>
      <c r="D4" s="180"/>
      <c r="E4" s="180"/>
      <c r="F4" s="180"/>
      <c r="G4" s="180"/>
      <c r="H4" s="180"/>
      <c r="I4" s="180"/>
      <c r="J4" s="181"/>
      <c r="K4" s="55" t="s">
        <v>226</v>
      </c>
      <c r="L4" s="55" t="s">
        <v>227</v>
      </c>
      <c r="M4" s="55" t="s">
        <v>228</v>
      </c>
      <c r="N4" s="55" t="s">
        <v>229</v>
      </c>
      <c r="O4" s="55" t="s">
        <v>230</v>
      </c>
      <c r="P4" s="55" t="s">
        <v>231</v>
      </c>
      <c r="Q4" s="55" t="s">
        <v>232</v>
      </c>
      <c r="R4" s="55" t="s">
        <v>233</v>
      </c>
      <c r="S4" s="55" t="s">
        <v>234</v>
      </c>
      <c r="T4" s="55" t="s">
        <v>235</v>
      </c>
      <c r="U4" s="55" t="s">
        <v>236</v>
      </c>
      <c r="V4" s="55" t="s">
        <v>237</v>
      </c>
      <c r="W4" s="52" t="s">
        <v>225</v>
      </c>
    </row>
    <row r="5" spans="1:24" s="58" customFormat="1" ht="25.5" customHeight="1">
      <c r="A5" s="178"/>
      <c r="B5" s="182"/>
      <c r="C5" s="183"/>
      <c r="D5" s="183"/>
      <c r="E5" s="183"/>
      <c r="F5" s="183"/>
      <c r="G5" s="183"/>
      <c r="H5" s="183"/>
      <c r="I5" s="183"/>
      <c r="J5" s="184"/>
      <c r="K5" s="50" t="s">
        <v>2</v>
      </c>
      <c r="L5" s="50" t="s">
        <v>2</v>
      </c>
      <c r="M5" s="50" t="s">
        <v>2</v>
      </c>
      <c r="N5" s="50" t="s">
        <v>2</v>
      </c>
      <c r="O5" s="50" t="s">
        <v>2</v>
      </c>
      <c r="P5" s="50" t="s">
        <v>2</v>
      </c>
      <c r="Q5" s="50" t="s">
        <v>2</v>
      </c>
      <c r="R5" s="50" t="s">
        <v>2</v>
      </c>
      <c r="S5" s="50" t="s">
        <v>2</v>
      </c>
      <c r="T5" s="50" t="s">
        <v>2</v>
      </c>
      <c r="U5" s="50" t="s">
        <v>2</v>
      </c>
      <c r="V5" s="50" t="s">
        <v>2</v>
      </c>
      <c r="W5" s="50" t="s">
        <v>2</v>
      </c>
    </row>
    <row r="6" spans="1:24" s="8" customFormat="1" ht="11.75" customHeight="1">
      <c r="A6" s="3" t="s">
        <v>3</v>
      </c>
      <c r="B6" s="4" t="s">
        <v>4</v>
      </c>
      <c r="C6" s="5"/>
      <c r="D6" s="5"/>
      <c r="E6" s="5"/>
      <c r="F6" s="5"/>
      <c r="G6" s="5"/>
      <c r="H6" s="5"/>
      <c r="I6" s="5"/>
      <c r="J6" s="6"/>
      <c r="K6" s="7">
        <f>SUM(K7:K16)</f>
        <v>0</v>
      </c>
      <c r="L6" s="7">
        <f t="shared" ref="L6:V6" si="0">SUM(L7:L16)</f>
        <v>0</v>
      </c>
      <c r="M6" s="7">
        <f t="shared" si="0"/>
        <v>0</v>
      </c>
      <c r="N6" s="7">
        <f t="shared" si="0"/>
        <v>0</v>
      </c>
      <c r="O6" s="7">
        <f t="shared" si="0"/>
        <v>0</v>
      </c>
      <c r="P6" s="7">
        <f t="shared" si="0"/>
        <v>0</v>
      </c>
      <c r="Q6" s="7">
        <f t="shared" si="0"/>
        <v>0</v>
      </c>
      <c r="R6" s="7">
        <f t="shared" si="0"/>
        <v>0</v>
      </c>
      <c r="S6" s="7">
        <f t="shared" si="0"/>
        <v>0</v>
      </c>
      <c r="T6" s="7">
        <f t="shared" si="0"/>
        <v>0</v>
      </c>
      <c r="U6" s="7">
        <f t="shared" si="0"/>
        <v>0</v>
      </c>
      <c r="V6" s="7">
        <f t="shared" si="0"/>
        <v>0</v>
      </c>
      <c r="W6" s="7">
        <f>SUM(K6:V6)</f>
        <v>0</v>
      </c>
    </row>
    <row r="7" spans="1:24" s="63" customFormat="1" ht="11.75" customHeight="1">
      <c r="A7" s="59" t="s">
        <v>5</v>
      </c>
      <c r="B7" s="60"/>
      <c r="C7" s="61" t="s">
        <v>6</v>
      </c>
      <c r="D7" s="57"/>
      <c r="E7" s="57"/>
      <c r="F7" s="57"/>
      <c r="G7" s="57"/>
      <c r="H7" s="57"/>
      <c r="I7" s="57"/>
      <c r="J7" s="62"/>
      <c r="K7" s="47">
        <v>0</v>
      </c>
      <c r="L7" s="47">
        <v>0</v>
      </c>
      <c r="M7" s="47">
        <v>0</v>
      </c>
      <c r="N7" s="47">
        <v>0</v>
      </c>
      <c r="O7" s="47">
        <v>0</v>
      </c>
      <c r="P7" s="47">
        <v>0</v>
      </c>
      <c r="Q7" s="47">
        <v>0</v>
      </c>
      <c r="R7" s="47">
        <v>0</v>
      </c>
      <c r="S7" s="47">
        <v>0</v>
      </c>
      <c r="T7" s="47">
        <v>0</v>
      </c>
      <c r="U7" s="47">
        <v>0</v>
      </c>
      <c r="V7" s="47">
        <v>0</v>
      </c>
      <c r="W7" s="47">
        <f t="shared" ref="W7:W70" si="1">SUM(K7:V7)</f>
        <v>0</v>
      </c>
    </row>
    <row r="8" spans="1:24" s="63" customFormat="1" ht="11.75" customHeight="1">
      <c r="A8" s="59" t="s">
        <v>7</v>
      </c>
      <c r="B8" s="59"/>
      <c r="C8" s="64" t="s">
        <v>8</v>
      </c>
      <c r="D8" s="57"/>
      <c r="E8" s="57"/>
      <c r="F8" s="57"/>
      <c r="G8" s="57"/>
      <c r="H8" s="57"/>
      <c r="I8" s="57"/>
      <c r="J8" s="62"/>
      <c r="K8" s="47">
        <v>0</v>
      </c>
      <c r="L8" s="47">
        <v>0</v>
      </c>
      <c r="M8" s="47">
        <v>0</v>
      </c>
      <c r="N8" s="47">
        <v>0</v>
      </c>
      <c r="O8" s="47">
        <v>0</v>
      </c>
      <c r="P8" s="47">
        <v>0</v>
      </c>
      <c r="Q8" s="47">
        <v>0</v>
      </c>
      <c r="R8" s="47">
        <v>0</v>
      </c>
      <c r="S8" s="47">
        <v>0</v>
      </c>
      <c r="T8" s="47">
        <v>0</v>
      </c>
      <c r="U8" s="47">
        <v>0</v>
      </c>
      <c r="V8" s="47">
        <v>0</v>
      </c>
      <c r="W8" s="47">
        <f t="shared" si="1"/>
        <v>0</v>
      </c>
    </row>
    <row r="9" spans="1:24" s="63" customFormat="1" ht="11.75" customHeight="1">
      <c r="A9" s="59" t="s">
        <v>9</v>
      </c>
      <c r="B9" s="59"/>
      <c r="C9" s="64" t="s">
        <v>10</v>
      </c>
      <c r="D9" s="57"/>
      <c r="E9" s="57"/>
      <c r="F9" s="57"/>
      <c r="G9" s="57"/>
      <c r="H9" s="57"/>
      <c r="I9" s="57"/>
      <c r="J9" s="62"/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v>0</v>
      </c>
      <c r="Q9" s="47">
        <v>0</v>
      </c>
      <c r="R9" s="47">
        <v>0</v>
      </c>
      <c r="S9" s="47">
        <v>0</v>
      </c>
      <c r="T9" s="47">
        <v>0</v>
      </c>
      <c r="U9" s="47">
        <v>0</v>
      </c>
      <c r="V9" s="47">
        <v>0</v>
      </c>
      <c r="W9" s="47">
        <f t="shared" si="1"/>
        <v>0</v>
      </c>
    </row>
    <row r="10" spans="1:24" s="63" customFormat="1" ht="11.75" customHeight="1">
      <c r="A10" s="59" t="s">
        <v>11</v>
      </c>
      <c r="B10" s="59"/>
      <c r="C10" s="64" t="s">
        <v>12</v>
      </c>
      <c r="D10" s="57"/>
      <c r="E10" s="57"/>
      <c r="F10" s="57"/>
      <c r="G10" s="57"/>
      <c r="H10" s="57"/>
      <c r="I10" s="57"/>
      <c r="J10" s="62"/>
      <c r="K10" s="47">
        <v>0</v>
      </c>
      <c r="L10" s="47">
        <v>0</v>
      </c>
      <c r="M10" s="47">
        <v>0</v>
      </c>
      <c r="N10" s="47">
        <v>0</v>
      </c>
      <c r="O10" s="47">
        <v>0</v>
      </c>
      <c r="P10" s="47">
        <v>0</v>
      </c>
      <c r="Q10" s="47">
        <v>0</v>
      </c>
      <c r="R10" s="47">
        <v>0</v>
      </c>
      <c r="S10" s="47">
        <v>0</v>
      </c>
      <c r="T10" s="47">
        <v>0</v>
      </c>
      <c r="U10" s="47">
        <v>0</v>
      </c>
      <c r="V10" s="47">
        <v>0</v>
      </c>
      <c r="W10" s="47">
        <f t="shared" si="1"/>
        <v>0</v>
      </c>
    </row>
    <row r="11" spans="1:24" s="63" customFormat="1" ht="11.75" customHeight="1">
      <c r="A11" s="59" t="s">
        <v>13</v>
      </c>
      <c r="B11" s="59"/>
      <c r="C11" s="64" t="s">
        <v>14</v>
      </c>
      <c r="D11" s="57"/>
      <c r="E11" s="57"/>
      <c r="F11" s="57"/>
      <c r="G11" s="57"/>
      <c r="H11" s="57"/>
      <c r="I11" s="57"/>
      <c r="J11" s="62"/>
      <c r="K11" s="47">
        <v>0</v>
      </c>
      <c r="L11" s="47">
        <v>0</v>
      </c>
      <c r="M11" s="47">
        <v>0</v>
      </c>
      <c r="N11" s="47">
        <v>0</v>
      </c>
      <c r="O11" s="47">
        <v>0</v>
      </c>
      <c r="P11" s="47">
        <v>0</v>
      </c>
      <c r="Q11" s="47">
        <v>0</v>
      </c>
      <c r="R11" s="47">
        <v>0</v>
      </c>
      <c r="S11" s="47">
        <v>0</v>
      </c>
      <c r="T11" s="47">
        <v>0</v>
      </c>
      <c r="U11" s="47">
        <v>0</v>
      </c>
      <c r="V11" s="47">
        <v>0</v>
      </c>
      <c r="W11" s="47">
        <f t="shared" si="1"/>
        <v>0</v>
      </c>
    </row>
    <row r="12" spans="1:24" s="63" customFormat="1" ht="11.75" customHeight="1">
      <c r="A12" s="59" t="s">
        <v>15</v>
      </c>
      <c r="B12" s="59"/>
      <c r="C12" s="64" t="s">
        <v>16</v>
      </c>
      <c r="D12" s="57"/>
      <c r="E12" s="57"/>
      <c r="F12" s="57"/>
      <c r="G12" s="57"/>
      <c r="H12" s="57"/>
      <c r="I12" s="57"/>
      <c r="J12" s="62"/>
      <c r="K12" s="47">
        <v>0</v>
      </c>
      <c r="L12" s="47">
        <v>0</v>
      </c>
      <c r="M12" s="47">
        <v>0</v>
      </c>
      <c r="N12" s="47">
        <v>0</v>
      </c>
      <c r="O12" s="47">
        <v>0</v>
      </c>
      <c r="P12" s="47">
        <v>0</v>
      </c>
      <c r="Q12" s="47">
        <v>0</v>
      </c>
      <c r="R12" s="47">
        <v>0</v>
      </c>
      <c r="S12" s="47">
        <v>0</v>
      </c>
      <c r="T12" s="47">
        <v>0</v>
      </c>
      <c r="U12" s="47">
        <v>0</v>
      </c>
      <c r="V12" s="47">
        <v>0</v>
      </c>
      <c r="W12" s="47">
        <f t="shared" si="1"/>
        <v>0</v>
      </c>
    </row>
    <row r="13" spans="1:24" s="63" customFormat="1" ht="11.75" customHeight="1">
      <c r="A13" s="59" t="s">
        <v>17</v>
      </c>
      <c r="B13" s="59"/>
      <c r="C13" s="64" t="s">
        <v>18</v>
      </c>
      <c r="D13" s="57"/>
      <c r="E13" s="57"/>
      <c r="F13" s="57"/>
      <c r="G13" s="57"/>
      <c r="H13" s="57"/>
      <c r="I13" s="57"/>
      <c r="J13" s="62"/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f t="shared" si="1"/>
        <v>0</v>
      </c>
    </row>
    <row r="14" spans="1:24" s="63" customFormat="1" ht="11.75" customHeight="1">
      <c r="A14" s="59" t="s">
        <v>19</v>
      </c>
      <c r="B14" s="59"/>
      <c r="C14" s="64" t="s">
        <v>20</v>
      </c>
      <c r="D14" s="57"/>
      <c r="E14" s="57"/>
      <c r="F14" s="57"/>
      <c r="G14" s="57"/>
      <c r="H14" s="57"/>
      <c r="I14" s="57"/>
      <c r="J14" s="62"/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f t="shared" si="1"/>
        <v>0</v>
      </c>
    </row>
    <row r="15" spans="1:24" s="63" customFormat="1" ht="11.75" customHeight="1">
      <c r="A15" s="59" t="s">
        <v>21</v>
      </c>
      <c r="B15" s="59"/>
      <c r="C15" s="64" t="s">
        <v>22</v>
      </c>
      <c r="D15" s="57"/>
      <c r="E15" s="57"/>
      <c r="F15" s="57"/>
      <c r="G15" s="57"/>
      <c r="H15" s="57"/>
      <c r="I15" s="57"/>
      <c r="J15" s="62"/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f t="shared" si="1"/>
        <v>0</v>
      </c>
    </row>
    <row r="16" spans="1:24" s="63" customFormat="1" ht="11.75" customHeight="1">
      <c r="A16" s="59" t="s">
        <v>23</v>
      </c>
      <c r="B16" s="59"/>
      <c r="C16" s="64" t="s">
        <v>24</v>
      </c>
      <c r="D16" s="57"/>
      <c r="E16" s="57"/>
      <c r="F16" s="57"/>
      <c r="G16" s="57"/>
      <c r="H16" s="57"/>
      <c r="I16" s="57"/>
      <c r="J16" s="62"/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f t="shared" si="1"/>
        <v>0</v>
      </c>
    </row>
    <row r="17" spans="1:23" s="63" customFormat="1" ht="11.75" customHeight="1" thickBot="1">
      <c r="A17" s="59" t="s">
        <v>25</v>
      </c>
      <c r="B17" s="65" t="s">
        <v>26</v>
      </c>
      <c r="C17" s="66"/>
      <c r="D17" s="66"/>
      <c r="E17" s="66"/>
      <c r="F17" s="66"/>
      <c r="G17" s="66"/>
      <c r="H17" s="66"/>
      <c r="I17" s="66"/>
      <c r="J17" s="67"/>
      <c r="K17" s="48">
        <v>0</v>
      </c>
      <c r="L17" s="48">
        <v>0</v>
      </c>
      <c r="M17" s="48">
        <v>0</v>
      </c>
      <c r="N17" s="48">
        <v>0</v>
      </c>
      <c r="O17" s="48">
        <v>0</v>
      </c>
      <c r="P17" s="48">
        <v>0</v>
      </c>
      <c r="Q17" s="48">
        <v>0</v>
      </c>
      <c r="R17" s="48">
        <v>0</v>
      </c>
      <c r="S17" s="48">
        <v>0</v>
      </c>
      <c r="T17" s="48">
        <v>0</v>
      </c>
      <c r="U17" s="48">
        <v>0</v>
      </c>
      <c r="V17" s="48">
        <v>0</v>
      </c>
      <c r="W17" s="48">
        <f t="shared" si="1"/>
        <v>0</v>
      </c>
    </row>
    <row r="18" spans="1:23" s="8" customFormat="1" ht="11.75" customHeight="1" thickTop="1">
      <c r="A18" s="9" t="s">
        <v>27</v>
      </c>
      <c r="B18" s="14" t="s">
        <v>28</v>
      </c>
      <c r="C18" s="15"/>
      <c r="D18" s="15"/>
      <c r="E18" s="15"/>
      <c r="F18" s="15"/>
      <c r="G18" s="15"/>
      <c r="H18" s="15"/>
      <c r="I18" s="15"/>
      <c r="J18" s="16"/>
      <c r="K18" s="17">
        <f>K6-K17</f>
        <v>0</v>
      </c>
      <c r="L18" s="17">
        <f t="shared" ref="L18:V18" si="2">L6-L17</f>
        <v>0</v>
      </c>
      <c r="M18" s="17">
        <f t="shared" si="2"/>
        <v>0</v>
      </c>
      <c r="N18" s="17">
        <f t="shared" si="2"/>
        <v>0</v>
      </c>
      <c r="O18" s="17">
        <f t="shared" si="2"/>
        <v>0</v>
      </c>
      <c r="P18" s="17">
        <f t="shared" si="2"/>
        <v>0</v>
      </c>
      <c r="Q18" s="17">
        <f t="shared" si="2"/>
        <v>0</v>
      </c>
      <c r="R18" s="17">
        <f t="shared" si="2"/>
        <v>0</v>
      </c>
      <c r="S18" s="17">
        <f t="shared" si="2"/>
        <v>0</v>
      </c>
      <c r="T18" s="17">
        <f t="shared" si="2"/>
        <v>0</v>
      </c>
      <c r="U18" s="17">
        <f t="shared" si="2"/>
        <v>0</v>
      </c>
      <c r="V18" s="17">
        <f t="shared" si="2"/>
        <v>0</v>
      </c>
      <c r="W18" s="17">
        <f t="shared" si="1"/>
        <v>0</v>
      </c>
    </row>
    <row r="19" spans="1:23" s="8" customFormat="1" ht="11.75" customHeight="1">
      <c r="A19" s="9" t="s">
        <v>29</v>
      </c>
      <c r="B19" s="18" t="s">
        <v>30</v>
      </c>
      <c r="C19" s="19"/>
      <c r="D19" s="19"/>
      <c r="E19" s="19"/>
      <c r="F19" s="19"/>
      <c r="G19" s="19"/>
      <c r="H19" s="19"/>
      <c r="I19" s="19"/>
      <c r="J19" s="20"/>
      <c r="K19" s="21">
        <f>SUM(K20:K22,K26,K29:K31,K35:K36)</f>
        <v>2386237</v>
      </c>
      <c r="L19" s="21">
        <f t="shared" ref="L19:V19" si="3">SUM(L20:L22,L26,L29:L31,L35:L36)</f>
        <v>2305287</v>
      </c>
      <c r="M19" s="21">
        <f t="shared" si="3"/>
        <v>7599611</v>
      </c>
      <c r="N19" s="21">
        <f t="shared" si="3"/>
        <v>3490479</v>
      </c>
      <c r="O19" s="21">
        <f t="shared" si="3"/>
        <v>2595707</v>
      </c>
      <c r="P19" s="21">
        <f t="shared" si="3"/>
        <v>3171737</v>
      </c>
      <c r="Q19" s="21">
        <f t="shared" si="3"/>
        <v>3627377</v>
      </c>
      <c r="R19" s="21">
        <f t="shared" si="3"/>
        <v>2574945</v>
      </c>
      <c r="S19" s="21">
        <f t="shared" si="3"/>
        <v>8173931</v>
      </c>
      <c r="T19" s="21">
        <f t="shared" si="3"/>
        <v>2994854</v>
      </c>
      <c r="U19" s="21">
        <f t="shared" si="3"/>
        <v>2733184</v>
      </c>
      <c r="V19" s="21">
        <f t="shared" si="3"/>
        <v>3098926</v>
      </c>
      <c r="W19" s="21">
        <f t="shared" si="1"/>
        <v>44752275</v>
      </c>
    </row>
    <row r="20" spans="1:23" s="63" customFormat="1" ht="11.75" customHeight="1">
      <c r="A20" s="59" t="s">
        <v>31</v>
      </c>
      <c r="B20" s="59"/>
      <c r="C20" s="64" t="s">
        <v>32</v>
      </c>
      <c r="D20" s="57"/>
      <c r="E20" s="57"/>
      <c r="F20" s="57"/>
      <c r="G20" s="57"/>
      <c r="H20" s="57"/>
      <c r="I20" s="57"/>
      <c r="J20" s="62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>
        <f t="shared" si="1"/>
        <v>0</v>
      </c>
    </row>
    <row r="21" spans="1:23" s="63" customFormat="1" ht="11.75" customHeight="1">
      <c r="A21" s="59" t="s">
        <v>33</v>
      </c>
      <c r="B21" s="59"/>
      <c r="C21" s="64" t="s">
        <v>34</v>
      </c>
      <c r="D21" s="57"/>
      <c r="E21" s="57"/>
      <c r="F21" s="57"/>
      <c r="G21" s="57"/>
      <c r="H21" s="57"/>
      <c r="I21" s="57"/>
      <c r="J21" s="62"/>
      <c r="K21" s="47">
        <v>2253550</v>
      </c>
      <c r="L21" s="47">
        <v>2247346</v>
      </c>
      <c r="M21" s="47">
        <v>6924848</v>
      </c>
      <c r="N21" s="47">
        <v>2413738</v>
      </c>
      <c r="O21" s="47">
        <v>2477170</v>
      </c>
      <c r="P21" s="47">
        <v>2417693</v>
      </c>
      <c r="Q21" s="47">
        <v>3212961</v>
      </c>
      <c r="R21" s="47">
        <v>2511881</v>
      </c>
      <c r="S21" s="47">
        <v>7514872</v>
      </c>
      <c r="T21" s="47">
        <v>2580438</v>
      </c>
      <c r="U21" s="47">
        <v>2304378</v>
      </c>
      <c r="V21" s="47">
        <v>2304378</v>
      </c>
      <c r="W21" s="47">
        <f t="shared" si="1"/>
        <v>39163253</v>
      </c>
    </row>
    <row r="22" spans="1:23" s="8" customFormat="1" ht="11.75" customHeight="1">
      <c r="A22" s="9" t="s">
        <v>35</v>
      </c>
      <c r="B22" s="9"/>
      <c r="C22" s="13" t="s">
        <v>36</v>
      </c>
      <c r="D22" s="2"/>
      <c r="E22" s="2"/>
      <c r="F22" s="2"/>
      <c r="G22" s="2"/>
      <c r="H22" s="2"/>
      <c r="I22" s="2"/>
      <c r="J22" s="11"/>
      <c r="K22" s="12">
        <f>SUM(K23:K25)</f>
        <v>0</v>
      </c>
      <c r="L22" s="12">
        <f t="shared" ref="L22:V22" si="4">SUM(L23:L25)</f>
        <v>0</v>
      </c>
      <c r="M22" s="12">
        <f t="shared" si="4"/>
        <v>0</v>
      </c>
      <c r="N22" s="12">
        <f t="shared" si="4"/>
        <v>0</v>
      </c>
      <c r="O22" s="12">
        <f t="shared" si="4"/>
        <v>55000</v>
      </c>
      <c r="P22" s="12">
        <f t="shared" si="4"/>
        <v>20350</v>
      </c>
      <c r="Q22" s="12">
        <f t="shared" si="4"/>
        <v>0</v>
      </c>
      <c r="R22" s="12">
        <f t="shared" si="4"/>
        <v>0</v>
      </c>
      <c r="S22" s="12">
        <f t="shared" si="4"/>
        <v>0</v>
      </c>
      <c r="T22" s="12">
        <f t="shared" si="4"/>
        <v>0</v>
      </c>
      <c r="U22" s="12">
        <f t="shared" si="4"/>
        <v>0</v>
      </c>
      <c r="V22" s="12">
        <f t="shared" si="4"/>
        <v>0</v>
      </c>
      <c r="W22" s="12">
        <f t="shared" si="1"/>
        <v>75350</v>
      </c>
    </row>
    <row r="23" spans="1:23" s="63" customFormat="1" ht="11.75" customHeight="1">
      <c r="A23" s="59" t="s">
        <v>37</v>
      </c>
      <c r="B23" s="59"/>
      <c r="C23" s="59"/>
      <c r="D23" s="64" t="s">
        <v>38</v>
      </c>
      <c r="E23" s="57"/>
      <c r="F23" s="57"/>
      <c r="G23" s="57"/>
      <c r="H23" s="57"/>
      <c r="I23" s="57"/>
      <c r="J23" s="62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>
        <f t="shared" si="1"/>
        <v>0</v>
      </c>
    </row>
    <row r="24" spans="1:23" s="63" customFormat="1" ht="11.75" customHeight="1">
      <c r="A24" s="59" t="s">
        <v>39</v>
      </c>
      <c r="B24" s="59"/>
      <c r="C24" s="59"/>
      <c r="D24" s="64" t="s">
        <v>40</v>
      </c>
      <c r="E24" s="57"/>
      <c r="F24" s="57"/>
      <c r="G24" s="57"/>
      <c r="H24" s="57"/>
      <c r="I24" s="57"/>
      <c r="J24" s="62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>
        <f t="shared" si="1"/>
        <v>0</v>
      </c>
    </row>
    <row r="25" spans="1:23" s="63" customFormat="1" ht="11.75" customHeight="1">
      <c r="A25" s="59" t="s">
        <v>41</v>
      </c>
      <c r="B25" s="59"/>
      <c r="C25" s="59"/>
      <c r="D25" s="64" t="s">
        <v>42</v>
      </c>
      <c r="E25" s="57"/>
      <c r="F25" s="57"/>
      <c r="G25" s="57"/>
      <c r="H25" s="57"/>
      <c r="I25" s="57"/>
      <c r="J25" s="62"/>
      <c r="K25" s="47">
        <v>0</v>
      </c>
      <c r="L25" s="47">
        <v>0</v>
      </c>
      <c r="M25" s="47">
        <v>0</v>
      </c>
      <c r="N25" s="47">
        <v>0</v>
      </c>
      <c r="O25" s="47">
        <v>55000</v>
      </c>
      <c r="P25" s="47">
        <v>20350</v>
      </c>
      <c r="Q25" s="47">
        <v>0</v>
      </c>
      <c r="R25" s="47">
        <v>0</v>
      </c>
      <c r="S25" s="47">
        <v>0</v>
      </c>
      <c r="T25" s="47">
        <v>0</v>
      </c>
      <c r="U25" s="47"/>
      <c r="V25" s="47"/>
      <c r="W25" s="47">
        <f t="shared" si="1"/>
        <v>75350</v>
      </c>
    </row>
    <row r="26" spans="1:23" s="8" customFormat="1" ht="11.75" customHeight="1">
      <c r="A26" s="9" t="s">
        <v>43</v>
      </c>
      <c r="B26" s="9"/>
      <c r="C26" s="13" t="s">
        <v>44</v>
      </c>
      <c r="D26" s="2"/>
      <c r="E26" s="2"/>
      <c r="F26" s="2"/>
      <c r="G26" s="2"/>
      <c r="H26" s="2"/>
      <c r="I26" s="2"/>
      <c r="J26" s="11"/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f t="shared" si="1"/>
        <v>0</v>
      </c>
    </row>
    <row r="27" spans="1:23" s="63" customFormat="1" ht="11.75" customHeight="1">
      <c r="A27" s="59" t="s">
        <v>45</v>
      </c>
      <c r="B27" s="59"/>
      <c r="C27" s="59"/>
      <c r="D27" s="64" t="s">
        <v>46</v>
      </c>
      <c r="E27" s="57"/>
      <c r="F27" s="57"/>
      <c r="G27" s="57"/>
      <c r="H27" s="57"/>
      <c r="I27" s="57"/>
      <c r="J27" s="62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>
        <f t="shared" si="1"/>
        <v>0</v>
      </c>
    </row>
    <row r="28" spans="1:23" s="63" customFormat="1" ht="11.75" customHeight="1">
      <c r="A28" s="59" t="s">
        <v>47</v>
      </c>
      <c r="B28" s="59"/>
      <c r="C28" s="59"/>
      <c r="D28" s="64" t="s">
        <v>48</v>
      </c>
      <c r="E28" s="57"/>
      <c r="F28" s="57"/>
      <c r="G28" s="57"/>
      <c r="H28" s="57"/>
      <c r="I28" s="57"/>
      <c r="J28" s="62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>
        <f t="shared" si="1"/>
        <v>0</v>
      </c>
    </row>
    <row r="29" spans="1:23" s="63" customFormat="1" ht="11.75" customHeight="1">
      <c r="A29" s="59" t="s">
        <v>49</v>
      </c>
      <c r="B29" s="59"/>
      <c r="C29" s="64" t="s">
        <v>50</v>
      </c>
      <c r="D29" s="57"/>
      <c r="E29" s="57"/>
      <c r="F29" s="57"/>
      <c r="G29" s="57"/>
      <c r="H29" s="57"/>
      <c r="I29" s="57"/>
      <c r="J29" s="62"/>
      <c r="K29" s="47">
        <v>0</v>
      </c>
      <c r="L29" s="47">
        <v>0</v>
      </c>
      <c r="M29" s="47">
        <v>607972</v>
      </c>
      <c r="N29" s="47">
        <v>980677</v>
      </c>
      <c r="O29" s="47">
        <v>0</v>
      </c>
      <c r="P29" s="47">
        <v>669484</v>
      </c>
      <c r="Q29" s="47">
        <v>351352</v>
      </c>
      <c r="R29" s="47">
        <v>0</v>
      </c>
      <c r="S29" s="47">
        <v>476895</v>
      </c>
      <c r="T29" s="47">
        <v>351352</v>
      </c>
      <c r="U29" s="47">
        <v>365742</v>
      </c>
      <c r="V29" s="47">
        <f>365742*2</f>
        <v>731484</v>
      </c>
      <c r="W29" s="47">
        <f t="shared" si="1"/>
        <v>4534958</v>
      </c>
    </row>
    <row r="30" spans="1:23" s="63" customFormat="1" ht="11.75" customHeight="1">
      <c r="A30" s="59" t="s">
        <v>51</v>
      </c>
      <c r="B30" s="59"/>
      <c r="C30" s="64" t="s">
        <v>52</v>
      </c>
      <c r="D30" s="57"/>
      <c r="E30" s="57"/>
      <c r="F30" s="57"/>
      <c r="G30" s="57"/>
      <c r="H30" s="57"/>
      <c r="I30" s="57"/>
      <c r="J30" s="62"/>
      <c r="K30" s="47">
        <v>1200</v>
      </c>
      <c r="L30" s="47">
        <v>1200</v>
      </c>
      <c r="M30" s="47">
        <v>1200</v>
      </c>
      <c r="N30" s="47">
        <v>1200</v>
      </c>
      <c r="O30" s="47">
        <v>1200</v>
      </c>
      <c r="P30" s="47">
        <v>2000</v>
      </c>
      <c r="Q30" s="47">
        <v>2000</v>
      </c>
      <c r="R30" s="47">
        <v>2000</v>
      </c>
      <c r="S30" s="47">
        <v>2000</v>
      </c>
      <c r="T30" s="47">
        <v>2000</v>
      </c>
      <c r="U30" s="47">
        <v>2000</v>
      </c>
      <c r="V30" s="47">
        <v>2000</v>
      </c>
      <c r="W30" s="47">
        <f t="shared" si="1"/>
        <v>20000</v>
      </c>
    </row>
    <row r="31" spans="1:23" s="8" customFormat="1" ht="11.75" customHeight="1">
      <c r="A31" s="9" t="s">
        <v>53</v>
      </c>
      <c r="B31" s="9"/>
      <c r="C31" s="13" t="s">
        <v>54</v>
      </c>
      <c r="D31" s="2"/>
      <c r="E31" s="2"/>
      <c r="F31" s="2"/>
      <c r="G31" s="2"/>
      <c r="H31" s="2"/>
      <c r="I31" s="2"/>
      <c r="J31" s="11"/>
      <c r="K31" s="12">
        <f>SUM(K32:K34)</f>
        <v>79150</v>
      </c>
      <c r="L31" s="12">
        <f t="shared" ref="L31:V31" si="5">SUM(L32:L34)</f>
        <v>4404</v>
      </c>
      <c r="M31" s="12">
        <f t="shared" si="5"/>
        <v>1800</v>
      </c>
      <c r="N31" s="12">
        <f t="shared" si="5"/>
        <v>36800</v>
      </c>
      <c r="O31" s="12">
        <f t="shared" si="5"/>
        <v>1800</v>
      </c>
      <c r="P31" s="12">
        <f t="shared" si="5"/>
        <v>3000</v>
      </c>
      <c r="Q31" s="12">
        <f t="shared" si="5"/>
        <v>3000</v>
      </c>
      <c r="R31" s="12">
        <f t="shared" si="5"/>
        <v>3000</v>
      </c>
      <c r="S31" s="12">
        <f t="shared" si="5"/>
        <v>122100</v>
      </c>
      <c r="T31" s="12">
        <f t="shared" si="5"/>
        <v>3000</v>
      </c>
      <c r="U31" s="12">
        <f t="shared" si="5"/>
        <v>3000</v>
      </c>
      <c r="V31" s="12">
        <f t="shared" si="5"/>
        <v>3000</v>
      </c>
      <c r="W31" s="12">
        <f t="shared" si="1"/>
        <v>264054</v>
      </c>
    </row>
    <row r="32" spans="1:23" s="63" customFormat="1" ht="11.75" customHeight="1">
      <c r="A32" s="59" t="s">
        <v>55</v>
      </c>
      <c r="B32" s="59"/>
      <c r="C32" s="59"/>
      <c r="D32" s="64" t="s">
        <v>54</v>
      </c>
      <c r="E32" s="57"/>
      <c r="F32" s="57"/>
      <c r="G32" s="57"/>
      <c r="H32" s="57"/>
      <c r="I32" s="57"/>
      <c r="J32" s="62"/>
      <c r="K32" s="47">
        <v>1800</v>
      </c>
      <c r="L32" s="47">
        <v>4404</v>
      </c>
      <c r="M32" s="47">
        <v>1800</v>
      </c>
      <c r="N32" s="47">
        <v>36800</v>
      </c>
      <c r="O32" s="47">
        <v>1800</v>
      </c>
      <c r="P32" s="47">
        <v>3000</v>
      </c>
      <c r="Q32" s="47">
        <v>3000</v>
      </c>
      <c r="R32" s="47">
        <v>3000</v>
      </c>
      <c r="S32" s="47">
        <v>3000</v>
      </c>
      <c r="T32" s="47">
        <v>3000</v>
      </c>
      <c r="U32" s="47">
        <v>3000</v>
      </c>
      <c r="V32" s="47">
        <v>3000</v>
      </c>
      <c r="W32" s="47">
        <f t="shared" si="1"/>
        <v>67604</v>
      </c>
    </row>
    <row r="33" spans="1:23" s="63" customFormat="1" ht="11.75" customHeight="1">
      <c r="A33" s="59" t="s">
        <v>56</v>
      </c>
      <c r="B33" s="59"/>
      <c r="C33" s="59"/>
      <c r="D33" s="64" t="s">
        <v>57</v>
      </c>
      <c r="E33" s="57"/>
      <c r="F33" s="57"/>
      <c r="G33" s="57"/>
      <c r="H33" s="57"/>
      <c r="I33" s="57"/>
      <c r="J33" s="62"/>
      <c r="K33" s="47">
        <v>77350</v>
      </c>
      <c r="L33" s="47">
        <v>0</v>
      </c>
      <c r="M33" s="47">
        <v>0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119100</v>
      </c>
      <c r="T33" s="47">
        <v>0</v>
      </c>
      <c r="U33" s="47"/>
      <c r="V33" s="47"/>
      <c r="W33" s="47">
        <f t="shared" si="1"/>
        <v>196450</v>
      </c>
    </row>
    <row r="34" spans="1:23" s="63" customFormat="1" ht="11.75" customHeight="1">
      <c r="A34" s="59" t="s">
        <v>58</v>
      </c>
      <c r="B34" s="59"/>
      <c r="C34" s="59"/>
      <c r="D34" s="64" t="s">
        <v>59</v>
      </c>
      <c r="E34" s="57"/>
      <c r="F34" s="57"/>
      <c r="G34" s="57"/>
      <c r="H34" s="57"/>
      <c r="I34" s="57"/>
      <c r="J34" s="62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>
        <f t="shared" si="1"/>
        <v>0</v>
      </c>
    </row>
    <row r="35" spans="1:23" s="63" customFormat="1" ht="11.75" customHeight="1">
      <c r="A35" s="59" t="s">
        <v>60</v>
      </c>
      <c r="B35" s="59"/>
      <c r="C35" s="64" t="s">
        <v>61</v>
      </c>
      <c r="D35" s="57"/>
      <c r="E35" s="57"/>
      <c r="F35" s="57"/>
      <c r="G35" s="57"/>
      <c r="H35" s="57"/>
      <c r="I35" s="57"/>
      <c r="J35" s="62"/>
      <c r="K35" s="47">
        <v>52337</v>
      </c>
      <c r="L35" s="47">
        <v>52337</v>
      </c>
      <c r="M35" s="47">
        <v>63791</v>
      </c>
      <c r="N35" s="47">
        <v>58064</v>
      </c>
      <c r="O35" s="47">
        <v>60537</v>
      </c>
      <c r="P35" s="47">
        <v>59210</v>
      </c>
      <c r="Q35" s="47">
        <v>58064</v>
      </c>
      <c r="R35" s="47">
        <v>58064</v>
      </c>
      <c r="S35" s="47">
        <v>58064</v>
      </c>
      <c r="T35" s="47">
        <v>58064</v>
      </c>
      <c r="U35" s="47">
        <v>58064</v>
      </c>
      <c r="V35" s="47">
        <v>58064</v>
      </c>
      <c r="W35" s="47">
        <f t="shared" si="1"/>
        <v>694660</v>
      </c>
    </row>
    <row r="36" spans="1:23" s="63" customFormat="1" ht="11.75" customHeight="1">
      <c r="A36" s="59" t="s">
        <v>62</v>
      </c>
      <c r="B36" s="59"/>
      <c r="C36" s="64" t="s">
        <v>63</v>
      </c>
      <c r="D36" s="57"/>
      <c r="E36" s="57"/>
      <c r="F36" s="57"/>
      <c r="G36" s="57"/>
      <c r="H36" s="57"/>
      <c r="I36" s="57"/>
      <c r="J36" s="62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53">
        <f t="shared" si="1"/>
        <v>0</v>
      </c>
    </row>
    <row r="37" spans="1:23" s="8" customFormat="1" ht="11.75" customHeight="1">
      <c r="A37" s="9" t="s">
        <v>64</v>
      </c>
      <c r="B37" s="22" t="s">
        <v>65</v>
      </c>
      <c r="C37" s="23"/>
      <c r="D37" s="23"/>
      <c r="E37" s="23"/>
      <c r="F37" s="23"/>
      <c r="G37" s="23"/>
      <c r="H37" s="23"/>
      <c r="I37" s="23"/>
      <c r="J37" s="24"/>
      <c r="K37" s="25">
        <f>SUM(K38:K41,K46,K50,K57:K58,K61:K67,K70:K72,K78:K80,K83:K84)</f>
        <v>101146</v>
      </c>
      <c r="L37" s="25">
        <f t="shared" ref="L37:V37" si="6">SUM(L38:L41,L46,L50,L57:L58,L61:L67,L70:L72,L78:L80,L83:L84)</f>
        <v>131605</v>
      </c>
      <c r="M37" s="25">
        <f t="shared" si="6"/>
        <v>204854</v>
      </c>
      <c r="N37" s="25">
        <f t="shared" si="6"/>
        <v>473643</v>
      </c>
      <c r="O37" s="25">
        <f t="shared" si="6"/>
        <v>116817</v>
      </c>
      <c r="P37" s="25">
        <f t="shared" si="6"/>
        <v>655512</v>
      </c>
      <c r="Q37" s="25">
        <f t="shared" si="6"/>
        <v>919340</v>
      </c>
      <c r="R37" s="25">
        <f t="shared" si="6"/>
        <v>164922</v>
      </c>
      <c r="S37" s="25">
        <f t="shared" si="6"/>
        <v>879913</v>
      </c>
      <c r="T37" s="25">
        <f t="shared" si="6"/>
        <v>177800</v>
      </c>
      <c r="U37" s="25">
        <f t="shared" si="6"/>
        <v>552300</v>
      </c>
      <c r="V37" s="25">
        <f t="shared" si="6"/>
        <v>77800</v>
      </c>
      <c r="W37" s="25">
        <f t="shared" si="1"/>
        <v>4455652</v>
      </c>
    </row>
    <row r="38" spans="1:23" s="63" customFormat="1" ht="11.75" customHeight="1">
      <c r="A38" s="59" t="s">
        <v>66</v>
      </c>
      <c r="B38" s="60"/>
      <c r="C38" s="61" t="s">
        <v>67</v>
      </c>
      <c r="D38" s="57"/>
      <c r="E38" s="57"/>
      <c r="F38" s="57"/>
      <c r="G38" s="57"/>
      <c r="H38" s="57"/>
      <c r="I38" s="57"/>
      <c r="J38" s="62"/>
      <c r="K38" s="47">
        <v>0</v>
      </c>
      <c r="L38" s="47">
        <v>16339</v>
      </c>
      <c r="M38" s="47">
        <v>92010</v>
      </c>
      <c r="N38" s="47">
        <v>216000</v>
      </c>
      <c r="O38" s="47">
        <v>0</v>
      </c>
      <c r="P38" s="47">
        <v>0</v>
      </c>
      <c r="Q38" s="47">
        <v>254851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f t="shared" si="1"/>
        <v>579200</v>
      </c>
    </row>
    <row r="39" spans="1:23" s="63" customFormat="1" ht="11.75" customHeight="1">
      <c r="A39" s="59" t="s">
        <v>68</v>
      </c>
      <c r="B39" s="59"/>
      <c r="C39" s="64" t="s">
        <v>69</v>
      </c>
      <c r="D39" s="57"/>
      <c r="E39" s="57"/>
      <c r="F39" s="57"/>
      <c r="G39" s="57"/>
      <c r="H39" s="57"/>
      <c r="I39" s="57"/>
      <c r="J39" s="62"/>
      <c r="K39" s="47">
        <v>0</v>
      </c>
      <c r="L39" s="47">
        <v>800</v>
      </c>
      <c r="M39" s="47">
        <v>0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0</v>
      </c>
      <c r="V39" s="47">
        <v>0</v>
      </c>
      <c r="W39" s="47">
        <f t="shared" si="1"/>
        <v>800</v>
      </c>
    </row>
    <row r="40" spans="1:23" s="63" customFormat="1" ht="11.75" customHeight="1">
      <c r="A40" s="59" t="s">
        <v>70</v>
      </c>
      <c r="B40" s="59"/>
      <c r="C40" s="64" t="s">
        <v>71</v>
      </c>
      <c r="D40" s="57"/>
      <c r="E40" s="57"/>
      <c r="F40" s="57"/>
      <c r="G40" s="57"/>
      <c r="H40" s="57"/>
      <c r="I40" s="57"/>
      <c r="J40" s="62"/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1670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f t="shared" si="1"/>
        <v>1670</v>
      </c>
    </row>
    <row r="41" spans="1:23" s="8" customFormat="1" ht="11.75" customHeight="1">
      <c r="A41" s="9" t="s">
        <v>72</v>
      </c>
      <c r="B41" s="9"/>
      <c r="C41" s="13" t="s">
        <v>73</v>
      </c>
      <c r="D41" s="2"/>
      <c r="E41" s="2"/>
      <c r="F41" s="2"/>
      <c r="G41" s="2"/>
      <c r="H41" s="2"/>
      <c r="I41" s="2"/>
      <c r="J41" s="11"/>
      <c r="K41" s="12">
        <f>SUM(K42:K45)</f>
        <v>0</v>
      </c>
      <c r="L41" s="12">
        <f t="shared" ref="L41:V41" si="7">SUM(L42:L45)</f>
        <v>0</v>
      </c>
      <c r="M41" s="12">
        <f t="shared" si="7"/>
        <v>0</v>
      </c>
      <c r="N41" s="12">
        <f t="shared" si="7"/>
        <v>0</v>
      </c>
      <c r="O41" s="12">
        <f t="shared" si="7"/>
        <v>0</v>
      </c>
      <c r="P41" s="12">
        <f t="shared" si="7"/>
        <v>0</v>
      </c>
      <c r="Q41" s="12">
        <f t="shared" si="7"/>
        <v>0</v>
      </c>
      <c r="R41" s="12">
        <f t="shared" si="7"/>
        <v>0</v>
      </c>
      <c r="S41" s="12">
        <f t="shared" si="7"/>
        <v>0</v>
      </c>
      <c r="T41" s="12">
        <f t="shared" si="7"/>
        <v>0</v>
      </c>
      <c r="U41" s="12">
        <f t="shared" si="7"/>
        <v>0</v>
      </c>
      <c r="V41" s="12">
        <f t="shared" si="7"/>
        <v>0</v>
      </c>
      <c r="W41" s="12">
        <f t="shared" si="1"/>
        <v>0</v>
      </c>
    </row>
    <row r="42" spans="1:23" s="63" customFormat="1" ht="11.75" customHeight="1">
      <c r="A42" s="59" t="s">
        <v>74</v>
      </c>
      <c r="B42" s="59"/>
      <c r="C42" s="59"/>
      <c r="D42" s="64" t="s">
        <v>75</v>
      </c>
      <c r="E42" s="57"/>
      <c r="F42" s="57"/>
      <c r="G42" s="57"/>
      <c r="H42" s="57"/>
      <c r="I42" s="57"/>
      <c r="J42" s="62"/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f t="shared" si="1"/>
        <v>0</v>
      </c>
    </row>
    <row r="43" spans="1:23" s="63" customFormat="1" ht="11.75" customHeight="1">
      <c r="A43" s="59" t="s">
        <v>76</v>
      </c>
      <c r="B43" s="59"/>
      <c r="C43" s="59"/>
      <c r="D43" s="64" t="s">
        <v>77</v>
      </c>
      <c r="E43" s="57"/>
      <c r="F43" s="57"/>
      <c r="G43" s="57"/>
      <c r="H43" s="57"/>
      <c r="I43" s="57"/>
      <c r="J43" s="62"/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0</v>
      </c>
      <c r="R43" s="47">
        <v>0</v>
      </c>
      <c r="S43" s="47">
        <v>0</v>
      </c>
      <c r="T43" s="47">
        <v>0</v>
      </c>
      <c r="U43" s="47">
        <v>0</v>
      </c>
      <c r="V43" s="47">
        <v>0</v>
      </c>
      <c r="W43" s="47">
        <f t="shared" si="1"/>
        <v>0</v>
      </c>
    </row>
    <row r="44" spans="1:23" s="63" customFormat="1" ht="11.75" customHeight="1">
      <c r="A44" s="59" t="s">
        <v>78</v>
      </c>
      <c r="B44" s="59"/>
      <c r="C44" s="59"/>
      <c r="D44" s="64" t="s">
        <v>79</v>
      </c>
      <c r="E44" s="57"/>
      <c r="F44" s="57"/>
      <c r="G44" s="57"/>
      <c r="H44" s="57"/>
      <c r="I44" s="57"/>
      <c r="J44" s="62"/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f t="shared" si="1"/>
        <v>0</v>
      </c>
    </row>
    <row r="45" spans="1:23" s="63" customFormat="1" ht="11.75" customHeight="1">
      <c r="A45" s="59" t="s">
        <v>80</v>
      </c>
      <c r="B45" s="59"/>
      <c r="C45" s="59"/>
      <c r="D45" s="64" t="s">
        <v>81</v>
      </c>
      <c r="E45" s="57"/>
      <c r="F45" s="57"/>
      <c r="G45" s="57"/>
      <c r="H45" s="57"/>
      <c r="I45" s="57"/>
      <c r="J45" s="62"/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f t="shared" si="1"/>
        <v>0</v>
      </c>
    </row>
    <row r="46" spans="1:23" s="8" customFormat="1" ht="11.75" customHeight="1">
      <c r="A46" s="9" t="s">
        <v>82</v>
      </c>
      <c r="B46" s="9"/>
      <c r="C46" s="13" t="s">
        <v>83</v>
      </c>
      <c r="D46" s="2"/>
      <c r="E46" s="2"/>
      <c r="F46" s="2"/>
      <c r="G46" s="2"/>
      <c r="H46" s="2"/>
      <c r="I46" s="2"/>
      <c r="J46" s="11"/>
      <c r="K46" s="12">
        <f>SUM(K47:K49)</f>
        <v>0</v>
      </c>
      <c r="L46" s="12">
        <f t="shared" ref="L46:V46" si="8">SUM(L47:L49)</f>
        <v>0</v>
      </c>
      <c r="M46" s="12">
        <f t="shared" si="8"/>
        <v>0</v>
      </c>
      <c r="N46" s="12">
        <f t="shared" si="8"/>
        <v>0</v>
      </c>
      <c r="O46" s="12">
        <f t="shared" si="8"/>
        <v>0</v>
      </c>
      <c r="P46" s="12">
        <f t="shared" si="8"/>
        <v>0</v>
      </c>
      <c r="Q46" s="12">
        <f t="shared" si="8"/>
        <v>0</v>
      </c>
      <c r="R46" s="12">
        <f t="shared" si="8"/>
        <v>0</v>
      </c>
      <c r="S46" s="12">
        <f t="shared" si="8"/>
        <v>0</v>
      </c>
      <c r="T46" s="12">
        <f t="shared" si="8"/>
        <v>0</v>
      </c>
      <c r="U46" s="12">
        <f t="shared" si="8"/>
        <v>0</v>
      </c>
      <c r="V46" s="12">
        <f t="shared" si="8"/>
        <v>0</v>
      </c>
      <c r="W46" s="12">
        <f t="shared" si="1"/>
        <v>0</v>
      </c>
    </row>
    <row r="47" spans="1:23" s="63" customFormat="1" ht="11.75" customHeight="1">
      <c r="A47" s="59" t="s">
        <v>84</v>
      </c>
      <c r="B47" s="59"/>
      <c r="C47" s="59"/>
      <c r="D47" s="64" t="s">
        <v>85</v>
      </c>
      <c r="E47" s="57"/>
      <c r="F47" s="57"/>
      <c r="G47" s="57"/>
      <c r="H47" s="57"/>
      <c r="I47" s="57"/>
      <c r="J47" s="62"/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  <c r="Q47" s="47">
        <v>0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f t="shared" si="1"/>
        <v>0</v>
      </c>
    </row>
    <row r="48" spans="1:23" s="63" customFormat="1" ht="11.75" customHeight="1">
      <c r="A48" s="59" t="s">
        <v>86</v>
      </c>
      <c r="B48" s="59"/>
      <c r="C48" s="59"/>
      <c r="D48" s="64" t="s">
        <v>87</v>
      </c>
      <c r="E48" s="57"/>
      <c r="F48" s="57"/>
      <c r="G48" s="57"/>
      <c r="H48" s="57"/>
      <c r="I48" s="57"/>
      <c r="J48" s="62"/>
      <c r="K48" s="47">
        <v>0</v>
      </c>
      <c r="L48" s="47">
        <v>0</v>
      </c>
      <c r="M48" s="47">
        <v>0</v>
      </c>
      <c r="N48" s="47">
        <v>0</v>
      </c>
      <c r="O48" s="47">
        <v>0</v>
      </c>
      <c r="P48" s="47">
        <v>0</v>
      </c>
      <c r="Q48" s="47">
        <v>0</v>
      </c>
      <c r="R48" s="47">
        <v>0</v>
      </c>
      <c r="S48" s="47">
        <v>0</v>
      </c>
      <c r="T48" s="47">
        <v>0</v>
      </c>
      <c r="U48" s="47">
        <v>0</v>
      </c>
      <c r="V48" s="47">
        <v>0</v>
      </c>
      <c r="W48" s="47">
        <f t="shared" si="1"/>
        <v>0</v>
      </c>
    </row>
    <row r="49" spans="1:23" s="63" customFormat="1" ht="11.75" customHeight="1">
      <c r="A49" s="59" t="s">
        <v>88</v>
      </c>
      <c r="B49" s="59"/>
      <c r="C49" s="59"/>
      <c r="D49" s="64" t="s">
        <v>89</v>
      </c>
      <c r="E49" s="57"/>
      <c r="F49" s="57"/>
      <c r="G49" s="57"/>
      <c r="H49" s="57"/>
      <c r="I49" s="57"/>
      <c r="J49" s="62"/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f t="shared" si="1"/>
        <v>0</v>
      </c>
    </row>
    <row r="50" spans="1:23" s="8" customFormat="1" ht="11.75" customHeight="1">
      <c r="A50" s="9" t="s">
        <v>90</v>
      </c>
      <c r="B50" s="9"/>
      <c r="C50" s="13" t="s">
        <v>91</v>
      </c>
      <c r="D50" s="2"/>
      <c r="E50" s="2"/>
      <c r="F50" s="2"/>
      <c r="G50" s="2"/>
      <c r="H50" s="2"/>
      <c r="I50" s="2"/>
      <c r="J50" s="11"/>
      <c r="K50" s="12">
        <f>SUM(K51:K56)</f>
        <v>0</v>
      </c>
      <c r="L50" s="12">
        <f t="shared" ref="L50:V50" si="9">SUM(L51:L56)</f>
        <v>0</v>
      </c>
      <c r="M50" s="12">
        <f t="shared" si="9"/>
        <v>0</v>
      </c>
      <c r="N50" s="12">
        <f t="shared" si="9"/>
        <v>0</v>
      </c>
      <c r="O50" s="12">
        <f t="shared" si="9"/>
        <v>0</v>
      </c>
      <c r="P50" s="12">
        <f t="shared" si="9"/>
        <v>0</v>
      </c>
      <c r="Q50" s="12">
        <f t="shared" si="9"/>
        <v>0</v>
      </c>
      <c r="R50" s="12">
        <f t="shared" si="9"/>
        <v>0</v>
      </c>
      <c r="S50" s="12">
        <f t="shared" si="9"/>
        <v>0</v>
      </c>
      <c r="T50" s="12">
        <f t="shared" si="9"/>
        <v>0</v>
      </c>
      <c r="U50" s="12">
        <f t="shared" si="9"/>
        <v>0</v>
      </c>
      <c r="V50" s="12">
        <f t="shared" si="9"/>
        <v>0</v>
      </c>
      <c r="W50" s="12">
        <f t="shared" si="1"/>
        <v>0</v>
      </c>
    </row>
    <row r="51" spans="1:23" s="63" customFormat="1" ht="11.75" customHeight="1">
      <c r="A51" s="59" t="s">
        <v>92</v>
      </c>
      <c r="B51" s="59"/>
      <c r="C51" s="59"/>
      <c r="D51" s="64" t="s">
        <v>93</v>
      </c>
      <c r="E51" s="57"/>
      <c r="F51" s="57"/>
      <c r="G51" s="57"/>
      <c r="H51" s="57"/>
      <c r="I51" s="57"/>
      <c r="J51" s="62"/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0</v>
      </c>
      <c r="V51" s="47">
        <v>0</v>
      </c>
      <c r="W51" s="47">
        <f t="shared" si="1"/>
        <v>0</v>
      </c>
    </row>
    <row r="52" spans="1:23" s="63" customFormat="1" ht="11.75" customHeight="1">
      <c r="A52" s="59" t="s">
        <v>94</v>
      </c>
      <c r="B52" s="59"/>
      <c r="C52" s="59"/>
      <c r="D52" s="64" t="s">
        <v>95</v>
      </c>
      <c r="E52" s="57"/>
      <c r="F52" s="57"/>
      <c r="G52" s="57"/>
      <c r="H52" s="57"/>
      <c r="I52" s="57"/>
      <c r="J52" s="62"/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0</v>
      </c>
      <c r="V52" s="47">
        <v>0</v>
      </c>
      <c r="W52" s="47">
        <f t="shared" si="1"/>
        <v>0</v>
      </c>
    </row>
    <row r="53" spans="1:23" s="63" customFormat="1" ht="11.75" customHeight="1">
      <c r="A53" s="59" t="s">
        <v>96</v>
      </c>
      <c r="B53" s="59"/>
      <c r="C53" s="59"/>
      <c r="D53" s="64" t="s">
        <v>97</v>
      </c>
      <c r="E53" s="57"/>
      <c r="F53" s="57"/>
      <c r="G53" s="57"/>
      <c r="H53" s="57"/>
      <c r="I53" s="57"/>
      <c r="J53" s="62"/>
      <c r="K53" s="47">
        <v>0</v>
      </c>
      <c r="L53" s="47">
        <v>0</v>
      </c>
      <c r="M53" s="47">
        <v>0</v>
      </c>
      <c r="N53" s="47">
        <v>0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0</v>
      </c>
      <c r="V53" s="47">
        <v>0</v>
      </c>
      <c r="W53" s="47">
        <f t="shared" si="1"/>
        <v>0</v>
      </c>
    </row>
    <row r="54" spans="1:23" s="63" customFormat="1" ht="11.75" customHeight="1">
      <c r="A54" s="59" t="s">
        <v>98</v>
      </c>
      <c r="B54" s="59"/>
      <c r="C54" s="59"/>
      <c r="D54" s="64" t="s">
        <v>99</v>
      </c>
      <c r="E54" s="57"/>
      <c r="F54" s="57"/>
      <c r="G54" s="57"/>
      <c r="H54" s="57"/>
      <c r="I54" s="57"/>
      <c r="J54" s="62"/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0</v>
      </c>
      <c r="W54" s="47">
        <f t="shared" si="1"/>
        <v>0</v>
      </c>
    </row>
    <row r="55" spans="1:23" s="63" customFormat="1" ht="11.75" customHeight="1">
      <c r="A55" s="59" t="s">
        <v>100</v>
      </c>
      <c r="B55" s="59"/>
      <c r="C55" s="59"/>
      <c r="D55" s="64" t="s">
        <v>101</v>
      </c>
      <c r="E55" s="57"/>
      <c r="F55" s="57"/>
      <c r="G55" s="57"/>
      <c r="H55" s="57"/>
      <c r="I55" s="57"/>
      <c r="J55" s="62"/>
      <c r="K55" s="47">
        <v>0</v>
      </c>
      <c r="L55" s="47">
        <v>0</v>
      </c>
      <c r="M55" s="47">
        <v>0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f t="shared" si="1"/>
        <v>0</v>
      </c>
    </row>
    <row r="56" spans="1:23" s="63" customFormat="1" ht="11.75" customHeight="1">
      <c r="A56" s="59" t="s">
        <v>102</v>
      </c>
      <c r="B56" s="59"/>
      <c r="C56" s="59"/>
      <c r="D56" s="64" t="s">
        <v>103</v>
      </c>
      <c r="E56" s="57"/>
      <c r="F56" s="57"/>
      <c r="G56" s="57"/>
      <c r="H56" s="57"/>
      <c r="I56" s="57"/>
      <c r="J56" s="62"/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</v>
      </c>
      <c r="V56" s="47">
        <v>0</v>
      </c>
      <c r="W56" s="47">
        <f t="shared" si="1"/>
        <v>0</v>
      </c>
    </row>
    <row r="57" spans="1:23" s="63" customFormat="1" ht="11.75" customHeight="1">
      <c r="A57" s="59" t="s">
        <v>104</v>
      </c>
      <c r="B57" s="59"/>
      <c r="C57" s="64" t="s">
        <v>105</v>
      </c>
      <c r="D57" s="57"/>
      <c r="E57" s="57"/>
      <c r="F57" s="57"/>
      <c r="G57" s="57"/>
      <c r="H57" s="57"/>
      <c r="I57" s="57"/>
      <c r="J57" s="62"/>
      <c r="K57" s="47">
        <v>0</v>
      </c>
      <c r="L57" s="47">
        <v>0</v>
      </c>
      <c r="M57" s="47">
        <v>0</v>
      </c>
      <c r="N57" s="47">
        <v>0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f t="shared" si="1"/>
        <v>0</v>
      </c>
    </row>
    <row r="58" spans="1:23" s="8" customFormat="1" ht="11.75" customHeight="1">
      <c r="A58" s="9" t="s">
        <v>106</v>
      </c>
      <c r="B58" s="9"/>
      <c r="C58" s="13" t="s">
        <v>107</v>
      </c>
      <c r="D58" s="2"/>
      <c r="E58" s="2"/>
      <c r="F58" s="2"/>
      <c r="G58" s="2"/>
      <c r="H58" s="2"/>
      <c r="I58" s="2"/>
      <c r="J58" s="11"/>
      <c r="K58" s="12">
        <f>SUM(K59:K60)</f>
        <v>71350</v>
      </c>
      <c r="L58" s="12">
        <f t="shared" ref="L58:V58" si="10">SUM(L59:L60)</f>
        <v>33000</v>
      </c>
      <c r="M58" s="12">
        <f t="shared" si="10"/>
        <v>0</v>
      </c>
      <c r="N58" s="12">
        <f t="shared" si="10"/>
        <v>0</v>
      </c>
      <c r="O58" s="12">
        <f t="shared" si="10"/>
        <v>0</v>
      </c>
      <c r="P58" s="12">
        <f t="shared" si="10"/>
        <v>0</v>
      </c>
      <c r="Q58" s="12">
        <f t="shared" si="10"/>
        <v>0</v>
      </c>
      <c r="R58" s="12">
        <f t="shared" si="10"/>
        <v>10000</v>
      </c>
      <c r="S58" s="12">
        <f t="shared" si="10"/>
        <v>0</v>
      </c>
      <c r="T58" s="12">
        <f t="shared" si="10"/>
        <v>0</v>
      </c>
      <c r="U58" s="12">
        <f t="shared" si="10"/>
        <v>0</v>
      </c>
      <c r="V58" s="12">
        <f t="shared" si="10"/>
        <v>0</v>
      </c>
      <c r="W58" s="12">
        <f t="shared" si="1"/>
        <v>114350</v>
      </c>
    </row>
    <row r="59" spans="1:23" s="63" customFormat="1" ht="11.75" customHeight="1">
      <c r="A59" s="59" t="s">
        <v>108</v>
      </c>
      <c r="B59" s="59"/>
      <c r="C59" s="59"/>
      <c r="D59" s="64" t="s">
        <v>107</v>
      </c>
      <c r="E59" s="57"/>
      <c r="F59" s="57"/>
      <c r="G59" s="57"/>
      <c r="H59" s="57"/>
      <c r="I59" s="57"/>
      <c r="J59" s="62"/>
      <c r="K59" s="47">
        <v>71350</v>
      </c>
      <c r="L59" s="47">
        <v>33000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10000</v>
      </c>
      <c r="S59" s="47">
        <v>0</v>
      </c>
      <c r="T59" s="47">
        <v>0</v>
      </c>
      <c r="U59" s="47">
        <v>0</v>
      </c>
      <c r="V59" s="47">
        <v>0</v>
      </c>
      <c r="W59" s="47">
        <f t="shared" si="1"/>
        <v>114350</v>
      </c>
    </row>
    <row r="60" spans="1:23" s="63" customFormat="1" ht="11.75" customHeight="1">
      <c r="A60" s="59" t="s">
        <v>109</v>
      </c>
      <c r="B60" s="59"/>
      <c r="C60" s="59"/>
      <c r="D60" s="64" t="s">
        <v>110</v>
      </c>
      <c r="E60" s="57"/>
      <c r="F60" s="57"/>
      <c r="G60" s="57"/>
      <c r="H60" s="57"/>
      <c r="I60" s="57"/>
      <c r="J60" s="62"/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0</v>
      </c>
      <c r="V60" s="47">
        <v>0</v>
      </c>
      <c r="W60" s="47">
        <f t="shared" si="1"/>
        <v>0</v>
      </c>
    </row>
    <row r="61" spans="1:23" s="63" customFormat="1" ht="11.75" customHeight="1">
      <c r="A61" s="59" t="s">
        <v>111</v>
      </c>
      <c r="B61" s="59"/>
      <c r="C61" s="64" t="s">
        <v>112</v>
      </c>
      <c r="D61" s="57"/>
      <c r="E61" s="57"/>
      <c r="F61" s="57"/>
      <c r="G61" s="57"/>
      <c r="H61" s="57"/>
      <c r="I61" s="57"/>
      <c r="J61" s="62"/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</v>
      </c>
      <c r="V61" s="47">
        <v>0</v>
      </c>
      <c r="W61" s="47">
        <f t="shared" si="1"/>
        <v>0</v>
      </c>
    </row>
    <row r="62" spans="1:23" s="63" customFormat="1" ht="11.75" customHeight="1">
      <c r="A62" s="59" t="s">
        <v>113</v>
      </c>
      <c r="B62" s="59"/>
      <c r="C62" s="64" t="s">
        <v>114</v>
      </c>
      <c r="D62" s="57"/>
      <c r="E62" s="57"/>
      <c r="F62" s="57"/>
      <c r="G62" s="57"/>
      <c r="H62" s="57"/>
      <c r="I62" s="57"/>
      <c r="J62" s="62"/>
      <c r="K62" s="47">
        <v>0</v>
      </c>
      <c r="L62" s="47">
        <v>0</v>
      </c>
      <c r="M62" s="47">
        <v>0</v>
      </c>
      <c r="N62" s="47">
        <v>0</v>
      </c>
      <c r="O62" s="47">
        <v>0</v>
      </c>
      <c r="P62" s="47">
        <v>0</v>
      </c>
      <c r="Q62" s="47">
        <v>17652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  <c r="W62" s="47">
        <f t="shared" si="1"/>
        <v>17652</v>
      </c>
    </row>
    <row r="63" spans="1:23" s="63" customFormat="1" ht="11.75" customHeight="1">
      <c r="A63" s="59" t="s">
        <v>115</v>
      </c>
      <c r="B63" s="59"/>
      <c r="C63" s="64" t="s">
        <v>116</v>
      </c>
      <c r="D63" s="57"/>
      <c r="E63" s="57"/>
      <c r="F63" s="57"/>
      <c r="G63" s="57"/>
      <c r="H63" s="57"/>
      <c r="I63" s="57"/>
      <c r="J63" s="62"/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0</v>
      </c>
      <c r="V63" s="47">
        <v>0</v>
      </c>
      <c r="W63" s="47">
        <f t="shared" si="1"/>
        <v>0</v>
      </c>
    </row>
    <row r="64" spans="1:23" s="63" customFormat="1" ht="11.75" customHeight="1">
      <c r="A64" s="59" t="s">
        <v>117</v>
      </c>
      <c r="B64" s="59"/>
      <c r="C64" s="64" t="s">
        <v>118</v>
      </c>
      <c r="D64" s="57"/>
      <c r="E64" s="57"/>
      <c r="F64" s="57"/>
      <c r="G64" s="57"/>
      <c r="H64" s="57"/>
      <c r="I64" s="57"/>
      <c r="J64" s="62"/>
      <c r="K64" s="47">
        <v>0</v>
      </c>
      <c r="L64" s="47">
        <v>0</v>
      </c>
      <c r="M64" s="47">
        <v>0</v>
      </c>
      <c r="N64" s="47">
        <v>75000</v>
      </c>
      <c r="O64" s="47">
        <v>0</v>
      </c>
      <c r="P64" s="47">
        <v>0</v>
      </c>
      <c r="Q64" s="47">
        <v>0</v>
      </c>
      <c r="R64" s="47">
        <v>0</v>
      </c>
      <c r="S64" s="47">
        <v>115000</v>
      </c>
      <c r="T64" s="47">
        <v>0</v>
      </c>
      <c r="U64" s="47">
        <v>0</v>
      </c>
      <c r="V64" s="47">
        <v>0</v>
      </c>
      <c r="W64" s="47">
        <f t="shared" si="1"/>
        <v>190000</v>
      </c>
    </row>
    <row r="65" spans="1:23" s="63" customFormat="1" ht="11.75" customHeight="1">
      <c r="A65" s="59" t="s">
        <v>119</v>
      </c>
      <c r="B65" s="59"/>
      <c r="C65" s="64" t="s">
        <v>120</v>
      </c>
      <c r="D65" s="57"/>
      <c r="E65" s="57"/>
      <c r="F65" s="57"/>
      <c r="G65" s="57"/>
      <c r="H65" s="57"/>
      <c r="I65" s="57"/>
      <c r="J65" s="62"/>
      <c r="K65" s="47">
        <v>7500</v>
      </c>
      <c r="L65" s="47">
        <v>31850</v>
      </c>
      <c r="M65" s="47">
        <v>36000</v>
      </c>
      <c r="N65" s="47">
        <v>20450</v>
      </c>
      <c r="O65" s="47">
        <v>13450</v>
      </c>
      <c r="P65" s="47">
        <v>27100</v>
      </c>
      <c r="Q65" s="47">
        <v>7500</v>
      </c>
      <c r="R65" s="47">
        <v>7500</v>
      </c>
      <c r="S65" s="47">
        <v>701250</v>
      </c>
      <c r="T65" s="47">
        <v>132000</v>
      </c>
      <c r="U65" s="47">
        <v>107500</v>
      </c>
      <c r="V65" s="47">
        <v>32000</v>
      </c>
      <c r="W65" s="47">
        <f t="shared" si="1"/>
        <v>1124100</v>
      </c>
    </row>
    <row r="66" spans="1:23" s="63" customFormat="1" ht="11.75" customHeight="1">
      <c r="A66" s="59" t="s">
        <v>121</v>
      </c>
      <c r="B66" s="59"/>
      <c r="C66" s="64" t="s">
        <v>122</v>
      </c>
      <c r="D66" s="57"/>
      <c r="E66" s="57"/>
      <c r="F66" s="57"/>
      <c r="G66" s="57"/>
      <c r="H66" s="57"/>
      <c r="I66" s="57"/>
      <c r="J66" s="62"/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f t="shared" si="1"/>
        <v>0</v>
      </c>
    </row>
    <row r="67" spans="1:23" s="8" customFormat="1" ht="11.75" customHeight="1">
      <c r="A67" s="9" t="s">
        <v>123</v>
      </c>
      <c r="B67" s="9"/>
      <c r="C67" s="13" t="s">
        <v>124</v>
      </c>
      <c r="D67" s="2"/>
      <c r="E67" s="2"/>
      <c r="F67" s="2"/>
      <c r="G67" s="2"/>
      <c r="H67" s="2"/>
      <c r="I67" s="2"/>
      <c r="J67" s="11"/>
      <c r="K67" s="12">
        <f>SUM(K68:K69)</f>
        <v>1000</v>
      </c>
      <c r="L67" s="12">
        <f t="shared" ref="L67:V67" si="11">SUM(L68:L69)</f>
        <v>1000</v>
      </c>
      <c r="M67" s="12">
        <f t="shared" si="11"/>
        <v>1000</v>
      </c>
      <c r="N67" s="12">
        <f t="shared" si="11"/>
        <v>1000</v>
      </c>
      <c r="O67" s="12">
        <f t="shared" si="11"/>
        <v>1000</v>
      </c>
      <c r="P67" s="12">
        <f t="shared" si="11"/>
        <v>1000</v>
      </c>
      <c r="Q67" s="12">
        <f t="shared" si="11"/>
        <v>1000</v>
      </c>
      <c r="R67" s="12">
        <f t="shared" si="11"/>
        <v>1000</v>
      </c>
      <c r="S67" s="12">
        <f t="shared" si="11"/>
        <v>1000</v>
      </c>
      <c r="T67" s="12">
        <f t="shared" si="11"/>
        <v>0</v>
      </c>
      <c r="U67" s="12">
        <f t="shared" si="11"/>
        <v>0</v>
      </c>
      <c r="V67" s="12">
        <f t="shared" si="11"/>
        <v>0</v>
      </c>
      <c r="W67" s="12">
        <f t="shared" si="1"/>
        <v>9000</v>
      </c>
    </row>
    <row r="68" spans="1:23" s="63" customFormat="1" ht="11.75" customHeight="1">
      <c r="A68" s="59" t="s">
        <v>125</v>
      </c>
      <c r="B68" s="59"/>
      <c r="C68" s="59"/>
      <c r="D68" s="64" t="s">
        <v>124</v>
      </c>
      <c r="E68" s="57"/>
      <c r="F68" s="57"/>
      <c r="G68" s="57"/>
      <c r="H68" s="57"/>
      <c r="I68" s="57"/>
      <c r="J68" s="62"/>
      <c r="K68" s="47">
        <v>1000</v>
      </c>
      <c r="L68" s="47">
        <v>1000</v>
      </c>
      <c r="M68" s="47">
        <v>1000</v>
      </c>
      <c r="N68" s="47">
        <v>1000</v>
      </c>
      <c r="O68" s="47">
        <v>1000</v>
      </c>
      <c r="P68" s="47">
        <v>1000</v>
      </c>
      <c r="Q68" s="47">
        <v>1000</v>
      </c>
      <c r="R68" s="47">
        <v>1000</v>
      </c>
      <c r="S68" s="47">
        <v>1000</v>
      </c>
      <c r="T68" s="47">
        <v>0</v>
      </c>
      <c r="U68" s="47">
        <v>0</v>
      </c>
      <c r="V68" s="47">
        <v>0</v>
      </c>
      <c r="W68" s="47">
        <f t="shared" si="1"/>
        <v>9000</v>
      </c>
    </row>
    <row r="69" spans="1:23" s="63" customFormat="1" ht="11.75" customHeight="1">
      <c r="A69" s="59" t="s">
        <v>126</v>
      </c>
      <c r="B69" s="59"/>
      <c r="C69" s="59"/>
      <c r="D69" s="64" t="s">
        <v>127</v>
      </c>
      <c r="E69" s="57"/>
      <c r="F69" s="57"/>
      <c r="G69" s="57"/>
      <c r="H69" s="57"/>
      <c r="I69" s="57"/>
      <c r="J69" s="62"/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f t="shared" si="1"/>
        <v>0</v>
      </c>
    </row>
    <row r="70" spans="1:23" s="63" customFormat="1" ht="11.75" customHeight="1">
      <c r="A70" s="59" t="s">
        <v>128</v>
      </c>
      <c r="B70" s="59"/>
      <c r="C70" s="64" t="s">
        <v>129</v>
      </c>
      <c r="D70" s="57"/>
      <c r="E70" s="57"/>
      <c r="F70" s="57"/>
      <c r="G70" s="57"/>
      <c r="H70" s="57"/>
      <c r="I70" s="57"/>
      <c r="J70" s="62"/>
      <c r="K70" s="47">
        <v>21296</v>
      </c>
      <c r="L70" s="47">
        <v>33057</v>
      </c>
      <c r="M70" s="47">
        <v>74398</v>
      </c>
      <c r="N70" s="47">
        <v>41193</v>
      </c>
      <c r="O70" s="47">
        <v>57367</v>
      </c>
      <c r="P70" s="47">
        <v>40213</v>
      </c>
      <c r="Q70" s="47">
        <v>81400</v>
      </c>
      <c r="R70" s="47">
        <v>94168</v>
      </c>
      <c r="S70" s="47">
        <v>9421</v>
      </c>
      <c r="T70" s="47">
        <v>34000</v>
      </c>
      <c r="U70" s="47">
        <v>433000</v>
      </c>
      <c r="V70" s="47">
        <v>34000</v>
      </c>
      <c r="W70" s="47">
        <f t="shared" si="1"/>
        <v>953513</v>
      </c>
    </row>
    <row r="71" spans="1:23" s="63" customFormat="1" ht="11.75" customHeight="1">
      <c r="A71" s="59" t="s">
        <v>130</v>
      </c>
      <c r="B71" s="59"/>
      <c r="C71" s="64" t="s">
        <v>131</v>
      </c>
      <c r="D71" s="57"/>
      <c r="E71" s="57"/>
      <c r="F71" s="57"/>
      <c r="G71" s="57"/>
      <c r="H71" s="57"/>
      <c r="I71" s="57"/>
      <c r="J71" s="62"/>
      <c r="K71" s="47">
        <v>0</v>
      </c>
      <c r="L71" s="47">
        <v>15559</v>
      </c>
      <c r="M71" s="47">
        <v>1446</v>
      </c>
      <c r="N71" s="47">
        <v>0</v>
      </c>
      <c r="O71" s="47">
        <v>0</v>
      </c>
      <c r="P71" s="47">
        <v>187199</v>
      </c>
      <c r="Q71" s="47">
        <v>46418</v>
      </c>
      <c r="R71" s="47">
        <v>52254</v>
      </c>
      <c r="S71" s="47">
        <v>53242</v>
      </c>
      <c r="T71" s="47">
        <v>11800</v>
      </c>
      <c r="U71" s="47">
        <v>11800</v>
      </c>
      <c r="V71" s="47">
        <v>11800</v>
      </c>
      <c r="W71" s="47">
        <f t="shared" ref="W71:W118" si="12">SUM(K71:V71)</f>
        <v>391518</v>
      </c>
    </row>
    <row r="72" spans="1:23" s="8" customFormat="1" ht="11.75" customHeight="1">
      <c r="A72" s="9" t="s">
        <v>132</v>
      </c>
      <c r="B72" s="9"/>
      <c r="C72" s="13" t="s">
        <v>133</v>
      </c>
      <c r="D72" s="2"/>
      <c r="E72" s="2"/>
      <c r="F72" s="2"/>
      <c r="G72" s="2"/>
      <c r="H72" s="2"/>
      <c r="I72" s="2"/>
      <c r="J72" s="11"/>
      <c r="K72" s="12">
        <f>SUM(K73:K77)</f>
        <v>0</v>
      </c>
      <c r="L72" s="12">
        <f t="shared" ref="L72:V72" si="13">SUM(L73:L77)</f>
        <v>0</v>
      </c>
      <c r="M72" s="12">
        <f t="shared" si="13"/>
        <v>0</v>
      </c>
      <c r="N72" s="12">
        <f t="shared" si="13"/>
        <v>0</v>
      </c>
      <c r="O72" s="12">
        <f t="shared" si="13"/>
        <v>0</v>
      </c>
      <c r="P72" s="12">
        <f t="shared" si="13"/>
        <v>0</v>
      </c>
      <c r="Q72" s="12">
        <f t="shared" si="13"/>
        <v>0</v>
      </c>
      <c r="R72" s="12">
        <f t="shared" si="13"/>
        <v>0</v>
      </c>
      <c r="S72" s="12">
        <f t="shared" si="13"/>
        <v>0</v>
      </c>
      <c r="T72" s="12">
        <f t="shared" si="13"/>
        <v>0</v>
      </c>
      <c r="U72" s="12">
        <f t="shared" si="13"/>
        <v>0</v>
      </c>
      <c r="V72" s="12">
        <f t="shared" si="13"/>
        <v>0</v>
      </c>
      <c r="W72" s="12">
        <f t="shared" si="12"/>
        <v>0</v>
      </c>
    </row>
    <row r="73" spans="1:23" s="63" customFormat="1" ht="11.75" customHeight="1">
      <c r="A73" s="59" t="s">
        <v>134</v>
      </c>
      <c r="B73" s="59"/>
      <c r="C73" s="59"/>
      <c r="D73" s="64" t="s">
        <v>135</v>
      </c>
      <c r="E73" s="57"/>
      <c r="F73" s="57"/>
      <c r="G73" s="57"/>
      <c r="H73" s="57"/>
      <c r="I73" s="57"/>
      <c r="J73" s="62"/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  <c r="Q73" s="47">
        <v>0</v>
      </c>
      <c r="R73" s="47">
        <v>0</v>
      </c>
      <c r="S73" s="47">
        <v>0</v>
      </c>
      <c r="T73" s="47">
        <v>0</v>
      </c>
      <c r="U73" s="47">
        <v>0</v>
      </c>
      <c r="V73" s="47">
        <v>0</v>
      </c>
      <c r="W73" s="47">
        <f t="shared" si="12"/>
        <v>0</v>
      </c>
    </row>
    <row r="74" spans="1:23" s="63" customFormat="1" ht="11.75" customHeight="1">
      <c r="A74" s="59" t="s">
        <v>136</v>
      </c>
      <c r="B74" s="59"/>
      <c r="C74" s="59"/>
      <c r="D74" s="64" t="s">
        <v>137</v>
      </c>
      <c r="E74" s="57"/>
      <c r="F74" s="57"/>
      <c r="G74" s="57"/>
      <c r="H74" s="57"/>
      <c r="I74" s="57"/>
      <c r="J74" s="62"/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f t="shared" si="12"/>
        <v>0</v>
      </c>
    </row>
    <row r="75" spans="1:23" s="63" customFormat="1" ht="11.75" customHeight="1">
      <c r="A75" s="59" t="s">
        <v>138</v>
      </c>
      <c r="B75" s="59"/>
      <c r="C75" s="59"/>
      <c r="D75" s="64" t="s">
        <v>139</v>
      </c>
      <c r="E75" s="57"/>
      <c r="F75" s="57"/>
      <c r="G75" s="57"/>
      <c r="H75" s="57"/>
      <c r="I75" s="57"/>
      <c r="J75" s="62"/>
      <c r="K75" s="47">
        <v>0</v>
      </c>
      <c r="L75" s="47">
        <v>0</v>
      </c>
      <c r="M75" s="47">
        <v>0</v>
      </c>
      <c r="N75" s="47">
        <v>0</v>
      </c>
      <c r="O75" s="47">
        <v>0</v>
      </c>
      <c r="P75" s="47">
        <v>0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f t="shared" si="12"/>
        <v>0</v>
      </c>
    </row>
    <row r="76" spans="1:23" s="63" customFormat="1" ht="11.75" customHeight="1">
      <c r="A76" s="59" t="s">
        <v>140</v>
      </c>
      <c r="B76" s="59"/>
      <c r="C76" s="59"/>
      <c r="D76" s="64" t="s">
        <v>141</v>
      </c>
      <c r="E76" s="57"/>
      <c r="F76" s="57"/>
      <c r="G76" s="57"/>
      <c r="H76" s="57"/>
      <c r="I76" s="57"/>
      <c r="J76" s="62"/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f t="shared" si="12"/>
        <v>0</v>
      </c>
    </row>
    <row r="77" spans="1:23" s="63" customFormat="1" ht="11.75" customHeight="1">
      <c r="A77" s="59" t="s">
        <v>142</v>
      </c>
      <c r="B77" s="59"/>
      <c r="C77" s="59"/>
      <c r="D77" s="64" t="s">
        <v>143</v>
      </c>
      <c r="E77" s="57"/>
      <c r="F77" s="57"/>
      <c r="G77" s="57"/>
      <c r="H77" s="57"/>
      <c r="I77" s="57"/>
      <c r="J77" s="62"/>
      <c r="K77" s="47">
        <v>0</v>
      </c>
      <c r="L77" s="47">
        <v>0</v>
      </c>
      <c r="M77" s="47">
        <v>0</v>
      </c>
      <c r="N77" s="47">
        <v>0</v>
      </c>
      <c r="O77" s="47">
        <v>0</v>
      </c>
      <c r="P77" s="47">
        <v>0</v>
      </c>
      <c r="Q77" s="47">
        <v>0</v>
      </c>
      <c r="R77" s="47">
        <v>0</v>
      </c>
      <c r="S77" s="47">
        <v>0</v>
      </c>
      <c r="T77" s="47">
        <v>0</v>
      </c>
      <c r="U77" s="47">
        <v>0</v>
      </c>
      <c r="V77" s="47">
        <v>0</v>
      </c>
      <c r="W77" s="47">
        <f t="shared" si="12"/>
        <v>0</v>
      </c>
    </row>
    <row r="78" spans="1:23" s="63" customFormat="1" ht="11.75" customHeight="1">
      <c r="A78" s="59" t="s">
        <v>144</v>
      </c>
      <c r="B78" s="59"/>
      <c r="C78" s="64" t="s">
        <v>145</v>
      </c>
      <c r="D78" s="57"/>
      <c r="E78" s="57"/>
      <c r="F78" s="57"/>
      <c r="G78" s="57"/>
      <c r="H78" s="57"/>
      <c r="I78" s="57"/>
      <c r="J78" s="62"/>
      <c r="K78" s="47">
        <v>0</v>
      </c>
      <c r="L78" s="47">
        <v>0</v>
      </c>
      <c r="M78" s="47">
        <v>0</v>
      </c>
      <c r="N78" s="47">
        <v>0</v>
      </c>
      <c r="O78" s="47">
        <v>0</v>
      </c>
      <c r="P78" s="47">
        <v>0</v>
      </c>
      <c r="Q78" s="47">
        <v>0</v>
      </c>
      <c r="R78" s="47">
        <v>0</v>
      </c>
      <c r="S78" s="47">
        <v>0</v>
      </c>
      <c r="T78" s="47">
        <v>0</v>
      </c>
      <c r="U78" s="47">
        <v>0</v>
      </c>
      <c r="V78" s="47">
        <v>0</v>
      </c>
      <c r="W78" s="47">
        <f t="shared" si="12"/>
        <v>0</v>
      </c>
    </row>
    <row r="79" spans="1:23" s="63" customFormat="1" ht="11.75" customHeight="1">
      <c r="A79" s="59" t="s">
        <v>146</v>
      </c>
      <c r="B79" s="59"/>
      <c r="C79" s="64" t="s">
        <v>147</v>
      </c>
      <c r="D79" s="57"/>
      <c r="E79" s="57"/>
      <c r="F79" s="57"/>
      <c r="G79" s="57"/>
      <c r="H79" s="57"/>
      <c r="I79" s="57"/>
      <c r="J79" s="62"/>
      <c r="K79" s="47">
        <v>0</v>
      </c>
      <c r="L79" s="47">
        <v>0</v>
      </c>
      <c r="M79" s="47">
        <v>0</v>
      </c>
      <c r="N79" s="47">
        <v>120000</v>
      </c>
      <c r="O79" s="47">
        <v>45000</v>
      </c>
      <c r="P79" s="47">
        <v>400000</v>
      </c>
      <c r="Q79" s="47">
        <v>506700</v>
      </c>
      <c r="R79" s="47">
        <v>0</v>
      </c>
      <c r="S79" s="47">
        <v>0</v>
      </c>
      <c r="T79" s="47">
        <v>0</v>
      </c>
      <c r="U79" s="47">
        <v>0</v>
      </c>
      <c r="V79" s="47">
        <v>0</v>
      </c>
      <c r="W79" s="47">
        <f t="shared" si="12"/>
        <v>1071700</v>
      </c>
    </row>
    <row r="80" spans="1:23" s="8" customFormat="1" ht="11.75" customHeight="1">
      <c r="A80" s="9" t="s">
        <v>148</v>
      </c>
      <c r="B80" s="9"/>
      <c r="C80" s="13" t="s">
        <v>149</v>
      </c>
      <c r="D80" s="2"/>
      <c r="E80" s="2"/>
      <c r="F80" s="2"/>
      <c r="G80" s="2"/>
      <c r="H80" s="2"/>
      <c r="I80" s="2"/>
      <c r="J80" s="11"/>
      <c r="K80" s="12">
        <f>SUM(K81:K82)</f>
        <v>0</v>
      </c>
      <c r="L80" s="12">
        <f t="shared" ref="L80:V80" si="14">SUM(L81:L82)</f>
        <v>0</v>
      </c>
      <c r="M80" s="12">
        <f t="shared" si="14"/>
        <v>0</v>
      </c>
      <c r="N80" s="12">
        <f t="shared" si="14"/>
        <v>0</v>
      </c>
      <c r="O80" s="12">
        <f t="shared" si="14"/>
        <v>0</v>
      </c>
      <c r="P80" s="12">
        <f t="shared" si="14"/>
        <v>0</v>
      </c>
      <c r="Q80" s="12">
        <f t="shared" si="14"/>
        <v>2149</v>
      </c>
      <c r="R80" s="12">
        <f t="shared" si="14"/>
        <v>0</v>
      </c>
      <c r="S80" s="12">
        <f t="shared" si="14"/>
        <v>0</v>
      </c>
      <c r="T80" s="12">
        <f t="shared" si="14"/>
        <v>0</v>
      </c>
      <c r="U80" s="12">
        <f t="shared" si="14"/>
        <v>0</v>
      </c>
      <c r="V80" s="12">
        <f t="shared" si="14"/>
        <v>0</v>
      </c>
      <c r="W80" s="12">
        <f t="shared" si="12"/>
        <v>2149</v>
      </c>
    </row>
    <row r="81" spans="1:23" s="63" customFormat="1" ht="11.75" customHeight="1">
      <c r="A81" s="59" t="s">
        <v>150</v>
      </c>
      <c r="B81" s="59"/>
      <c r="C81" s="59"/>
      <c r="D81" s="64" t="s">
        <v>151</v>
      </c>
      <c r="E81" s="57"/>
      <c r="F81" s="57"/>
      <c r="G81" s="57"/>
      <c r="H81" s="57"/>
      <c r="I81" s="57"/>
      <c r="J81" s="62"/>
      <c r="K81" s="47">
        <v>0</v>
      </c>
      <c r="L81" s="47">
        <v>0</v>
      </c>
      <c r="M81" s="47">
        <v>0</v>
      </c>
      <c r="N81" s="47">
        <v>0</v>
      </c>
      <c r="O81" s="47">
        <v>0</v>
      </c>
      <c r="P81" s="47">
        <v>0</v>
      </c>
      <c r="Q81" s="47">
        <v>2149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f t="shared" si="12"/>
        <v>2149</v>
      </c>
    </row>
    <row r="82" spans="1:23" s="63" customFormat="1" ht="11.75" customHeight="1">
      <c r="A82" s="59" t="s">
        <v>152</v>
      </c>
      <c r="B82" s="59"/>
      <c r="C82" s="59"/>
      <c r="D82" s="64" t="s">
        <v>153</v>
      </c>
      <c r="E82" s="57"/>
      <c r="F82" s="57"/>
      <c r="G82" s="57"/>
      <c r="H82" s="57"/>
      <c r="I82" s="57"/>
      <c r="J82" s="62"/>
      <c r="K82" s="47">
        <v>0</v>
      </c>
      <c r="L82" s="47">
        <v>0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f t="shared" si="12"/>
        <v>0</v>
      </c>
    </row>
    <row r="83" spans="1:23" s="63" customFormat="1" ht="11.75" customHeight="1">
      <c r="A83" s="59" t="s">
        <v>154</v>
      </c>
      <c r="B83" s="59"/>
      <c r="C83" s="64" t="s">
        <v>155</v>
      </c>
      <c r="D83" s="57"/>
      <c r="E83" s="57"/>
      <c r="F83" s="57"/>
      <c r="G83" s="57"/>
      <c r="H83" s="57"/>
      <c r="I83" s="57"/>
      <c r="J83" s="62"/>
      <c r="K83" s="47">
        <v>0</v>
      </c>
      <c r="L83" s="47">
        <v>0</v>
      </c>
      <c r="M83" s="47">
        <v>0</v>
      </c>
      <c r="N83" s="47">
        <v>0</v>
      </c>
      <c r="O83" s="47">
        <v>0</v>
      </c>
      <c r="P83" s="47">
        <v>0</v>
      </c>
      <c r="Q83" s="47">
        <v>0</v>
      </c>
      <c r="R83" s="47">
        <v>0</v>
      </c>
      <c r="S83" s="47">
        <v>0</v>
      </c>
      <c r="T83" s="47">
        <v>0</v>
      </c>
      <c r="U83" s="47">
        <v>0</v>
      </c>
      <c r="V83" s="47">
        <v>0</v>
      </c>
      <c r="W83" s="47">
        <f t="shared" si="12"/>
        <v>0</v>
      </c>
    </row>
    <row r="84" spans="1:23" s="63" customFormat="1" ht="11.75" customHeight="1">
      <c r="A84" s="59" t="s">
        <v>156</v>
      </c>
      <c r="B84" s="59"/>
      <c r="C84" s="64" t="s">
        <v>157</v>
      </c>
      <c r="D84" s="57"/>
      <c r="E84" s="57"/>
      <c r="F84" s="57"/>
      <c r="G84" s="57"/>
      <c r="H84" s="57"/>
      <c r="I84" s="57"/>
      <c r="J84" s="62"/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f t="shared" si="12"/>
        <v>0</v>
      </c>
    </row>
    <row r="85" spans="1:23" s="8" customFormat="1" ht="11.75" customHeight="1">
      <c r="A85" s="9" t="s">
        <v>158</v>
      </c>
      <c r="B85" s="22" t="s">
        <v>159</v>
      </c>
      <c r="C85" s="23"/>
      <c r="D85" s="23"/>
      <c r="E85" s="23"/>
      <c r="F85" s="23"/>
      <c r="G85" s="23"/>
      <c r="H85" s="23"/>
      <c r="I85" s="23"/>
      <c r="J85" s="24"/>
      <c r="K85" s="25">
        <f>SUM(K86:K96)</f>
        <v>0</v>
      </c>
      <c r="L85" s="25">
        <f t="shared" ref="L85:V85" si="15">SUM(L86:L96)</f>
        <v>0</v>
      </c>
      <c r="M85" s="25">
        <f t="shared" si="15"/>
        <v>0</v>
      </c>
      <c r="N85" s="25">
        <f t="shared" si="15"/>
        <v>0</v>
      </c>
      <c r="O85" s="25">
        <f t="shared" si="15"/>
        <v>0</v>
      </c>
      <c r="P85" s="25">
        <f t="shared" si="15"/>
        <v>0</v>
      </c>
      <c r="Q85" s="25">
        <f t="shared" si="15"/>
        <v>20000</v>
      </c>
      <c r="R85" s="25">
        <f t="shared" si="15"/>
        <v>20000</v>
      </c>
      <c r="S85" s="25">
        <f t="shared" si="15"/>
        <v>20000</v>
      </c>
      <c r="T85" s="25">
        <f t="shared" si="15"/>
        <v>20000</v>
      </c>
      <c r="U85" s="25">
        <f t="shared" si="15"/>
        <v>20000</v>
      </c>
      <c r="V85" s="25">
        <f t="shared" si="15"/>
        <v>20000</v>
      </c>
      <c r="W85" s="25">
        <f t="shared" si="12"/>
        <v>120000</v>
      </c>
    </row>
    <row r="86" spans="1:23" s="63" customFormat="1" ht="11.75" customHeight="1">
      <c r="A86" s="59" t="s">
        <v>160</v>
      </c>
      <c r="B86" s="60"/>
      <c r="C86" s="61" t="s">
        <v>93</v>
      </c>
      <c r="D86" s="57"/>
      <c r="E86" s="57"/>
      <c r="F86" s="57"/>
      <c r="G86" s="57"/>
      <c r="H86" s="57"/>
      <c r="I86" s="57"/>
      <c r="J86" s="62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>
        <f t="shared" si="12"/>
        <v>0</v>
      </c>
    </row>
    <row r="87" spans="1:23" s="63" customFormat="1" ht="11.75" customHeight="1">
      <c r="A87" s="59" t="s">
        <v>161</v>
      </c>
      <c r="B87" s="59"/>
      <c r="C87" s="64" t="s">
        <v>162</v>
      </c>
      <c r="D87" s="57"/>
      <c r="E87" s="57"/>
      <c r="F87" s="57"/>
      <c r="G87" s="57"/>
      <c r="H87" s="57"/>
      <c r="I87" s="57"/>
      <c r="J87" s="62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>
        <f t="shared" si="12"/>
        <v>0</v>
      </c>
    </row>
    <row r="88" spans="1:23" s="63" customFormat="1" ht="11.75" customHeight="1">
      <c r="A88" s="59" t="s">
        <v>163</v>
      </c>
      <c r="B88" s="59"/>
      <c r="C88" s="64" t="s">
        <v>97</v>
      </c>
      <c r="D88" s="57"/>
      <c r="E88" s="57"/>
      <c r="F88" s="57"/>
      <c r="G88" s="57"/>
      <c r="H88" s="57"/>
      <c r="I88" s="57"/>
      <c r="J88" s="62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>
        <f t="shared" si="12"/>
        <v>0</v>
      </c>
    </row>
    <row r="89" spans="1:23" s="63" customFormat="1" ht="11.75" customHeight="1">
      <c r="A89" s="59" t="s">
        <v>164</v>
      </c>
      <c r="B89" s="59"/>
      <c r="C89" s="64" t="s">
        <v>165</v>
      </c>
      <c r="D89" s="57"/>
      <c r="E89" s="57"/>
      <c r="F89" s="57"/>
      <c r="G89" s="57"/>
      <c r="H89" s="57"/>
      <c r="I89" s="57"/>
      <c r="J89" s="62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>
        <f t="shared" si="12"/>
        <v>0</v>
      </c>
    </row>
    <row r="90" spans="1:23" s="63" customFormat="1" ht="11.75" customHeight="1">
      <c r="A90" s="59" t="s">
        <v>166</v>
      </c>
      <c r="B90" s="59"/>
      <c r="C90" s="64" t="s">
        <v>101</v>
      </c>
      <c r="D90" s="57"/>
      <c r="E90" s="57"/>
      <c r="F90" s="57"/>
      <c r="G90" s="57"/>
      <c r="H90" s="57"/>
      <c r="I90" s="57"/>
      <c r="J90" s="62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>
        <f t="shared" si="12"/>
        <v>0</v>
      </c>
    </row>
    <row r="91" spans="1:23" s="63" customFormat="1" ht="11.75" customHeight="1">
      <c r="A91" s="59" t="s">
        <v>167</v>
      </c>
      <c r="B91" s="59"/>
      <c r="C91" s="64" t="s">
        <v>103</v>
      </c>
      <c r="D91" s="57"/>
      <c r="E91" s="57"/>
      <c r="F91" s="57"/>
      <c r="G91" s="57"/>
      <c r="H91" s="57"/>
      <c r="I91" s="57"/>
      <c r="J91" s="62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>
        <f t="shared" si="12"/>
        <v>0</v>
      </c>
    </row>
    <row r="92" spans="1:23" s="63" customFormat="1" ht="11.75" customHeight="1">
      <c r="A92" s="59" t="s">
        <v>168</v>
      </c>
      <c r="B92" s="59"/>
      <c r="C92" s="64" t="s">
        <v>169</v>
      </c>
      <c r="D92" s="57"/>
      <c r="E92" s="57"/>
      <c r="F92" s="57"/>
      <c r="G92" s="57"/>
      <c r="H92" s="57"/>
      <c r="I92" s="57"/>
      <c r="J92" s="62"/>
      <c r="K92" s="47">
        <v>0</v>
      </c>
      <c r="L92" s="47">
        <v>0</v>
      </c>
      <c r="M92" s="47">
        <v>0</v>
      </c>
      <c r="N92" s="47">
        <v>0</v>
      </c>
      <c r="O92" s="47">
        <v>0</v>
      </c>
      <c r="P92" s="47">
        <v>0</v>
      </c>
      <c r="Q92" s="47">
        <v>20000</v>
      </c>
      <c r="R92" s="47">
        <v>20000</v>
      </c>
      <c r="S92" s="47">
        <v>20000</v>
      </c>
      <c r="T92" s="47">
        <v>20000</v>
      </c>
      <c r="U92" s="47">
        <v>20000</v>
      </c>
      <c r="V92" s="47">
        <v>20000</v>
      </c>
      <c r="W92" s="47">
        <f t="shared" si="12"/>
        <v>120000</v>
      </c>
    </row>
    <row r="93" spans="1:23" s="63" customFormat="1" ht="11.75" customHeight="1">
      <c r="A93" s="59" t="s">
        <v>170</v>
      </c>
      <c r="B93" s="59"/>
      <c r="C93" s="64" t="s">
        <v>171</v>
      </c>
      <c r="D93" s="57"/>
      <c r="E93" s="57"/>
      <c r="F93" s="57"/>
      <c r="G93" s="57"/>
      <c r="H93" s="57"/>
      <c r="I93" s="57"/>
      <c r="J93" s="62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>
        <f t="shared" si="12"/>
        <v>0</v>
      </c>
    </row>
    <row r="94" spans="1:23" s="63" customFormat="1" ht="11.75" customHeight="1">
      <c r="A94" s="59" t="s">
        <v>172</v>
      </c>
      <c r="B94" s="59"/>
      <c r="C94" s="64" t="s">
        <v>173</v>
      </c>
      <c r="D94" s="57"/>
      <c r="E94" s="57"/>
      <c r="F94" s="57"/>
      <c r="G94" s="57"/>
      <c r="H94" s="57"/>
      <c r="I94" s="57"/>
      <c r="J94" s="62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>
        <f t="shared" si="12"/>
        <v>0</v>
      </c>
    </row>
    <row r="95" spans="1:23" s="63" customFormat="1" ht="11.75" customHeight="1">
      <c r="A95" s="59" t="s">
        <v>174</v>
      </c>
      <c r="B95" s="59"/>
      <c r="C95" s="64" t="s">
        <v>175</v>
      </c>
      <c r="D95" s="57"/>
      <c r="E95" s="57"/>
      <c r="F95" s="57"/>
      <c r="G95" s="57"/>
      <c r="H95" s="57"/>
      <c r="I95" s="57"/>
      <c r="J95" s="62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>
        <f t="shared" si="12"/>
        <v>0</v>
      </c>
    </row>
    <row r="96" spans="1:23" s="63" customFormat="1" ht="11.75" customHeight="1" thickBot="1">
      <c r="A96" s="59" t="s">
        <v>176</v>
      </c>
      <c r="B96" s="59"/>
      <c r="C96" s="64" t="s">
        <v>177</v>
      </c>
      <c r="D96" s="57"/>
      <c r="E96" s="57"/>
      <c r="F96" s="57"/>
      <c r="G96" s="57"/>
      <c r="H96" s="57"/>
      <c r="I96" s="57"/>
      <c r="J96" s="62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>
        <f t="shared" si="12"/>
        <v>0</v>
      </c>
    </row>
    <row r="97" spans="1:23" s="8" customFormat="1" ht="11.75" customHeight="1" thickTop="1" thickBot="1">
      <c r="A97" s="9" t="s">
        <v>178</v>
      </c>
      <c r="B97" s="26" t="s">
        <v>179</v>
      </c>
      <c r="C97" s="27"/>
      <c r="D97" s="27"/>
      <c r="E97" s="27"/>
      <c r="F97" s="27"/>
      <c r="G97" s="27"/>
      <c r="H97" s="27"/>
      <c r="I97" s="27"/>
      <c r="J97" s="28"/>
      <c r="K97" s="29">
        <f>K37+K19+K85</f>
        <v>2487383</v>
      </c>
      <c r="L97" s="29">
        <f t="shared" ref="L97:V97" si="16">L37+L19+L85</f>
        <v>2436892</v>
      </c>
      <c r="M97" s="29">
        <f t="shared" si="16"/>
        <v>7804465</v>
      </c>
      <c r="N97" s="29">
        <f t="shared" si="16"/>
        <v>3964122</v>
      </c>
      <c r="O97" s="29">
        <f t="shared" si="16"/>
        <v>2712524</v>
      </c>
      <c r="P97" s="29">
        <f t="shared" si="16"/>
        <v>3827249</v>
      </c>
      <c r="Q97" s="29">
        <f t="shared" si="16"/>
        <v>4566717</v>
      </c>
      <c r="R97" s="29">
        <f t="shared" si="16"/>
        <v>2759867</v>
      </c>
      <c r="S97" s="29">
        <f t="shared" si="16"/>
        <v>9073844</v>
      </c>
      <c r="T97" s="29">
        <f t="shared" si="16"/>
        <v>3192654</v>
      </c>
      <c r="U97" s="29">
        <f t="shared" si="16"/>
        <v>3305484</v>
      </c>
      <c r="V97" s="29">
        <f t="shared" si="16"/>
        <v>3196726</v>
      </c>
      <c r="W97" s="29">
        <f t="shared" si="12"/>
        <v>49327927</v>
      </c>
    </row>
    <row r="98" spans="1:23" s="8" customFormat="1" ht="11.75" customHeight="1" thickBot="1">
      <c r="A98" s="9" t="s">
        <v>180</v>
      </c>
      <c r="B98" s="30" t="s">
        <v>181</v>
      </c>
      <c r="C98" s="31"/>
      <c r="D98" s="31"/>
      <c r="E98" s="31"/>
      <c r="F98" s="31"/>
      <c r="G98" s="31"/>
      <c r="H98" s="31"/>
      <c r="I98" s="31"/>
      <c r="J98" s="32"/>
      <c r="K98" s="33">
        <f>K18-K97</f>
        <v>-2487383</v>
      </c>
      <c r="L98" s="33">
        <f t="shared" ref="L98:V98" si="17">L18-L97</f>
        <v>-2436892</v>
      </c>
      <c r="M98" s="33">
        <f t="shared" si="17"/>
        <v>-7804465</v>
      </c>
      <c r="N98" s="33">
        <f t="shared" si="17"/>
        <v>-3964122</v>
      </c>
      <c r="O98" s="33">
        <f t="shared" si="17"/>
        <v>-2712524</v>
      </c>
      <c r="P98" s="33">
        <f t="shared" si="17"/>
        <v>-3827249</v>
      </c>
      <c r="Q98" s="33">
        <f t="shared" si="17"/>
        <v>-4566717</v>
      </c>
      <c r="R98" s="33">
        <f t="shared" si="17"/>
        <v>-2759867</v>
      </c>
      <c r="S98" s="33">
        <f t="shared" si="17"/>
        <v>-9073844</v>
      </c>
      <c r="T98" s="33">
        <f t="shared" si="17"/>
        <v>-3192654</v>
      </c>
      <c r="U98" s="33">
        <f t="shared" si="17"/>
        <v>-3305484</v>
      </c>
      <c r="V98" s="33">
        <f t="shared" si="17"/>
        <v>-3196726</v>
      </c>
      <c r="W98" s="33">
        <f t="shared" si="12"/>
        <v>-49327927</v>
      </c>
    </row>
    <row r="99" spans="1:23" s="8" customFormat="1" ht="11.75" customHeight="1">
      <c r="A99" s="9" t="s">
        <v>182</v>
      </c>
      <c r="B99" s="34" t="s">
        <v>183</v>
      </c>
      <c r="C99" s="35"/>
      <c r="D99" s="35"/>
      <c r="E99" s="35"/>
      <c r="F99" s="35"/>
      <c r="G99" s="35"/>
      <c r="H99" s="35"/>
      <c r="I99" s="35"/>
      <c r="J99" s="36"/>
      <c r="K99" s="37">
        <f>SUM(K100,K104:K106)</f>
        <v>0</v>
      </c>
      <c r="L99" s="37">
        <f t="shared" ref="L99:V99" si="18">SUM(L100,L104:L106)</f>
        <v>0</v>
      </c>
      <c r="M99" s="37">
        <f t="shared" si="18"/>
        <v>0</v>
      </c>
      <c r="N99" s="37">
        <f t="shared" si="18"/>
        <v>0</v>
      </c>
      <c r="O99" s="37">
        <f t="shared" si="18"/>
        <v>0</v>
      </c>
      <c r="P99" s="37">
        <f t="shared" si="18"/>
        <v>0</v>
      </c>
      <c r="Q99" s="37">
        <f t="shared" si="18"/>
        <v>90910</v>
      </c>
      <c r="R99" s="37">
        <f t="shared" si="18"/>
        <v>0</v>
      </c>
      <c r="S99" s="37">
        <f t="shared" si="18"/>
        <v>0</v>
      </c>
      <c r="T99" s="37">
        <f t="shared" si="18"/>
        <v>0</v>
      </c>
      <c r="U99" s="37">
        <f t="shared" si="18"/>
        <v>0</v>
      </c>
      <c r="V99" s="37">
        <f t="shared" si="18"/>
        <v>0</v>
      </c>
      <c r="W99" s="37">
        <f t="shared" si="12"/>
        <v>90910</v>
      </c>
    </row>
    <row r="100" spans="1:23" s="8" customFormat="1" ht="11.75" customHeight="1">
      <c r="A100" s="9" t="s">
        <v>184</v>
      </c>
      <c r="B100" s="3"/>
      <c r="C100" s="10" t="s">
        <v>185</v>
      </c>
      <c r="D100" s="2"/>
      <c r="E100" s="2"/>
      <c r="F100" s="2"/>
      <c r="G100" s="2"/>
      <c r="H100" s="2"/>
      <c r="I100" s="2"/>
      <c r="J100" s="11"/>
      <c r="K100" s="12">
        <f>SUM(K101:K103)</f>
        <v>0</v>
      </c>
      <c r="L100" s="12">
        <f t="shared" ref="L100:V100" si="19">SUM(L101:L103)</f>
        <v>0</v>
      </c>
      <c r="M100" s="12">
        <f t="shared" si="19"/>
        <v>0</v>
      </c>
      <c r="N100" s="12">
        <f t="shared" si="19"/>
        <v>0</v>
      </c>
      <c r="O100" s="12">
        <f t="shared" si="19"/>
        <v>0</v>
      </c>
      <c r="P100" s="12">
        <f t="shared" si="19"/>
        <v>0</v>
      </c>
      <c r="Q100" s="12">
        <f t="shared" si="19"/>
        <v>0</v>
      </c>
      <c r="R100" s="12">
        <f t="shared" si="19"/>
        <v>0</v>
      </c>
      <c r="S100" s="12">
        <f t="shared" si="19"/>
        <v>0</v>
      </c>
      <c r="T100" s="12">
        <f t="shared" si="19"/>
        <v>0</v>
      </c>
      <c r="U100" s="12">
        <f t="shared" si="19"/>
        <v>0</v>
      </c>
      <c r="V100" s="12">
        <f t="shared" si="19"/>
        <v>0</v>
      </c>
      <c r="W100" s="12">
        <f t="shared" si="12"/>
        <v>0</v>
      </c>
    </row>
    <row r="101" spans="1:23" s="63" customFormat="1" ht="11.75" customHeight="1">
      <c r="A101" s="59" t="s">
        <v>186</v>
      </c>
      <c r="B101" s="59"/>
      <c r="C101" s="59"/>
      <c r="D101" s="64" t="s">
        <v>187</v>
      </c>
      <c r="E101" s="57"/>
      <c r="F101" s="57"/>
      <c r="G101" s="57"/>
      <c r="H101" s="57"/>
      <c r="I101" s="57"/>
      <c r="J101" s="62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>
        <f t="shared" si="12"/>
        <v>0</v>
      </c>
    </row>
    <row r="102" spans="1:23" s="63" customFormat="1" ht="11.75" customHeight="1">
      <c r="A102" s="59" t="s">
        <v>188</v>
      </c>
      <c r="B102" s="59"/>
      <c r="C102" s="59"/>
      <c r="D102" s="64" t="s">
        <v>189</v>
      </c>
      <c r="E102" s="57"/>
      <c r="F102" s="57"/>
      <c r="G102" s="57"/>
      <c r="H102" s="57"/>
      <c r="I102" s="57"/>
      <c r="J102" s="62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>
        <f t="shared" si="12"/>
        <v>0</v>
      </c>
    </row>
    <row r="103" spans="1:23" s="63" customFormat="1" ht="11.75" customHeight="1">
      <c r="A103" s="59" t="s">
        <v>190</v>
      </c>
      <c r="B103" s="59"/>
      <c r="C103" s="59"/>
      <c r="D103" s="64" t="s">
        <v>191</v>
      </c>
      <c r="E103" s="57"/>
      <c r="F103" s="57"/>
      <c r="G103" s="57"/>
      <c r="H103" s="57"/>
      <c r="I103" s="57"/>
      <c r="J103" s="62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>
        <f t="shared" si="12"/>
        <v>0</v>
      </c>
    </row>
    <row r="104" spans="1:23" s="63" customFormat="1" ht="11.75" customHeight="1">
      <c r="A104" s="59" t="s">
        <v>192</v>
      </c>
      <c r="B104" s="59"/>
      <c r="C104" s="64" t="s">
        <v>193</v>
      </c>
      <c r="D104" s="57"/>
      <c r="E104" s="57"/>
      <c r="F104" s="57"/>
      <c r="G104" s="57"/>
      <c r="H104" s="57"/>
      <c r="I104" s="57"/>
      <c r="J104" s="62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>
        <f t="shared" si="12"/>
        <v>0</v>
      </c>
    </row>
    <row r="105" spans="1:23" s="63" customFormat="1" ht="11.75" customHeight="1">
      <c r="A105" s="59" t="s">
        <v>194</v>
      </c>
      <c r="B105" s="59"/>
      <c r="C105" s="64" t="s">
        <v>195</v>
      </c>
      <c r="D105" s="57"/>
      <c r="E105" s="57"/>
      <c r="F105" s="57"/>
      <c r="G105" s="57"/>
      <c r="H105" s="57"/>
      <c r="I105" s="57"/>
      <c r="J105" s="62"/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90910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f t="shared" si="12"/>
        <v>90910</v>
      </c>
    </row>
    <row r="106" spans="1:23" s="63" customFormat="1" ht="11.75" customHeight="1">
      <c r="A106" s="59" t="s">
        <v>196</v>
      </c>
      <c r="B106" s="59"/>
      <c r="C106" s="64" t="s">
        <v>191</v>
      </c>
      <c r="D106" s="57"/>
      <c r="E106" s="57"/>
      <c r="F106" s="57"/>
      <c r="G106" s="57"/>
      <c r="H106" s="57"/>
      <c r="I106" s="57"/>
      <c r="J106" s="62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>
        <f t="shared" si="12"/>
        <v>0</v>
      </c>
    </row>
    <row r="107" spans="1:23" s="8" customFormat="1" ht="11.75" customHeight="1">
      <c r="A107" s="9" t="s">
        <v>197</v>
      </c>
      <c r="B107" s="38" t="s">
        <v>198</v>
      </c>
      <c r="C107" s="39"/>
      <c r="D107" s="39"/>
      <c r="E107" s="39"/>
      <c r="F107" s="39"/>
      <c r="G107" s="39"/>
      <c r="H107" s="39"/>
      <c r="I107" s="39"/>
      <c r="J107" s="40"/>
      <c r="K107" s="41">
        <f>SUM(K108:K110)</f>
        <v>0</v>
      </c>
      <c r="L107" s="41">
        <f t="shared" ref="L107:V107" si="20">SUM(L108:L110)</f>
        <v>0</v>
      </c>
      <c r="M107" s="41">
        <f t="shared" si="20"/>
        <v>0</v>
      </c>
      <c r="N107" s="41">
        <f t="shared" si="20"/>
        <v>0</v>
      </c>
      <c r="O107" s="41">
        <f t="shared" si="20"/>
        <v>0</v>
      </c>
      <c r="P107" s="41">
        <f t="shared" si="20"/>
        <v>0</v>
      </c>
      <c r="Q107" s="41">
        <f t="shared" si="20"/>
        <v>0</v>
      </c>
      <c r="R107" s="41">
        <f t="shared" si="20"/>
        <v>0</v>
      </c>
      <c r="S107" s="41">
        <f t="shared" si="20"/>
        <v>0</v>
      </c>
      <c r="T107" s="41">
        <f t="shared" si="20"/>
        <v>0</v>
      </c>
      <c r="U107" s="41">
        <f t="shared" si="20"/>
        <v>0</v>
      </c>
      <c r="V107" s="41">
        <f t="shared" si="20"/>
        <v>0</v>
      </c>
      <c r="W107" s="41">
        <f t="shared" si="12"/>
        <v>0</v>
      </c>
    </row>
    <row r="108" spans="1:23" s="63" customFormat="1" ht="11.75" customHeight="1">
      <c r="A108" s="59" t="s">
        <v>199</v>
      </c>
      <c r="B108" s="60"/>
      <c r="C108" s="61" t="s">
        <v>200</v>
      </c>
      <c r="D108" s="57"/>
      <c r="E108" s="57"/>
      <c r="F108" s="57"/>
      <c r="G108" s="57"/>
      <c r="H108" s="57"/>
      <c r="I108" s="57"/>
      <c r="J108" s="62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>
        <f t="shared" si="12"/>
        <v>0</v>
      </c>
    </row>
    <row r="109" spans="1:23" s="63" customFormat="1" ht="11.75" customHeight="1">
      <c r="A109" s="59" t="s">
        <v>201</v>
      </c>
      <c r="B109" s="59"/>
      <c r="C109" s="64" t="s">
        <v>202</v>
      </c>
      <c r="D109" s="57"/>
      <c r="E109" s="57"/>
      <c r="F109" s="57"/>
      <c r="G109" s="57"/>
      <c r="H109" s="57"/>
      <c r="I109" s="57"/>
      <c r="J109" s="62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>
        <f t="shared" si="12"/>
        <v>0</v>
      </c>
    </row>
    <row r="110" spans="1:23" s="63" customFormat="1" ht="11.75" customHeight="1" thickBot="1">
      <c r="A110" s="59" t="s">
        <v>203</v>
      </c>
      <c r="B110" s="59"/>
      <c r="C110" s="64" t="s">
        <v>191</v>
      </c>
      <c r="D110" s="57"/>
      <c r="E110" s="57"/>
      <c r="F110" s="57"/>
      <c r="G110" s="57"/>
      <c r="H110" s="57"/>
      <c r="I110" s="57"/>
      <c r="J110" s="62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>
        <f t="shared" si="12"/>
        <v>0</v>
      </c>
    </row>
    <row r="111" spans="1:23" s="8" customFormat="1" ht="11.75" customHeight="1" thickBot="1">
      <c r="A111" s="9" t="s">
        <v>204</v>
      </c>
      <c r="B111" s="30" t="s">
        <v>205</v>
      </c>
      <c r="C111" s="31"/>
      <c r="D111" s="31"/>
      <c r="E111" s="31"/>
      <c r="F111" s="31"/>
      <c r="G111" s="31"/>
      <c r="H111" s="31"/>
      <c r="I111" s="31"/>
      <c r="J111" s="32"/>
      <c r="K111" s="33">
        <f>K98+K99-K107</f>
        <v>-2487383</v>
      </c>
      <c r="L111" s="33">
        <f t="shared" ref="L111:V111" si="21">L98+L99-L107</f>
        <v>-2436892</v>
      </c>
      <c r="M111" s="33">
        <f t="shared" si="21"/>
        <v>-7804465</v>
      </c>
      <c r="N111" s="33">
        <f t="shared" si="21"/>
        <v>-3964122</v>
      </c>
      <c r="O111" s="33">
        <f t="shared" si="21"/>
        <v>-2712524</v>
      </c>
      <c r="P111" s="33">
        <f t="shared" si="21"/>
        <v>-3827249</v>
      </c>
      <c r="Q111" s="33">
        <f t="shared" si="21"/>
        <v>-4475807</v>
      </c>
      <c r="R111" s="33">
        <f t="shared" si="21"/>
        <v>-2759867</v>
      </c>
      <c r="S111" s="33">
        <f t="shared" si="21"/>
        <v>-9073844</v>
      </c>
      <c r="T111" s="33">
        <f t="shared" si="21"/>
        <v>-3192654</v>
      </c>
      <c r="U111" s="33">
        <f t="shared" si="21"/>
        <v>-3305484</v>
      </c>
      <c r="V111" s="33">
        <f t="shared" si="21"/>
        <v>-3196726</v>
      </c>
      <c r="W111" s="33">
        <f t="shared" si="12"/>
        <v>-49237017</v>
      </c>
    </row>
    <row r="112" spans="1:23" s="8" customFormat="1" ht="11.75" customHeight="1">
      <c r="A112" s="9" t="s">
        <v>206</v>
      </c>
      <c r="B112" s="34" t="s">
        <v>207</v>
      </c>
      <c r="C112" s="35"/>
      <c r="D112" s="35"/>
      <c r="E112" s="35"/>
      <c r="F112" s="35"/>
      <c r="G112" s="35"/>
      <c r="H112" s="35"/>
      <c r="I112" s="35"/>
      <c r="J112" s="36"/>
      <c r="K112" s="37">
        <f>SUM(K113:K114)</f>
        <v>0</v>
      </c>
      <c r="L112" s="37">
        <f t="shared" ref="L112:V112" si="22">SUM(L113:L114)</f>
        <v>0</v>
      </c>
      <c r="M112" s="37">
        <f t="shared" si="22"/>
        <v>0</v>
      </c>
      <c r="N112" s="37">
        <f t="shared" si="22"/>
        <v>0</v>
      </c>
      <c r="O112" s="37">
        <f t="shared" si="22"/>
        <v>0</v>
      </c>
      <c r="P112" s="37">
        <f t="shared" si="22"/>
        <v>0</v>
      </c>
      <c r="Q112" s="37">
        <f t="shared" si="22"/>
        <v>0</v>
      </c>
      <c r="R112" s="37">
        <f t="shared" si="22"/>
        <v>0</v>
      </c>
      <c r="S112" s="37">
        <f t="shared" si="22"/>
        <v>0</v>
      </c>
      <c r="T112" s="37">
        <f t="shared" si="22"/>
        <v>0</v>
      </c>
      <c r="U112" s="37">
        <f t="shared" si="22"/>
        <v>0</v>
      </c>
      <c r="V112" s="37">
        <f t="shared" si="22"/>
        <v>0</v>
      </c>
      <c r="W112" s="37">
        <f t="shared" si="12"/>
        <v>0</v>
      </c>
    </row>
    <row r="113" spans="1:23" s="63" customFormat="1" ht="11.75" customHeight="1">
      <c r="A113" s="59" t="s">
        <v>208</v>
      </c>
      <c r="B113" s="60"/>
      <c r="C113" s="61" t="s">
        <v>209</v>
      </c>
      <c r="D113" s="57"/>
      <c r="E113" s="57"/>
      <c r="F113" s="57"/>
      <c r="G113" s="57"/>
      <c r="H113" s="57"/>
      <c r="I113" s="57"/>
      <c r="J113" s="62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>
        <f t="shared" si="12"/>
        <v>0</v>
      </c>
    </row>
    <row r="114" spans="1:23" s="63" customFormat="1" ht="11.75" customHeight="1">
      <c r="A114" s="59" t="s">
        <v>210</v>
      </c>
      <c r="B114" s="59"/>
      <c r="C114" s="64" t="s">
        <v>191</v>
      </c>
      <c r="D114" s="57"/>
      <c r="E114" s="57"/>
      <c r="F114" s="57"/>
      <c r="G114" s="57"/>
      <c r="H114" s="57"/>
      <c r="I114" s="57"/>
      <c r="J114" s="62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>
        <f t="shared" si="12"/>
        <v>0</v>
      </c>
    </row>
    <row r="115" spans="1:23" s="8" customFormat="1" ht="11.75" customHeight="1">
      <c r="A115" s="9" t="s">
        <v>211</v>
      </c>
      <c r="B115" s="38" t="s">
        <v>212</v>
      </c>
      <c r="C115" s="39"/>
      <c r="D115" s="39"/>
      <c r="E115" s="39"/>
      <c r="F115" s="39"/>
      <c r="G115" s="39"/>
      <c r="H115" s="39"/>
      <c r="I115" s="39"/>
      <c r="J115" s="40"/>
      <c r="K115" s="41">
        <f>SUM(K116:K117)</f>
        <v>0</v>
      </c>
      <c r="L115" s="41">
        <f t="shared" ref="L115:V115" si="23">SUM(L116:L117)</f>
        <v>0</v>
      </c>
      <c r="M115" s="41">
        <f t="shared" si="23"/>
        <v>0</v>
      </c>
      <c r="N115" s="41">
        <f t="shared" si="23"/>
        <v>0</v>
      </c>
      <c r="O115" s="41">
        <f t="shared" si="23"/>
        <v>0</v>
      </c>
      <c r="P115" s="41">
        <f t="shared" si="23"/>
        <v>0</v>
      </c>
      <c r="Q115" s="41">
        <f t="shared" si="23"/>
        <v>0</v>
      </c>
      <c r="R115" s="41">
        <f t="shared" si="23"/>
        <v>0</v>
      </c>
      <c r="S115" s="41">
        <f t="shared" si="23"/>
        <v>0</v>
      </c>
      <c r="T115" s="41">
        <f t="shared" si="23"/>
        <v>0</v>
      </c>
      <c r="U115" s="41">
        <f t="shared" si="23"/>
        <v>0</v>
      </c>
      <c r="V115" s="41">
        <f t="shared" si="23"/>
        <v>0</v>
      </c>
      <c r="W115" s="41">
        <f t="shared" si="12"/>
        <v>0</v>
      </c>
    </row>
    <row r="116" spans="1:23" s="63" customFormat="1" ht="11.75" customHeight="1">
      <c r="A116" s="59" t="s">
        <v>213</v>
      </c>
      <c r="B116" s="60"/>
      <c r="C116" s="61" t="s">
        <v>214</v>
      </c>
      <c r="D116" s="57"/>
      <c r="E116" s="57"/>
      <c r="F116" s="57"/>
      <c r="G116" s="57"/>
      <c r="H116" s="57"/>
      <c r="I116" s="57"/>
      <c r="J116" s="62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>
        <f t="shared" si="12"/>
        <v>0</v>
      </c>
    </row>
    <row r="117" spans="1:23" s="63" customFormat="1" ht="11.75" customHeight="1" thickBot="1">
      <c r="A117" s="59" t="s">
        <v>215</v>
      </c>
      <c r="B117" s="59"/>
      <c r="C117" s="64" t="s">
        <v>191</v>
      </c>
      <c r="D117" s="57"/>
      <c r="E117" s="57"/>
      <c r="F117" s="57"/>
      <c r="G117" s="57"/>
      <c r="H117" s="57"/>
      <c r="I117" s="57"/>
      <c r="J117" s="62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>
        <f t="shared" si="12"/>
        <v>0</v>
      </c>
    </row>
    <row r="118" spans="1:23" s="8" customFormat="1" ht="11.75" customHeight="1">
      <c r="A118" s="42" t="s">
        <v>216</v>
      </c>
      <c r="B118" s="43" t="s">
        <v>217</v>
      </c>
      <c r="C118" s="44"/>
      <c r="D118" s="44"/>
      <c r="E118" s="44"/>
      <c r="F118" s="44"/>
      <c r="G118" s="44"/>
      <c r="H118" s="44"/>
      <c r="I118" s="44"/>
      <c r="J118" s="45"/>
      <c r="K118" s="46">
        <f>K111+K112-K115</f>
        <v>-2487383</v>
      </c>
      <c r="L118" s="46">
        <f t="shared" ref="L118:V118" si="24">L111+L112-L115</f>
        <v>-2436892</v>
      </c>
      <c r="M118" s="46">
        <f t="shared" si="24"/>
        <v>-7804465</v>
      </c>
      <c r="N118" s="46">
        <f t="shared" si="24"/>
        <v>-3964122</v>
      </c>
      <c r="O118" s="46">
        <f t="shared" si="24"/>
        <v>-2712524</v>
      </c>
      <c r="P118" s="46">
        <f t="shared" si="24"/>
        <v>-3827249</v>
      </c>
      <c r="Q118" s="46">
        <f t="shared" si="24"/>
        <v>-4475807</v>
      </c>
      <c r="R118" s="46">
        <f t="shared" si="24"/>
        <v>-2759867</v>
      </c>
      <c r="S118" s="46">
        <f t="shared" si="24"/>
        <v>-9073844</v>
      </c>
      <c r="T118" s="46">
        <f t="shared" si="24"/>
        <v>-3192654</v>
      </c>
      <c r="U118" s="46">
        <f t="shared" si="24"/>
        <v>-3305484</v>
      </c>
      <c r="V118" s="46">
        <f t="shared" si="24"/>
        <v>-3196726</v>
      </c>
      <c r="W118" s="46">
        <f t="shared" si="12"/>
        <v>-49237017</v>
      </c>
    </row>
  </sheetData>
  <mergeCells count="2">
    <mergeCell ref="A4:A5"/>
    <mergeCell ref="B4:J5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17BF9-C335-46EA-878D-B23AAA8BD134}">
  <dimension ref="A1:X118"/>
  <sheetViews>
    <sheetView showGridLines="0" zoomScaleNormal="100" workbookViewId="0">
      <pane xSplit="10" ySplit="5" topLeftCell="K6" activePane="bottomRight" state="frozen"/>
      <selection activeCell="Q127" sqref="Q127"/>
      <selection pane="topRight" activeCell="Q127" sqref="Q127"/>
      <selection pane="bottomLeft" activeCell="Q127" sqref="Q127"/>
      <selection pane="bottomRight" activeCell="T35" sqref="T35"/>
    </sheetView>
  </sheetViews>
  <sheetFormatPr baseColWidth="10" defaultColWidth="9" defaultRowHeight="18"/>
  <cols>
    <col min="1" max="1" width="5.83203125" style="49" customWidth="1"/>
    <col min="2" max="8" width="2.33203125" style="49" customWidth="1"/>
    <col min="9" max="9" width="2.1640625" style="49" customWidth="1"/>
    <col min="10" max="10" width="0" style="49" hidden="1" customWidth="1"/>
    <col min="11" max="16" width="12.1640625" style="49" bestFit="1" customWidth="1"/>
    <col min="17" max="19" width="13" style="49" bestFit="1" customWidth="1"/>
    <col min="20" max="22" width="12.1640625" style="49" bestFit="1" customWidth="1"/>
    <col min="23" max="23" width="12.1640625" style="51" bestFit="1" customWidth="1"/>
    <col min="24" max="24" width="10.5" style="51" bestFit="1" customWidth="1"/>
    <col min="25" max="16384" width="9" style="51"/>
  </cols>
  <sheetData>
    <row r="1" spans="1:24" ht="20" customHeight="1">
      <c r="A1" s="56" t="s">
        <v>258</v>
      </c>
      <c r="X1" s="137">
        <f>SUM(K6:P6)</f>
        <v>56965279</v>
      </c>
    </row>
    <row r="3" spans="1:24" ht="11.75" customHeight="1">
      <c r="A3" s="57" t="s">
        <v>219</v>
      </c>
    </row>
    <row r="4" spans="1:24" s="58" customFormat="1" ht="11.75" customHeight="1">
      <c r="A4" s="177" t="s">
        <v>0</v>
      </c>
      <c r="B4" s="179" t="s">
        <v>1</v>
      </c>
      <c r="C4" s="180"/>
      <c r="D4" s="180"/>
      <c r="E4" s="180"/>
      <c r="F4" s="180"/>
      <c r="G4" s="180"/>
      <c r="H4" s="180"/>
      <c r="I4" s="180"/>
      <c r="J4" s="181"/>
      <c r="K4" s="55" t="s">
        <v>226</v>
      </c>
      <c r="L4" s="55" t="s">
        <v>227</v>
      </c>
      <c r="M4" s="55" t="s">
        <v>228</v>
      </c>
      <c r="N4" s="55" t="s">
        <v>229</v>
      </c>
      <c r="O4" s="55" t="s">
        <v>230</v>
      </c>
      <c r="P4" s="55" t="s">
        <v>231</v>
      </c>
      <c r="Q4" s="55" t="s">
        <v>232</v>
      </c>
      <c r="R4" s="55" t="s">
        <v>233</v>
      </c>
      <c r="S4" s="55" t="s">
        <v>234</v>
      </c>
      <c r="T4" s="55" t="s">
        <v>235</v>
      </c>
      <c r="U4" s="55" t="s">
        <v>236</v>
      </c>
      <c r="V4" s="55" t="s">
        <v>237</v>
      </c>
      <c r="W4" s="52" t="s">
        <v>225</v>
      </c>
    </row>
    <row r="5" spans="1:24" s="58" customFormat="1" ht="25.5" customHeight="1">
      <c r="A5" s="178"/>
      <c r="B5" s="182"/>
      <c r="C5" s="183"/>
      <c r="D5" s="183"/>
      <c r="E5" s="183"/>
      <c r="F5" s="183"/>
      <c r="G5" s="183"/>
      <c r="H5" s="183"/>
      <c r="I5" s="183"/>
      <c r="J5" s="184"/>
      <c r="K5" s="50" t="s">
        <v>2</v>
      </c>
      <c r="L5" s="50" t="s">
        <v>2</v>
      </c>
      <c r="M5" s="50" t="s">
        <v>2</v>
      </c>
      <c r="N5" s="50" t="s">
        <v>2</v>
      </c>
      <c r="O5" s="50" t="s">
        <v>2</v>
      </c>
      <c r="P5" s="50" t="s">
        <v>2</v>
      </c>
      <c r="Q5" s="50" t="s">
        <v>2</v>
      </c>
      <c r="R5" s="50" t="s">
        <v>2</v>
      </c>
      <c r="S5" s="50" t="s">
        <v>2</v>
      </c>
      <c r="T5" s="50" t="s">
        <v>2</v>
      </c>
      <c r="U5" s="50" t="s">
        <v>2</v>
      </c>
      <c r="V5" s="50" t="s">
        <v>2</v>
      </c>
      <c r="W5" s="50" t="s">
        <v>2</v>
      </c>
    </row>
    <row r="6" spans="1:24" s="8" customFormat="1" ht="11.75" customHeight="1">
      <c r="A6" s="3" t="s">
        <v>3</v>
      </c>
      <c r="B6" s="4" t="s">
        <v>4</v>
      </c>
      <c r="C6" s="5"/>
      <c r="D6" s="5"/>
      <c r="E6" s="5"/>
      <c r="F6" s="5"/>
      <c r="G6" s="5"/>
      <c r="H6" s="5"/>
      <c r="I6" s="5"/>
      <c r="J6" s="6"/>
      <c r="K6" s="7">
        <f>SUM(K7:K16)</f>
        <v>6617246</v>
      </c>
      <c r="L6" s="7">
        <f t="shared" ref="L6:V6" si="0">SUM(L7:L16)</f>
        <v>9674692</v>
      </c>
      <c r="M6" s="7">
        <f t="shared" si="0"/>
        <v>11211197</v>
      </c>
      <c r="N6" s="7">
        <f t="shared" si="0"/>
        <v>11386193</v>
      </c>
      <c r="O6" s="7">
        <f t="shared" si="0"/>
        <v>10032696</v>
      </c>
      <c r="P6" s="7">
        <f t="shared" si="0"/>
        <v>8043255</v>
      </c>
      <c r="Q6" s="7">
        <f t="shared" si="0"/>
        <v>8014887</v>
      </c>
      <c r="R6" s="7">
        <f t="shared" si="0"/>
        <v>8111329</v>
      </c>
      <c r="S6" s="7">
        <f t="shared" si="0"/>
        <v>11008524</v>
      </c>
      <c r="T6" s="7">
        <f t="shared" si="0"/>
        <v>5016623</v>
      </c>
      <c r="U6" s="7">
        <f t="shared" si="0"/>
        <v>6611928</v>
      </c>
      <c r="V6" s="7">
        <f t="shared" si="0"/>
        <v>5778135</v>
      </c>
      <c r="W6" s="7">
        <f>SUM(K6:V6)</f>
        <v>101506705</v>
      </c>
    </row>
    <row r="7" spans="1:24" s="63" customFormat="1" ht="11.75" customHeight="1">
      <c r="A7" s="59" t="s">
        <v>5</v>
      </c>
      <c r="B7" s="60"/>
      <c r="C7" s="61" t="s">
        <v>6</v>
      </c>
      <c r="D7" s="57"/>
      <c r="E7" s="57"/>
      <c r="F7" s="57"/>
      <c r="G7" s="57"/>
      <c r="H7" s="57"/>
      <c r="I7" s="57"/>
      <c r="J7" s="62"/>
      <c r="K7" s="47">
        <v>6617246</v>
      </c>
      <c r="L7" s="47">
        <v>9674692</v>
      </c>
      <c r="M7" s="47">
        <v>11211197</v>
      </c>
      <c r="N7" s="47">
        <v>11386193</v>
      </c>
      <c r="O7" s="47">
        <v>10032696</v>
      </c>
      <c r="P7" s="47">
        <v>8043255</v>
      </c>
      <c r="Q7" s="47">
        <v>8014887</v>
      </c>
      <c r="R7" s="47">
        <v>8111329</v>
      </c>
      <c r="S7" s="47">
        <v>11008524</v>
      </c>
      <c r="T7" s="47">
        <v>5016623</v>
      </c>
      <c r="U7" s="47">
        <v>6611928</v>
      </c>
      <c r="V7" s="47">
        <v>5778135</v>
      </c>
      <c r="W7" s="47">
        <f t="shared" ref="W7:W70" si="1">SUM(K7:V7)</f>
        <v>101506705</v>
      </c>
    </row>
    <row r="8" spans="1:24" s="63" customFormat="1" ht="11.75" customHeight="1">
      <c r="A8" s="59" t="s">
        <v>7</v>
      </c>
      <c r="B8" s="59"/>
      <c r="C8" s="64" t="s">
        <v>8</v>
      </c>
      <c r="D8" s="57"/>
      <c r="E8" s="57"/>
      <c r="F8" s="57"/>
      <c r="G8" s="57"/>
      <c r="H8" s="57"/>
      <c r="I8" s="57"/>
      <c r="J8" s="62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>
        <f t="shared" si="1"/>
        <v>0</v>
      </c>
    </row>
    <row r="9" spans="1:24" s="63" customFormat="1" ht="11.75" customHeight="1">
      <c r="A9" s="59" t="s">
        <v>9</v>
      </c>
      <c r="B9" s="59"/>
      <c r="C9" s="64" t="s">
        <v>10</v>
      </c>
      <c r="D9" s="57"/>
      <c r="E9" s="57"/>
      <c r="F9" s="57"/>
      <c r="G9" s="57"/>
      <c r="H9" s="57"/>
      <c r="I9" s="57"/>
      <c r="J9" s="62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>
        <f t="shared" si="1"/>
        <v>0</v>
      </c>
    </row>
    <row r="10" spans="1:24" s="63" customFormat="1" ht="11.75" customHeight="1">
      <c r="A10" s="59" t="s">
        <v>11</v>
      </c>
      <c r="B10" s="59"/>
      <c r="C10" s="64" t="s">
        <v>12</v>
      </c>
      <c r="D10" s="57"/>
      <c r="E10" s="57"/>
      <c r="F10" s="57"/>
      <c r="G10" s="57"/>
      <c r="H10" s="57"/>
      <c r="I10" s="57"/>
      <c r="J10" s="62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>
        <f t="shared" si="1"/>
        <v>0</v>
      </c>
    </row>
    <row r="11" spans="1:24" s="63" customFormat="1" ht="11.75" customHeight="1">
      <c r="A11" s="59" t="s">
        <v>13</v>
      </c>
      <c r="B11" s="59"/>
      <c r="C11" s="64" t="s">
        <v>14</v>
      </c>
      <c r="D11" s="57"/>
      <c r="E11" s="57"/>
      <c r="F11" s="57"/>
      <c r="G11" s="57"/>
      <c r="H11" s="57"/>
      <c r="I11" s="57"/>
      <c r="J11" s="62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>
        <f t="shared" si="1"/>
        <v>0</v>
      </c>
    </row>
    <row r="12" spans="1:24" s="63" customFormat="1" ht="11.75" customHeight="1">
      <c r="A12" s="59" t="s">
        <v>15</v>
      </c>
      <c r="B12" s="59"/>
      <c r="C12" s="64" t="s">
        <v>16</v>
      </c>
      <c r="D12" s="57"/>
      <c r="E12" s="57"/>
      <c r="F12" s="57"/>
      <c r="G12" s="57"/>
      <c r="H12" s="57"/>
      <c r="I12" s="57"/>
      <c r="J12" s="62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>
        <f t="shared" si="1"/>
        <v>0</v>
      </c>
    </row>
    <row r="13" spans="1:24" s="63" customFormat="1" ht="11.75" customHeight="1">
      <c r="A13" s="59" t="s">
        <v>17</v>
      </c>
      <c r="B13" s="59"/>
      <c r="C13" s="64" t="s">
        <v>18</v>
      </c>
      <c r="D13" s="57"/>
      <c r="E13" s="57"/>
      <c r="F13" s="57"/>
      <c r="G13" s="57"/>
      <c r="H13" s="57"/>
      <c r="I13" s="57"/>
      <c r="J13" s="62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>
        <f t="shared" si="1"/>
        <v>0</v>
      </c>
    </row>
    <row r="14" spans="1:24" s="63" customFormat="1" ht="11.75" customHeight="1">
      <c r="A14" s="59" t="s">
        <v>19</v>
      </c>
      <c r="B14" s="59"/>
      <c r="C14" s="64" t="s">
        <v>20</v>
      </c>
      <c r="D14" s="57"/>
      <c r="E14" s="57"/>
      <c r="F14" s="57"/>
      <c r="G14" s="57"/>
      <c r="H14" s="57"/>
      <c r="I14" s="57"/>
      <c r="J14" s="62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>
        <f t="shared" si="1"/>
        <v>0</v>
      </c>
    </row>
    <row r="15" spans="1:24" s="63" customFormat="1" ht="11.75" customHeight="1">
      <c r="A15" s="59" t="s">
        <v>21</v>
      </c>
      <c r="B15" s="59"/>
      <c r="C15" s="64" t="s">
        <v>22</v>
      </c>
      <c r="D15" s="57"/>
      <c r="E15" s="57"/>
      <c r="F15" s="57"/>
      <c r="G15" s="57"/>
      <c r="H15" s="57"/>
      <c r="I15" s="57"/>
      <c r="J15" s="62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>
        <f t="shared" si="1"/>
        <v>0</v>
      </c>
    </row>
    <row r="16" spans="1:24" s="63" customFormat="1" ht="11.75" customHeight="1">
      <c r="A16" s="59" t="s">
        <v>23</v>
      </c>
      <c r="B16" s="59"/>
      <c r="C16" s="64" t="s">
        <v>24</v>
      </c>
      <c r="D16" s="57"/>
      <c r="E16" s="57"/>
      <c r="F16" s="57"/>
      <c r="G16" s="57"/>
      <c r="H16" s="57"/>
      <c r="I16" s="57"/>
      <c r="J16" s="62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>
        <f t="shared" si="1"/>
        <v>0</v>
      </c>
    </row>
    <row r="17" spans="1:23" s="63" customFormat="1" ht="11.75" customHeight="1" thickBot="1">
      <c r="A17" s="59" t="s">
        <v>25</v>
      </c>
      <c r="B17" s="65" t="s">
        <v>26</v>
      </c>
      <c r="C17" s="66"/>
      <c r="D17" s="66"/>
      <c r="E17" s="66"/>
      <c r="F17" s="66"/>
      <c r="G17" s="66"/>
      <c r="H17" s="66"/>
      <c r="I17" s="66"/>
      <c r="J17" s="67"/>
      <c r="K17" s="48">
        <v>1921100</v>
      </c>
      <c r="L17" s="48">
        <v>3165547</v>
      </c>
      <c r="M17" s="48">
        <v>2873716</v>
      </c>
      <c r="N17" s="48">
        <v>3410085</v>
      </c>
      <c r="O17" s="48">
        <v>2708957</v>
      </c>
      <c r="P17" s="48">
        <v>2358119</v>
      </c>
      <c r="Q17" s="48">
        <v>2783378</v>
      </c>
      <c r="R17" s="48">
        <v>1938045</v>
      </c>
      <c r="S17" s="48">
        <v>3207032</v>
      </c>
      <c r="T17" s="48">
        <f t="shared" ref="T17:V17" si="2">T7*0.29</f>
        <v>1454820.67</v>
      </c>
      <c r="U17" s="48">
        <f t="shared" si="2"/>
        <v>1917459.1199999999</v>
      </c>
      <c r="V17" s="48">
        <f t="shared" si="2"/>
        <v>1675659.15</v>
      </c>
      <c r="W17" s="48">
        <f t="shared" si="1"/>
        <v>29413917.940000001</v>
      </c>
    </row>
    <row r="18" spans="1:23" s="8" customFormat="1" ht="11.75" customHeight="1" thickTop="1">
      <c r="A18" s="9" t="s">
        <v>27</v>
      </c>
      <c r="B18" s="14" t="s">
        <v>28</v>
      </c>
      <c r="C18" s="15"/>
      <c r="D18" s="15"/>
      <c r="E18" s="15"/>
      <c r="F18" s="15"/>
      <c r="G18" s="15"/>
      <c r="H18" s="15"/>
      <c r="I18" s="15"/>
      <c r="J18" s="16"/>
      <c r="K18" s="17">
        <f>K6-K17</f>
        <v>4696146</v>
      </c>
      <c r="L18" s="17">
        <f t="shared" ref="L18:V18" si="3">L6-L17</f>
        <v>6509145</v>
      </c>
      <c r="M18" s="17">
        <f t="shared" si="3"/>
        <v>8337481</v>
      </c>
      <c r="N18" s="17">
        <f t="shared" si="3"/>
        <v>7976108</v>
      </c>
      <c r="O18" s="17">
        <f t="shared" si="3"/>
        <v>7323739</v>
      </c>
      <c r="P18" s="17">
        <f t="shared" si="3"/>
        <v>5685136</v>
      </c>
      <c r="Q18" s="17">
        <f t="shared" si="3"/>
        <v>5231509</v>
      </c>
      <c r="R18" s="17">
        <f t="shared" si="3"/>
        <v>6173284</v>
      </c>
      <c r="S18" s="17">
        <f t="shared" si="3"/>
        <v>7801492</v>
      </c>
      <c r="T18" s="17">
        <f t="shared" si="3"/>
        <v>3561802.33</v>
      </c>
      <c r="U18" s="17">
        <f t="shared" si="3"/>
        <v>4694468.88</v>
      </c>
      <c r="V18" s="17">
        <f t="shared" si="3"/>
        <v>4102475.85</v>
      </c>
      <c r="W18" s="17">
        <f t="shared" si="1"/>
        <v>72092787.059999987</v>
      </c>
    </row>
    <row r="19" spans="1:23" s="8" customFormat="1" ht="11.75" customHeight="1">
      <c r="A19" s="9" t="s">
        <v>29</v>
      </c>
      <c r="B19" s="18" t="s">
        <v>30</v>
      </c>
      <c r="C19" s="19"/>
      <c r="D19" s="19"/>
      <c r="E19" s="19"/>
      <c r="F19" s="19"/>
      <c r="G19" s="19"/>
      <c r="H19" s="19"/>
      <c r="I19" s="19"/>
      <c r="J19" s="20"/>
      <c r="K19" s="21">
        <f>SUM(K20:K22,K26,K29:K31,K35:K36)</f>
        <v>3158420</v>
      </c>
      <c r="L19" s="21">
        <f t="shared" ref="L19:V19" si="4">SUM(L20:L22,L26,L29:L31,L35:L36)</f>
        <v>3442426</v>
      </c>
      <c r="M19" s="21">
        <f t="shared" si="4"/>
        <v>7477766</v>
      </c>
      <c r="N19" s="21">
        <f t="shared" si="4"/>
        <v>5440658</v>
      </c>
      <c r="O19" s="21">
        <f t="shared" si="4"/>
        <v>4628298</v>
      </c>
      <c r="P19" s="21">
        <f t="shared" si="4"/>
        <v>5244813</v>
      </c>
      <c r="Q19" s="21">
        <f t="shared" si="4"/>
        <v>4697409</v>
      </c>
      <c r="R19" s="21">
        <f t="shared" si="4"/>
        <v>3924961</v>
      </c>
      <c r="S19" s="21">
        <f t="shared" si="4"/>
        <v>10899608</v>
      </c>
      <c r="T19" s="21">
        <f t="shared" si="4"/>
        <v>5143655</v>
      </c>
      <c r="U19" s="21">
        <f t="shared" si="4"/>
        <v>4629460</v>
      </c>
      <c r="V19" s="21">
        <f t="shared" si="4"/>
        <v>5305968</v>
      </c>
      <c r="W19" s="21">
        <f t="shared" si="1"/>
        <v>63993442</v>
      </c>
    </row>
    <row r="20" spans="1:23" s="63" customFormat="1" ht="11.75" customHeight="1">
      <c r="A20" s="59" t="s">
        <v>31</v>
      </c>
      <c r="B20" s="59"/>
      <c r="C20" s="64" t="s">
        <v>32</v>
      </c>
      <c r="D20" s="57"/>
      <c r="E20" s="57"/>
      <c r="F20" s="57"/>
      <c r="G20" s="57"/>
      <c r="H20" s="57"/>
      <c r="I20" s="57"/>
      <c r="J20" s="62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>
        <f t="shared" si="1"/>
        <v>0</v>
      </c>
    </row>
    <row r="21" spans="1:23" s="63" customFormat="1" ht="11.75" customHeight="1">
      <c r="A21" s="59" t="s">
        <v>33</v>
      </c>
      <c r="B21" s="59"/>
      <c r="C21" s="64" t="s">
        <v>34</v>
      </c>
      <c r="D21" s="57"/>
      <c r="E21" s="57"/>
      <c r="F21" s="57"/>
      <c r="G21" s="57"/>
      <c r="H21" s="57"/>
      <c r="I21" s="57"/>
      <c r="J21" s="62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>
        <f t="shared" si="1"/>
        <v>0</v>
      </c>
    </row>
    <row r="22" spans="1:23" s="8" customFormat="1" ht="11.75" customHeight="1">
      <c r="A22" s="9" t="s">
        <v>35</v>
      </c>
      <c r="B22" s="9"/>
      <c r="C22" s="13" t="s">
        <v>36</v>
      </c>
      <c r="D22" s="2"/>
      <c r="E22" s="2"/>
      <c r="F22" s="2"/>
      <c r="G22" s="2"/>
      <c r="H22" s="2"/>
      <c r="I22" s="2"/>
      <c r="J22" s="11"/>
      <c r="K22" s="12">
        <f>SUM(K23:K25)</f>
        <v>3059610</v>
      </c>
      <c r="L22" s="12">
        <f t="shared" ref="L22:V22" si="5">SUM(L23:L25)</f>
        <v>3321525</v>
      </c>
      <c r="M22" s="12">
        <f t="shared" si="5"/>
        <v>6400225</v>
      </c>
      <c r="N22" s="12">
        <f t="shared" si="5"/>
        <v>4234871</v>
      </c>
      <c r="O22" s="12">
        <f t="shared" si="5"/>
        <v>4461943</v>
      </c>
      <c r="P22" s="12">
        <f t="shared" si="5"/>
        <v>4065487</v>
      </c>
      <c r="Q22" s="12">
        <f t="shared" si="5"/>
        <v>4081512</v>
      </c>
      <c r="R22" s="12">
        <f t="shared" si="5"/>
        <v>3788416</v>
      </c>
      <c r="S22" s="12">
        <f t="shared" si="5"/>
        <v>10066208</v>
      </c>
      <c r="T22" s="12">
        <f t="shared" si="5"/>
        <v>4442681</v>
      </c>
      <c r="U22" s="12">
        <f t="shared" si="5"/>
        <v>3850762</v>
      </c>
      <c r="V22" s="12">
        <f t="shared" si="5"/>
        <v>3896495</v>
      </c>
      <c r="W22" s="12">
        <f t="shared" si="1"/>
        <v>55669735</v>
      </c>
    </row>
    <row r="23" spans="1:23" s="63" customFormat="1" ht="11.75" customHeight="1">
      <c r="A23" s="59" t="s">
        <v>37</v>
      </c>
      <c r="B23" s="59"/>
      <c r="C23" s="59"/>
      <c r="D23" s="64" t="s">
        <v>38</v>
      </c>
      <c r="E23" s="57"/>
      <c r="F23" s="57"/>
      <c r="G23" s="57"/>
      <c r="H23" s="57"/>
      <c r="I23" s="57"/>
      <c r="J23" s="62"/>
      <c r="K23" s="47">
        <v>3059610</v>
      </c>
      <c r="L23" s="47">
        <v>3098741</v>
      </c>
      <c r="M23" s="47">
        <v>6071782</v>
      </c>
      <c r="N23" s="47">
        <v>3837778</v>
      </c>
      <c r="O23" s="47">
        <v>4000839</v>
      </c>
      <c r="P23" s="47">
        <v>3639087</v>
      </c>
      <c r="Q23" s="47">
        <v>3750989</v>
      </c>
      <c r="R23" s="47">
        <v>3450389</v>
      </c>
      <c r="S23" s="47">
        <v>9726836</v>
      </c>
      <c r="T23" s="47">
        <v>4149452</v>
      </c>
      <c r="U23" s="47">
        <v>3805029</v>
      </c>
      <c r="V23" s="47">
        <v>3805029</v>
      </c>
      <c r="W23" s="47">
        <f t="shared" si="1"/>
        <v>52395561</v>
      </c>
    </row>
    <row r="24" spans="1:23" s="63" customFormat="1" ht="11.75" customHeight="1">
      <c r="A24" s="59" t="s">
        <v>39</v>
      </c>
      <c r="B24" s="59"/>
      <c r="C24" s="59"/>
      <c r="D24" s="64" t="s">
        <v>40</v>
      </c>
      <c r="E24" s="57"/>
      <c r="F24" s="57"/>
      <c r="G24" s="57"/>
      <c r="H24" s="57"/>
      <c r="I24" s="57"/>
      <c r="J24" s="62"/>
      <c r="K24" s="47">
        <v>0</v>
      </c>
      <c r="L24" s="47">
        <v>164441</v>
      </c>
      <c r="M24" s="47">
        <v>266492</v>
      </c>
      <c r="N24" s="47">
        <v>282706</v>
      </c>
      <c r="O24" s="47">
        <v>446336</v>
      </c>
      <c r="P24" s="47">
        <v>401592</v>
      </c>
      <c r="Q24" s="47">
        <v>303222</v>
      </c>
      <c r="R24" s="47">
        <v>328127</v>
      </c>
      <c r="S24" s="47">
        <v>296959</v>
      </c>
      <c r="T24" s="47">
        <v>257004</v>
      </c>
      <c r="U24" s="47"/>
      <c r="V24" s="47"/>
      <c r="W24" s="47">
        <f t="shared" si="1"/>
        <v>2746879</v>
      </c>
    </row>
    <row r="25" spans="1:23" s="63" customFormat="1" ht="11.75" customHeight="1">
      <c r="A25" s="59" t="s">
        <v>41</v>
      </c>
      <c r="B25" s="59"/>
      <c r="C25" s="59"/>
      <c r="D25" s="64" t="s">
        <v>42</v>
      </c>
      <c r="E25" s="57"/>
      <c r="F25" s="57"/>
      <c r="G25" s="57"/>
      <c r="H25" s="57"/>
      <c r="I25" s="57"/>
      <c r="J25" s="62"/>
      <c r="K25" s="47">
        <v>0</v>
      </c>
      <c r="L25" s="47">
        <v>58343</v>
      </c>
      <c r="M25" s="47">
        <v>61951</v>
      </c>
      <c r="N25" s="47">
        <v>114387</v>
      </c>
      <c r="O25" s="47">
        <v>14768</v>
      </c>
      <c r="P25" s="47">
        <v>24808</v>
      </c>
      <c r="Q25" s="47">
        <v>27301</v>
      </c>
      <c r="R25" s="47">
        <v>9900</v>
      </c>
      <c r="S25" s="47">
        <v>42413</v>
      </c>
      <c r="T25" s="47">
        <v>36225</v>
      </c>
      <c r="U25" s="47">
        <v>45733</v>
      </c>
      <c r="V25" s="47">
        <f>45733*2</f>
        <v>91466</v>
      </c>
      <c r="W25" s="47">
        <f t="shared" si="1"/>
        <v>527295</v>
      </c>
    </row>
    <row r="26" spans="1:23" s="8" customFormat="1" ht="11.75" customHeight="1">
      <c r="A26" s="9" t="s">
        <v>43</v>
      </c>
      <c r="B26" s="9"/>
      <c r="C26" s="13" t="s">
        <v>44</v>
      </c>
      <c r="D26" s="2"/>
      <c r="E26" s="2"/>
      <c r="F26" s="2"/>
      <c r="G26" s="2"/>
      <c r="H26" s="2"/>
      <c r="I26" s="2"/>
      <c r="J26" s="11"/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f t="shared" si="1"/>
        <v>0</v>
      </c>
    </row>
    <row r="27" spans="1:23" s="63" customFormat="1" ht="11.75" customHeight="1">
      <c r="A27" s="59" t="s">
        <v>45</v>
      </c>
      <c r="B27" s="59"/>
      <c r="C27" s="59"/>
      <c r="D27" s="64" t="s">
        <v>46</v>
      </c>
      <c r="E27" s="57"/>
      <c r="F27" s="57"/>
      <c r="G27" s="57"/>
      <c r="H27" s="57"/>
      <c r="I27" s="57"/>
      <c r="J27" s="62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>
        <f t="shared" si="1"/>
        <v>0</v>
      </c>
    </row>
    <row r="28" spans="1:23" s="63" customFormat="1" ht="11.75" customHeight="1">
      <c r="A28" s="59" t="s">
        <v>47</v>
      </c>
      <c r="B28" s="59"/>
      <c r="C28" s="59"/>
      <c r="D28" s="64" t="s">
        <v>48</v>
      </c>
      <c r="E28" s="57"/>
      <c r="F28" s="57"/>
      <c r="G28" s="57"/>
      <c r="H28" s="57"/>
      <c r="I28" s="57"/>
      <c r="J28" s="62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>
        <f t="shared" si="1"/>
        <v>0</v>
      </c>
    </row>
    <row r="29" spans="1:23" s="63" customFormat="1" ht="11.75" customHeight="1">
      <c r="A29" s="59" t="s">
        <v>49</v>
      </c>
      <c r="B29" s="59"/>
      <c r="C29" s="64" t="s">
        <v>50</v>
      </c>
      <c r="D29" s="57"/>
      <c r="E29" s="57"/>
      <c r="F29" s="57"/>
      <c r="G29" s="57"/>
      <c r="H29" s="57"/>
      <c r="I29" s="57"/>
      <c r="J29" s="62"/>
      <c r="K29" s="47">
        <v>0</v>
      </c>
      <c r="L29" s="47">
        <v>0</v>
      </c>
      <c r="M29" s="47">
        <v>919975</v>
      </c>
      <c r="N29" s="47">
        <v>876398</v>
      </c>
      <c r="O29" s="47">
        <v>0</v>
      </c>
      <c r="P29" s="47">
        <v>1014388</v>
      </c>
      <c r="Q29" s="47">
        <v>478505</v>
      </c>
      <c r="R29" s="47">
        <v>0</v>
      </c>
      <c r="S29" s="47">
        <v>522599</v>
      </c>
      <c r="T29" s="47">
        <v>553051</v>
      </c>
      <c r="U29" s="47">
        <v>630775</v>
      </c>
      <c r="V29" s="47">
        <f>630775*2</f>
        <v>1261550</v>
      </c>
      <c r="W29" s="47">
        <f t="shared" si="1"/>
        <v>6257241</v>
      </c>
    </row>
    <row r="30" spans="1:23" s="63" customFormat="1" ht="11.75" customHeight="1">
      <c r="A30" s="59" t="s">
        <v>51</v>
      </c>
      <c r="B30" s="59"/>
      <c r="C30" s="64" t="s">
        <v>52</v>
      </c>
      <c r="D30" s="57"/>
      <c r="E30" s="57"/>
      <c r="F30" s="57"/>
      <c r="G30" s="57"/>
      <c r="H30" s="57"/>
      <c r="I30" s="57"/>
      <c r="J30" s="62"/>
      <c r="K30" s="47">
        <v>4600</v>
      </c>
      <c r="L30" s="47">
        <v>4600</v>
      </c>
      <c r="M30" s="47">
        <v>5600</v>
      </c>
      <c r="N30" s="47">
        <v>5600</v>
      </c>
      <c r="O30" s="47">
        <v>5600</v>
      </c>
      <c r="P30" s="47">
        <v>6000</v>
      </c>
      <c r="Q30" s="47">
        <v>6000</v>
      </c>
      <c r="R30" s="47">
        <v>6000</v>
      </c>
      <c r="S30" s="47">
        <v>6000</v>
      </c>
      <c r="T30" s="47">
        <v>6000</v>
      </c>
      <c r="U30" s="47">
        <v>6000</v>
      </c>
      <c r="V30" s="47">
        <v>6000</v>
      </c>
      <c r="W30" s="47">
        <f t="shared" si="1"/>
        <v>68000</v>
      </c>
    </row>
    <row r="31" spans="1:23" s="8" customFormat="1" ht="11.75" customHeight="1">
      <c r="A31" s="9" t="s">
        <v>53</v>
      </c>
      <c r="B31" s="9"/>
      <c r="C31" s="13" t="s">
        <v>54</v>
      </c>
      <c r="D31" s="2"/>
      <c r="E31" s="2"/>
      <c r="F31" s="2"/>
      <c r="G31" s="2"/>
      <c r="H31" s="2"/>
      <c r="I31" s="2"/>
      <c r="J31" s="11"/>
      <c r="K31" s="12">
        <f>SUM(K32:K34)</f>
        <v>5400</v>
      </c>
      <c r="L31" s="12">
        <f t="shared" ref="L31:V31" si="6">SUM(L32:L34)</f>
        <v>5400</v>
      </c>
      <c r="M31" s="12">
        <f t="shared" si="6"/>
        <v>5400</v>
      </c>
      <c r="N31" s="12">
        <f t="shared" si="6"/>
        <v>159170</v>
      </c>
      <c r="O31" s="12">
        <f t="shared" si="6"/>
        <v>5400</v>
      </c>
      <c r="P31" s="12">
        <f t="shared" si="6"/>
        <v>6000</v>
      </c>
      <c r="Q31" s="12">
        <f t="shared" si="6"/>
        <v>6000</v>
      </c>
      <c r="R31" s="12">
        <f t="shared" si="6"/>
        <v>6000</v>
      </c>
      <c r="S31" s="12">
        <f t="shared" si="6"/>
        <v>175250</v>
      </c>
      <c r="T31" s="12">
        <f t="shared" si="6"/>
        <v>6000</v>
      </c>
      <c r="U31" s="12">
        <f t="shared" si="6"/>
        <v>6000</v>
      </c>
      <c r="V31" s="12">
        <f t="shared" si="6"/>
        <v>6000</v>
      </c>
      <c r="W31" s="12">
        <f t="shared" si="1"/>
        <v>392020</v>
      </c>
    </row>
    <row r="32" spans="1:23" s="63" customFormat="1" ht="11.75" customHeight="1">
      <c r="A32" s="59" t="s">
        <v>55</v>
      </c>
      <c r="B32" s="59"/>
      <c r="C32" s="59"/>
      <c r="D32" s="64" t="s">
        <v>54</v>
      </c>
      <c r="E32" s="57"/>
      <c r="F32" s="57"/>
      <c r="G32" s="57"/>
      <c r="H32" s="57"/>
      <c r="I32" s="57"/>
      <c r="J32" s="62"/>
      <c r="K32" s="47">
        <v>5400</v>
      </c>
      <c r="L32" s="47">
        <v>5400</v>
      </c>
      <c r="M32" s="47">
        <v>5400</v>
      </c>
      <c r="N32" s="47">
        <v>5400</v>
      </c>
      <c r="O32" s="47">
        <v>5400</v>
      </c>
      <c r="P32" s="47">
        <v>6000</v>
      </c>
      <c r="Q32" s="47">
        <v>6000</v>
      </c>
      <c r="R32" s="47">
        <v>6000</v>
      </c>
      <c r="S32" s="47">
        <v>6000</v>
      </c>
      <c r="T32" s="47">
        <v>6000</v>
      </c>
      <c r="U32" s="47">
        <v>6000</v>
      </c>
      <c r="V32" s="47">
        <v>6000</v>
      </c>
      <c r="W32" s="47">
        <f t="shared" si="1"/>
        <v>69000</v>
      </c>
    </row>
    <row r="33" spans="1:23" s="63" customFormat="1" ht="11.75" customHeight="1">
      <c r="A33" s="59" t="s">
        <v>56</v>
      </c>
      <c r="B33" s="59"/>
      <c r="C33" s="59"/>
      <c r="D33" s="64" t="s">
        <v>57</v>
      </c>
      <c r="E33" s="57"/>
      <c r="F33" s="57"/>
      <c r="G33" s="57"/>
      <c r="H33" s="57"/>
      <c r="I33" s="57"/>
      <c r="J33" s="62"/>
      <c r="K33" s="47">
        <v>0</v>
      </c>
      <c r="L33" s="47">
        <v>0</v>
      </c>
      <c r="M33" s="47">
        <v>0</v>
      </c>
      <c r="N33" s="47">
        <v>153770</v>
      </c>
      <c r="O33" s="47">
        <v>0</v>
      </c>
      <c r="P33" s="47">
        <v>0</v>
      </c>
      <c r="Q33" s="47">
        <v>0</v>
      </c>
      <c r="R33" s="47">
        <v>0</v>
      </c>
      <c r="S33" s="47">
        <v>169250</v>
      </c>
      <c r="T33" s="47">
        <v>0</v>
      </c>
      <c r="U33" s="47"/>
      <c r="V33" s="47"/>
      <c r="W33" s="47">
        <f t="shared" si="1"/>
        <v>323020</v>
      </c>
    </row>
    <row r="34" spans="1:23" s="63" customFormat="1" ht="11.75" customHeight="1">
      <c r="A34" s="59" t="s">
        <v>58</v>
      </c>
      <c r="B34" s="59"/>
      <c r="C34" s="59"/>
      <c r="D34" s="64" t="s">
        <v>59</v>
      </c>
      <c r="E34" s="57"/>
      <c r="F34" s="57"/>
      <c r="G34" s="57"/>
      <c r="H34" s="57"/>
      <c r="I34" s="57"/>
      <c r="J34" s="62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>
        <f t="shared" si="1"/>
        <v>0</v>
      </c>
    </row>
    <row r="35" spans="1:23" s="63" customFormat="1" ht="11.75" customHeight="1">
      <c r="A35" s="59" t="s">
        <v>60</v>
      </c>
      <c r="B35" s="59"/>
      <c r="C35" s="64" t="s">
        <v>61</v>
      </c>
      <c r="D35" s="57"/>
      <c r="E35" s="57"/>
      <c r="F35" s="57"/>
      <c r="G35" s="57"/>
      <c r="H35" s="57"/>
      <c r="I35" s="57"/>
      <c r="J35" s="62"/>
      <c r="K35" s="47">
        <v>88810</v>
      </c>
      <c r="L35" s="47">
        <v>110901</v>
      </c>
      <c r="M35" s="47">
        <v>146566</v>
      </c>
      <c r="N35" s="47">
        <v>164619</v>
      </c>
      <c r="O35" s="47">
        <v>155355</v>
      </c>
      <c r="P35" s="47">
        <v>152938</v>
      </c>
      <c r="Q35" s="47">
        <v>125392</v>
      </c>
      <c r="R35" s="47">
        <v>124545</v>
      </c>
      <c r="S35" s="47">
        <v>129551</v>
      </c>
      <c r="T35" s="47">
        <v>135923</v>
      </c>
      <c r="U35" s="47">
        <v>135923</v>
      </c>
      <c r="V35" s="47">
        <v>135923</v>
      </c>
      <c r="W35" s="47">
        <f t="shared" si="1"/>
        <v>1606446</v>
      </c>
    </row>
    <row r="36" spans="1:23" s="63" customFormat="1" ht="11.75" customHeight="1">
      <c r="A36" s="59" t="s">
        <v>62</v>
      </c>
      <c r="B36" s="59"/>
      <c r="C36" s="64" t="s">
        <v>63</v>
      </c>
      <c r="D36" s="57"/>
      <c r="E36" s="57"/>
      <c r="F36" s="57"/>
      <c r="G36" s="57"/>
      <c r="H36" s="57"/>
      <c r="I36" s="57"/>
      <c r="J36" s="62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53">
        <f t="shared" si="1"/>
        <v>0</v>
      </c>
    </row>
    <row r="37" spans="1:23" s="8" customFormat="1" ht="11.75" customHeight="1">
      <c r="A37" s="9" t="s">
        <v>64</v>
      </c>
      <c r="B37" s="22" t="s">
        <v>65</v>
      </c>
      <c r="C37" s="23"/>
      <c r="D37" s="23"/>
      <c r="E37" s="23"/>
      <c r="F37" s="23"/>
      <c r="G37" s="23"/>
      <c r="H37" s="23"/>
      <c r="I37" s="23"/>
      <c r="J37" s="24"/>
      <c r="K37" s="25">
        <f>SUM(K38:K41,K46,K50,K57:K58,K61:K67,K70:K72,K78:K80,K83:K84)</f>
        <v>1173578</v>
      </c>
      <c r="L37" s="25">
        <f t="shared" ref="L37:V37" si="7">SUM(L38:L41,L46,L50,L57:L58,L61:L67,L70:L72,L78:L80,L83:L84)</f>
        <v>1575141</v>
      </c>
      <c r="M37" s="25">
        <f t="shared" si="7"/>
        <v>1940389</v>
      </c>
      <c r="N37" s="25">
        <f t="shared" si="7"/>
        <v>1532529</v>
      </c>
      <c r="O37" s="25">
        <f t="shared" si="7"/>
        <v>2043332</v>
      </c>
      <c r="P37" s="25">
        <f t="shared" si="7"/>
        <v>2061531</v>
      </c>
      <c r="Q37" s="25">
        <f t="shared" si="7"/>
        <v>1973446</v>
      </c>
      <c r="R37" s="25">
        <f t="shared" si="7"/>
        <v>2031045</v>
      </c>
      <c r="S37" s="25">
        <f t="shared" si="7"/>
        <v>2080500</v>
      </c>
      <c r="T37" s="25">
        <f t="shared" si="7"/>
        <v>2166959</v>
      </c>
      <c r="U37" s="25">
        <f t="shared" si="7"/>
        <v>1642409</v>
      </c>
      <c r="V37" s="25">
        <f t="shared" si="7"/>
        <v>1854283</v>
      </c>
      <c r="W37" s="25">
        <f t="shared" si="1"/>
        <v>22075142</v>
      </c>
    </row>
    <row r="38" spans="1:23" s="63" customFormat="1" ht="11.75" customHeight="1">
      <c r="A38" s="59" t="s">
        <v>66</v>
      </c>
      <c r="B38" s="60"/>
      <c r="C38" s="61" t="s">
        <v>67</v>
      </c>
      <c r="D38" s="57"/>
      <c r="E38" s="57"/>
      <c r="F38" s="57"/>
      <c r="G38" s="57"/>
      <c r="H38" s="57"/>
      <c r="I38" s="57"/>
      <c r="J38" s="62"/>
      <c r="K38" s="47">
        <v>139692</v>
      </c>
      <c r="L38" s="47">
        <v>23460</v>
      </c>
      <c r="M38" s="47">
        <v>238410</v>
      </c>
      <c r="N38" s="47">
        <v>55889</v>
      </c>
      <c r="O38" s="47">
        <v>43091</v>
      </c>
      <c r="P38" s="47">
        <v>45660</v>
      </c>
      <c r="Q38" s="47">
        <v>279950</v>
      </c>
      <c r="R38" s="47">
        <v>440411</v>
      </c>
      <c r="S38" s="47">
        <v>284687</v>
      </c>
      <c r="T38" s="47">
        <v>178580</v>
      </c>
      <c r="U38" s="47">
        <v>25000</v>
      </c>
      <c r="V38" s="47">
        <v>20000</v>
      </c>
      <c r="W38" s="47">
        <f t="shared" si="1"/>
        <v>1774830</v>
      </c>
    </row>
    <row r="39" spans="1:23" s="63" customFormat="1" ht="11.75" customHeight="1">
      <c r="A39" s="59" t="s">
        <v>68</v>
      </c>
      <c r="B39" s="59"/>
      <c r="C39" s="64" t="s">
        <v>69</v>
      </c>
      <c r="D39" s="57"/>
      <c r="E39" s="57"/>
      <c r="F39" s="57"/>
      <c r="G39" s="57"/>
      <c r="H39" s="57"/>
      <c r="I39" s="57"/>
      <c r="J39" s="62"/>
      <c r="K39" s="47">
        <v>0</v>
      </c>
      <c r="L39" s="47">
        <v>44193</v>
      </c>
      <c r="M39" s="47">
        <v>21825</v>
      </c>
      <c r="N39" s="47">
        <v>29075</v>
      </c>
      <c r="O39" s="47">
        <v>25711</v>
      </c>
      <c r="P39" s="47">
        <v>24204</v>
      </c>
      <c r="Q39" s="47">
        <v>33915</v>
      </c>
      <c r="R39" s="47">
        <v>16109</v>
      </c>
      <c r="S39" s="47">
        <v>15977</v>
      </c>
      <c r="T39" s="47">
        <v>20000</v>
      </c>
      <c r="U39" s="47">
        <v>20000</v>
      </c>
      <c r="V39" s="47">
        <v>40000</v>
      </c>
      <c r="W39" s="47">
        <f t="shared" si="1"/>
        <v>291009</v>
      </c>
    </row>
    <row r="40" spans="1:23" s="63" customFormat="1" ht="11.75" customHeight="1">
      <c r="A40" s="59" t="s">
        <v>70</v>
      </c>
      <c r="B40" s="59"/>
      <c r="C40" s="64" t="s">
        <v>71</v>
      </c>
      <c r="D40" s="57"/>
      <c r="E40" s="57"/>
      <c r="F40" s="57"/>
      <c r="G40" s="57"/>
      <c r="H40" s="57"/>
      <c r="I40" s="57"/>
      <c r="J40" s="62"/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f t="shared" si="1"/>
        <v>0</v>
      </c>
    </row>
    <row r="41" spans="1:23" s="8" customFormat="1" ht="11.75" customHeight="1">
      <c r="A41" s="9" t="s">
        <v>72</v>
      </c>
      <c r="B41" s="9"/>
      <c r="C41" s="13" t="s">
        <v>73</v>
      </c>
      <c r="D41" s="2"/>
      <c r="E41" s="2"/>
      <c r="F41" s="2"/>
      <c r="G41" s="2"/>
      <c r="H41" s="2"/>
      <c r="I41" s="2"/>
      <c r="J41" s="11"/>
      <c r="K41" s="12">
        <f>SUM(K42:K45)</f>
        <v>33585</v>
      </c>
      <c r="L41" s="12">
        <f t="shared" ref="L41:V41" si="8">SUM(L42:L45)</f>
        <v>53183</v>
      </c>
      <c r="M41" s="12">
        <f t="shared" si="8"/>
        <v>216240</v>
      </c>
      <c r="N41" s="12">
        <f t="shared" si="8"/>
        <v>129895</v>
      </c>
      <c r="O41" s="12">
        <f t="shared" si="8"/>
        <v>133270</v>
      </c>
      <c r="P41" s="12">
        <f t="shared" si="8"/>
        <v>134656</v>
      </c>
      <c r="Q41" s="12">
        <f t="shared" si="8"/>
        <v>122648</v>
      </c>
      <c r="R41" s="12">
        <f t="shared" si="8"/>
        <v>123115</v>
      </c>
      <c r="S41" s="12">
        <f t="shared" si="8"/>
        <v>122238</v>
      </c>
      <c r="T41" s="12">
        <f t="shared" si="8"/>
        <v>90000</v>
      </c>
      <c r="U41" s="12">
        <f t="shared" si="8"/>
        <v>34300</v>
      </c>
      <c r="V41" s="12">
        <f t="shared" si="8"/>
        <v>32300</v>
      </c>
      <c r="W41" s="12">
        <f t="shared" si="1"/>
        <v>1225430</v>
      </c>
    </row>
    <row r="42" spans="1:23" s="63" customFormat="1" ht="11.75" customHeight="1">
      <c r="A42" s="59" t="s">
        <v>74</v>
      </c>
      <c r="B42" s="59"/>
      <c r="C42" s="59"/>
      <c r="D42" s="64" t="s">
        <v>75</v>
      </c>
      <c r="E42" s="57"/>
      <c r="F42" s="57"/>
      <c r="G42" s="57"/>
      <c r="H42" s="57"/>
      <c r="I42" s="57"/>
      <c r="J42" s="62"/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f t="shared" si="1"/>
        <v>0</v>
      </c>
    </row>
    <row r="43" spans="1:23" s="63" customFormat="1" ht="11.75" customHeight="1">
      <c r="A43" s="59" t="s">
        <v>76</v>
      </c>
      <c r="B43" s="59"/>
      <c r="C43" s="59"/>
      <c r="D43" s="64" t="s">
        <v>77</v>
      </c>
      <c r="E43" s="57"/>
      <c r="F43" s="57"/>
      <c r="G43" s="57"/>
      <c r="H43" s="57"/>
      <c r="I43" s="57"/>
      <c r="J43" s="62"/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0</v>
      </c>
      <c r="R43" s="47">
        <v>0</v>
      </c>
      <c r="S43" s="47">
        <v>0</v>
      </c>
      <c r="T43" s="47">
        <v>0</v>
      </c>
      <c r="U43" s="47">
        <v>0</v>
      </c>
      <c r="V43" s="47">
        <v>0</v>
      </c>
      <c r="W43" s="47">
        <f t="shared" si="1"/>
        <v>0</v>
      </c>
    </row>
    <row r="44" spans="1:23" s="63" customFormat="1" ht="11.75" customHeight="1">
      <c r="A44" s="59" t="s">
        <v>78</v>
      </c>
      <c r="B44" s="59"/>
      <c r="C44" s="59"/>
      <c r="D44" s="64" t="s">
        <v>79</v>
      </c>
      <c r="E44" s="57"/>
      <c r="F44" s="57"/>
      <c r="G44" s="57"/>
      <c r="H44" s="57"/>
      <c r="I44" s="57"/>
      <c r="J44" s="62"/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f t="shared" si="1"/>
        <v>0</v>
      </c>
    </row>
    <row r="45" spans="1:23" s="63" customFormat="1" ht="11.75" customHeight="1">
      <c r="A45" s="59" t="s">
        <v>80</v>
      </c>
      <c r="B45" s="59"/>
      <c r="C45" s="59"/>
      <c r="D45" s="64" t="s">
        <v>81</v>
      </c>
      <c r="E45" s="57"/>
      <c r="F45" s="57"/>
      <c r="G45" s="57"/>
      <c r="H45" s="57"/>
      <c r="I45" s="57"/>
      <c r="J45" s="62"/>
      <c r="K45" s="47">
        <v>33585</v>
      </c>
      <c r="L45" s="47">
        <v>53183</v>
      </c>
      <c r="M45" s="47">
        <v>216240</v>
      </c>
      <c r="N45" s="47">
        <v>129895</v>
      </c>
      <c r="O45" s="47">
        <v>133270</v>
      </c>
      <c r="P45" s="47">
        <v>134656</v>
      </c>
      <c r="Q45" s="47">
        <v>122648</v>
      </c>
      <c r="R45" s="47">
        <v>123115</v>
      </c>
      <c r="S45" s="47">
        <v>122238</v>
      </c>
      <c r="T45" s="47">
        <v>90000</v>
      </c>
      <c r="U45" s="47">
        <v>34300</v>
      </c>
      <c r="V45" s="47">
        <v>32300</v>
      </c>
      <c r="W45" s="47">
        <f t="shared" si="1"/>
        <v>1225430</v>
      </c>
    </row>
    <row r="46" spans="1:23" s="8" customFormat="1" ht="11.75" customHeight="1">
      <c r="A46" s="9" t="s">
        <v>82</v>
      </c>
      <c r="B46" s="9"/>
      <c r="C46" s="13" t="s">
        <v>83</v>
      </c>
      <c r="D46" s="2"/>
      <c r="E46" s="2"/>
      <c r="F46" s="2"/>
      <c r="G46" s="2"/>
      <c r="H46" s="2"/>
      <c r="I46" s="2"/>
      <c r="J46" s="11"/>
      <c r="K46" s="12">
        <f>SUM(K47:K49)</f>
        <v>2947</v>
      </c>
      <c r="L46" s="12">
        <f t="shared" ref="L46:V46" si="9">SUM(L47:L49)</f>
        <v>0</v>
      </c>
      <c r="M46" s="12">
        <f t="shared" si="9"/>
        <v>0</v>
      </c>
      <c r="N46" s="12">
        <f t="shared" si="9"/>
        <v>0</v>
      </c>
      <c r="O46" s="12">
        <f t="shared" si="9"/>
        <v>0</v>
      </c>
      <c r="P46" s="12">
        <f t="shared" si="9"/>
        <v>0</v>
      </c>
      <c r="Q46" s="12">
        <f t="shared" si="9"/>
        <v>0</v>
      </c>
      <c r="R46" s="12">
        <f t="shared" si="9"/>
        <v>0</v>
      </c>
      <c r="S46" s="12">
        <f t="shared" si="9"/>
        <v>0</v>
      </c>
      <c r="T46" s="12">
        <f t="shared" si="9"/>
        <v>0</v>
      </c>
      <c r="U46" s="12">
        <f t="shared" si="9"/>
        <v>0</v>
      </c>
      <c r="V46" s="12">
        <f t="shared" si="9"/>
        <v>0</v>
      </c>
      <c r="W46" s="12">
        <f t="shared" si="1"/>
        <v>2947</v>
      </c>
    </row>
    <row r="47" spans="1:23" s="63" customFormat="1" ht="11.75" customHeight="1">
      <c r="A47" s="59" t="s">
        <v>84</v>
      </c>
      <c r="B47" s="59"/>
      <c r="C47" s="59"/>
      <c r="D47" s="64" t="s">
        <v>85</v>
      </c>
      <c r="E47" s="57"/>
      <c r="F47" s="57"/>
      <c r="G47" s="57"/>
      <c r="H47" s="57"/>
      <c r="I47" s="57"/>
      <c r="J47" s="62"/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  <c r="Q47" s="47">
        <v>0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f t="shared" si="1"/>
        <v>0</v>
      </c>
    </row>
    <row r="48" spans="1:23" s="63" customFormat="1" ht="11.75" customHeight="1">
      <c r="A48" s="59" t="s">
        <v>86</v>
      </c>
      <c r="B48" s="59"/>
      <c r="C48" s="59"/>
      <c r="D48" s="64" t="s">
        <v>87</v>
      </c>
      <c r="E48" s="57"/>
      <c r="F48" s="57"/>
      <c r="G48" s="57"/>
      <c r="H48" s="57"/>
      <c r="I48" s="57"/>
      <c r="J48" s="62"/>
      <c r="K48" s="47"/>
      <c r="L48" s="47"/>
      <c r="M48" s="47"/>
      <c r="N48" s="47"/>
      <c r="O48" s="47"/>
      <c r="P48" s="47"/>
      <c r="Q48" s="47"/>
      <c r="R48" s="47">
        <v>0</v>
      </c>
      <c r="S48" s="47">
        <v>0</v>
      </c>
      <c r="T48" s="47">
        <v>0</v>
      </c>
      <c r="U48" s="47">
        <v>0</v>
      </c>
      <c r="V48" s="47">
        <v>0</v>
      </c>
      <c r="W48" s="47">
        <f t="shared" si="1"/>
        <v>0</v>
      </c>
    </row>
    <row r="49" spans="1:23" s="63" customFormat="1" ht="11.75" customHeight="1">
      <c r="A49" s="59" t="s">
        <v>88</v>
      </c>
      <c r="B49" s="59"/>
      <c r="C49" s="59"/>
      <c r="D49" s="64" t="s">
        <v>89</v>
      </c>
      <c r="E49" s="57"/>
      <c r="F49" s="57"/>
      <c r="G49" s="57"/>
      <c r="H49" s="57"/>
      <c r="I49" s="57"/>
      <c r="J49" s="62"/>
      <c r="K49" s="47">
        <v>2947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f t="shared" si="1"/>
        <v>2947</v>
      </c>
    </row>
    <row r="50" spans="1:23" s="8" customFormat="1" ht="11.75" customHeight="1">
      <c r="A50" s="9" t="s">
        <v>90</v>
      </c>
      <c r="B50" s="9"/>
      <c r="C50" s="13" t="s">
        <v>91</v>
      </c>
      <c r="D50" s="2"/>
      <c r="E50" s="2"/>
      <c r="F50" s="2"/>
      <c r="G50" s="2"/>
      <c r="H50" s="2"/>
      <c r="I50" s="2"/>
      <c r="J50" s="11"/>
      <c r="K50" s="12">
        <f>SUM(K51:K56)</f>
        <v>0</v>
      </c>
      <c r="L50" s="12">
        <f t="shared" ref="L50:V50" si="10">SUM(L51:L56)</f>
        <v>0</v>
      </c>
      <c r="M50" s="12">
        <f t="shared" si="10"/>
        <v>0</v>
      </c>
      <c r="N50" s="12">
        <f t="shared" si="10"/>
        <v>0</v>
      </c>
      <c r="O50" s="12">
        <f t="shared" si="10"/>
        <v>0</v>
      </c>
      <c r="P50" s="12">
        <f t="shared" si="10"/>
        <v>0</v>
      </c>
      <c r="Q50" s="12">
        <f t="shared" si="10"/>
        <v>0</v>
      </c>
      <c r="R50" s="12">
        <f t="shared" si="10"/>
        <v>79900</v>
      </c>
      <c r="S50" s="12">
        <f t="shared" si="10"/>
        <v>0</v>
      </c>
      <c r="T50" s="12">
        <f t="shared" si="10"/>
        <v>0</v>
      </c>
      <c r="U50" s="12">
        <f t="shared" si="10"/>
        <v>0</v>
      </c>
      <c r="V50" s="12">
        <f t="shared" si="10"/>
        <v>0</v>
      </c>
      <c r="W50" s="12">
        <f t="shared" si="1"/>
        <v>79900</v>
      </c>
    </row>
    <row r="51" spans="1:23" s="63" customFormat="1" ht="11.75" customHeight="1">
      <c r="A51" s="59" t="s">
        <v>92</v>
      </c>
      <c r="B51" s="59"/>
      <c r="C51" s="59"/>
      <c r="D51" s="64" t="s">
        <v>93</v>
      </c>
      <c r="E51" s="57"/>
      <c r="F51" s="57"/>
      <c r="G51" s="57"/>
      <c r="H51" s="57"/>
      <c r="I51" s="57"/>
      <c r="J51" s="62"/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0</v>
      </c>
      <c r="V51" s="47">
        <v>0</v>
      </c>
      <c r="W51" s="47">
        <f t="shared" si="1"/>
        <v>0</v>
      </c>
    </row>
    <row r="52" spans="1:23" s="63" customFormat="1" ht="11.75" customHeight="1">
      <c r="A52" s="59" t="s">
        <v>94</v>
      </c>
      <c r="B52" s="59"/>
      <c r="C52" s="59"/>
      <c r="D52" s="64" t="s">
        <v>95</v>
      </c>
      <c r="E52" s="57"/>
      <c r="F52" s="57"/>
      <c r="G52" s="57"/>
      <c r="H52" s="57"/>
      <c r="I52" s="57"/>
      <c r="J52" s="62"/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0</v>
      </c>
      <c r="V52" s="47">
        <v>0</v>
      </c>
      <c r="W52" s="47">
        <f t="shared" si="1"/>
        <v>0</v>
      </c>
    </row>
    <row r="53" spans="1:23" s="63" customFormat="1" ht="11.75" customHeight="1">
      <c r="A53" s="59" t="s">
        <v>96</v>
      </c>
      <c r="B53" s="59"/>
      <c r="C53" s="59"/>
      <c r="D53" s="64" t="s">
        <v>97</v>
      </c>
      <c r="E53" s="57"/>
      <c r="F53" s="57"/>
      <c r="G53" s="57"/>
      <c r="H53" s="57"/>
      <c r="I53" s="57"/>
      <c r="J53" s="62"/>
      <c r="K53" s="47">
        <v>0</v>
      </c>
      <c r="L53" s="47">
        <v>0</v>
      </c>
      <c r="M53" s="47">
        <v>0</v>
      </c>
      <c r="N53" s="47">
        <v>0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0</v>
      </c>
      <c r="V53" s="47">
        <v>0</v>
      </c>
      <c r="W53" s="47">
        <f t="shared" si="1"/>
        <v>0</v>
      </c>
    </row>
    <row r="54" spans="1:23" s="63" customFormat="1" ht="11.75" customHeight="1">
      <c r="A54" s="59" t="s">
        <v>98</v>
      </c>
      <c r="B54" s="59"/>
      <c r="C54" s="59"/>
      <c r="D54" s="64" t="s">
        <v>99</v>
      </c>
      <c r="E54" s="57"/>
      <c r="F54" s="57"/>
      <c r="G54" s="57"/>
      <c r="H54" s="57"/>
      <c r="I54" s="57"/>
      <c r="J54" s="62"/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0</v>
      </c>
      <c r="W54" s="47">
        <f t="shared" si="1"/>
        <v>0</v>
      </c>
    </row>
    <row r="55" spans="1:23" s="63" customFormat="1" ht="11.75" customHeight="1">
      <c r="A55" s="59" t="s">
        <v>100</v>
      </c>
      <c r="B55" s="59"/>
      <c r="C55" s="59"/>
      <c r="D55" s="64" t="s">
        <v>101</v>
      </c>
      <c r="E55" s="57"/>
      <c r="F55" s="57"/>
      <c r="G55" s="57"/>
      <c r="H55" s="57"/>
      <c r="I55" s="57"/>
      <c r="J55" s="62"/>
      <c r="K55" s="47">
        <v>0</v>
      </c>
      <c r="L55" s="47">
        <v>0</v>
      </c>
      <c r="M55" s="47">
        <v>0</v>
      </c>
      <c r="N55" s="47">
        <v>0</v>
      </c>
      <c r="O55" s="47">
        <v>0</v>
      </c>
      <c r="P55" s="47">
        <v>0</v>
      </c>
      <c r="Q55" s="47">
        <v>0</v>
      </c>
      <c r="R55" s="47">
        <v>79900</v>
      </c>
      <c r="S55" s="47">
        <v>0</v>
      </c>
      <c r="T55" s="47">
        <v>0</v>
      </c>
      <c r="U55" s="47">
        <v>0</v>
      </c>
      <c r="V55" s="47">
        <v>0</v>
      </c>
      <c r="W55" s="47">
        <f t="shared" si="1"/>
        <v>79900</v>
      </c>
    </row>
    <row r="56" spans="1:23" s="63" customFormat="1" ht="11.75" customHeight="1">
      <c r="A56" s="59" t="s">
        <v>102</v>
      </c>
      <c r="B56" s="59"/>
      <c r="C56" s="59"/>
      <c r="D56" s="64" t="s">
        <v>103</v>
      </c>
      <c r="E56" s="57"/>
      <c r="F56" s="57"/>
      <c r="G56" s="57"/>
      <c r="H56" s="57"/>
      <c r="I56" s="57"/>
      <c r="J56" s="62"/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</v>
      </c>
      <c r="V56" s="47">
        <v>0</v>
      </c>
      <c r="W56" s="47">
        <f t="shared" si="1"/>
        <v>0</v>
      </c>
    </row>
    <row r="57" spans="1:23" s="63" customFormat="1" ht="11.75" customHeight="1">
      <c r="A57" s="59" t="s">
        <v>104</v>
      </c>
      <c r="B57" s="59"/>
      <c r="C57" s="64" t="s">
        <v>105</v>
      </c>
      <c r="D57" s="57"/>
      <c r="E57" s="57"/>
      <c r="F57" s="57"/>
      <c r="G57" s="57"/>
      <c r="H57" s="57"/>
      <c r="I57" s="57"/>
      <c r="J57" s="62"/>
      <c r="K57" s="47">
        <v>0</v>
      </c>
      <c r="L57" s="47">
        <v>0</v>
      </c>
      <c r="M57" s="47">
        <v>0</v>
      </c>
      <c r="N57" s="47">
        <v>0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f t="shared" si="1"/>
        <v>0</v>
      </c>
    </row>
    <row r="58" spans="1:23" s="8" customFormat="1" ht="11.75" customHeight="1">
      <c r="A58" s="9" t="s">
        <v>106</v>
      </c>
      <c r="B58" s="9"/>
      <c r="C58" s="13" t="s">
        <v>107</v>
      </c>
      <c r="D58" s="2"/>
      <c r="E58" s="2"/>
      <c r="F58" s="2"/>
      <c r="G58" s="2"/>
      <c r="H58" s="2"/>
      <c r="I58" s="2"/>
      <c r="J58" s="11"/>
      <c r="K58" s="12">
        <f>SUM(K59:K60)</f>
        <v>84200</v>
      </c>
      <c r="L58" s="12">
        <f t="shared" ref="L58:V58" si="11">SUM(L59:L60)</f>
        <v>0</v>
      </c>
      <c r="M58" s="12">
        <f t="shared" si="11"/>
        <v>0</v>
      </c>
      <c r="N58" s="12">
        <f t="shared" si="11"/>
        <v>10000</v>
      </c>
      <c r="O58" s="12">
        <f t="shared" si="11"/>
        <v>13640</v>
      </c>
      <c r="P58" s="12">
        <f t="shared" si="11"/>
        <v>0</v>
      </c>
      <c r="Q58" s="12">
        <f t="shared" si="11"/>
        <v>0</v>
      </c>
      <c r="R58" s="12">
        <f t="shared" si="11"/>
        <v>0</v>
      </c>
      <c r="S58" s="12">
        <f t="shared" si="11"/>
        <v>0</v>
      </c>
      <c r="T58" s="12">
        <f t="shared" si="11"/>
        <v>0</v>
      </c>
      <c r="U58" s="12">
        <f t="shared" si="11"/>
        <v>0</v>
      </c>
      <c r="V58" s="12">
        <f t="shared" si="11"/>
        <v>0</v>
      </c>
      <c r="W58" s="12">
        <f t="shared" si="1"/>
        <v>107840</v>
      </c>
    </row>
    <row r="59" spans="1:23" s="63" customFormat="1" ht="11.75" customHeight="1">
      <c r="A59" s="59" t="s">
        <v>108</v>
      </c>
      <c r="B59" s="59"/>
      <c r="C59" s="59"/>
      <c r="D59" s="64" t="s">
        <v>107</v>
      </c>
      <c r="E59" s="57"/>
      <c r="F59" s="57"/>
      <c r="G59" s="57"/>
      <c r="H59" s="57"/>
      <c r="I59" s="57"/>
      <c r="J59" s="62"/>
      <c r="K59" s="47">
        <v>84200</v>
      </c>
      <c r="L59" s="47">
        <v>0</v>
      </c>
      <c r="M59" s="47">
        <v>0</v>
      </c>
      <c r="N59" s="47">
        <v>10000</v>
      </c>
      <c r="O59" s="47">
        <v>13640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0</v>
      </c>
      <c r="V59" s="47">
        <v>0</v>
      </c>
      <c r="W59" s="47">
        <f t="shared" si="1"/>
        <v>107840</v>
      </c>
    </row>
    <row r="60" spans="1:23" s="63" customFormat="1" ht="11.75" customHeight="1">
      <c r="A60" s="59" t="s">
        <v>109</v>
      </c>
      <c r="B60" s="59"/>
      <c r="C60" s="59"/>
      <c r="D60" s="64" t="s">
        <v>110</v>
      </c>
      <c r="E60" s="57"/>
      <c r="F60" s="57"/>
      <c r="G60" s="57"/>
      <c r="H60" s="57"/>
      <c r="I60" s="57"/>
      <c r="J60" s="62"/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0</v>
      </c>
      <c r="V60" s="47">
        <v>0</v>
      </c>
      <c r="W60" s="47">
        <f t="shared" si="1"/>
        <v>0</v>
      </c>
    </row>
    <row r="61" spans="1:23" s="63" customFormat="1" ht="11.75" customHeight="1">
      <c r="A61" s="59" t="s">
        <v>111</v>
      </c>
      <c r="B61" s="59"/>
      <c r="C61" s="64" t="s">
        <v>112</v>
      </c>
      <c r="D61" s="57"/>
      <c r="E61" s="57"/>
      <c r="F61" s="57"/>
      <c r="G61" s="57"/>
      <c r="H61" s="57"/>
      <c r="I61" s="57"/>
      <c r="J61" s="62"/>
      <c r="K61" s="47">
        <v>0</v>
      </c>
      <c r="L61" s="47">
        <v>27704</v>
      </c>
      <c r="M61" s="47">
        <v>17623</v>
      </c>
      <c r="N61" s="47">
        <v>15268</v>
      </c>
      <c r="O61" s="47">
        <v>15586</v>
      </c>
      <c r="P61" s="47">
        <v>35799</v>
      </c>
      <c r="Q61" s="47">
        <v>80760</v>
      </c>
      <c r="R61" s="47">
        <v>14374</v>
      </c>
      <c r="S61" s="47">
        <v>11125</v>
      </c>
      <c r="T61" s="47">
        <v>50000</v>
      </c>
      <c r="U61" s="47">
        <v>59900</v>
      </c>
      <c r="V61" s="47">
        <v>58900</v>
      </c>
      <c r="W61" s="47">
        <f t="shared" si="1"/>
        <v>387039</v>
      </c>
    </row>
    <row r="62" spans="1:23" s="63" customFormat="1" ht="11.75" customHeight="1">
      <c r="A62" s="59" t="s">
        <v>113</v>
      </c>
      <c r="B62" s="59"/>
      <c r="C62" s="64" t="s">
        <v>114</v>
      </c>
      <c r="D62" s="57"/>
      <c r="E62" s="57"/>
      <c r="F62" s="57"/>
      <c r="G62" s="57"/>
      <c r="H62" s="57"/>
      <c r="I62" s="57"/>
      <c r="J62" s="62"/>
      <c r="K62" s="47">
        <v>0</v>
      </c>
      <c r="L62" s="47">
        <v>0</v>
      </c>
      <c r="M62" s="47">
        <v>0</v>
      </c>
      <c r="N62" s="47">
        <v>0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  <c r="W62" s="47">
        <f t="shared" si="1"/>
        <v>0</v>
      </c>
    </row>
    <row r="63" spans="1:23" s="63" customFormat="1" ht="11.75" customHeight="1">
      <c r="A63" s="59" t="s">
        <v>115</v>
      </c>
      <c r="B63" s="59"/>
      <c r="C63" s="64" t="s">
        <v>116</v>
      </c>
      <c r="D63" s="57"/>
      <c r="E63" s="57"/>
      <c r="F63" s="57"/>
      <c r="G63" s="57"/>
      <c r="H63" s="57"/>
      <c r="I63" s="57"/>
      <c r="J63" s="62"/>
      <c r="K63" s="47">
        <v>0</v>
      </c>
      <c r="L63" s="47">
        <v>0</v>
      </c>
      <c r="M63" s="47">
        <v>0</v>
      </c>
      <c r="N63" s="47">
        <v>1000</v>
      </c>
      <c r="O63" s="47">
        <v>0</v>
      </c>
      <c r="P63" s="47">
        <v>0</v>
      </c>
      <c r="Q63" s="47">
        <v>2000</v>
      </c>
      <c r="R63" s="47">
        <v>0</v>
      </c>
      <c r="S63" s="47">
        <v>0</v>
      </c>
      <c r="T63" s="47">
        <v>0</v>
      </c>
      <c r="U63" s="47">
        <v>0</v>
      </c>
      <c r="V63" s="47">
        <v>0</v>
      </c>
      <c r="W63" s="47">
        <f t="shared" si="1"/>
        <v>3000</v>
      </c>
    </row>
    <row r="64" spans="1:23" s="63" customFormat="1" ht="11.75" customHeight="1">
      <c r="A64" s="59" t="s">
        <v>117</v>
      </c>
      <c r="B64" s="59"/>
      <c r="C64" s="64" t="s">
        <v>118</v>
      </c>
      <c r="D64" s="57"/>
      <c r="E64" s="57"/>
      <c r="F64" s="57"/>
      <c r="G64" s="57"/>
      <c r="H64" s="57"/>
      <c r="I64" s="57"/>
      <c r="J64" s="62"/>
      <c r="K64" s="47">
        <v>0</v>
      </c>
      <c r="L64" s="47">
        <v>50000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30000</v>
      </c>
      <c r="T64" s="47">
        <v>100000</v>
      </c>
      <c r="U64" s="47">
        <v>0</v>
      </c>
      <c r="V64" s="47">
        <v>0</v>
      </c>
      <c r="W64" s="47">
        <f t="shared" si="1"/>
        <v>180000</v>
      </c>
    </row>
    <row r="65" spans="1:23" s="63" customFormat="1" ht="11.75" customHeight="1">
      <c r="A65" s="59" t="s">
        <v>119</v>
      </c>
      <c r="B65" s="59"/>
      <c r="C65" s="64" t="s">
        <v>120</v>
      </c>
      <c r="D65" s="57"/>
      <c r="E65" s="57"/>
      <c r="F65" s="57"/>
      <c r="G65" s="57"/>
      <c r="H65" s="57"/>
      <c r="I65" s="57"/>
      <c r="J65" s="62"/>
      <c r="K65" s="47">
        <v>174730</v>
      </c>
      <c r="L65" s="47">
        <v>341465</v>
      </c>
      <c r="M65" s="47">
        <v>357807</v>
      </c>
      <c r="N65" s="47">
        <v>395170</v>
      </c>
      <c r="O65" s="47">
        <v>426257</v>
      </c>
      <c r="P65" s="47">
        <v>386573</v>
      </c>
      <c r="Q65" s="47">
        <v>348374</v>
      </c>
      <c r="R65" s="47">
        <v>338552</v>
      </c>
      <c r="S65" s="47">
        <v>531464</v>
      </c>
      <c r="T65" s="47">
        <v>279620</v>
      </c>
      <c r="U65" s="47">
        <v>224620</v>
      </c>
      <c r="V65" s="47">
        <v>224620</v>
      </c>
      <c r="W65" s="47">
        <f t="shared" si="1"/>
        <v>4029252</v>
      </c>
    </row>
    <row r="66" spans="1:23" s="63" customFormat="1" ht="11.75" customHeight="1">
      <c r="A66" s="59" t="s">
        <v>121</v>
      </c>
      <c r="B66" s="59"/>
      <c r="C66" s="64" t="s">
        <v>122</v>
      </c>
      <c r="D66" s="57"/>
      <c r="E66" s="57"/>
      <c r="F66" s="57"/>
      <c r="G66" s="57"/>
      <c r="H66" s="57"/>
      <c r="I66" s="57"/>
      <c r="J66" s="62"/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f t="shared" si="1"/>
        <v>0</v>
      </c>
    </row>
    <row r="67" spans="1:23" s="8" customFormat="1" ht="11.75" customHeight="1">
      <c r="A67" s="9" t="s">
        <v>123</v>
      </c>
      <c r="B67" s="9"/>
      <c r="C67" s="13" t="s">
        <v>124</v>
      </c>
      <c r="D67" s="2"/>
      <c r="E67" s="2"/>
      <c r="F67" s="2"/>
      <c r="G67" s="2"/>
      <c r="H67" s="2"/>
      <c r="I67" s="2"/>
      <c r="J67" s="11"/>
      <c r="K67" s="12">
        <f>SUM(K68:K69)</f>
        <v>259640</v>
      </c>
      <c r="L67" s="12">
        <f t="shared" ref="L67:V67" si="12">SUM(L68:L69)</f>
        <v>296511</v>
      </c>
      <c r="M67" s="12">
        <f t="shared" si="12"/>
        <v>292145</v>
      </c>
      <c r="N67" s="12">
        <f t="shared" si="12"/>
        <v>230930</v>
      </c>
      <c r="O67" s="12">
        <f t="shared" si="12"/>
        <v>417822</v>
      </c>
      <c r="P67" s="12">
        <f t="shared" si="12"/>
        <v>343053</v>
      </c>
      <c r="Q67" s="12">
        <f t="shared" si="12"/>
        <v>266810</v>
      </c>
      <c r="R67" s="12">
        <f t="shared" si="12"/>
        <v>245999</v>
      </c>
      <c r="S67" s="12">
        <f t="shared" si="12"/>
        <v>328682</v>
      </c>
      <c r="T67" s="12">
        <f t="shared" si="12"/>
        <v>537806</v>
      </c>
      <c r="U67" s="12">
        <f t="shared" si="12"/>
        <v>309584</v>
      </c>
      <c r="V67" s="12">
        <f t="shared" si="12"/>
        <v>269340</v>
      </c>
      <c r="W67" s="12">
        <f t="shared" si="1"/>
        <v>3798322</v>
      </c>
    </row>
    <row r="68" spans="1:23" s="63" customFormat="1" ht="11.75" customHeight="1">
      <c r="A68" s="59" t="s">
        <v>125</v>
      </c>
      <c r="B68" s="59"/>
      <c r="C68" s="59"/>
      <c r="D68" s="64" t="s">
        <v>124</v>
      </c>
      <c r="E68" s="57"/>
      <c r="F68" s="57"/>
      <c r="G68" s="57"/>
      <c r="H68" s="57"/>
      <c r="I68" s="57"/>
      <c r="J68" s="62"/>
      <c r="K68" s="47">
        <v>259640</v>
      </c>
      <c r="L68" s="47">
        <v>296511</v>
      </c>
      <c r="M68" s="47">
        <v>292145</v>
      </c>
      <c r="N68" s="47">
        <v>230930</v>
      </c>
      <c r="O68" s="47">
        <v>417822</v>
      </c>
      <c r="P68" s="47">
        <v>343053</v>
      </c>
      <c r="Q68" s="47">
        <v>266810</v>
      </c>
      <c r="R68" s="47">
        <v>245999</v>
      </c>
      <c r="S68" s="47">
        <v>328682</v>
      </c>
      <c r="T68" s="47">
        <v>537806</v>
      </c>
      <c r="U68" s="47">
        <v>309584</v>
      </c>
      <c r="V68" s="47">
        <v>269340</v>
      </c>
      <c r="W68" s="47">
        <f t="shared" si="1"/>
        <v>3798322</v>
      </c>
    </row>
    <row r="69" spans="1:23" s="63" customFormat="1" ht="11.75" customHeight="1">
      <c r="A69" s="59" t="s">
        <v>126</v>
      </c>
      <c r="B69" s="59"/>
      <c r="C69" s="59"/>
      <c r="D69" s="64" t="s">
        <v>127</v>
      </c>
      <c r="E69" s="57"/>
      <c r="F69" s="57"/>
      <c r="G69" s="57"/>
      <c r="H69" s="57"/>
      <c r="I69" s="57"/>
      <c r="J69" s="62"/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f t="shared" si="1"/>
        <v>0</v>
      </c>
    </row>
    <row r="70" spans="1:23" s="63" customFormat="1" ht="11.75" customHeight="1">
      <c r="A70" s="59" t="s">
        <v>128</v>
      </c>
      <c r="B70" s="59"/>
      <c r="C70" s="64" t="s">
        <v>129</v>
      </c>
      <c r="D70" s="57"/>
      <c r="E70" s="57"/>
      <c r="F70" s="57"/>
      <c r="G70" s="57"/>
      <c r="H70" s="57"/>
      <c r="I70" s="57"/>
      <c r="J70" s="62"/>
      <c r="K70" s="47">
        <v>12700</v>
      </c>
      <c r="L70" s="47">
        <v>7646</v>
      </c>
      <c r="M70" s="47">
        <v>4528</v>
      </c>
      <c r="N70" s="47">
        <v>10464</v>
      </c>
      <c r="O70" s="47">
        <v>22172</v>
      </c>
      <c r="P70" s="47">
        <v>5028</v>
      </c>
      <c r="Q70" s="47">
        <v>10219</v>
      </c>
      <c r="R70" s="47">
        <v>0</v>
      </c>
      <c r="S70" s="47">
        <v>0</v>
      </c>
      <c r="T70" s="47">
        <v>3500</v>
      </c>
      <c r="U70" s="47">
        <v>3500</v>
      </c>
      <c r="V70" s="47">
        <v>3500</v>
      </c>
      <c r="W70" s="47">
        <f t="shared" si="1"/>
        <v>83257</v>
      </c>
    </row>
    <row r="71" spans="1:23" s="63" customFormat="1" ht="11.75" customHeight="1">
      <c r="A71" s="59" t="s">
        <v>130</v>
      </c>
      <c r="B71" s="59"/>
      <c r="C71" s="64" t="s">
        <v>131</v>
      </c>
      <c r="D71" s="57"/>
      <c r="E71" s="57"/>
      <c r="F71" s="57"/>
      <c r="G71" s="57"/>
      <c r="H71" s="57"/>
      <c r="I71" s="57"/>
      <c r="J71" s="62"/>
      <c r="K71" s="47">
        <v>660</v>
      </c>
      <c r="L71" s="47">
        <v>20883</v>
      </c>
      <c r="M71" s="47">
        <v>21604</v>
      </c>
      <c r="N71" s="47">
        <v>9503</v>
      </c>
      <c r="O71" s="47">
        <v>9624</v>
      </c>
      <c r="P71" s="47">
        <v>17054</v>
      </c>
      <c r="Q71" s="47">
        <v>17551</v>
      </c>
      <c r="R71" s="47">
        <v>10365</v>
      </c>
      <c r="S71" s="47">
        <v>10363</v>
      </c>
      <c r="T71" s="47">
        <v>31200</v>
      </c>
      <c r="U71" s="47">
        <v>26200</v>
      </c>
      <c r="V71" s="47">
        <v>51100</v>
      </c>
      <c r="W71" s="47">
        <f t="shared" ref="W71:W118" si="13">SUM(K71:V71)</f>
        <v>226107</v>
      </c>
    </row>
    <row r="72" spans="1:23" s="8" customFormat="1" ht="11.75" customHeight="1">
      <c r="A72" s="9" t="s">
        <v>132</v>
      </c>
      <c r="B72" s="9"/>
      <c r="C72" s="13" t="s">
        <v>133</v>
      </c>
      <c r="D72" s="2"/>
      <c r="E72" s="2"/>
      <c r="F72" s="2"/>
      <c r="G72" s="2"/>
      <c r="H72" s="2"/>
      <c r="I72" s="2"/>
      <c r="J72" s="11"/>
      <c r="K72" s="12">
        <f>SUM(K73:K77)</f>
        <v>440409</v>
      </c>
      <c r="L72" s="12">
        <f t="shared" ref="L72:V72" si="14">SUM(L73:L77)</f>
        <v>685056</v>
      </c>
      <c r="M72" s="12">
        <f t="shared" si="14"/>
        <v>745191</v>
      </c>
      <c r="N72" s="12">
        <f t="shared" si="14"/>
        <v>620335</v>
      </c>
      <c r="O72" s="12">
        <f t="shared" si="14"/>
        <v>779124</v>
      </c>
      <c r="P72" s="12">
        <f t="shared" si="14"/>
        <v>703898</v>
      </c>
      <c r="Q72" s="12">
        <f t="shared" si="14"/>
        <v>678173</v>
      </c>
      <c r="R72" s="12">
        <f t="shared" si="14"/>
        <v>537180</v>
      </c>
      <c r="S72" s="12">
        <f t="shared" si="14"/>
        <v>720929</v>
      </c>
      <c r="T72" s="12">
        <f t="shared" si="14"/>
        <v>851253</v>
      </c>
      <c r="U72" s="12">
        <f t="shared" si="14"/>
        <v>914305</v>
      </c>
      <c r="V72" s="12">
        <f t="shared" si="14"/>
        <v>879523</v>
      </c>
      <c r="W72" s="12">
        <f t="shared" si="13"/>
        <v>8555376</v>
      </c>
    </row>
    <row r="73" spans="1:23" s="63" customFormat="1" ht="11.75" customHeight="1">
      <c r="A73" s="59" t="s">
        <v>134</v>
      </c>
      <c r="B73" s="59"/>
      <c r="C73" s="59"/>
      <c r="D73" s="64" t="s">
        <v>135</v>
      </c>
      <c r="E73" s="57"/>
      <c r="F73" s="57"/>
      <c r="G73" s="57"/>
      <c r="H73" s="57"/>
      <c r="I73" s="57"/>
      <c r="J73" s="62"/>
      <c r="K73" s="47">
        <v>440409</v>
      </c>
      <c r="L73" s="47">
        <v>375559</v>
      </c>
      <c r="M73" s="47">
        <v>414620</v>
      </c>
      <c r="N73" s="47">
        <v>415324</v>
      </c>
      <c r="O73" s="47">
        <v>429467</v>
      </c>
      <c r="P73" s="47">
        <v>395239</v>
      </c>
      <c r="Q73" s="47">
        <v>362459</v>
      </c>
      <c r="R73" s="47">
        <v>370795</v>
      </c>
      <c r="S73" s="47">
        <v>395707</v>
      </c>
      <c r="T73" s="47">
        <v>408314</v>
      </c>
      <c r="U73" s="47">
        <v>415371</v>
      </c>
      <c r="V73" s="47">
        <v>419086</v>
      </c>
      <c r="W73" s="47">
        <f t="shared" si="13"/>
        <v>4842350</v>
      </c>
    </row>
    <row r="74" spans="1:23" s="63" customFormat="1" ht="11.75" customHeight="1">
      <c r="A74" s="59" t="s">
        <v>136</v>
      </c>
      <c r="B74" s="59"/>
      <c r="C74" s="59"/>
      <c r="D74" s="64" t="s">
        <v>137</v>
      </c>
      <c r="E74" s="57"/>
      <c r="F74" s="57"/>
      <c r="G74" s="57"/>
      <c r="H74" s="57"/>
      <c r="I74" s="57"/>
      <c r="J74" s="62"/>
      <c r="K74" s="47">
        <v>0</v>
      </c>
      <c r="L74" s="47">
        <v>0</v>
      </c>
      <c r="M74" s="47">
        <v>101054</v>
      </c>
      <c r="N74" s="47">
        <v>0</v>
      </c>
      <c r="O74" s="47">
        <v>96595</v>
      </c>
      <c r="P74" s="47">
        <v>0</v>
      </c>
      <c r="Q74" s="47">
        <v>102425</v>
      </c>
      <c r="R74" s="47">
        <v>0</v>
      </c>
      <c r="S74" s="47">
        <v>87334</v>
      </c>
      <c r="T74" s="47">
        <v>0</v>
      </c>
      <c r="U74" s="47">
        <v>90000</v>
      </c>
      <c r="V74" s="47">
        <v>90000</v>
      </c>
      <c r="W74" s="47">
        <f t="shared" si="13"/>
        <v>567408</v>
      </c>
    </row>
    <row r="75" spans="1:23" s="63" customFormat="1" ht="11.75" customHeight="1">
      <c r="A75" s="59" t="s">
        <v>138</v>
      </c>
      <c r="B75" s="59"/>
      <c r="C75" s="59"/>
      <c r="D75" s="64" t="s">
        <v>139</v>
      </c>
      <c r="E75" s="57"/>
      <c r="F75" s="57"/>
      <c r="G75" s="57"/>
      <c r="H75" s="57"/>
      <c r="I75" s="57"/>
      <c r="J75" s="62"/>
      <c r="K75" s="47">
        <v>0</v>
      </c>
      <c r="L75" s="47">
        <v>309497</v>
      </c>
      <c r="M75" s="47">
        <v>229517</v>
      </c>
      <c r="N75" s="47">
        <v>205011</v>
      </c>
      <c r="O75" s="47">
        <v>253062</v>
      </c>
      <c r="P75" s="47">
        <v>308659</v>
      </c>
      <c r="Q75" s="47">
        <v>213289</v>
      </c>
      <c r="R75" s="47">
        <v>166385</v>
      </c>
      <c r="S75" s="47">
        <v>237888</v>
      </c>
      <c r="T75" s="47">
        <v>442939</v>
      </c>
      <c r="U75" s="47">
        <v>408934</v>
      </c>
      <c r="V75" s="47">
        <v>370437</v>
      </c>
      <c r="W75" s="47">
        <f t="shared" si="13"/>
        <v>3145618</v>
      </c>
    </row>
    <row r="76" spans="1:23" s="63" customFormat="1" ht="11.75" customHeight="1">
      <c r="A76" s="59" t="s">
        <v>140</v>
      </c>
      <c r="B76" s="59"/>
      <c r="C76" s="59"/>
      <c r="D76" s="64" t="s">
        <v>141</v>
      </c>
      <c r="E76" s="57"/>
      <c r="F76" s="57"/>
      <c r="G76" s="57"/>
      <c r="H76" s="57"/>
      <c r="I76" s="57"/>
      <c r="J76" s="62"/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f t="shared" si="13"/>
        <v>0</v>
      </c>
    </row>
    <row r="77" spans="1:23" s="63" customFormat="1" ht="11.75" customHeight="1">
      <c r="A77" s="59" t="s">
        <v>142</v>
      </c>
      <c r="B77" s="59"/>
      <c r="C77" s="59"/>
      <c r="D77" s="64" t="s">
        <v>143</v>
      </c>
      <c r="E77" s="57"/>
      <c r="F77" s="57"/>
      <c r="G77" s="57"/>
      <c r="H77" s="57"/>
      <c r="I77" s="57"/>
      <c r="J77" s="62"/>
      <c r="K77" s="47">
        <v>0</v>
      </c>
      <c r="L77" s="47">
        <v>0</v>
      </c>
      <c r="M77" s="47">
        <v>0</v>
      </c>
      <c r="N77" s="47">
        <v>0</v>
      </c>
      <c r="O77" s="47">
        <v>0</v>
      </c>
      <c r="P77" s="47">
        <v>0</v>
      </c>
      <c r="Q77" s="47">
        <v>0</v>
      </c>
      <c r="R77" s="47">
        <v>0</v>
      </c>
      <c r="S77" s="47">
        <v>0</v>
      </c>
      <c r="T77" s="47">
        <v>0</v>
      </c>
      <c r="U77" s="47">
        <v>0</v>
      </c>
      <c r="V77" s="47">
        <v>0</v>
      </c>
      <c r="W77" s="47">
        <f t="shared" si="13"/>
        <v>0</v>
      </c>
    </row>
    <row r="78" spans="1:23" s="63" customFormat="1" ht="11.75" customHeight="1">
      <c r="A78" s="59" t="s">
        <v>144</v>
      </c>
      <c r="B78" s="59"/>
      <c r="C78" s="64" t="s">
        <v>145</v>
      </c>
      <c r="D78" s="57"/>
      <c r="E78" s="57"/>
      <c r="F78" s="57"/>
      <c r="G78" s="57"/>
      <c r="H78" s="57"/>
      <c r="I78" s="57"/>
      <c r="J78" s="62"/>
      <c r="K78" s="47">
        <v>15</v>
      </c>
      <c r="L78" s="47">
        <v>40</v>
      </c>
      <c r="M78" s="47">
        <v>16</v>
      </c>
      <c r="N78" s="47">
        <v>0</v>
      </c>
      <c r="O78" s="47">
        <v>35</v>
      </c>
      <c r="P78" s="47">
        <v>606</v>
      </c>
      <c r="Q78" s="47">
        <v>46</v>
      </c>
      <c r="R78" s="47">
        <v>40</v>
      </c>
      <c r="S78" s="47">
        <v>35</v>
      </c>
      <c r="T78" s="47">
        <v>0</v>
      </c>
      <c r="U78" s="47">
        <v>0</v>
      </c>
      <c r="V78" s="47">
        <v>0</v>
      </c>
      <c r="W78" s="47">
        <f t="shared" si="13"/>
        <v>833</v>
      </c>
    </row>
    <row r="79" spans="1:23" s="63" customFormat="1" ht="11.75" customHeight="1">
      <c r="A79" s="59" t="s">
        <v>146</v>
      </c>
      <c r="B79" s="59"/>
      <c r="C79" s="64" t="s">
        <v>147</v>
      </c>
      <c r="D79" s="57"/>
      <c r="E79" s="57"/>
      <c r="F79" s="57"/>
      <c r="G79" s="57"/>
      <c r="H79" s="57"/>
      <c r="I79" s="57"/>
      <c r="J79" s="62"/>
      <c r="K79" s="47">
        <v>25000</v>
      </c>
      <c r="L79" s="47">
        <v>25000</v>
      </c>
      <c r="M79" s="47">
        <v>25000</v>
      </c>
      <c r="N79" s="47">
        <v>25000</v>
      </c>
      <c r="O79" s="47">
        <v>157000</v>
      </c>
      <c r="P79" s="47">
        <v>365000</v>
      </c>
      <c r="Q79" s="47">
        <v>133000</v>
      </c>
      <c r="R79" s="47">
        <v>225000</v>
      </c>
      <c r="S79" s="47">
        <v>25000</v>
      </c>
      <c r="T79" s="47">
        <v>25000</v>
      </c>
      <c r="U79" s="47">
        <v>25000</v>
      </c>
      <c r="V79" s="47">
        <v>275000</v>
      </c>
      <c r="W79" s="47">
        <f t="shared" si="13"/>
        <v>1330000</v>
      </c>
    </row>
    <row r="80" spans="1:23" s="8" customFormat="1" ht="11.75" customHeight="1">
      <c r="A80" s="9" t="s">
        <v>148</v>
      </c>
      <c r="B80" s="9"/>
      <c r="C80" s="13" t="s">
        <v>149</v>
      </c>
      <c r="D80" s="2"/>
      <c r="E80" s="2"/>
      <c r="F80" s="2"/>
      <c r="G80" s="2"/>
      <c r="H80" s="2"/>
      <c r="I80" s="2"/>
      <c r="J80" s="11"/>
      <c r="K80" s="12">
        <f>SUM(K81:K82)</f>
        <v>0</v>
      </c>
      <c r="L80" s="12">
        <f t="shared" ref="L80:V80" si="15">SUM(L81:L82)</f>
        <v>0</v>
      </c>
      <c r="M80" s="12">
        <f t="shared" si="15"/>
        <v>0</v>
      </c>
      <c r="N80" s="12">
        <f t="shared" si="15"/>
        <v>0</v>
      </c>
      <c r="O80" s="12">
        <f t="shared" si="15"/>
        <v>0</v>
      </c>
      <c r="P80" s="12">
        <f t="shared" si="15"/>
        <v>0</v>
      </c>
      <c r="Q80" s="12">
        <f t="shared" si="15"/>
        <v>0</v>
      </c>
      <c r="R80" s="12">
        <f t="shared" si="15"/>
        <v>0</v>
      </c>
      <c r="S80" s="12">
        <f t="shared" si="15"/>
        <v>0</v>
      </c>
      <c r="T80" s="12">
        <f t="shared" si="15"/>
        <v>0</v>
      </c>
      <c r="U80" s="12">
        <f t="shared" si="15"/>
        <v>0</v>
      </c>
      <c r="V80" s="12">
        <f t="shared" si="15"/>
        <v>0</v>
      </c>
      <c r="W80" s="12">
        <f t="shared" si="13"/>
        <v>0</v>
      </c>
    </row>
    <row r="81" spans="1:23" s="63" customFormat="1" ht="11.75" customHeight="1">
      <c r="A81" s="59" t="s">
        <v>150</v>
      </c>
      <c r="B81" s="59"/>
      <c r="C81" s="59"/>
      <c r="D81" s="64" t="s">
        <v>151</v>
      </c>
      <c r="E81" s="57"/>
      <c r="F81" s="57"/>
      <c r="G81" s="57"/>
      <c r="H81" s="57"/>
      <c r="I81" s="57"/>
      <c r="J81" s="62"/>
      <c r="K81" s="47">
        <v>0</v>
      </c>
      <c r="L81" s="47">
        <v>0</v>
      </c>
      <c r="M81" s="47">
        <v>0</v>
      </c>
      <c r="N81" s="47">
        <v>0</v>
      </c>
      <c r="O81" s="47">
        <v>0</v>
      </c>
      <c r="P81" s="47">
        <v>0</v>
      </c>
      <c r="Q81" s="47">
        <v>0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f t="shared" si="13"/>
        <v>0</v>
      </c>
    </row>
    <row r="82" spans="1:23" s="63" customFormat="1" ht="11.75" customHeight="1">
      <c r="A82" s="59" t="s">
        <v>152</v>
      </c>
      <c r="B82" s="59"/>
      <c r="C82" s="59"/>
      <c r="D82" s="64" t="s">
        <v>153</v>
      </c>
      <c r="E82" s="57"/>
      <c r="F82" s="57"/>
      <c r="G82" s="57"/>
      <c r="H82" s="57"/>
      <c r="I82" s="57"/>
      <c r="J82" s="62"/>
      <c r="K82" s="47">
        <v>0</v>
      </c>
      <c r="L82" s="47">
        <v>0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f t="shared" si="13"/>
        <v>0</v>
      </c>
    </row>
    <row r="83" spans="1:23" s="63" customFormat="1" ht="11.75" customHeight="1">
      <c r="A83" s="59" t="s">
        <v>154</v>
      </c>
      <c r="B83" s="59"/>
      <c r="C83" s="64" t="s">
        <v>155</v>
      </c>
      <c r="D83" s="57"/>
      <c r="E83" s="57"/>
      <c r="F83" s="57"/>
      <c r="G83" s="57"/>
      <c r="H83" s="57"/>
      <c r="I83" s="57"/>
      <c r="J83" s="62"/>
      <c r="K83" s="47">
        <v>0</v>
      </c>
      <c r="L83" s="47">
        <v>0</v>
      </c>
      <c r="M83" s="47">
        <v>0</v>
      </c>
      <c r="N83" s="47">
        <v>0</v>
      </c>
      <c r="O83" s="47">
        <v>0</v>
      </c>
      <c r="P83" s="47">
        <v>0</v>
      </c>
      <c r="Q83" s="47">
        <v>0</v>
      </c>
      <c r="R83" s="47">
        <v>0</v>
      </c>
      <c r="S83" s="47">
        <v>0</v>
      </c>
      <c r="T83" s="47">
        <v>0</v>
      </c>
      <c r="U83" s="47">
        <v>0</v>
      </c>
      <c r="V83" s="47">
        <v>0</v>
      </c>
      <c r="W83" s="47">
        <f t="shared" si="13"/>
        <v>0</v>
      </c>
    </row>
    <row r="84" spans="1:23" s="63" customFormat="1" ht="11.75" customHeight="1">
      <c r="A84" s="59" t="s">
        <v>156</v>
      </c>
      <c r="B84" s="59"/>
      <c r="C84" s="64" t="s">
        <v>157</v>
      </c>
      <c r="D84" s="57"/>
      <c r="E84" s="57"/>
      <c r="F84" s="57"/>
      <c r="G84" s="57"/>
      <c r="H84" s="57"/>
      <c r="I84" s="57"/>
      <c r="J84" s="62"/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f t="shared" si="13"/>
        <v>0</v>
      </c>
    </row>
    <row r="85" spans="1:23" s="8" customFormat="1" ht="11.75" customHeight="1">
      <c r="A85" s="9" t="s">
        <v>158</v>
      </c>
      <c r="B85" s="22" t="s">
        <v>159</v>
      </c>
      <c r="C85" s="23"/>
      <c r="D85" s="23"/>
      <c r="E85" s="23"/>
      <c r="F85" s="23"/>
      <c r="G85" s="23"/>
      <c r="H85" s="23"/>
      <c r="I85" s="23"/>
      <c r="J85" s="24"/>
      <c r="K85" s="25">
        <f>SUM(K86:K96)</f>
        <v>612069</v>
      </c>
      <c r="L85" s="25">
        <f t="shared" ref="L85:V85" si="16">SUM(L86:L96)</f>
        <v>612069</v>
      </c>
      <c r="M85" s="25">
        <f t="shared" si="16"/>
        <v>322155</v>
      </c>
      <c r="N85" s="25">
        <f t="shared" si="16"/>
        <v>322130</v>
      </c>
      <c r="O85" s="25">
        <f t="shared" si="16"/>
        <v>322130</v>
      </c>
      <c r="P85" s="25">
        <f t="shared" si="16"/>
        <v>322130</v>
      </c>
      <c r="Q85" s="25">
        <f t="shared" si="16"/>
        <v>322130</v>
      </c>
      <c r="R85" s="25">
        <f t="shared" si="16"/>
        <v>331860</v>
      </c>
      <c r="S85" s="25">
        <f t="shared" si="16"/>
        <v>331860</v>
      </c>
      <c r="T85" s="25">
        <f t="shared" si="16"/>
        <v>331860</v>
      </c>
      <c r="U85" s="25">
        <f t="shared" si="16"/>
        <v>329483</v>
      </c>
      <c r="V85" s="25">
        <f t="shared" si="16"/>
        <v>300500</v>
      </c>
      <c r="W85" s="25">
        <f t="shared" si="13"/>
        <v>4460376</v>
      </c>
    </row>
    <row r="86" spans="1:23" s="63" customFormat="1" ht="11.75" customHeight="1">
      <c r="A86" s="59" t="s">
        <v>160</v>
      </c>
      <c r="B86" s="60"/>
      <c r="C86" s="61" t="s">
        <v>93</v>
      </c>
      <c r="D86" s="57"/>
      <c r="E86" s="57"/>
      <c r="F86" s="57"/>
      <c r="G86" s="57"/>
      <c r="H86" s="57"/>
      <c r="I86" s="57"/>
      <c r="J86" s="62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>
        <f t="shared" si="13"/>
        <v>0</v>
      </c>
    </row>
    <row r="87" spans="1:23" s="63" customFormat="1" ht="11.75" customHeight="1">
      <c r="A87" s="59" t="s">
        <v>161</v>
      </c>
      <c r="B87" s="59"/>
      <c r="C87" s="64" t="s">
        <v>162</v>
      </c>
      <c r="D87" s="57"/>
      <c r="E87" s="57"/>
      <c r="F87" s="57"/>
      <c r="G87" s="57"/>
      <c r="H87" s="57"/>
      <c r="I87" s="57"/>
      <c r="J87" s="62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>
        <f t="shared" si="13"/>
        <v>0</v>
      </c>
    </row>
    <row r="88" spans="1:23" s="63" customFormat="1" ht="11.75" customHeight="1">
      <c r="A88" s="59" t="s">
        <v>163</v>
      </c>
      <c r="B88" s="59"/>
      <c r="C88" s="64" t="s">
        <v>97</v>
      </c>
      <c r="D88" s="57"/>
      <c r="E88" s="57"/>
      <c r="F88" s="57"/>
      <c r="G88" s="57"/>
      <c r="H88" s="57"/>
      <c r="I88" s="57"/>
      <c r="J88" s="62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>
        <f t="shared" si="13"/>
        <v>0</v>
      </c>
    </row>
    <row r="89" spans="1:23" s="63" customFormat="1" ht="11.75" customHeight="1">
      <c r="A89" s="59" t="s">
        <v>164</v>
      </c>
      <c r="B89" s="59"/>
      <c r="C89" s="64" t="s">
        <v>165</v>
      </c>
      <c r="D89" s="57"/>
      <c r="E89" s="57"/>
      <c r="F89" s="57"/>
      <c r="G89" s="57"/>
      <c r="H89" s="57"/>
      <c r="I89" s="57"/>
      <c r="J89" s="62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>
        <f t="shared" si="13"/>
        <v>0</v>
      </c>
    </row>
    <row r="90" spans="1:23" s="63" customFormat="1" ht="11.75" customHeight="1">
      <c r="A90" s="59" t="s">
        <v>166</v>
      </c>
      <c r="B90" s="59"/>
      <c r="C90" s="64" t="s">
        <v>101</v>
      </c>
      <c r="D90" s="57"/>
      <c r="E90" s="57"/>
      <c r="F90" s="57"/>
      <c r="G90" s="57"/>
      <c r="H90" s="57"/>
      <c r="I90" s="57"/>
      <c r="J90" s="62"/>
      <c r="K90" s="47">
        <v>588208</v>
      </c>
      <c r="L90" s="47">
        <v>588208</v>
      </c>
      <c r="M90" s="47">
        <v>298294</v>
      </c>
      <c r="N90" s="47">
        <v>298269</v>
      </c>
      <c r="O90" s="47">
        <v>298269</v>
      </c>
      <c r="P90" s="47">
        <v>298269</v>
      </c>
      <c r="Q90" s="47">
        <v>298269</v>
      </c>
      <c r="R90" s="47">
        <v>298269</v>
      </c>
      <c r="S90" s="47">
        <v>298269</v>
      </c>
      <c r="T90" s="47">
        <v>298269</v>
      </c>
      <c r="U90" s="47">
        <v>295892</v>
      </c>
      <c r="V90" s="47">
        <v>266895</v>
      </c>
      <c r="W90" s="47">
        <f t="shared" si="13"/>
        <v>4125380</v>
      </c>
    </row>
    <row r="91" spans="1:23" s="63" customFormat="1" ht="11.75" customHeight="1">
      <c r="A91" s="59" t="s">
        <v>167</v>
      </c>
      <c r="B91" s="59"/>
      <c r="C91" s="64" t="s">
        <v>103</v>
      </c>
      <c r="D91" s="57"/>
      <c r="E91" s="57"/>
      <c r="F91" s="57"/>
      <c r="G91" s="57"/>
      <c r="H91" s="57"/>
      <c r="I91" s="57"/>
      <c r="J91" s="62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>
        <f t="shared" si="13"/>
        <v>0</v>
      </c>
    </row>
    <row r="92" spans="1:23" s="63" customFormat="1" ht="11.75" customHeight="1">
      <c r="A92" s="59" t="s">
        <v>168</v>
      </c>
      <c r="B92" s="59"/>
      <c r="C92" s="64" t="s">
        <v>169</v>
      </c>
      <c r="D92" s="57"/>
      <c r="E92" s="57"/>
      <c r="F92" s="57"/>
      <c r="G92" s="57"/>
      <c r="H92" s="57"/>
      <c r="I92" s="57"/>
      <c r="J92" s="62"/>
      <c r="K92" s="47">
        <v>18195</v>
      </c>
      <c r="L92" s="47">
        <v>18195</v>
      </c>
      <c r="M92" s="47">
        <v>18195</v>
      </c>
      <c r="N92" s="47">
        <v>18195</v>
      </c>
      <c r="O92" s="47">
        <v>18195</v>
      </c>
      <c r="P92" s="47">
        <v>18195</v>
      </c>
      <c r="Q92" s="47">
        <v>18195</v>
      </c>
      <c r="R92" s="47">
        <v>27925</v>
      </c>
      <c r="S92" s="47">
        <v>27925</v>
      </c>
      <c r="T92" s="47">
        <v>27925</v>
      </c>
      <c r="U92" s="47">
        <v>27925</v>
      </c>
      <c r="V92" s="47">
        <v>27932</v>
      </c>
      <c r="W92" s="47">
        <f t="shared" si="13"/>
        <v>266997</v>
      </c>
    </row>
    <row r="93" spans="1:23" s="63" customFormat="1" ht="11.75" customHeight="1">
      <c r="A93" s="59" t="s">
        <v>170</v>
      </c>
      <c r="B93" s="59"/>
      <c r="C93" s="64" t="s">
        <v>171</v>
      </c>
      <c r="D93" s="57"/>
      <c r="E93" s="57"/>
      <c r="F93" s="57"/>
      <c r="G93" s="57"/>
      <c r="H93" s="57"/>
      <c r="I93" s="57"/>
      <c r="J93" s="62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>
        <f t="shared" si="13"/>
        <v>0</v>
      </c>
    </row>
    <row r="94" spans="1:23" s="63" customFormat="1" ht="11.75" customHeight="1">
      <c r="A94" s="59" t="s">
        <v>172</v>
      </c>
      <c r="B94" s="59"/>
      <c r="C94" s="64" t="s">
        <v>173</v>
      </c>
      <c r="D94" s="57"/>
      <c r="E94" s="57"/>
      <c r="F94" s="57"/>
      <c r="G94" s="57"/>
      <c r="H94" s="57"/>
      <c r="I94" s="57"/>
      <c r="J94" s="62"/>
      <c r="K94" s="47">
        <v>5666</v>
      </c>
      <c r="L94" s="47">
        <v>5666</v>
      </c>
      <c r="M94" s="47">
        <v>5666</v>
      </c>
      <c r="N94" s="47">
        <v>5666</v>
      </c>
      <c r="O94" s="47">
        <v>5666</v>
      </c>
      <c r="P94" s="47">
        <v>5666</v>
      </c>
      <c r="Q94" s="47">
        <v>5666</v>
      </c>
      <c r="R94" s="47">
        <v>5666</v>
      </c>
      <c r="S94" s="47">
        <v>5666</v>
      </c>
      <c r="T94" s="47">
        <v>5666</v>
      </c>
      <c r="U94" s="47">
        <v>5666</v>
      </c>
      <c r="V94" s="47">
        <v>5673</v>
      </c>
      <c r="W94" s="47">
        <f t="shared" si="13"/>
        <v>67999</v>
      </c>
    </row>
    <row r="95" spans="1:23" s="63" customFormat="1" ht="11.75" customHeight="1">
      <c r="A95" s="59" t="s">
        <v>174</v>
      </c>
      <c r="B95" s="59"/>
      <c r="C95" s="64" t="s">
        <v>175</v>
      </c>
      <c r="D95" s="57"/>
      <c r="E95" s="57"/>
      <c r="F95" s="57"/>
      <c r="G95" s="57"/>
      <c r="H95" s="57"/>
      <c r="I95" s="57"/>
      <c r="J95" s="62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>
        <f t="shared" si="13"/>
        <v>0</v>
      </c>
    </row>
    <row r="96" spans="1:23" s="63" customFormat="1" ht="11.75" customHeight="1" thickBot="1">
      <c r="A96" s="59" t="s">
        <v>176</v>
      </c>
      <c r="B96" s="59"/>
      <c r="C96" s="64" t="s">
        <v>177</v>
      </c>
      <c r="D96" s="57"/>
      <c r="E96" s="57"/>
      <c r="F96" s="57"/>
      <c r="G96" s="57"/>
      <c r="H96" s="57"/>
      <c r="I96" s="57"/>
      <c r="J96" s="62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>
        <f t="shared" si="13"/>
        <v>0</v>
      </c>
    </row>
    <row r="97" spans="1:23" s="8" customFormat="1" ht="11.75" customHeight="1" thickTop="1" thickBot="1">
      <c r="A97" s="9" t="s">
        <v>178</v>
      </c>
      <c r="B97" s="26" t="s">
        <v>179</v>
      </c>
      <c r="C97" s="27"/>
      <c r="D97" s="27"/>
      <c r="E97" s="27"/>
      <c r="F97" s="27"/>
      <c r="G97" s="27"/>
      <c r="H97" s="27"/>
      <c r="I97" s="27"/>
      <c r="J97" s="28"/>
      <c r="K97" s="29">
        <f>K37+K19+K85</f>
        <v>4944067</v>
      </c>
      <c r="L97" s="29">
        <f t="shared" ref="L97:V97" si="17">L37+L19+L85</f>
        <v>5629636</v>
      </c>
      <c r="M97" s="29">
        <f t="shared" si="17"/>
        <v>9740310</v>
      </c>
      <c r="N97" s="29">
        <f t="shared" si="17"/>
        <v>7295317</v>
      </c>
      <c r="O97" s="29">
        <f t="shared" si="17"/>
        <v>6993760</v>
      </c>
      <c r="P97" s="29">
        <f t="shared" si="17"/>
        <v>7628474</v>
      </c>
      <c r="Q97" s="29">
        <f t="shared" si="17"/>
        <v>6992985</v>
      </c>
      <c r="R97" s="29">
        <f t="shared" si="17"/>
        <v>6287866</v>
      </c>
      <c r="S97" s="29">
        <f t="shared" si="17"/>
        <v>13311968</v>
      </c>
      <c r="T97" s="29">
        <f t="shared" si="17"/>
        <v>7642474</v>
      </c>
      <c r="U97" s="29">
        <f t="shared" si="17"/>
        <v>6601352</v>
      </c>
      <c r="V97" s="29">
        <f t="shared" si="17"/>
        <v>7460751</v>
      </c>
      <c r="W97" s="29">
        <f t="shared" si="13"/>
        <v>90528960</v>
      </c>
    </row>
    <row r="98" spans="1:23" s="8" customFormat="1" ht="11.75" customHeight="1" thickBot="1">
      <c r="A98" s="9" t="s">
        <v>180</v>
      </c>
      <c r="B98" s="30" t="s">
        <v>181</v>
      </c>
      <c r="C98" s="31"/>
      <c r="D98" s="31"/>
      <c r="E98" s="31"/>
      <c r="F98" s="31"/>
      <c r="G98" s="31"/>
      <c r="H98" s="31"/>
      <c r="I98" s="31"/>
      <c r="J98" s="32"/>
      <c r="K98" s="33">
        <f>K18-K97</f>
        <v>-247921</v>
      </c>
      <c r="L98" s="33">
        <f t="shared" ref="L98:V98" si="18">L18-L97</f>
        <v>879509</v>
      </c>
      <c r="M98" s="33">
        <f t="shared" si="18"/>
        <v>-1402829</v>
      </c>
      <c r="N98" s="33">
        <f t="shared" si="18"/>
        <v>680791</v>
      </c>
      <c r="O98" s="33">
        <f t="shared" si="18"/>
        <v>329979</v>
      </c>
      <c r="P98" s="33">
        <f t="shared" si="18"/>
        <v>-1943338</v>
      </c>
      <c r="Q98" s="33">
        <f t="shared" si="18"/>
        <v>-1761476</v>
      </c>
      <c r="R98" s="33">
        <f t="shared" si="18"/>
        <v>-114582</v>
      </c>
      <c r="S98" s="33">
        <f t="shared" si="18"/>
        <v>-5510476</v>
      </c>
      <c r="T98" s="33">
        <f t="shared" si="18"/>
        <v>-4080671.67</v>
      </c>
      <c r="U98" s="33">
        <f t="shared" si="18"/>
        <v>-1906883.12</v>
      </c>
      <c r="V98" s="33">
        <f t="shared" si="18"/>
        <v>-3358275.15</v>
      </c>
      <c r="W98" s="33">
        <f t="shared" si="13"/>
        <v>-18436172.939999998</v>
      </c>
    </row>
    <row r="99" spans="1:23" s="8" customFormat="1" ht="11.75" customHeight="1">
      <c r="A99" s="9" t="s">
        <v>182</v>
      </c>
      <c r="B99" s="34" t="s">
        <v>183</v>
      </c>
      <c r="C99" s="35"/>
      <c r="D99" s="35"/>
      <c r="E99" s="35"/>
      <c r="F99" s="35"/>
      <c r="G99" s="35"/>
      <c r="H99" s="35"/>
      <c r="I99" s="35"/>
      <c r="J99" s="36"/>
      <c r="K99" s="37">
        <f>SUM(K100,K104:K106)</f>
        <v>65430</v>
      </c>
      <c r="L99" s="37">
        <f t="shared" ref="L99:V99" si="19">SUM(L100,L104:L106)</f>
        <v>430</v>
      </c>
      <c r="M99" s="37">
        <f t="shared" si="19"/>
        <v>0</v>
      </c>
      <c r="N99" s="37">
        <f t="shared" si="19"/>
        <v>0</v>
      </c>
      <c r="O99" s="37">
        <f t="shared" si="19"/>
        <v>0</v>
      </c>
      <c r="P99" s="37">
        <f t="shared" si="19"/>
        <v>1028</v>
      </c>
      <c r="Q99" s="37">
        <f t="shared" si="19"/>
        <v>0</v>
      </c>
      <c r="R99" s="37">
        <f t="shared" si="19"/>
        <v>0</v>
      </c>
      <c r="S99" s="37">
        <f t="shared" si="19"/>
        <v>0</v>
      </c>
      <c r="T99" s="37">
        <f t="shared" si="19"/>
        <v>0</v>
      </c>
      <c r="U99" s="37">
        <f t="shared" si="19"/>
        <v>0</v>
      </c>
      <c r="V99" s="37">
        <f t="shared" si="19"/>
        <v>0</v>
      </c>
      <c r="W99" s="37">
        <f t="shared" si="13"/>
        <v>66888</v>
      </c>
    </row>
    <row r="100" spans="1:23" s="8" customFormat="1" ht="11.75" customHeight="1">
      <c r="A100" s="9" t="s">
        <v>184</v>
      </c>
      <c r="B100" s="3"/>
      <c r="C100" s="10" t="s">
        <v>185</v>
      </c>
      <c r="D100" s="2"/>
      <c r="E100" s="2"/>
      <c r="F100" s="2"/>
      <c r="G100" s="2"/>
      <c r="H100" s="2"/>
      <c r="I100" s="2"/>
      <c r="J100" s="11"/>
      <c r="K100" s="12">
        <f>SUM(K101:K103)</f>
        <v>0</v>
      </c>
      <c r="L100" s="12">
        <f t="shared" ref="L100:V100" si="20">SUM(L101:L103)</f>
        <v>0</v>
      </c>
      <c r="M100" s="12">
        <f t="shared" si="20"/>
        <v>0</v>
      </c>
      <c r="N100" s="12">
        <f t="shared" si="20"/>
        <v>0</v>
      </c>
      <c r="O100" s="12">
        <f t="shared" si="20"/>
        <v>0</v>
      </c>
      <c r="P100" s="12">
        <f t="shared" si="20"/>
        <v>0</v>
      </c>
      <c r="Q100" s="12">
        <f t="shared" si="20"/>
        <v>0</v>
      </c>
      <c r="R100" s="12">
        <f t="shared" si="20"/>
        <v>0</v>
      </c>
      <c r="S100" s="12">
        <f t="shared" si="20"/>
        <v>0</v>
      </c>
      <c r="T100" s="12">
        <f t="shared" si="20"/>
        <v>0</v>
      </c>
      <c r="U100" s="12">
        <f t="shared" si="20"/>
        <v>0</v>
      </c>
      <c r="V100" s="12">
        <f t="shared" si="20"/>
        <v>0</v>
      </c>
      <c r="W100" s="12">
        <f t="shared" si="13"/>
        <v>0</v>
      </c>
    </row>
    <row r="101" spans="1:23" s="63" customFormat="1" ht="11.75" customHeight="1">
      <c r="A101" s="59" t="s">
        <v>186</v>
      </c>
      <c r="B101" s="59"/>
      <c r="C101" s="59"/>
      <c r="D101" s="64" t="s">
        <v>187</v>
      </c>
      <c r="E101" s="57"/>
      <c r="F101" s="57"/>
      <c r="G101" s="57"/>
      <c r="H101" s="57"/>
      <c r="I101" s="57"/>
      <c r="J101" s="62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>
        <f t="shared" si="13"/>
        <v>0</v>
      </c>
    </row>
    <row r="102" spans="1:23" s="63" customFormat="1" ht="11.75" customHeight="1">
      <c r="A102" s="59" t="s">
        <v>188</v>
      </c>
      <c r="B102" s="59"/>
      <c r="C102" s="59"/>
      <c r="D102" s="64" t="s">
        <v>189</v>
      </c>
      <c r="E102" s="57"/>
      <c r="F102" s="57"/>
      <c r="G102" s="57"/>
      <c r="H102" s="57"/>
      <c r="I102" s="57"/>
      <c r="J102" s="62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>
        <f t="shared" si="13"/>
        <v>0</v>
      </c>
    </row>
    <row r="103" spans="1:23" s="63" customFormat="1" ht="11.75" customHeight="1">
      <c r="A103" s="59" t="s">
        <v>190</v>
      </c>
      <c r="B103" s="59"/>
      <c r="C103" s="59"/>
      <c r="D103" s="64" t="s">
        <v>191</v>
      </c>
      <c r="E103" s="57"/>
      <c r="F103" s="57"/>
      <c r="G103" s="57"/>
      <c r="H103" s="57"/>
      <c r="I103" s="57"/>
      <c r="J103" s="62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>
        <f t="shared" si="13"/>
        <v>0</v>
      </c>
    </row>
    <row r="104" spans="1:23" s="63" customFormat="1" ht="11.75" customHeight="1">
      <c r="A104" s="59" t="s">
        <v>192</v>
      </c>
      <c r="B104" s="59"/>
      <c r="C104" s="64" t="s">
        <v>193</v>
      </c>
      <c r="D104" s="57"/>
      <c r="E104" s="57"/>
      <c r="F104" s="57"/>
      <c r="G104" s="57"/>
      <c r="H104" s="57"/>
      <c r="I104" s="57"/>
      <c r="J104" s="62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>
        <f t="shared" si="13"/>
        <v>0</v>
      </c>
    </row>
    <row r="105" spans="1:23" s="63" customFormat="1" ht="11.75" customHeight="1">
      <c r="A105" s="59" t="s">
        <v>194</v>
      </c>
      <c r="B105" s="59"/>
      <c r="C105" s="64" t="s">
        <v>195</v>
      </c>
      <c r="D105" s="57"/>
      <c r="E105" s="57"/>
      <c r="F105" s="57"/>
      <c r="G105" s="57"/>
      <c r="H105" s="57"/>
      <c r="I105" s="57"/>
      <c r="J105" s="62"/>
      <c r="K105" s="47">
        <v>65430</v>
      </c>
      <c r="L105" s="47">
        <v>430</v>
      </c>
      <c r="M105" s="47">
        <v>0</v>
      </c>
      <c r="N105" s="47">
        <v>0</v>
      </c>
      <c r="O105" s="47">
        <v>0</v>
      </c>
      <c r="P105" s="47">
        <v>1028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f t="shared" si="13"/>
        <v>66888</v>
      </c>
    </row>
    <row r="106" spans="1:23" s="63" customFormat="1" ht="11.75" customHeight="1">
      <c r="A106" s="59" t="s">
        <v>196</v>
      </c>
      <c r="B106" s="59"/>
      <c r="C106" s="64" t="s">
        <v>191</v>
      </c>
      <c r="D106" s="57"/>
      <c r="E106" s="57"/>
      <c r="F106" s="57"/>
      <c r="G106" s="57"/>
      <c r="H106" s="57"/>
      <c r="I106" s="57"/>
      <c r="J106" s="62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>
        <f t="shared" si="13"/>
        <v>0</v>
      </c>
    </row>
    <row r="107" spans="1:23" s="8" customFormat="1" ht="11.75" customHeight="1">
      <c r="A107" s="9" t="s">
        <v>197</v>
      </c>
      <c r="B107" s="38" t="s">
        <v>198</v>
      </c>
      <c r="C107" s="39"/>
      <c r="D107" s="39"/>
      <c r="E107" s="39"/>
      <c r="F107" s="39"/>
      <c r="G107" s="39"/>
      <c r="H107" s="39"/>
      <c r="I107" s="39"/>
      <c r="J107" s="40"/>
      <c r="K107" s="41">
        <f>SUM(K108:K110)</f>
        <v>0</v>
      </c>
      <c r="L107" s="41">
        <f t="shared" ref="L107:V107" si="21">SUM(L108:L110)</f>
        <v>0</v>
      </c>
      <c r="M107" s="41">
        <f t="shared" si="21"/>
        <v>0</v>
      </c>
      <c r="N107" s="41">
        <f t="shared" si="21"/>
        <v>0</v>
      </c>
      <c r="O107" s="41">
        <f t="shared" si="21"/>
        <v>0</v>
      </c>
      <c r="P107" s="41">
        <f t="shared" si="21"/>
        <v>0</v>
      </c>
      <c r="Q107" s="41">
        <f t="shared" si="21"/>
        <v>0</v>
      </c>
      <c r="R107" s="41">
        <f t="shared" si="21"/>
        <v>0</v>
      </c>
      <c r="S107" s="41">
        <f t="shared" si="21"/>
        <v>0</v>
      </c>
      <c r="T107" s="41">
        <f t="shared" si="21"/>
        <v>0</v>
      </c>
      <c r="U107" s="41">
        <f t="shared" si="21"/>
        <v>0</v>
      </c>
      <c r="V107" s="41">
        <f t="shared" si="21"/>
        <v>0</v>
      </c>
      <c r="W107" s="41">
        <f t="shared" si="13"/>
        <v>0</v>
      </c>
    </row>
    <row r="108" spans="1:23" s="63" customFormat="1" ht="11.75" customHeight="1">
      <c r="A108" s="59" t="s">
        <v>199</v>
      </c>
      <c r="B108" s="60"/>
      <c r="C108" s="61" t="s">
        <v>200</v>
      </c>
      <c r="D108" s="57"/>
      <c r="E108" s="57"/>
      <c r="F108" s="57"/>
      <c r="G108" s="57"/>
      <c r="H108" s="57"/>
      <c r="I108" s="57"/>
      <c r="J108" s="62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>
        <f t="shared" si="13"/>
        <v>0</v>
      </c>
    </row>
    <row r="109" spans="1:23" s="63" customFormat="1" ht="11.75" customHeight="1">
      <c r="A109" s="59" t="s">
        <v>201</v>
      </c>
      <c r="B109" s="59"/>
      <c r="C109" s="64" t="s">
        <v>202</v>
      </c>
      <c r="D109" s="57"/>
      <c r="E109" s="57"/>
      <c r="F109" s="57"/>
      <c r="G109" s="57"/>
      <c r="H109" s="57"/>
      <c r="I109" s="57"/>
      <c r="J109" s="62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>
        <f t="shared" si="13"/>
        <v>0</v>
      </c>
    </row>
    <row r="110" spans="1:23" s="63" customFormat="1" ht="11.75" customHeight="1" thickBot="1">
      <c r="A110" s="59" t="s">
        <v>203</v>
      </c>
      <c r="B110" s="59"/>
      <c r="C110" s="64" t="s">
        <v>191</v>
      </c>
      <c r="D110" s="57"/>
      <c r="E110" s="57"/>
      <c r="F110" s="57"/>
      <c r="G110" s="57"/>
      <c r="H110" s="57"/>
      <c r="I110" s="57"/>
      <c r="J110" s="62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>
        <f t="shared" si="13"/>
        <v>0</v>
      </c>
    </row>
    <row r="111" spans="1:23" s="8" customFormat="1" ht="11.75" customHeight="1" thickBot="1">
      <c r="A111" s="9" t="s">
        <v>204</v>
      </c>
      <c r="B111" s="30" t="s">
        <v>205</v>
      </c>
      <c r="C111" s="31"/>
      <c r="D111" s="31"/>
      <c r="E111" s="31"/>
      <c r="F111" s="31"/>
      <c r="G111" s="31"/>
      <c r="H111" s="31"/>
      <c r="I111" s="31"/>
      <c r="J111" s="32"/>
      <c r="K111" s="33">
        <f>K98+K99-K107</f>
        <v>-182491</v>
      </c>
      <c r="L111" s="33">
        <f t="shared" ref="L111:V111" si="22">L98+L99-L107</f>
        <v>879939</v>
      </c>
      <c r="M111" s="33">
        <f t="shared" si="22"/>
        <v>-1402829</v>
      </c>
      <c r="N111" s="33">
        <f t="shared" si="22"/>
        <v>680791</v>
      </c>
      <c r="O111" s="33">
        <f t="shared" si="22"/>
        <v>329979</v>
      </c>
      <c r="P111" s="33">
        <f t="shared" si="22"/>
        <v>-1942310</v>
      </c>
      <c r="Q111" s="33">
        <f t="shared" si="22"/>
        <v>-1761476</v>
      </c>
      <c r="R111" s="33">
        <f t="shared" si="22"/>
        <v>-114582</v>
      </c>
      <c r="S111" s="33">
        <f t="shared" si="22"/>
        <v>-5510476</v>
      </c>
      <c r="T111" s="33">
        <f t="shared" si="22"/>
        <v>-4080671.67</v>
      </c>
      <c r="U111" s="33">
        <f t="shared" si="22"/>
        <v>-1906883.12</v>
      </c>
      <c r="V111" s="33">
        <f t="shared" si="22"/>
        <v>-3358275.15</v>
      </c>
      <c r="W111" s="33">
        <f t="shared" si="13"/>
        <v>-18369284.939999998</v>
      </c>
    </row>
    <row r="112" spans="1:23" s="8" customFormat="1" ht="11.75" customHeight="1">
      <c r="A112" s="9" t="s">
        <v>206</v>
      </c>
      <c r="B112" s="34" t="s">
        <v>207</v>
      </c>
      <c r="C112" s="35"/>
      <c r="D112" s="35"/>
      <c r="E112" s="35"/>
      <c r="F112" s="35"/>
      <c r="G112" s="35"/>
      <c r="H112" s="35"/>
      <c r="I112" s="35"/>
      <c r="J112" s="36"/>
      <c r="K112" s="37">
        <f>SUM(K113:K114)</f>
        <v>0</v>
      </c>
      <c r="L112" s="37">
        <f t="shared" ref="L112:V112" si="23">SUM(L113:L114)</f>
        <v>0</v>
      </c>
      <c r="M112" s="37">
        <f t="shared" si="23"/>
        <v>0</v>
      </c>
      <c r="N112" s="37">
        <f t="shared" si="23"/>
        <v>0</v>
      </c>
      <c r="O112" s="37">
        <f t="shared" si="23"/>
        <v>0</v>
      </c>
      <c r="P112" s="37">
        <f t="shared" si="23"/>
        <v>0</v>
      </c>
      <c r="Q112" s="37">
        <f t="shared" si="23"/>
        <v>0</v>
      </c>
      <c r="R112" s="37">
        <f t="shared" si="23"/>
        <v>0</v>
      </c>
      <c r="S112" s="37">
        <f t="shared" si="23"/>
        <v>0</v>
      </c>
      <c r="T112" s="37">
        <f t="shared" si="23"/>
        <v>0</v>
      </c>
      <c r="U112" s="37">
        <f t="shared" si="23"/>
        <v>0</v>
      </c>
      <c r="V112" s="37">
        <f t="shared" si="23"/>
        <v>0</v>
      </c>
      <c r="W112" s="37">
        <f t="shared" si="13"/>
        <v>0</v>
      </c>
    </row>
    <row r="113" spans="1:23" s="63" customFormat="1" ht="11.75" customHeight="1">
      <c r="A113" s="59" t="s">
        <v>208</v>
      </c>
      <c r="B113" s="60"/>
      <c r="C113" s="61" t="s">
        <v>209</v>
      </c>
      <c r="D113" s="57"/>
      <c r="E113" s="57"/>
      <c r="F113" s="57"/>
      <c r="G113" s="57"/>
      <c r="H113" s="57"/>
      <c r="I113" s="57"/>
      <c r="J113" s="62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>
        <f t="shared" si="13"/>
        <v>0</v>
      </c>
    </row>
    <row r="114" spans="1:23" s="63" customFormat="1" ht="11.75" customHeight="1">
      <c r="A114" s="59" t="s">
        <v>210</v>
      </c>
      <c r="B114" s="59"/>
      <c r="C114" s="64" t="s">
        <v>191</v>
      </c>
      <c r="D114" s="57"/>
      <c r="E114" s="57"/>
      <c r="F114" s="57"/>
      <c r="G114" s="57"/>
      <c r="H114" s="57"/>
      <c r="I114" s="57"/>
      <c r="J114" s="62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>
        <f t="shared" si="13"/>
        <v>0</v>
      </c>
    </row>
    <row r="115" spans="1:23" s="8" customFormat="1" ht="11.75" customHeight="1">
      <c r="A115" s="9" t="s">
        <v>211</v>
      </c>
      <c r="B115" s="38" t="s">
        <v>212</v>
      </c>
      <c r="C115" s="39"/>
      <c r="D115" s="39"/>
      <c r="E115" s="39"/>
      <c r="F115" s="39"/>
      <c r="G115" s="39"/>
      <c r="H115" s="39"/>
      <c r="I115" s="39"/>
      <c r="J115" s="40"/>
      <c r="K115" s="41">
        <f>SUM(K116:K117)</f>
        <v>0</v>
      </c>
      <c r="L115" s="41">
        <f t="shared" ref="L115:V115" si="24">SUM(L116:L117)</f>
        <v>0</v>
      </c>
      <c r="M115" s="41">
        <f t="shared" si="24"/>
        <v>0</v>
      </c>
      <c r="N115" s="41">
        <f t="shared" si="24"/>
        <v>0</v>
      </c>
      <c r="O115" s="41">
        <f t="shared" si="24"/>
        <v>0</v>
      </c>
      <c r="P115" s="41">
        <f t="shared" si="24"/>
        <v>0</v>
      </c>
      <c r="Q115" s="41">
        <f t="shared" si="24"/>
        <v>0</v>
      </c>
      <c r="R115" s="41">
        <f t="shared" si="24"/>
        <v>0</v>
      </c>
      <c r="S115" s="41">
        <f t="shared" si="24"/>
        <v>0</v>
      </c>
      <c r="T115" s="41">
        <f t="shared" si="24"/>
        <v>0</v>
      </c>
      <c r="U115" s="41">
        <f t="shared" si="24"/>
        <v>0</v>
      </c>
      <c r="V115" s="41">
        <f t="shared" si="24"/>
        <v>0</v>
      </c>
      <c r="W115" s="41">
        <f t="shared" si="13"/>
        <v>0</v>
      </c>
    </row>
    <row r="116" spans="1:23" s="63" customFormat="1" ht="11.75" customHeight="1">
      <c r="A116" s="59" t="s">
        <v>213</v>
      </c>
      <c r="B116" s="60"/>
      <c r="C116" s="61" t="s">
        <v>214</v>
      </c>
      <c r="D116" s="57"/>
      <c r="E116" s="57"/>
      <c r="F116" s="57"/>
      <c r="G116" s="57"/>
      <c r="H116" s="57"/>
      <c r="I116" s="57"/>
      <c r="J116" s="62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>
        <f t="shared" si="13"/>
        <v>0</v>
      </c>
    </row>
    <row r="117" spans="1:23" s="63" customFormat="1" ht="11.75" customHeight="1" thickBot="1">
      <c r="A117" s="59" t="s">
        <v>215</v>
      </c>
      <c r="B117" s="59"/>
      <c r="C117" s="64" t="s">
        <v>191</v>
      </c>
      <c r="D117" s="57"/>
      <c r="E117" s="57"/>
      <c r="F117" s="57"/>
      <c r="G117" s="57"/>
      <c r="H117" s="57"/>
      <c r="I117" s="57"/>
      <c r="J117" s="62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>
        <f t="shared" si="13"/>
        <v>0</v>
      </c>
    </row>
    <row r="118" spans="1:23" s="8" customFormat="1" ht="11.75" customHeight="1">
      <c r="A118" s="42" t="s">
        <v>216</v>
      </c>
      <c r="B118" s="43" t="s">
        <v>217</v>
      </c>
      <c r="C118" s="44"/>
      <c r="D118" s="44"/>
      <c r="E118" s="44"/>
      <c r="F118" s="44"/>
      <c r="G118" s="44"/>
      <c r="H118" s="44"/>
      <c r="I118" s="44"/>
      <c r="J118" s="45"/>
      <c r="K118" s="46">
        <f>K111+K112-K115</f>
        <v>-182491</v>
      </c>
      <c r="L118" s="46">
        <f t="shared" ref="L118:V118" si="25">L111+L112-L115</f>
        <v>879939</v>
      </c>
      <c r="M118" s="46">
        <f t="shared" si="25"/>
        <v>-1402829</v>
      </c>
      <c r="N118" s="46">
        <f t="shared" si="25"/>
        <v>680791</v>
      </c>
      <c r="O118" s="46">
        <f t="shared" si="25"/>
        <v>329979</v>
      </c>
      <c r="P118" s="46">
        <f t="shared" si="25"/>
        <v>-1942310</v>
      </c>
      <c r="Q118" s="46">
        <f t="shared" si="25"/>
        <v>-1761476</v>
      </c>
      <c r="R118" s="46">
        <f t="shared" si="25"/>
        <v>-114582</v>
      </c>
      <c r="S118" s="46">
        <f t="shared" si="25"/>
        <v>-5510476</v>
      </c>
      <c r="T118" s="46">
        <f t="shared" si="25"/>
        <v>-4080671.67</v>
      </c>
      <c r="U118" s="46">
        <f t="shared" si="25"/>
        <v>-1906883.12</v>
      </c>
      <c r="V118" s="46">
        <f t="shared" si="25"/>
        <v>-3358275.15</v>
      </c>
      <c r="W118" s="46">
        <f t="shared" si="13"/>
        <v>-18369284.939999998</v>
      </c>
    </row>
  </sheetData>
  <mergeCells count="2">
    <mergeCell ref="A4:A5"/>
    <mergeCell ref="B4:J5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7E25-2729-4C22-866E-E5C8CF88BE7E}">
  <dimension ref="A1:X118"/>
  <sheetViews>
    <sheetView showGridLines="0" zoomScaleNormal="100" workbookViewId="0">
      <pane xSplit="10" ySplit="5" topLeftCell="K6" activePane="bottomRight" state="frozen"/>
      <selection activeCell="Q127" sqref="Q127"/>
      <selection pane="topRight" activeCell="Q127" sqref="Q127"/>
      <selection pane="bottomLeft" activeCell="Q127" sqref="Q127"/>
      <selection pane="bottomRight" activeCell="W35" sqref="W35"/>
    </sheetView>
  </sheetViews>
  <sheetFormatPr baseColWidth="10" defaultColWidth="9" defaultRowHeight="18"/>
  <cols>
    <col min="1" max="1" width="5.83203125" style="49" customWidth="1"/>
    <col min="2" max="8" width="2.33203125" style="49" customWidth="1"/>
    <col min="9" max="9" width="2.1640625" style="49" customWidth="1"/>
    <col min="10" max="10" width="0" style="49" hidden="1" customWidth="1"/>
    <col min="11" max="16" width="12.1640625" style="49" bestFit="1" customWidth="1"/>
    <col min="17" max="19" width="13" style="49" bestFit="1" customWidth="1"/>
    <col min="20" max="22" width="12.1640625" style="49" bestFit="1" customWidth="1"/>
    <col min="23" max="23" width="12.1640625" style="51" bestFit="1" customWidth="1"/>
    <col min="24" max="24" width="9.5" style="51" bestFit="1" customWidth="1"/>
    <col min="25" max="16384" width="9" style="51"/>
  </cols>
  <sheetData>
    <row r="1" spans="1:24" ht="20" customHeight="1">
      <c r="A1" s="56" t="s">
        <v>258</v>
      </c>
      <c r="X1" s="137">
        <f>SUM(K6:P6)</f>
        <v>4636842</v>
      </c>
    </row>
    <row r="3" spans="1:24" ht="11.75" customHeight="1">
      <c r="A3" s="57" t="s">
        <v>220</v>
      </c>
    </row>
    <row r="4" spans="1:24" s="58" customFormat="1" ht="11.75" customHeight="1">
      <c r="A4" s="177" t="s">
        <v>0</v>
      </c>
      <c r="B4" s="179" t="s">
        <v>1</v>
      </c>
      <c r="C4" s="180"/>
      <c r="D4" s="180"/>
      <c r="E4" s="180"/>
      <c r="F4" s="180"/>
      <c r="G4" s="180"/>
      <c r="H4" s="180"/>
      <c r="I4" s="180"/>
      <c r="J4" s="181"/>
      <c r="K4" s="55" t="s">
        <v>226</v>
      </c>
      <c r="L4" s="55" t="s">
        <v>227</v>
      </c>
      <c r="M4" s="55" t="s">
        <v>228</v>
      </c>
      <c r="N4" s="55" t="s">
        <v>229</v>
      </c>
      <c r="O4" s="55" t="s">
        <v>230</v>
      </c>
      <c r="P4" s="55" t="s">
        <v>231</v>
      </c>
      <c r="Q4" s="55" t="s">
        <v>232</v>
      </c>
      <c r="R4" s="55" t="s">
        <v>233</v>
      </c>
      <c r="S4" s="55" t="s">
        <v>234</v>
      </c>
      <c r="T4" s="55" t="s">
        <v>235</v>
      </c>
      <c r="U4" s="55" t="s">
        <v>236</v>
      </c>
      <c r="V4" s="55" t="s">
        <v>237</v>
      </c>
      <c r="W4" s="52" t="s">
        <v>225</v>
      </c>
    </row>
    <row r="5" spans="1:24" s="58" customFormat="1" ht="25.5" customHeight="1">
      <c r="A5" s="178"/>
      <c r="B5" s="182"/>
      <c r="C5" s="183"/>
      <c r="D5" s="183"/>
      <c r="E5" s="183"/>
      <c r="F5" s="183"/>
      <c r="G5" s="183"/>
      <c r="H5" s="183"/>
      <c r="I5" s="183"/>
      <c r="J5" s="184"/>
      <c r="K5" s="50" t="s">
        <v>2</v>
      </c>
      <c r="L5" s="50" t="s">
        <v>2</v>
      </c>
      <c r="M5" s="50" t="s">
        <v>2</v>
      </c>
      <c r="N5" s="50" t="s">
        <v>2</v>
      </c>
      <c r="O5" s="50" t="s">
        <v>2</v>
      </c>
      <c r="P5" s="50" t="s">
        <v>2</v>
      </c>
      <c r="Q5" s="50" t="s">
        <v>2</v>
      </c>
      <c r="R5" s="50" t="s">
        <v>2</v>
      </c>
      <c r="S5" s="50" t="s">
        <v>2</v>
      </c>
      <c r="T5" s="50" t="s">
        <v>2</v>
      </c>
      <c r="U5" s="50" t="s">
        <v>2</v>
      </c>
      <c r="V5" s="50" t="s">
        <v>2</v>
      </c>
      <c r="W5" s="50" t="s">
        <v>2</v>
      </c>
    </row>
    <row r="6" spans="1:24" s="8" customFormat="1" ht="11.75" customHeight="1">
      <c r="A6" s="3" t="s">
        <v>3</v>
      </c>
      <c r="B6" s="4" t="s">
        <v>4</v>
      </c>
      <c r="C6" s="5"/>
      <c r="D6" s="5"/>
      <c r="E6" s="5"/>
      <c r="F6" s="5"/>
      <c r="G6" s="5"/>
      <c r="H6" s="5"/>
      <c r="I6" s="5"/>
      <c r="J6" s="6"/>
      <c r="K6" s="7">
        <f>SUM(K7:K16)</f>
        <v>483048</v>
      </c>
      <c r="L6" s="7">
        <f t="shared" ref="L6:V6" si="0">SUM(L7:L16)</f>
        <v>915875</v>
      </c>
      <c r="M6" s="7">
        <f t="shared" si="0"/>
        <v>785264</v>
      </c>
      <c r="N6" s="7">
        <f t="shared" si="0"/>
        <v>724678</v>
      </c>
      <c r="O6" s="7">
        <f t="shared" si="0"/>
        <v>1066583</v>
      </c>
      <c r="P6" s="7">
        <f t="shared" si="0"/>
        <v>661394</v>
      </c>
      <c r="Q6" s="7">
        <f t="shared" si="0"/>
        <v>715000</v>
      </c>
      <c r="R6" s="7">
        <f t="shared" si="0"/>
        <v>374461</v>
      </c>
      <c r="S6" s="7">
        <f t="shared" si="0"/>
        <v>322653</v>
      </c>
      <c r="T6" s="7">
        <f t="shared" si="0"/>
        <v>1105395</v>
      </c>
      <c r="U6" s="7">
        <f t="shared" si="0"/>
        <v>742125</v>
      </c>
      <c r="V6" s="7">
        <f t="shared" si="0"/>
        <v>669150</v>
      </c>
      <c r="W6" s="7">
        <f>SUM(K6:V6)</f>
        <v>8565626</v>
      </c>
    </row>
    <row r="7" spans="1:24" s="63" customFormat="1" ht="11.75" customHeight="1">
      <c r="A7" s="59" t="s">
        <v>5</v>
      </c>
      <c r="B7" s="60"/>
      <c r="C7" s="61" t="s">
        <v>6</v>
      </c>
      <c r="D7" s="57"/>
      <c r="E7" s="57"/>
      <c r="F7" s="57"/>
      <c r="G7" s="57"/>
      <c r="H7" s="57"/>
      <c r="I7" s="57"/>
      <c r="J7" s="62"/>
      <c r="K7" s="47">
        <v>483048</v>
      </c>
      <c r="L7" s="47">
        <v>915875</v>
      </c>
      <c r="M7" s="47">
        <v>785264</v>
      </c>
      <c r="N7" s="47">
        <v>724678</v>
      </c>
      <c r="O7" s="47">
        <v>1066583</v>
      </c>
      <c r="P7" s="47">
        <v>661394</v>
      </c>
      <c r="Q7" s="47">
        <v>715000</v>
      </c>
      <c r="R7" s="47">
        <v>374461</v>
      </c>
      <c r="S7" s="47">
        <v>322653</v>
      </c>
      <c r="T7" s="47">
        <v>1105395</v>
      </c>
      <c r="U7" s="47">
        <v>742125</v>
      </c>
      <c r="V7" s="47">
        <v>669150</v>
      </c>
      <c r="W7" s="47">
        <f t="shared" ref="W7:W70" si="1">SUM(K7:V7)</f>
        <v>8565626</v>
      </c>
    </row>
    <row r="8" spans="1:24" s="63" customFormat="1" ht="11.75" customHeight="1">
      <c r="A8" s="59" t="s">
        <v>7</v>
      </c>
      <c r="B8" s="59"/>
      <c r="C8" s="64" t="s">
        <v>8</v>
      </c>
      <c r="D8" s="57"/>
      <c r="E8" s="57"/>
      <c r="F8" s="57"/>
      <c r="G8" s="57"/>
      <c r="H8" s="57"/>
      <c r="I8" s="57"/>
      <c r="J8" s="62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>
        <f t="shared" si="1"/>
        <v>0</v>
      </c>
    </row>
    <row r="9" spans="1:24" s="63" customFormat="1" ht="11.75" customHeight="1">
      <c r="A9" s="59" t="s">
        <v>9</v>
      </c>
      <c r="B9" s="59"/>
      <c r="C9" s="64" t="s">
        <v>10</v>
      </c>
      <c r="D9" s="57"/>
      <c r="E9" s="57"/>
      <c r="F9" s="57"/>
      <c r="G9" s="57"/>
      <c r="H9" s="57"/>
      <c r="I9" s="57"/>
      <c r="J9" s="62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>
        <f t="shared" si="1"/>
        <v>0</v>
      </c>
    </row>
    <row r="10" spans="1:24" s="63" customFormat="1" ht="11.75" customHeight="1">
      <c r="A10" s="59" t="s">
        <v>11</v>
      </c>
      <c r="B10" s="59"/>
      <c r="C10" s="64" t="s">
        <v>12</v>
      </c>
      <c r="D10" s="57"/>
      <c r="E10" s="57"/>
      <c r="F10" s="57"/>
      <c r="G10" s="57"/>
      <c r="H10" s="57"/>
      <c r="I10" s="57"/>
      <c r="J10" s="62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>
        <f t="shared" si="1"/>
        <v>0</v>
      </c>
    </row>
    <row r="11" spans="1:24" s="63" customFormat="1" ht="11.75" customHeight="1">
      <c r="A11" s="59" t="s">
        <v>13</v>
      </c>
      <c r="B11" s="59"/>
      <c r="C11" s="64" t="s">
        <v>14</v>
      </c>
      <c r="D11" s="57"/>
      <c r="E11" s="57"/>
      <c r="F11" s="57"/>
      <c r="G11" s="57"/>
      <c r="H11" s="57"/>
      <c r="I11" s="57"/>
      <c r="J11" s="62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>
        <f t="shared" si="1"/>
        <v>0</v>
      </c>
    </row>
    <row r="12" spans="1:24" s="63" customFormat="1" ht="11.75" customHeight="1">
      <c r="A12" s="59" t="s">
        <v>15</v>
      </c>
      <c r="B12" s="59"/>
      <c r="C12" s="64" t="s">
        <v>16</v>
      </c>
      <c r="D12" s="57"/>
      <c r="E12" s="57"/>
      <c r="F12" s="57"/>
      <c r="G12" s="57"/>
      <c r="H12" s="57"/>
      <c r="I12" s="57"/>
      <c r="J12" s="62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>
        <f t="shared" si="1"/>
        <v>0</v>
      </c>
    </row>
    <row r="13" spans="1:24" s="63" customFormat="1" ht="11.75" customHeight="1">
      <c r="A13" s="59" t="s">
        <v>17</v>
      </c>
      <c r="B13" s="59"/>
      <c r="C13" s="64" t="s">
        <v>18</v>
      </c>
      <c r="D13" s="57"/>
      <c r="E13" s="57"/>
      <c r="F13" s="57"/>
      <c r="G13" s="57"/>
      <c r="H13" s="57"/>
      <c r="I13" s="57"/>
      <c r="J13" s="62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>
        <f t="shared" si="1"/>
        <v>0</v>
      </c>
    </row>
    <row r="14" spans="1:24" s="63" customFormat="1" ht="11.75" customHeight="1">
      <c r="A14" s="59" t="s">
        <v>19</v>
      </c>
      <c r="B14" s="59"/>
      <c r="C14" s="64" t="s">
        <v>20</v>
      </c>
      <c r="D14" s="57"/>
      <c r="E14" s="57"/>
      <c r="F14" s="57"/>
      <c r="G14" s="57"/>
      <c r="H14" s="57"/>
      <c r="I14" s="57"/>
      <c r="J14" s="62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>
        <f t="shared" si="1"/>
        <v>0</v>
      </c>
    </row>
    <row r="15" spans="1:24" s="63" customFormat="1" ht="11.75" customHeight="1">
      <c r="A15" s="59" t="s">
        <v>21</v>
      </c>
      <c r="B15" s="59"/>
      <c r="C15" s="64" t="s">
        <v>22</v>
      </c>
      <c r="D15" s="57"/>
      <c r="E15" s="57"/>
      <c r="F15" s="57"/>
      <c r="G15" s="57"/>
      <c r="H15" s="57"/>
      <c r="I15" s="57"/>
      <c r="J15" s="62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>
        <f t="shared" si="1"/>
        <v>0</v>
      </c>
    </row>
    <row r="16" spans="1:24" s="63" customFormat="1" ht="11.75" customHeight="1">
      <c r="A16" s="59" t="s">
        <v>23</v>
      </c>
      <c r="B16" s="59"/>
      <c r="C16" s="64" t="s">
        <v>24</v>
      </c>
      <c r="D16" s="57"/>
      <c r="E16" s="57"/>
      <c r="F16" s="57"/>
      <c r="G16" s="57"/>
      <c r="H16" s="57"/>
      <c r="I16" s="57"/>
      <c r="J16" s="62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>
        <f t="shared" si="1"/>
        <v>0</v>
      </c>
    </row>
    <row r="17" spans="1:23" s="63" customFormat="1" ht="11.75" customHeight="1" thickBot="1">
      <c r="A17" s="59" t="s">
        <v>25</v>
      </c>
      <c r="B17" s="65" t="s">
        <v>26</v>
      </c>
      <c r="C17" s="66"/>
      <c r="D17" s="66"/>
      <c r="E17" s="66"/>
      <c r="F17" s="66"/>
      <c r="G17" s="66"/>
      <c r="H17" s="66"/>
      <c r="I17" s="66"/>
      <c r="J17" s="67"/>
      <c r="K17" s="48">
        <v>706754</v>
      </c>
      <c r="L17" s="48">
        <v>674884</v>
      </c>
      <c r="M17" s="48">
        <v>949346</v>
      </c>
      <c r="N17" s="48">
        <v>1295826</v>
      </c>
      <c r="O17" s="48">
        <v>1175625</v>
      </c>
      <c r="P17" s="48">
        <v>775926</v>
      </c>
      <c r="Q17" s="48">
        <v>776376</v>
      </c>
      <c r="R17" s="48">
        <v>395350</v>
      </c>
      <c r="S17" s="48">
        <v>473707</v>
      </c>
      <c r="T17" s="48">
        <f t="shared" ref="T17:U17" si="2">T7*0.32</f>
        <v>353726.4</v>
      </c>
      <c r="U17" s="48">
        <f t="shared" si="2"/>
        <v>237480</v>
      </c>
      <c r="V17" s="48">
        <f>V7*0.32</f>
        <v>214128</v>
      </c>
      <c r="W17" s="48">
        <f t="shared" si="1"/>
        <v>8029128.4000000004</v>
      </c>
    </row>
    <row r="18" spans="1:23" s="8" customFormat="1" ht="11.75" customHeight="1" thickTop="1">
      <c r="A18" s="9" t="s">
        <v>27</v>
      </c>
      <c r="B18" s="14" t="s">
        <v>28</v>
      </c>
      <c r="C18" s="15"/>
      <c r="D18" s="15"/>
      <c r="E18" s="15"/>
      <c r="F18" s="15"/>
      <c r="G18" s="15"/>
      <c r="H18" s="15"/>
      <c r="I18" s="15"/>
      <c r="J18" s="16"/>
      <c r="K18" s="17">
        <f>K6-K17</f>
        <v>-223706</v>
      </c>
      <c r="L18" s="17">
        <f t="shared" ref="L18:V18" si="3">L6-L17</f>
        <v>240991</v>
      </c>
      <c r="M18" s="17">
        <f t="shared" si="3"/>
        <v>-164082</v>
      </c>
      <c r="N18" s="17">
        <f t="shared" si="3"/>
        <v>-571148</v>
      </c>
      <c r="O18" s="17">
        <f t="shared" si="3"/>
        <v>-109042</v>
      </c>
      <c r="P18" s="17">
        <f t="shared" si="3"/>
        <v>-114532</v>
      </c>
      <c r="Q18" s="17">
        <f t="shared" si="3"/>
        <v>-61376</v>
      </c>
      <c r="R18" s="17">
        <f t="shared" si="3"/>
        <v>-20889</v>
      </c>
      <c r="S18" s="17">
        <f t="shared" si="3"/>
        <v>-151054</v>
      </c>
      <c r="T18" s="17">
        <f t="shared" si="3"/>
        <v>751668.6</v>
      </c>
      <c r="U18" s="17">
        <f t="shared" si="3"/>
        <v>504645</v>
      </c>
      <c r="V18" s="17">
        <f t="shared" si="3"/>
        <v>455022</v>
      </c>
      <c r="W18" s="17">
        <f t="shared" si="1"/>
        <v>536497.6</v>
      </c>
    </row>
    <row r="19" spans="1:23" s="8" customFormat="1" ht="11.75" customHeight="1">
      <c r="A19" s="9" t="s">
        <v>29</v>
      </c>
      <c r="B19" s="18" t="s">
        <v>30</v>
      </c>
      <c r="C19" s="19"/>
      <c r="D19" s="19"/>
      <c r="E19" s="19"/>
      <c r="F19" s="19"/>
      <c r="G19" s="19"/>
      <c r="H19" s="19"/>
      <c r="I19" s="19"/>
      <c r="J19" s="20"/>
      <c r="K19" s="21">
        <f>SUM(K20:K22,K26,K29:K31,K35:K36)</f>
        <v>0</v>
      </c>
      <c r="L19" s="21">
        <f t="shared" ref="L19:V19" si="4">SUM(L20:L22,L26,L29:L31,L35:L36)</f>
        <v>445995</v>
      </c>
      <c r="M19" s="21">
        <f t="shared" si="4"/>
        <v>619039</v>
      </c>
      <c r="N19" s="21">
        <f t="shared" si="4"/>
        <v>500017</v>
      </c>
      <c r="O19" s="21">
        <f t="shared" si="4"/>
        <v>471431</v>
      </c>
      <c r="P19" s="21">
        <f t="shared" si="4"/>
        <v>517019</v>
      </c>
      <c r="Q19" s="21">
        <f t="shared" si="4"/>
        <v>538789</v>
      </c>
      <c r="R19" s="21">
        <f t="shared" si="4"/>
        <v>472769</v>
      </c>
      <c r="S19" s="21">
        <f t="shared" si="4"/>
        <v>517879</v>
      </c>
      <c r="T19" s="21">
        <f t="shared" si="4"/>
        <v>515118</v>
      </c>
      <c r="U19" s="21">
        <f t="shared" si="4"/>
        <v>545239</v>
      </c>
      <c r="V19" s="21">
        <f t="shared" si="4"/>
        <v>1074468</v>
      </c>
      <c r="W19" s="21">
        <f t="shared" si="1"/>
        <v>6217763</v>
      </c>
    </row>
    <row r="20" spans="1:23" s="63" customFormat="1" ht="11.75" customHeight="1">
      <c r="A20" s="59" t="s">
        <v>31</v>
      </c>
      <c r="B20" s="59"/>
      <c r="C20" s="64" t="s">
        <v>32</v>
      </c>
      <c r="D20" s="57"/>
      <c r="E20" s="57"/>
      <c r="F20" s="57"/>
      <c r="G20" s="57"/>
      <c r="H20" s="57"/>
      <c r="I20" s="57"/>
      <c r="J20" s="62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>
        <f t="shared" si="1"/>
        <v>0</v>
      </c>
    </row>
    <row r="21" spans="1:23" s="63" customFormat="1" ht="11.75" customHeight="1">
      <c r="A21" s="59" t="s">
        <v>33</v>
      </c>
      <c r="B21" s="59"/>
      <c r="C21" s="64" t="s">
        <v>34</v>
      </c>
      <c r="D21" s="57"/>
      <c r="E21" s="57"/>
      <c r="F21" s="57"/>
      <c r="G21" s="57"/>
      <c r="H21" s="57"/>
      <c r="I21" s="57"/>
      <c r="J21" s="62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>
        <f t="shared" si="1"/>
        <v>0</v>
      </c>
    </row>
    <row r="22" spans="1:23" s="8" customFormat="1" ht="11.75" customHeight="1">
      <c r="A22" s="9" t="s">
        <v>35</v>
      </c>
      <c r="B22" s="9"/>
      <c r="C22" s="13" t="s">
        <v>36</v>
      </c>
      <c r="D22" s="2"/>
      <c r="E22" s="2"/>
      <c r="F22" s="2"/>
      <c r="G22" s="2"/>
      <c r="H22" s="2"/>
      <c r="I22" s="2"/>
      <c r="J22" s="11"/>
      <c r="K22" s="12">
        <f>SUM(K23:K25)</f>
        <v>0</v>
      </c>
      <c r="L22" s="12">
        <f t="shared" ref="L22:V22" si="5">SUM(L23:L25)</f>
        <v>431731</v>
      </c>
      <c r="M22" s="12">
        <f t="shared" si="5"/>
        <v>518085</v>
      </c>
      <c r="N22" s="12">
        <f t="shared" si="5"/>
        <v>443281</v>
      </c>
      <c r="O22" s="12">
        <f t="shared" si="5"/>
        <v>459294</v>
      </c>
      <c r="P22" s="12">
        <f t="shared" si="5"/>
        <v>421493</v>
      </c>
      <c r="Q22" s="12">
        <f t="shared" si="5"/>
        <v>477286</v>
      </c>
      <c r="R22" s="12">
        <f t="shared" si="5"/>
        <v>458505</v>
      </c>
      <c r="S22" s="12">
        <f t="shared" si="5"/>
        <v>456185</v>
      </c>
      <c r="T22" s="12">
        <f t="shared" si="5"/>
        <v>452060</v>
      </c>
      <c r="U22" s="12">
        <f t="shared" si="5"/>
        <v>480590</v>
      </c>
      <c r="V22" s="12">
        <f t="shared" si="5"/>
        <v>961180</v>
      </c>
      <c r="W22" s="12">
        <f t="shared" si="1"/>
        <v>5559690</v>
      </c>
    </row>
    <row r="23" spans="1:23" s="63" customFormat="1" ht="11.75" customHeight="1">
      <c r="A23" s="59" t="s">
        <v>37</v>
      </c>
      <c r="B23" s="59"/>
      <c r="C23" s="59"/>
      <c r="D23" s="64" t="s">
        <v>38</v>
      </c>
      <c r="E23" s="57"/>
      <c r="F23" s="57"/>
      <c r="G23" s="57"/>
      <c r="H23" s="57"/>
      <c r="I23" s="57"/>
      <c r="J23" s="62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>
        <f t="shared" si="1"/>
        <v>0</v>
      </c>
    </row>
    <row r="24" spans="1:23" s="63" customFormat="1" ht="11.75" customHeight="1">
      <c r="A24" s="59" t="s">
        <v>39</v>
      </c>
      <c r="B24" s="59"/>
      <c r="C24" s="59"/>
      <c r="D24" s="64" t="s">
        <v>40</v>
      </c>
      <c r="E24" s="57"/>
      <c r="F24" s="57"/>
      <c r="G24" s="57"/>
      <c r="H24" s="57"/>
      <c r="I24" s="57"/>
      <c r="J24" s="62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>
        <f t="shared" si="1"/>
        <v>0</v>
      </c>
    </row>
    <row r="25" spans="1:23" s="63" customFormat="1" ht="11.75" customHeight="1">
      <c r="A25" s="59" t="s">
        <v>41</v>
      </c>
      <c r="B25" s="59"/>
      <c r="C25" s="59"/>
      <c r="D25" s="64" t="s">
        <v>42</v>
      </c>
      <c r="E25" s="57"/>
      <c r="F25" s="57"/>
      <c r="G25" s="57"/>
      <c r="H25" s="57"/>
      <c r="I25" s="57"/>
      <c r="J25" s="62"/>
      <c r="K25" s="47">
        <v>0</v>
      </c>
      <c r="L25" s="47">
        <v>431731</v>
      </c>
      <c r="M25" s="47">
        <v>518085</v>
      </c>
      <c r="N25" s="47">
        <v>443281</v>
      </c>
      <c r="O25" s="47">
        <v>459294</v>
      </c>
      <c r="P25" s="47">
        <v>421493</v>
      </c>
      <c r="Q25" s="47">
        <v>477286</v>
      </c>
      <c r="R25" s="47">
        <v>458505</v>
      </c>
      <c r="S25" s="47">
        <v>456185</v>
      </c>
      <c r="T25" s="47">
        <v>452060</v>
      </c>
      <c r="U25" s="47">
        <v>480590</v>
      </c>
      <c r="V25" s="47">
        <f>480590*2</f>
        <v>961180</v>
      </c>
      <c r="W25" s="47">
        <f t="shared" si="1"/>
        <v>5559690</v>
      </c>
    </row>
    <row r="26" spans="1:23" s="8" customFormat="1" ht="11.75" customHeight="1">
      <c r="A26" s="9" t="s">
        <v>43</v>
      </c>
      <c r="B26" s="9"/>
      <c r="C26" s="13" t="s">
        <v>44</v>
      </c>
      <c r="D26" s="2"/>
      <c r="E26" s="2"/>
      <c r="F26" s="2"/>
      <c r="G26" s="2"/>
      <c r="H26" s="2"/>
      <c r="I26" s="2"/>
      <c r="J26" s="11"/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f t="shared" si="1"/>
        <v>0</v>
      </c>
    </row>
    <row r="27" spans="1:23" s="63" customFormat="1" ht="11.75" customHeight="1">
      <c r="A27" s="59" t="s">
        <v>45</v>
      </c>
      <c r="B27" s="59"/>
      <c r="C27" s="59"/>
      <c r="D27" s="64" t="s">
        <v>46</v>
      </c>
      <c r="E27" s="57"/>
      <c r="F27" s="57"/>
      <c r="G27" s="57"/>
      <c r="H27" s="57"/>
      <c r="I27" s="57"/>
      <c r="J27" s="62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>
        <f t="shared" si="1"/>
        <v>0</v>
      </c>
    </row>
    <row r="28" spans="1:23" s="63" customFormat="1" ht="11.75" customHeight="1">
      <c r="A28" s="59" t="s">
        <v>47</v>
      </c>
      <c r="B28" s="59"/>
      <c r="C28" s="59"/>
      <c r="D28" s="64" t="s">
        <v>48</v>
      </c>
      <c r="E28" s="57"/>
      <c r="F28" s="57"/>
      <c r="G28" s="57"/>
      <c r="H28" s="57"/>
      <c r="I28" s="57"/>
      <c r="J28" s="62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>
        <f t="shared" si="1"/>
        <v>0</v>
      </c>
    </row>
    <row r="29" spans="1:23" s="63" customFormat="1" ht="11.75" customHeight="1">
      <c r="A29" s="59" t="s">
        <v>49</v>
      </c>
      <c r="B29" s="59"/>
      <c r="C29" s="64" t="s">
        <v>50</v>
      </c>
      <c r="D29" s="57"/>
      <c r="E29" s="57"/>
      <c r="F29" s="57"/>
      <c r="G29" s="57"/>
      <c r="H29" s="57"/>
      <c r="I29" s="57"/>
      <c r="J29" s="62"/>
      <c r="K29" s="47">
        <v>0</v>
      </c>
      <c r="L29" s="47">
        <v>0</v>
      </c>
      <c r="M29" s="47">
        <v>85926</v>
      </c>
      <c r="N29" s="47">
        <v>42963</v>
      </c>
      <c r="O29" s="47">
        <v>0</v>
      </c>
      <c r="P29" s="47">
        <v>85926</v>
      </c>
      <c r="Q29" s="47">
        <v>47048</v>
      </c>
      <c r="R29" s="47">
        <v>0</v>
      </c>
      <c r="S29" s="47">
        <v>47048</v>
      </c>
      <c r="T29" s="47">
        <v>47048</v>
      </c>
      <c r="U29" s="47">
        <v>48639</v>
      </c>
      <c r="V29" s="47">
        <f>48639*2</f>
        <v>97278</v>
      </c>
      <c r="W29" s="47">
        <f t="shared" si="1"/>
        <v>501876</v>
      </c>
    </row>
    <row r="30" spans="1:23" s="63" customFormat="1" ht="11.75" customHeight="1">
      <c r="A30" s="59" t="s">
        <v>51</v>
      </c>
      <c r="B30" s="59"/>
      <c r="C30" s="64" t="s">
        <v>52</v>
      </c>
      <c r="D30" s="57"/>
      <c r="E30" s="57"/>
      <c r="F30" s="57"/>
      <c r="G30" s="57"/>
      <c r="H30" s="57"/>
      <c r="I30" s="57"/>
      <c r="J30" s="62"/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/>
      <c r="V30" s="47"/>
      <c r="W30" s="47">
        <f t="shared" si="1"/>
        <v>0</v>
      </c>
    </row>
    <row r="31" spans="1:23" s="8" customFormat="1" ht="11.75" customHeight="1">
      <c r="A31" s="9" t="s">
        <v>53</v>
      </c>
      <c r="B31" s="9"/>
      <c r="C31" s="13" t="s">
        <v>54</v>
      </c>
      <c r="D31" s="2"/>
      <c r="E31" s="2"/>
      <c r="F31" s="2"/>
      <c r="G31" s="2"/>
      <c r="H31" s="2"/>
      <c r="I31" s="2"/>
      <c r="J31" s="11"/>
      <c r="K31" s="12">
        <f>SUM(K32:K34)</f>
        <v>0</v>
      </c>
      <c r="L31" s="12">
        <f t="shared" ref="L31:V31" si="6">SUM(L32:L34)</f>
        <v>0</v>
      </c>
      <c r="M31" s="12">
        <f t="shared" si="6"/>
        <v>0</v>
      </c>
      <c r="N31" s="12">
        <f t="shared" si="6"/>
        <v>0</v>
      </c>
      <c r="O31" s="12">
        <f t="shared" si="6"/>
        <v>0</v>
      </c>
      <c r="P31" s="12">
        <f t="shared" si="6"/>
        <v>0</v>
      </c>
      <c r="Q31" s="12">
        <f t="shared" si="6"/>
        <v>0</v>
      </c>
      <c r="R31" s="12">
        <f t="shared" si="6"/>
        <v>0</v>
      </c>
      <c r="S31" s="12">
        <f t="shared" si="6"/>
        <v>0</v>
      </c>
      <c r="T31" s="12">
        <f t="shared" si="6"/>
        <v>0</v>
      </c>
      <c r="U31" s="12">
        <f t="shared" si="6"/>
        <v>0</v>
      </c>
      <c r="V31" s="12">
        <f t="shared" si="6"/>
        <v>0</v>
      </c>
      <c r="W31" s="12">
        <f t="shared" si="1"/>
        <v>0</v>
      </c>
    </row>
    <row r="32" spans="1:23" s="63" customFormat="1" ht="11.75" customHeight="1">
      <c r="A32" s="59" t="s">
        <v>55</v>
      </c>
      <c r="B32" s="59"/>
      <c r="C32" s="59"/>
      <c r="D32" s="64" t="s">
        <v>54</v>
      </c>
      <c r="E32" s="57"/>
      <c r="F32" s="57"/>
      <c r="G32" s="57"/>
      <c r="H32" s="57"/>
      <c r="I32" s="57"/>
      <c r="J32" s="62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>
        <f t="shared" si="1"/>
        <v>0</v>
      </c>
    </row>
    <row r="33" spans="1:23" s="63" customFormat="1" ht="11.75" customHeight="1">
      <c r="A33" s="59" t="s">
        <v>56</v>
      </c>
      <c r="B33" s="59"/>
      <c r="C33" s="59"/>
      <c r="D33" s="64" t="s">
        <v>57</v>
      </c>
      <c r="E33" s="57"/>
      <c r="F33" s="57"/>
      <c r="G33" s="57"/>
      <c r="H33" s="57"/>
      <c r="I33" s="57"/>
      <c r="J33" s="62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>
        <f t="shared" si="1"/>
        <v>0</v>
      </c>
    </row>
    <row r="34" spans="1:23" s="63" customFormat="1" ht="11.75" customHeight="1">
      <c r="A34" s="59" t="s">
        <v>58</v>
      </c>
      <c r="B34" s="59"/>
      <c r="C34" s="59"/>
      <c r="D34" s="64" t="s">
        <v>59</v>
      </c>
      <c r="E34" s="57"/>
      <c r="F34" s="57"/>
      <c r="G34" s="57"/>
      <c r="H34" s="57"/>
      <c r="I34" s="57"/>
      <c r="J34" s="62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>
        <f t="shared" si="1"/>
        <v>0</v>
      </c>
    </row>
    <row r="35" spans="1:23" s="63" customFormat="1" ht="11.75" customHeight="1">
      <c r="A35" s="59" t="s">
        <v>60</v>
      </c>
      <c r="B35" s="59"/>
      <c r="C35" s="64" t="s">
        <v>61</v>
      </c>
      <c r="D35" s="57"/>
      <c r="E35" s="57"/>
      <c r="F35" s="57"/>
      <c r="G35" s="57"/>
      <c r="H35" s="57"/>
      <c r="I35" s="57"/>
      <c r="J35" s="62"/>
      <c r="K35" s="47">
        <v>0</v>
      </c>
      <c r="L35" s="47">
        <v>14264</v>
      </c>
      <c r="M35" s="47">
        <v>15028</v>
      </c>
      <c r="N35" s="47">
        <v>13773</v>
      </c>
      <c r="O35" s="47">
        <v>12137</v>
      </c>
      <c r="P35" s="47">
        <v>9600</v>
      </c>
      <c r="Q35" s="47">
        <v>14455</v>
      </c>
      <c r="R35" s="47">
        <v>14264</v>
      </c>
      <c r="S35" s="47">
        <v>14646</v>
      </c>
      <c r="T35" s="47">
        <v>16010</v>
      </c>
      <c r="U35" s="47">
        <v>16010</v>
      </c>
      <c r="V35" s="47">
        <v>16010</v>
      </c>
      <c r="W35" s="47">
        <f t="shared" si="1"/>
        <v>156197</v>
      </c>
    </row>
    <row r="36" spans="1:23" s="63" customFormat="1" ht="11.75" customHeight="1">
      <c r="A36" s="59" t="s">
        <v>62</v>
      </c>
      <c r="B36" s="59"/>
      <c r="C36" s="64" t="s">
        <v>63</v>
      </c>
      <c r="D36" s="57"/>
      <c r="E36" s="57"/>
      <c r="F36" s="57"/>
      <c r="G36" s="57"/>
      <c r="H36" s="57"/>
      <c r="I36" s="57"/>
      <c r="J36" s="62"/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/>
      <c r="V36" s="47"/>
      <c r="W36" s="53">
        <f t="shared" si="1"/>
        <v>0</v>
      </c>
    </row>
    <row r="37" spans="1:23" s="8" customFormat="1" ht="11.75" customHeight="1">
      <c r="A37" s="9" t="s">
        <v>64</v>
      </c>
      <c r="B37" s="22" t="s">
        <v>65</v>
      </c>
      <c r="C37" s="23"/>
      <c r="D37" s="23"/>
      <c r="E37" s="23"/>
      <c r="F37" s="23"/>
      <c r="G37" s="23"/>
      <c r="H37" s="23"/>
      <c r="I37" s="23"/>
      <c r="J37" s="24"/>
      <c r="K37" s="25">
        <f>SUM(K38:K41,K46,K50,K57:K58,K61:K67,K70:K72,K78:K80,K83:K84)</f>
        <v>189100</v>
      </c>
      <c r="L37" s="25">
        <f t="shared" ref="L37:V37" si="7">SUM(L38:L41,L46,L50,L57:L58,L61:L67,L70:L72,L78:L80,L83:L84)</f>
        <v>175278</v>
      </c>
      <c r="M37" s="25">
        <f t="shared" si="7"/>
        <v>257306</v>
      </c>
      <c r="N37" s="25">
        <f t="shared" si="7"/>
        <v>265120</v>
      </c>
      <c r="O37" s="25">
        <f t="shared" si="7"/>
        <v>307932</v>
      </c>
      <c r="P37" s="25">
        <f t="shared" si="7"/>
        <v>260230</v>
      </c>
      <c r="Q37" s="25">
        <f t="shared" si="7"/>
        <v>168953</v>
      </c>
      <c r="R37" s="25">
        <f t="shared" si="7"/>
        <v>170718</v>
      </c>
      <c r="S37" s="25">
        <f t="shared" si="7"/>
        <v>167502</v>
      </c>
      <c r="T37" s="25">
        <f t="shared" si="7"/>
        <v>267409</v>
      </c>
      <c r="U37" s="25">
        <f t="shared" si="7"/>
        <v>244041</v>
      </c>
      <c r="V37" s="25">
        <f t="shared" si="7"/>
        <v>215253</v>
      </c>
      <c r="W37" s="25">
        <f t="shared" si="1"/>
        <v>2688842</v>
      </c>
    </row>
    <row r="38" spans="1:23" s="63" customFormat="1" ht="11.75" customHeight="1">
      <c r="A38" s="59" t="s">
        <v>66</v>
      </c>
      <c r="B38" s="60"/>
      <c r="C38" s="61" t="s">
        <v>67</v>
      </c>
      <c r="D38" s="57"/>
      <c r="E38" s="57"/>
      <c r="F38" s="57"/>
      <c r="G38" s="57"/>
      <c r="H38" s="57"/>
      <c r="I38" s="57"/>
      <c r="J38" s="62"/>
      <c r="K38" s="47">
        <v>96780</v>
      </c>
      <c r="L38" s="47">
        <v>3260</v>
      </c>
      <c r="M38" s="47">
        <v>66488</v>
      </c>
      <c r="N38" s="47">
        <v>70259</v>
      </c>
      <c r="O38" s="47">
        <v>79260</v>
      </c>
      <c r="P38" s="47">
        <v>76820</v>
      </c>
      <c r="Q38" s="47">
        <v>0</v>
      </c>
      <c r="R38" s="47">
        <v>39028</v>
      </c>
      <c r="S38" s="47">
        <v>15140</v>
      </c>
      <c r="T38" s="47">
        <v>50000</v>
      </c>
      <c r="U38" s="47">
        <v>70000</v>
      </c>
      <c r="V38" s="47">
        <v>35000</v>
      </c>
      <c r="W38" s="47">
        <f t="shared" si="1"/>
        <v>602035</v>
      </c>
    </row>
    <row r="39" spans="1:23" s="63" customFormat="1" ht="11.75" customHeight="1">
      <c r="A39" s="59" t="s">
        <v>68</v>
      </c>
      <c r="B39" s="59"/>
      <c r="C39" s="64" t="s">
        <v>69</v>
      </c>
      <c r="D39" s="57"/>
      <c r="E39" s="57"/>
      <c r="F39" s="57"/>
      <c r="G39" s="57"/>
      <c r="H39" s="57"/>
      <c r="I39" s="57"/>
      <c r="J39" s="62"/>
      <c r="K39" s="47">
        <v>0</v>
      </c>
      <c r="L39" s="47">
        <v>0</v>
      </c>
      <c r="M39" s="47">
        <v>0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0</v>
      </c>
      <c r="V39" s="47">
        <v>0</v>
      </c>
      <c r="W39" s="47">
        <f t="shared" si="1"/>
        <v>0</v>
      </c>
    </row>
    <row r="40" spans="1:23" s="63" customFormat="1" ht="11.75" customHeight="1">
      <c r="A40" s="59" t="s">
        <v>70</v>
      </c>
      <c r="B40" s="59"/>
      <c r="C40" s="64" t="s">
        <v>71</v>
      </c>
      <c r="D40" s="57"/>
      <c r="E40" s="57"/>
      <c r="F40" s="57"/>
      <c r="G40" s="57"/>
      <c r="H40" s="57"/>
      <c r="I40" s="57"/>
      <c r="J40" s="62"/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f t="shared" si="1"/>
        <v>0</v>
      </c>
    </row>
    <row r="41" spans="1:23" s="8" customFormat="1" ht="11.75" customHeight="1">
      <c r="A41" s="9" t="s">
        <v>72</v>
      </c>
      <c r="B41" s="9"/>
      <c r="C41" s="13" t="s">
        <v>73</v>
      </c>
      <c r="D41" s="2"/>
      <c r="E41" s="2"/>
      <c r="F41" s="2"/>
      <c r="G41" s="2"/>
      <c r="H41" s="2"/>
      <c r="I41" s="2"/>
      <c r="J41" s="11"/>
      <c r="K41" s="12">
        <f>SUM(K42:K45)</f>
        <v>5690</v>
      </c>
      <c r="L41" s="12">
        <f t="shared" ref="L41:V41" si="8">SUM(L42:L45)</f>
        <v>4480</v>
      </c>
      <c r="M41" s="12">
        <f t="shared" si="8"/>
        <v>5690</v>
      </c>
      <c r="N41" s="12">
        <f t="shared" si="8"/>
        <v>4480</v>
      </c>
      <c r="O41" s="12">
        <f t="shared" si="8"/>
        <v>10170</v>
      </c>
      <c r="P41" s="12">
        <f t="shared" si="8"/>
        <v>5690</v>
      </c>
      <c r="Q41" s="12">
        <f t="shared" si="8"/>
        <v>4480</v>
      </c>
      <c r="R41" s="12">
        <f t="shared" si="8"/>
        <v>5690</v>
      </c>
      <c r="S41" s="12">
        <f t="shared" si="8"/>
        <v>4480</v>
      </c>
      <c r="T41" s="12">
        <f t="shared" si="8"/>
        <v>6300</v>
      </c>
      <c r="U41" s="12">
        <f t="shared" si="8"/>
        <v>5000</v>
      </c>
      <c r="V41" s="12">
        <f t="shared" si="8"/>
        <v>6300</v>
      </c>
      <c r="W41" s="12">
        <f t="shared" si="1"/>
        <v>68450</v>
      </c>
    </row>
    <row r="42" spans="1:23" s="63" customFormat="1" ht="11.75" customHeight="1">
      <c r="A42" s="59" t="s">
        <v>74</v>
      </c>
      <c r="B42" s="59"/>
      <c r="C42" s="59"/>
      <c r="D42" s="64" t="s">
        <v>75</v>
      </c>
      <c r="E42" s="57"/>
      <c r="F42" s="57"/>
      <c r="G42" s="57"/>
      <c r="H42" s="57"/>
      <c r="I42" s="57"/>
      <c r="J42" s="62"/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f t="shared" si="1"/>
        <v>0</v>
      </c>
    </row>
    <row r="43" spans="1:23" s="63" customFormat="1" ht="11.75" customHeight="1">
      <c r="A43" s="59" t="s">
        <v>76</v>
      </c>
      <c r="B43" s="59"/>
      <c r="C43" s="59"/>
      <c r="D43" s="64" t="s">
        <v>77</v>
      </c>
      <c r="E43" s="57"/>
      <c r="F43" s="57"/>
      <c r="G43" s="57"/>
      <c r="H43" s="57"/>
      <c r="I43" s="57"/>
      <c r="J43" s="62"/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0</v>
      </c>
      <c r="R43" s="47">
        <v>0</v>
      </c>
      <c r="S43" s="47">
        <v>0</v>
      </c>
      <c r="T43" s="47">
        <v>0</v>
      </c>
      <c r="U43" s="47">
        <v>0</v>
      </c>
      <c r="V43" s="47">
        <v>0</v>
      </c>
      <c r="W43" s="47">
        <f t="shared" si="1"/>
        <v>0</v>
      </c>
    </row>
    <row r="44" spans="1:23" s="63" customFormat="1" ht="11.75" customHeight="1">
      <c r="A44" s="59" t="s">
        <v>78</v>
      </c>
      <c r="B44" s="59"/>
      <c r="C44" s="59"/>
      <c r="D44" s="64" t="s">
        <v>79</v>
      </c>
      <c r="E44" s="57"/>
      <c r="F44" s="57"/>
      <c r="G44" s="57"/>
      <c r="H44" s="57"/>
      <c r="I44" s="57"/>
      <c r="J44" s="62"/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f t="shared" si="1"/>
        <v>0</v>
      </c>
    </row>
    <row r="45" spans="1:23" s="63" customFormat="1" ht="11.75" customHeight="1">
      <c r="A45" s="59" t="s">
        <v>80</v>
      </c>
      <c r="B45" s="59"/>
      <c r="C45" s="59"/>
      <c r="D45" s="64" t="s">
        <v>81</v>
      </c>
      <c r="E45" s="57"/>
      <c r="F45" s="57"/>
      <c r="G45" s="57"/>
      <c r="H45" s="57"/>
      <c r="I45" s="57"/>
      <c r="J45" s="62"/>
      <c r="K45" s="47">
        <v>5690</v>
      </c>
      <c r="L45" s="47">
        <v>4480</v>
      </c>
      <c r="M45" s="47">
        <v>5690</v>
      </c>
      <c r="N45" s="47">
        <v>4480</v>
      </c>
      <c r="O45" s="47">
        <v>10170</v>
      </c>
      <c r="P45" s="47">
        <v>5690</v>
      </c>
      <c r="Q45" s="47">
        <v>4480</v>
      </c>
      <c r="R45" s="47">
        <v>5690</v>
      </c>
      <c r="S45" s="47">
        <v>4480</v>
      </c>
      <c r="T45" s="47">
        <v>6300</v>
      </c>
      <c r="U45" s="47">
        <v>5000</v>
      </c>
      <c r="V45" s="47">
        <v>6300</v>
      </c>
      <c r="W45" s="47">
        <f t="shared" si="1"/>
        <v>68450</v>
      </c>
    </row>
    <row r="46" spans="1:23" s="8" customFormat="1" ht="11.75" customHeight="1">
      <c r="A46" s="9" t="s">
        <v>82</v>
      </c>
      <c r="B46" s="9"/>
      <c r="C46" s="13" t="s">
        <v>83</v>
      </c>
      <c r="D46" s="2"/>
      <c r="E46" s="2"/>
      <c r="F46" s="2"/>
      <c r="G46" s="2"/>
      <c r="H46" s="2"/>
      <c r="I46" s="2"/>
      <c r="J46" s="11"/>
      <c r="K46" s="12">
        <f>SUM(K47:K49)</f>
        <v>2947</v>
      </c>
      <c r="L46" s="12">
        <f t="shared" ref="L46:V46" si="9">SUM(L47:L49)</f>
        <v>0</v>
      </c>
      <c r="M46" s="12">
        <f t="shared" si="9"/>
        <v>0</v>
      </c>
      <c r="N46" s="12">
        <f t="shared" si="9"/>
        <v>0</v>
      </c>
      <c r="O46" s="12">
        <f t="shared" si="9"/>
        <v>0</v>
      </c>
      <c r="P46" s="12">
        <f t="shared" si="9"/>
        <v>0</v>
      </c>
      <c r="Q46" s="12">
        <f t="shared" si="9"/>
        <v>0</v>
      </c>
      <c r="R46" s="12">
        <f t="shared" si="9"/>
        <v>0</v>
      </c>
      <c r="S46" s="12">
        <f t="shared" si="9"/>
        <v>0</v>
      </c>
      <c r="T46" s="12">
        <f t="shared" si="9"/>
        <v>0</v>
      </c>
      <c r="U46" s="12">
        <f t="shared" si="9"/>
        <v>0</v>
      </c>
      <c r="V46" s="12">
        <f t="shared" si="9"/>
        <v>0</v>
      </c>
      <c r="W46" s="12">
        <f t="shared" si="1"/>
        <v>2947</v>
      </c>
    </row>
    <row r="47" spans="1:23" s="63" customFormat="1" ht="11.75" customHeight="1">
      <c r="A47" s="59" t="s">
        <v>84</v>
      </c>
      <c r="B47" s="59"/>
      <c r="C47" s="59"/>
      <c r="D47" s="64" t="s">
        <v>85</v>
      </c>
      <c r="E47" s="57"/>
      <c r="F47" s="57"/>
      <c r="G47" s="57"/>
      <c r="H47" s="57"/>
      <c r="I47" s="57"/>
      <c r="J47" s="62"/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  <c r="Q47" s="47">
        <v>0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f t="shared" si="1"/>
        <v>0</v>
      </c>
    </row>
    <row r="48" spans="1:23" s="63" customFormat="1" ht="11.75" customHeight="1">
      <c r="A48" s="59" t="s">
        <v>86</v>
      </c>
      <c r="B48" s="59"/>
      <c r="C48" s="59"/>
      <c r="D48" s="64" t="s">
        <v>87</v>
      </c>
      <c r="E48" s="57"/>
      <c r="F48" s="57"/>
      <c r="G48" s="57"/>
      <c r="H48" s="57"/>
      <c r="I48" s="57"/>
      <c r="J48" s="62"/>
      <c r="K48" s="47"/>
      <c r="L48" s="47"/>
      <c r="M48" s="47"/>
      <c r="N48" s="47"/>
      <c r="O48" s="47"/>
      <c r="P48" s="47"/>
      <c r="Q48" s="47"/>
      <c r="R48" s="47">
        <v>0</v>
      </c>
      <c r="S48" s="47">
        <v>0</v>
      </c>
      <c r="T48" s="47">
        <v>0</v>
      </c>
      <c r="U48" s="47">
        <v>0</v>
      </c>
      <c r="V48" s="47">
        <v>0</v>
      </c>
      <c r="W48" s="47">
        <f t="shared" si="1"/>
        <v>0</v>
      </c>
    </row>
    <row r="49" spans="1:23" s="63" customFormat="1" ht="11.75" customHeight="1">
      <c r="A49" s="59" t="s">
        <v>88</v>
      </c>
      <c r="B49" s="59"/>
      <c r="C49" s="59"/>
      <c r="D49" s="64" t="s">
        <v>89</v>
      </c>
      <c r="E49" s="57"/>
      <c r="F49" s="57"/>
      <c r="G49" s="57"/>
      <c r="H49" s="57"/>
      <c r="I49" s="57"/>
      <c r="J49" s="62"/>
      <c r="K49" s="47">
        <v>2947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f t="shared" si="1"/>
        <v>2947</v>
      </c>
    </row>
    <row r="50" spans="1:23" s="8" customFormat="1" ht="11.75" customHeight="1">
      <c r="A50" s="9" t="s">
        <v>90</v>
      </c>
      <c r="B50" s="9"/>
      <c r="C50" s="13" t="s">
        <v>91</v>
      </c>
      <c r="D50" s="2"/>
      <c r="E50" s="2"/>
      <c r="F50" s="2"/>
      <c r="G50" s="2"/>
      <c r="H50" s="2"/>
      <c r="I50" s="2"/>
      <c r="J50" s="11"/>
      <c r="K50" s="12">
        <f>SUM(K51:K56)</f>
        <v>0</v>
      </c>
      <c r="L50" s="12">
        <f t="shared" ref="L50:V50" si="10">SUM(L51:L56)</f>
        <v>0</v>
      </c>
      <c r="M50" s="12">
        <f t="shared" si="10"/>
        <v>0</v>
      </c>
      <c r="N50" s="12">
        <f t="shared" si="10"/>
        <v>0</v>
      </c>
      <c r="O50" s="12">
        <f t="shared" si="10"/>
        <v>0</v>
      </c>
      <c r="P50" s="12">
        <f t="shared" si="10"/>
        <v>0</v>
      </c>
      <c r="Q50" s="12">
        <f t="shared" si="10"/>
        <v>0</v>
      </c>
      <c r="R50" s="12">
        <f t="shared" si="10"/>
        <v>0</v>
      </c>
      <c r="S50" s="12">
        <f t="shared" si="10"/>
        <v>0</v>
      </c>
      <c r="T50" s="12">
        <f t="shared" si="10"/>
        <v>0</v>
      </c>
      <c r="U50" s="12">
        <f t="shared" si="10"/>
        <v>0</v>
      </c>
      <c r="V50" s="12">
        <f t="shared" si="10"/>
        <v>0</v>
      </c>
      <c r="W50" s="12">
        <f t="shared" si="1"/>
        <v>0</v>
      </c>
    </row>
    <row r="51" spans="1:23" s="63" customFormat="1" ht="11.75" customHeight="1">
      <c r="A51" s="59" t="s">
        <v>92</v>
      </c>
      <c r="B51" s="59"/>
      <c r="C51" s="59"/>
      <c r="D51" s="64" t="s">
        <v>93</v>
      </c>
      <c r="E51" s="57"/>
      <c r="F51" s="57"/>
      <c r="G51" s="57"/>
      <c r="H51" s="57"/>
      <c r="I51" s="57"/>
      <c r="J51" s="62"/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0</v>
      </c>
      <c r="V51" s="47">
        <v>0</v>
      </c>
      <c r="W51" s="47">
        <f t="shared" si="1"/>
        <v>0</v>
      </c>
    </row>
    <row r="52" spans="1:23" s="63" customFormat="1" ht="11.75" customHeight="1">
      <c r="A52" s="59" t="s">
        <v>94</v>
      </c>
      <c r="B52" s="59"/>
      <c r="C52" s="59"/>
      <c r="D52" s="64" t="s">
        <v>95</v>
      </c>
      <c r="E52" s="57"/>
      <c r="F52" s="57"/>
      <c r="G52" s="57"/>
      <c r="H52" s="57"/>
      <c r="I52" s="57"/>
      <c r="J52" s="62"/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0</v>
      </c>
      <c r="V52" s="47">
        <v>0</v>
      </c>
      <c r="W52" s="47">
        <f t="shared" si="1"/>
        <v>0</v>
      </c>
    </row>
    <row r="53" spans="1:23" s="63" customFormat="1" ht="11.75" customHeight="1">
      <c r="A53" s="59" t="s">
        <v>96</v>
      </c>
      <c r="B53" s="59"/>
      <c r="C53" s="59"/>
      <c r="D53" s="64" t="s">
        <v>97</v>
      </c>
      <c r="E53" s="57"/>
      <c r="F53" s="57"/>
      <c r="G53" s="57"/>
      <c r="H53" s="57"/>
      <c r="I53" s="57"/>
      <c r="J53" s="62"/>
      <c r="K53" s="47">
        <v>0</v>
      </c>
      <c r="L53" s="47">
        <v>0</v>
      </c>
      <c r="M53" s="47">
        <v>0</v>
      </c>
      <c r="N53" s="47">
        <v>0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0</v>
      </c>
      <c r="V53" s="47">
        <v>0</v>
      </c>
      <c r="W53" s="47">
        <f t="shared" si="1"/>
        <v>0</v>
      </c>
    </row>
    <row r="54" spans="1:23" s="63" customFormat="1" ht="11.75" customHeight="1">
      <c r="A54" s="59" t="s">
        <v>98</v>
      </c>
      <c r="B54" s="59"/>
      <c r="C54" s="59"/>
      <c r="D54" s="64" t="s">
        <v>99</v>
      </c>
      <c r="E54" s="57"/>
      <c r="F54" s="57"/>
      <c r="G54" s="57"/>
      <c r="H54" s="57"/>
      <c r="I54" s="57"/>
      <c r="J54" s="62"/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0</v>
      </c>
      <c r="W54" s="47">
        <f t="shared" si="1"/>
        <v>0</v>
      </c>
    </row>
    <row r="55" spans="1:23" s="63" customFormat="1" ht="11.75" customHeight="1">
      <c r="A55" s="59" t="s">
        <v>100</v>
      </c>
      <c r="B55" s="59"/>
      <c r="C55" s="59"/>
      <c r="D55" s="64" t="s">
        <v>101</v>
      </c>
      <c r="E55" s="57"/>
      <c r="F55" s="57"/>
      <c r="G55" s="57"/>
      <c r="H55" s="57"/>
      <c r="I55" s="57"/>
      <c r="J55" s="62"/>
      <c r="K55" s="47">
        <v>0</v>
      </c>
      <c r="L55" s="47">
        <v>0</v>
      </c>
      <c r="M55" s="47">
        <v>0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f t="shared" si="1"/>
        <v>0</v>
      </c>
    </row>
    <row r="56" spans="1:23" s="63" customFormat="1" ht="11.75" customHeight="1">
      <c r="A56" s="59" t="s">
        <v>102</v>
      </c>
      <c r="B56" s="59"/>
      <c r="C56" s="59"/>
      <c r="D56" s="64" t="s">
        <v>103</v>
      </c>
      <c r="E56" s="57"/>
      <c r="F56" s="57"/>
      <c r="G56" s="57"/>
      <c r="H56" s="57"/>
      <c r="I56" s="57"/>
      <c r="J56" s="62"/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</v>
      </c>
      <c r="V56" s="47">
        <v>0</v>
      </c>
      <c r="W56" s="47">
        <f t="shared" si="1"/>
        <v>0</v>
      </c>
    </row>
    <row r="57" spans="1:23" s="63" customFormat="1" ht="11.75" customHeight="1">
      <c r="A57" s="59" t="s">
        <v>104</v>
      </c>
      <c r="B57" s="59"/>
      <c r="C57" s="64" t="s">
        <v>105</v>
      </c>
      <c r="D57" s="57"/>
      <c r="E57" s="57"/>
      <c r="F57" s="57"/>
      <c r="G57" s="57"/>
      <c r="H57" s="57"/>
      <c r="I57" s="57"/>
      <c r="J57" s="62"/>
      <c r="K57" s="47">
        <v>0</v>
      </c>
      <c r="L57" s="47">
        <v>0</v>
      </c>
      <c r="M57" s="47">
        <v>0</v>
      </c>
      <c r="N57" s="47">
        <v>0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f t="shared" si="1"/>
        <v>0</v>
      </c>
    </row>
    <row r="58" spans="1:23" s="8" customFormat="1" ht="11.75" customHeight="1">
      <c r="A58" s="9" t="s">
        <v>106</v>
      </c>
      <c r="B58" s="9"/>
      <c r="C58" s="13" t="s">
        <v>107</v>
      </c>
      <c r="D58" s="2"/>
      <c r="E58" s="2"/>
      <c r="F58" s="2"/>
      <c r="G58" s="2"/>
      <c r="H58" s="2"/>
      <c r="I58" s="2"/>
      <c r="J58" s="11"/>
      <c r="K58" s="12">
        <f>SUM(K59:K60)</f>
        <v>0</v>
      </c>
      <c r="L58" s="12">
        <f t="shared" ref="L58:V58" si="11">SUM(L59:L60)</f>
        <v>0</v>
      </c>
      <c r="M58" s="12">
        <f t="shared" si="11"/>
        <v>0</v>
      </c>
      <c r="N58" s="12">
        <f t="shared" si="11"/>
        <v>0</v>
      </c>
      <c r="O58" s="12">
        <f t="shared" si="11"/>
        <v>0</v>
      </c>
      <c r="P58" s="12">
        <f t="shared" si="11"/>
        <v>0</v>
      </c>
      <c r="Q58" s="12">
        <f t="shared" si="11"/>
        <v>0</v>
      </c>
      <c r="R58" s="12">
        <f t="shared" si="11"/>
        <v>0</v>
      </c>
      <c r="S58" s="12">
        <f t="shared" si="11"/>
        <v>0</v>
      </c>
      <c r="T58" s="12">
        <f t="shared" si="11"/>
        <v>0</v>
      </c>
      <c r="U58" s="12">
        <f t="shared" si="11"/>
        <v>0</v>
      </c>
      <c r="V58" s="12">
        <f t="shared" si="11"/>
        <v>0</v>
      </c>
      <c r="W58" s="12">
        <f t="shared" si="1"/>
        <v>0</v>
      </c>
    </row>
    <row r="59" spans="1:23" s="63" customFormat="1" ht="11.75" customHeight="1">
      <c r="A59" s="59" t="s">
        <v>108</v>
      </c>
      <c r="B59" s="59"/>
      <c r="C59" s="59"/>
      <c r="D59" s="64" t="s">
        <v>107</v>
      </c>
      <c r="E59" s="57"/>
      <c r="F59" s="57"/>
      <c r="G59" s="57"/>
      <c r="H59" s="57"/>
      <c r="I59" s="57"/>
      <c r="J59" s="62"/>
      <c r="K59" s="47">
        <v>0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0</v>
      </c>
      <c r="V59" s="47">
        <v>0</v>
      </c>
      <c r="W59" s="47">
        <f t="shared" si="1"/>
        <v>0</v>
      </c>
    </row>
    <row r="60" spans="1:23" s="63" customFormat="1" ht="11.75" customHeight="1">
      <c r="A60" s="59" t="s">
        <v>109</v>
      </c>
      <c r="B60" s="59"/>
      <c r="C60" s="59"/>
      <c r="D60" s="64" t="s">
        <v>110</v>
      </c>
      <c r="E60" s="57"/>
      <c r="F60" s="57"/>
      <c r="G60" s="57"/>
      <c r="H60" s="57"/>
      <c r="I60" s="57"/>
      <c r="J60" s="62"/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0</v>
      </c>
      <c r="V60" s="47">
        <v>0</v>
      </c>
      <c r="W60" s="47">
        <f t="shared" si="1"/>
        <v>0</v>
      </c>
    </row>
    <row r="61" spans="1:23" s="63" customFormat="1" ht="11.75" customHeight="1">
      <c r="A61" s="59" t="s">
        <v>111</v>
      </c>
      <c r="B61" s="59"/>
      <c r="C61" s="64" t="s">
        <v>112</v>
      </c>
      <c r="D61" s="57"/>
      <c r="E61" s="57"/>
      <c r="F61" s="57"/>
      <c r="G61" s="57"/>
      <c r="H61" s="57"/>
      <c r="I61" s="57"/>
      <c r="J61" s="62"/>
      <c r="K61" s="47">
        <v>0</v>
      </c>
      <c r="L61" s="47">
        <v>2007</v>
      </c>
      <c r="M61" s="47">
        <v>2517</v>
      </c>
      <c r="N61" s="47">
        <v>2180</v>
      </c>
      <c r="O61" s="47">
        <v>1949</v>
      </c>
      <c r="P61" s="47">
        <v>2285</v>
      </c>
      <c r="Q61" s="47">
        <v>2123</v>
      </c>
      <c r="R61" s="47">
        <v>2053</v>
      </c>
      <c r="S61" s="47">
        <v>1590</v>
      </c>
      <c r="T61" s="47">
        <v>2500</v>
      </c>
      <c r="U61" s="47">
        <v>2500</v>
      </c>
      <c r="V61" s="47">
        <v>2500</v>
      </c>
      <c r="W61" s="47">
        <f t="shared" si="1"/>
        <v>24204</v>
      </c>
    </row>
    <row r="62" spans="1:23" s="63" customFormat="1" ht="11.75" customHeight="1">
      <c r="A62" s="59" t="s">
        <v>113</v>
      </c>
      <c r="B62" s="59"/>
      <c r="C62" s="64" t="s">
        <v>114</v>
      </c>
      <c r="D62" s="57"/>
      <c r="E62" s="57"/>
      <c r="F62" s="57"/>
      <c r="G62" s="57"/>
      <c r="H62" s="57"/>
      <c r="I62" s="57"/>
      <c r="J62" s="62"/>
      <c r="K62" s="47">
        <v>0</v>
      </c>
      <c r="L62" s="47">
        <v>0</v>
      </c>
      <c r="M62" s="47">
        <v>0</v>
      </c>
      <c r="N62" s="47">
        <v>0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  <c r="W62" s="47">
        <f t="shared" si="1"/>
        <v>0</v>
      </c>
    </row>
    <row r="63" spans="1:23" s="63" customFormat="1" ht="11.75" customHeight="1">
      <c r="A63" s="59" t="s">
        <v>115</v>
      </c>
      <c r="B63" s="59"/>
      <c r="C63" s="64" t="s">
        <v>116</v>
      </c>
      <c r="D63" s="57"/>
      <c r="E63" s="57"/>
      <c r="F63" s="57"/>
      <c r="G63" s="57"/>
      <c r="H63" s="57"/>
      <c r="I63" s="57"/>
      <c r="J63" s="62"/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0</v>
      </c>
      <c r="V63" s="47">
        <v>0</v>
      </c>
      <c r="W63" s="47">
        <f t="shared" si="1"/>
        <v>0</v>
      </c>
    </row>
    <row r="64" spans="1:23" s="63" customFormat="1" ht="11.75" customHeight="1">
      <c r="A64" s="59" t="s">
        <v>117</v>
      </c>
      <c r="B64" s="59"/>
      <c r="C64" s="64" t="s">
        <v>118</v>
      </c>
      <c r="D64" s="57"/>
      <c r="E64" s="57"/>
      <c r="F64" s="57"/>
      <c r="G64" s="57"/>
      <c r="H64" s="57"/>
      <c r="I64" s="57"/>
      <c r="J64" s="62"/>
      <c r="K64" s="47">
        <v>0</v>
      </c>
      <c r="L64" s="47">
        <v>0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f t="shared" si="1"/>
        <v>0</v>
      </c>
    </row>
    <row r="65" spans="1:23" s="63" customFormat="1" ht="11.75" customHeight="1">
      <c r="A65" s="59" t="s">
        <v>119</v>
      </c>
      <c r="B65" s="59"/>
      <c r="C65" s="64" t="s">
        <v>120</v>
      </c>
      <c r="D65" s="57"/>
      <c r="E65" s="57"/>
      <c r="F65" s="57"/>
      <c r="G65" s="57"/>
      <c r="H65" s="57"/>
      <c r="I65" s="57"/>
      <c r="J65" s="62"/>
      <c r="K65" s="47">
        <v>14000</v>
      </c>
      <c r="L65" s="47">
        <v>14000</v>
      </c>
      <c r="M65" s="47">
        <v>14000</v>
      </c>
      <c r="N65" s="47">
        <v>14000</v>
      </c>
      <c r="O65" s="47">
        <v>14000</v>
      </c>
      <c r="P65" s="47">
        <v>14000</v>
      </c>
      <c r="Q65" s="47">
        <v>14000</v>
      </c>
      <c r="R65" s="47">
        <v>14000</v>
      </c>
      <c r="S65" s="47">
        <v>14000</v>
      </c>
      <c r="T65" s="47">
        <v>57000</v>
      </c>
      <c r="U65" s="47">
        <v>7000</v>
      </c>
      <c r="V65" s="47">
        <v>7000</v>
      </c>
      <c r="W65" s="47">
        <f t="shared" si="1"/>
        <v>197000</v>
      </c>
    </row>
    <row r="66" spans="1:23" s="63" customFormat="1" ht="11.75" customHeight="1">
      <c r="A66" s="59" t="s">
        <v>121</v>
      </c>
      <c r="B66" s="59"/>
      <c r="C66" s="64" t="s">
        <v>122</v>
      </c>
      <c r="D66" s="57"/>
      <c r="E66" s="57"/>
      <c r="F66" s="57"/>
      <c r="G66" s="57"/>
      <c r="H66" s="57"/>
      <c r="I66" s="57"/>
      <c r="J66" s="62"/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f t="shared" si="1"/>
        <v>0</v>
      </c>
    </row>
    <row r="67" spans="1:23" s="8" customFormat="1" ht="11.75" customHeight="1">
      <c r="A67" s="9" t="s">
        <v>123</v>
      </c>
      <c r="B67" s="9"/>
      <c r="C67" s="13" t="s">
        <v>124</v>
      </c>
      <c r="D67" s="2"/>
      <c r="E67" s="2"/>
      <c r="F67" s="2"/>
      <c r="G67" s="2"/>
      <c r="H67" s="2"/>
      <c r="I67" s="2"/>
      <c r="J67" s="11"/>
      <c r="K67" s="12">
        <f>SUM(K68:K69)</f>
        <v>6768</v>
      </c>
      <c r="L67" s="12">
        <f t="shared" ref="L67:V67" si="12">SUM(L68:L69)</f>
        <v>8264</v>
      </c>
      <c r="M67" s="12">
        <f t="shared" si="12"/>
        <v>13856</v>
      </c>
      <c r="N67" s="12">
        <f t="shared" si="12"/>
        <v>9281</v>
      </c>
      <c r="O67" s="12">
        <f t="shared" si="12"/>
        <v>19148</v>
      </c>
      <c r="P67" s="12">
        <f t="shared" si="12"/>
        <v>10679</v>
      </c>
      <c r="Q67" s="12">
        <f t="shared" si="12"/>
        <v>12517</v>
      </c>
      <c r="R67" s="12">
        <f t="shared" si="12"/>
        <v>8456</v>
      </c>
      <c r="S67" s="12">
        <f t="shared" si="12"/>
        <v>5202</v>
      </c>
      <c r="T67" s="12">
        <f t="shared" si="12"/>
        <v>10000</v>
      </c>
      <c r="U67" s="12">
        <f t="shared" si="12"/>
        <v>10000</v>
      </c>
      <c r="V67" s="12">
        <f t="shared" si="12"/>
        <v>10000</v>
      </c>
      <c r="W67" s="12">
        <f t="shared" si="1"/>
        <v>124171</v>
      </c>
    </row>
    <row r="68" spans="1:23" s="63" customFormat="1" ht="11.75" customHeight="1">
      <c r="A68" s="59" t="s">
        <v>125</v>
      </c>
      <c r="B68" s="59"/>
      <c r="C68" s="59"/>
      <c r="D68" s="64" t="s">
        <v>124</v>
      </c>
      <c r="E68" s="57"/>
      <c r="F68" s="57"/>
      <c r="G68" s="57"/>
      <c r="H68" s="57"/>
      <c r="I68" s="57"/>
      <c r="J68" s="62"/>
      <c r="K68" s="47">
        <v>6768</v>
      </c>
      <c r="L68" s="47">
        <v>8264</v>
      </c>
      <c r="M68" s="47">
        <v>13856</v>
      </c>
      <c r="N68" s="47">
        <v>9281</v>
      </c>
      <c r="O68" s="47">
        <v>19148</v>
      </c>
      <c r="P68" s="47">
        <v>10679</v>
      </c>
      <c r="Q68" s="47">
        <v>12517</v>
      </c>
      <c r="R68" s="47">
        <v>8456</v>
      </c>
      <c r="S68" s="47">
        <v>5202</v>
      </c>
      <c r="T68" s="47">
        <v>10000</v>
      </c>
      <c r="U68" s="47">
        <v>10000</v>
      </c>
      <c r="V68" s="47">
        <v>10000</v>
      </c>
      <c r="W68" s="47">
        <f t="shared" si="1"/>
        <v>124171</v>
      </c>
    </row>
    <row r="69" spans="1:23" s="63" customFormat="1" ht="11.75" customHeight="1">
      <c r="A69" s="59" t="s">
        <v>126</v>
      </c>
      <c r="B69" s="59"/>
      <c r="C69" s="59"/>
      <c r="D69" s="64" t="s">
        <v>127</v>
      </c>
      <c r="E69" s="57"/>
      <c r="F69" s="57"/>
      <c r="G69" s="57"/>
      <c r="H69" s="57"/>
      <c r="I69" s="57"/>
      <c r="J69" s="62"/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f t="shared" si="1"/>
        <v>0</v>
      </c>
    </row>
    <row r="70" spans="1:23" s="63" customFormat="1" ht="11.75" customHeight="1">
      <c r="A70" s="59" t="s">
        <v>128</v>
      </c>
      <c r="B70" s="59"/>
      <c r="C70" s="64" t="s">
        <v>129</v>
      </c>
      <c r="D70" s="57"/>
      <c r="E70" s="57"/>
      <c r="F70" s="57"/>
      <c r="G70" s="57"/>
      <c r="H70" s="57"/>
      <c r="I70" s="57"/>
      <c r="J70" s="62"/>
      <c r="K70" s="47">
        <v>0</v>
      </c>
      <c r="L70" s="47">
        <v>0</v>
      </c>
      <c r="M70" s="47">
        <v>0</v>
      </c>
      <c r="N70" s="47">
        <v>0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0</v>
      </c>
      <c r="V70" s="47">
        <v>0</v>
      </c>
      <c r="W70" s="47">
        <f t="shared" si="1"/>
        <v>0</v>
      </c>
    </row>
    <row r="71" spans="1:23" s="63" customFormat="1" ht="11.75" customHeight="1">
      <c r="A71" s="59" t="s">
        <v>130</v>
      </c>
      <c r="B71" s="59"/>
      <c r="C71" s="64" t="s">
        <v>131</v>
      </c>
      <c r="D71" s="57"/>
      <c r="E71" s="57"/>
      <c r="F71" s="57"/>
      <c r="G71" s="57"/>
      <c r="H71" s="57"/>
      <c r="I71" s="57"/>
      <c r="J71" s="62"/>
      <c r="K71" s="47">
        <v>0</v>
      </c>
      <c r="L71" s="47">
        <v>45400</v>
      </c>
      <c r="M71" s="47">
        <v>48300</v>
      </c>
      <c r="N71" s="47">
        <v>76300</v>
      </c>
      <c r="O71" s="47">
        <v>72100</v>
      </c>
      <c r="P71" s="47">
        <v>50200</v>
      </c>
      <c r="Q71" s="47">
        <v>38950</v>
      </c>
      <c r="R71" s="47">
        <v>24750</v>
      </c>
      <c r="S71" s="47">
        <v>24100</v>
      </c>
      <c r="T71" s="47">
        <v>20000</v>
      </c>
      <c r="U71" s="47">
        <v>20000</v>
      </c>
      <c r="V71" s="47">
        <v>30000</v>
      </c>
      <c r="W71" s="47">
        <f t="shared" ref="W71:W118" si="13">SUM(K71:V71)</f>
        <v>450100</v>
      </c>
    </row>
    <row r="72" spans="1:23" s="8" customFormat="1" ht="11.75" customHeight="1">
      <c r="A72" s="9" t="s">
        <v>132</v>
      </c>
      <c r="B72" s="9"/>
      <c r="C72" s="13" t="s">
        <v>133</v>
      </c>
      <c r="D72" s="2"/>
      <c r="E72" s="2"/>
      <c r="F72" s="2"/>
      <c r="G72" s="2"/>
      <c r="H72" s="2"/>
      <c r="I72" s="2"/>
      <c r="J72" s="11"/>
      <c r="K72" s="12">
        <f>SUM(K73:K77)</f>
        <v>62915</v>
      </c>
      <c r="L72" s="12">
        <f t="shared" ref="L72:V72" si="14">SUM(L73:L77)</f>
        <v>97867</v>
      </c>
      <c r="M72" s="12">
        <f t="shared" si="14"/>
        <v>106455</v>
      </c>
      <c r="N72" s="12">
        <f t="shared" si="14"/>
        <v>88620</v>
      </c>
      <c r="O72" s="12">
        <f t="shared" si="14"/>
        <v>111305</v>
      </c>
      <c r="P72" s="12">
        <f t="shared" si="14"/>
        <v>100556</v>
      </c>
      <c r="Q72" s="12">
        <f t="shared" si="14"/>
        <v>96883</v>
      </c>
      <c r="R72" s="12">
        <f t="shared" si="14"/>
        <v>76741</v>
      </c>
      <c r="S72" s="12">
        <f t="shared" si="14"/>
        <v>102990</v>
      </c>
      <c r="T72" s="12">
        <f t="shared" si="14"/>
        <v>121609</v>
      </c>
      <c r="U72" s="12">
        <f t="shared" si="14"/>
        <v>129541</v>
      </c>
      <c r="V72" s="12">
        <f t="shared" si="14"/>
        <v>124453</v>
      </c>
      <c r="W72" s="12">
        <f t="shared" si="13"/>
        <v>1219935</v>
      </c>
    </row>
    <row r="73" spans="1:23" s="63" customFormat="1" ht="11.75" customHeight="1">
      <c r="A73" s="59" t="s">
        <v>134</v>
      </c>
      <c r="B73" s="59"/>
      <c r="C73" s="59"/>
      <c r="D73" s="64" t="s">
        <v>135</v>
      </c>
      <c r="E73" s="57"/>
      <c r="F73" s="57"/>
      <c r="G73" s="57"/>
      <c r="H73" s="57"/>
      <c r="I73" s="57"/>
      <c r="J73" s="62"/>
      <c r="K73" s="47">
        <v>62915</v>
      </c>
      <c r="L73" s="47">
        <v>53651</v>
      </c>
      <c r="M73" s="47">
        <v>59231</v>
      </c>
      <c r="N73" s="47">
        <v>59332</v>
      </c>
      <c r="O73" s="47">
        <v>61354</v>
      </c>
      <c r="P73" s="47">
        <v>56463</v>
      </c>
      <c r="Q73" s="47">
        <v>51780</v>
      </c>
      <c r="R73" s="47">
        <v>52971</v>
      </c>
      <c r="S73" s="47">
        <v>56530</v>
      </c>
      <c r="T73" s="47">
        <v>58331</v>
      </c>
      <c r="U73" s="47">
        <v>59339</v>
      </c>
      <c r="V73" s="47">
        <v>59869</v>
      </c>
      <c r="W73" s="47">
        <f t="shared" si="13"/>
        <v>691766</v>
      </c>
    </row>
    <row r="74" spans="1:23" s="63" customFormat="1" ht="11.75" customHeight="1">
      <c r="A74" s="59" t="s">
        <v>136</v>
      </c>
      <c r="B74" s="59"/>
      <c r="C74" s="59"/>
      <c r="D74" s="64" t="s">
        <v>137</v>
      </c>
      <c r="E74" s="57"/>
      <c r="F74" s="57"/>
      <c r="G74" s="57"/>
      <c r="H74" s="57"/>
      <c r="I74" s="57"/>
      <c r="J74" s="62"/>
      <c r="K74" s="47">
        <v>0</v>
      </c>
      <c r="L74" s="47">
        <v>0</v>
      </c>
      <c r="M74" s="47">
        <v>14436</v>
      </c>
      <c r="N74" s="47">
        <v>0</v>
      </c>
      <c r="O74" s="47">
        <v>13799</v>
      </c>
      <c r="P74" s="47">
        <v>0</v>
      </c>
      <c r="Q74" s="47">
        <v>14632</v>
      </c>
      <c r="R74" s="47">
        <v>0</v>
      </c>
      <c r="S74" s="47">
        <v>12476</v>
      </c>
      <c r="T74" s="47">
        <v>0</v>
      </c>
      <c r="U74" s="47">
        <v>11782</v>
      </c>
      <c r="V74" s="47">
        <v>11664</v>
      </c>
      <c r="W74" s="47">
        <f t="shared" si="13"/>
        <v>78789</v>
      </c>
    </row>
    <row r="75" spans="1:23" s="63" customFormat="1" ht="11.75" customHeight="1">
      <c r="A75" s="59" t="s">
        <v>138</v>
      </c>
      <c r="B75" s="59"/>
      <c r="C75" s="59"/>
      <c r="D75" s="64" t="s">
        <v>139</v>
      </c>
      <c r="E75" s="57"/>
      <c r="F75" s="57"/>
      <c r="G75" s="57"/>
      <c r="H75" s="57"/>
      <c r="I75" s="57"/>
      <c r="J75" s="62"/>
      <c r="K75" s="47">
        <v>0</v>
      </c>
      <c r="L75" s="47">
        <v>44216</v>
      </c>
      <c r="M75" s="47">
        <v>32788</v>
      </c>
      <c r="N75" s="47">
        <v>29288</v>
      </c>
      <c r="O75" s="47">
        <v>36152</v>
      </c>
      <c r="P75" s="47">
        <v>44093</v>
      </c>
      <c r="Q75" s="47">
        <v>30471</v>
      </c>
      <c r="R75" s="47">
        <v>23770</v>
      </c>
      <c r="S75" s="47">
        <v>33984</v>
      </c>
      <c r="T75" s="47">
        <v>63278</v>
      </c>
      <c r="U75" s="47">
        <v>58420</v>
      </c>
      <c r="V75" s="47">
        <v>52920</v>
      </c>
      <c r="W75" s="47">
        <f t="shared" si="13"/>
        <v>449380</v>
      </c>
    </row>
    <row r="76" spans="1:23" s="63" customFormat="1" ht="11.75" customHeight="1">
      <c r="A76" s="59" t="s">
        <v>140</v>
      </c>
      <c r="B76" s="59"/>
      <c r="C76" s="59"/>
      <c r="D76" s="64" t="s">
        <v>141</v>
      </c>
      <c r="E76" s="57"/>
      <c r="F76" s="57"/>
      <c r="G76" s="57"/>
      <c r="H76" s="57"/>
      <c r="I76" s="57"/>
      <c r="J76" s="62"/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f t="shared" si="13"/>
        <v>0</v>
      </c>
    </row>
    <row r="77" spans="1:23" s="63" customFormat="1" ht="11.75" customHeight="1">
      <c r="A77" s="59" t="s">
        <v>142</v>
      </c>
      <c r="B77" s="59"/>
      <c r="C77" s="59"/>
      <c r="D77" s="64" t="s">
        <v>143</v>
      </c>
      <c r="E77" s="57"/>
      <c r="F77" s="57"/>
      <c r="G77" s="57"/>
      <c r="H77" s="57"/>
      <c r="I77" s="57"/>
      <c r="J77" s="62"/>
      <c r="K77" s="47">
        <v>0</v>
      </c>
      <c r="L77" s="47">
        <v>0</v>
      </c>
      <c r="M77" s="47">
        <v>0</v>
      </c>
      <c r="N77" s="47">
        <v>0</v>
      </c>
      <c r="O77" s="47">
        <v>0</v>
      </c>
      <c r="P77" s="47">
        <v>0</v>
      </c>
      <c r="Q77" s="47">
        <v>0</v>
      </c>
      <c r="R77" s="47">
        <v>0</v>
      </c>
      <c r="S77" s="47">
        <v>0</v>
      </c>
      <c r="T77" s="47">
        <v>0</v>
      </c>
      <c r="U77" s="47">
        <v>0</v>
      </c>
      <c r="V77" s="47">
        <v>0</v>
      </c>
      <c r="W77" s="47">
        <f t="shared" si="13"/>
        <v>0</v>
      </c>
    </row>
    <row r="78" spans="1:23" s="63" customFormat="1" ht="11.75" customHeight="1">
      <c r="A78" s="59" t="s">
        <v>144</v>
      </c>
      <c r="B78" s="59"/>
      <c r="C78" s="64" t="s">
        <v>145</v>
      </c>
      <c r="D78" s="57"/>
      <c r="E78" s="57"/>
      <c r="F78" s="57"/>
      <c r="G78" s="57"/>
      <c r="H78" s="57"/>
      <c r="I78" s="57"/>
      <c r="J78" s="62"/>
      <c r="K78" s="47">
        <v>0</v>
      </c>
      <c r="L78" s="47">
        <v>0</v>
      </c>
      <c r="M78" s="47">
        <v>0</v>
      </c>
      <c r="N78" s="47">
        <v>0</v>
      </c>
      <c r="O78" s="47">
        <v>0</v>
      </c>
      <c r="P78" s="47">
        <v>0</v>
      </c>
      <c r="Q78" s="47">
        <v>0</v>
      </c>
      <c r="R78" s="47">
        <v>0</v>
      </c>
      <c r="S78" s="47">
        <v>0</v>
      </c>
      <c r="T78" s="47">
        <v>0</v>
      </c>
      <c r="U78" s="47">
        <v>0</v>
      </c>
      <c r="V78" s="47">
        <v>0</v>
      </c>
      <c r="W78" s="47">
        <f t="shared" si="13"/>
        <v>0</v>
      </c>
    </row>
    <row r="79" spans="1:23" s="63" customFormat="1" ht="11.75" customHeight="1">
      <c r="A79" s="59" t="s">
        <v>146</v>
      </c>
      <c r="B79" s="59"/>
      <c r="C79" s="64" t="s">
        <v>147</v>
      </c>
      <c r="D79" s="57"/>
      <c r="E79" s="57"/>
      <c r="F79" s="57"/>
      <c r="G79" s="57"/>
      <c r="H79" s="57"/>
      <c r="I79" s="57"/>
      <c r="J79" s="62"/>
      <c r="K79" s="47"/>
      <c r="L79" s="47"/>
      <c r="M79" s="47"/>
      <c r="N79" s="47"/>
      <c r="O79" s="47"/>
      <c r="P79" s="47"/>
      <c r="Q79" s="47"/>
      <c r="R79" s="47">
        <v>0</v>
      </c>
      <c r="S79" s="47">
        <v>0</v>
      </c>
      <c r="T79" s="47">
        <v>0</v>
      </c>
      <c r="U79" s="47">
        <v>0</v>
      </c>
      <c r="V79" s="47">
        <v>0</v>
      </c>
      <c r="W79" s="47">
        <f t="shared" si="13"/>
        <v>0</v>
      </c>
    </row>
    <row r="80" spans="1:23" s="8" customFormat="1" ht="11.75" customHeight="1">
      <c r="A80" s="9" t="s">
        <v>148</v>
      </c>
      <c r="B80" s="9"/>
      <c r="C80" s="13" t="s">
        <v>149</v>
      </c>
      <c r="D80" s="2"/>
      <c r="E80" s="2"/>
      <c r="F80" s="2"/>
      <c r="G80" s="2"/>
      <c r="H80" s="2"/>
      <c r="I80" s="2"/>
      <c r="J80" s="11"/>
      <c r="K80" s="12">
        <f>SUM(K81:K82)</f>
        <v>0</v>
      </c>
      <c r="L80" s="12">
        <f t="shared" ref="L80:V80" si="15">SUM(L81:L82)</f>
        <v>0</v>
      </c>
      <c r="M80" s="12">
        <f t="shared" si="15"/>
        <v>0</v>
      </c>
      <c r="N80" s="12">
        <f t="shared" si="15"/>
        <v>0</v>
      </c>
      <c r="O80" s="12">
        <f t="shared" si="15"/>
        <v>0</v>
      </c>
      <c r="P80" s="12">
        <f t="shared" si="15"/>
        <v>0</v>
      </c>
      <c r="Q80" s="12">
        <f t="shared" si="15"/>
        <v>0</v>
      </c>
      <c r="R80" s="12">
        <f t="shared" si="15"/>
        <v>0</v>
      </c>
      <c r="S80" s="12">
        <f t="shared" si="15"/>
        <v>0</v>
      </c>
      <c r="T80" s="12">
        <f t="shared" si="15"/>
        <v>0</v>
      </c>
      <c r="U80" s="12">
        <f t="shared" si="15"/>
        <v>0</v>
      </c>
      <c r="V80" s="12">
        <f t="shared" si="15"/>
        <v>0</v>
      </c>
      <c r="W80" s="12">
        <f t="shared" si="13"/>
        <v>0</v>
      </c>
    </row>
    <row r="81" spans="1:23" s="63" customFormat="1" ht="11.75" customHeight="1">
      <c r="A81" s="59" t="s">
        <v>150</v>
      </c>
      <c r="B81" s="59"/>
      <c r="C81" s="59"/>
      <c r="D81" s="64" t="s">
        <v>151</v>
      </c>
      <c r="E81" s="57"/>
      <c r="F81" s="57"/>
      <c r="G81" s="57"/>
      <c r="H81" s="57"/>
      <c r="I81" s="57"/>
      <c r="J81" s="62"/>
      <c r="K81" s="47">
        <v>0</v>
      </c>
      <c r="L81" s="47">
        <v>0</v>
      </c>
      <c r="M81" s="47">
        <v>0</v>
      </c>
      <c r="N81" s="47">
        <v>0</v>
      </c>
      <c r="O81" s="47">
        <v>0</v>
      </c>
      <c r="P81" s="47">
        <v>0</v>
      </c>
      <c r="Q81" s="47">
        <v>0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f t="shared" si="13"/>
        <v>0</v>
      </c>
    </row>
    <row r="82" spans="1:23" s="63" customFormat="1" ht="11.75" customHeight="1">
      <c r="A82" s="59" t="s">
        <v>152</v>
      </c>
      <c r="B82" s="59"/>
      <c r="C82" s="59"/>
      <c r="D82" s="64" t="s">
        <v>153</v>
      </c>
      <c r="E82" s="57"/>
      <c r="F82" s="57"/>
      <c r="G82" s="57"/>
      <c r="H82" s="57"/>
      <c r="I82" s="57"/>
      <c r="J82" s="62"/>
      <c r="K82" s="47">
        <v>0</v>
      </c>
      <c r="L82" s="47">
        <v>0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f t="shared" si="13"/>
        <v>0</v>
      </c>
    </row>
    <row r="83" spans="1:23" s="63" customFormat="1" ht="11.75" customHeight="1">
      <c r="A83" s="59" t="s">
        <v>154</v>
      </c>
      <c r="B83" s="59"/>
      <c r="C83" s="64" t="s">
        <v>155</v>
      </c>
      <c r="D83" s="57"/>
      <c r="E83" s="57"/>
      <c r="F83" s="57"/>
      <c r="G83" s="57"/>
      <c r="H83" s="57"/>
      <c r="I83" s="57"/>
      <c r="J83" s="62"/>
      <c r="K83" s="47">
        <v>0</v>
      </c>
      <c r="L83" s="47">
        <v>0</v>
      </c>
      <c r="M83" s="47">
        <v>0</v>
      </c>
      <c r="N83" s="47">
        <v>0</v>
      </c>
      <c r="O83" s="47">
        <v>0</v>
      </c>
      <c r="P83" s="47">
        <v>0</v>
      </c>
      <c r="Q83" s="47">
        <v>0</v>
      </c>
      <c r="R83" s="47">
        <v>0</v>
      </c>
      <c r="S83" s="47">
        <v>0</v>
      </c>
      <c r="T83" s="47">
        <v>0</v>
      </c>
      <c r="U83" s="47">
        <v>0</v>
      </c>
      <c r="V83" s="47">
        <v>0</v>
      </c>
      <c r="W83" s="47">
        <f t="shared" si="13"/>
        <v>0</v>
      </c>
    </row>
    <row r="84" spans="1:23" s="63" customFormat="1" ht="11.75" customHeight="1">
      <c r="A84" s="59" t="s">
        <v>156</v>
      </c>
      <c r="B84" s="59"/>
      <c r="C84" s="64" t="s">
        <v>157</v>
      </c>
      <c r="D84" s="57"/>
      <c r="E84" s="57"/>
      <c r="F84" s="57"/>
      <c r="G84" s="57"/>
      <c r="H84" s="57"/>
      <c r="I84" s="57"/>
      <c r="J84" s="62"/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f t="shared" si="13"/>
        <v>0</v>
      </c>
    </row>
    <row r="85" spans="1:23" s="8" customFormat="1" ht="11.75" customHeight="1">
      <c r="A85" s="9" t="s">
        <v>158</v>
      </c>
      <c r="B85" s="22" t="s">
        <v>159</v>
      </c>
      <c r="C85" s="23"/>
      <c r="D85" s="23"/>
      <c r="E85" s="23"/>
      <c r="F85" s="23"/>
      <c r="G85" s="23"/>
      <c r="H85" s="23"/>
      <c r="I85" s="23"/>
      <c r="J85" s="24"/>
      <c r="K85" s="25">
        <f>SUM(K86:K96)</f>
        <v>57071</v>
      </c>
      <c r="L85" s="25">
        <f t="shared" ref="L85:V85" si="16">SUM(L86:L96)</f>
        <v>57071</v>
      </c>
      <c r="M85" s="25">
        <f t="shared" si="16"/>
        <v>57071</v>
      </c>
      <c r="N85" s="25">
        <f t="shared" si="16"/>
        <v>57071</v>
      </c>
      <c r="O85" s="25">
        <f t="shared" si="16"/>
        <v>57071</v>
      </c>
      <c r="P85" s="25">
        <f t="shared" si="16"/>
        <v>57071</v>
      </c>
      <c r="Q85" s="25">
        <f t="shared" si="16"/>
        <v>57071</v>
      </c>
      <c r="R85" s="25">
        <f t="shared" si="16"/>
        <v>57071</v>
      </c>
      <c r="S85" s="25">
        <f t="shared" si="16"/>
        <v>57071</v>
      </c>
      <c r="T85" s="25">
        <f t="shared" si="16"/>
        <v>57071</v>
      </c>
      <c r="U85" s="25">
        <f t="shared" si="16"/>
        <v>57071</v>
      </c>
      <c r="V85" s="25">
        <f t="shared" si="16"/>
        <v>57102</v>
      </c>
      <c r="W85" s="25">
        <f t="shared" si="13"/>
        <v>684883</v>
      </c>
    </row>
    <row r="86" spans="1:23" s="63" customFormat="1" ht="11.75" customHeight="1">
      <c r="A86" s="59" t="s">
        <v>160</v>
      </c>
      <c r="B86" s="60"/>
      <c r="C86" s="61" t="s">
        <v>93</v>
      </c>
      <c r="D86" s="57"/>
      <c r="E86" s="57"/>
      <c r="F86" s="57"/>
      <c r="G86" s="57"/>
      <c r="H86" s="57"/>
      <c r="I86" s="57"/>
      <c r="J86" s="62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>
        <f t="shared" si="13"/>
        <v>0</v>
      </c>
    </row>
    <row r="87" spans="1:23" s="63" customFormat="1" ht="11.75" customHeight="1">
      <c r="A87" s="59" t="s">
        <v>161</v>
      </c>
      <c r="B87" s="59"/>
      <c r="C87" s="64" t="s">
        <v>162</v>
      </c>
      <c r="D87" s="57"/>
      <c r="E87" s="57"/>
      <c r="F87" s="57"/>
      <c r="G87" s="57"/>
      <c r="H87" s="57"/>
      <c r="I87" s="57"/>
      <c r="J87" s="62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>
        <f t="shared" si="13"/>
        <v>0</v>
      </c>
    </row>
    <row r="88" spans="1:23" s="63" customFormat="1" ht="11.75" customHeight="1">
      <c r="A88" s="59" t="s">
        <v>163</v>
      </c>
      <c r="B88" s="59"/>
      <c r="C88" s="64" t="s">
        <v>97</v>
      </c>
      <c r="D88" s="57"/>
      <c r="E88" s="57"/>
      <c r="F88" s="57"/>
      <c r="G88" s="57"/>
      <c r="H88" s="57"/>
      <c r="I88" s="57"/>
      <c r="J88" s="62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>
        <f t="shared" si="13"/>
        <v>0</v>
      </c>
    </row>
    <row r="89" spans="1:23" s="63" customFormat="1" ht="11.75" customHeight="1">
      <c r="A89" s="59" t="s">
        <v>164</v>
      </c>
      <c r="B89" s="59"/>
      <c r="C89" s="64" t="s">
        <v>165</v>
      </c>
      <c r="D89" s="57"/>
      <c r="E89" s="57"/>
      <c r="F89" s="57"/>
      <c r="G89" s="57"/>
      <c r="H89" s="57"/>
      <c r="I89" s="57"/>
      <c r="J89" s="62"/>
      <c r="K89" s="47">
        <v>15046</v>
      </c>
      <c r="L89" s="47">
        <v>15046</v>
      </c>
      <c r="M89" s="47">
        <v>15046</v>
      </c>
      <c r="N89" s="47">
        <v>15046</v>
      </c>
      <c r="O89" s="47">
        <v>15046</v>
      </c>
      <c r="P89" s="47">
        <v>15046</v>
      </c>
      <c r="Q89" s="47">
        <v>15046</v>
      </c>
      <c r="R89" s="47">
        <v>15046</v>
      </c>
      <c r="S89" s="47">
        <v>15046</v>
      </c>
      <c r="T89" s="47">
        <v>15046</v>
      </c>
      <c r="U89" s="47">
        <v>15046</v>
      </c>
      <c r="V89" s="47">
        <v>15051</v>
      </c>
      <c r="W89" s="47">
        <f t="shared" si="13"/>
        <v>180557</v>
      </c>
    </row>
    <row r="90" spans="1:23" s="63" customFormat="1" ht="11.75" customHeight="1">
      <c r="A90" s="59" t="s">
        <v>166</v>
      </c>
      <c r="B90" s="59"/>
      <c r="C90" s="64" t="s">
        <v>101</v>
      </c>
      <c r="D90" s="57"/>
      <c r="E90" s="57"/>
      <c r="F90" s="57"/>
      <c r="G90" s="57"/>
      <c r="H90" s="57"/>
      <c r="I90" s="57"/>
      <c r="J90" s="62"/>
      <c r="K90" s="47">
        <v>36748</v>
      </c>
      <c r="L90" s="47">
        <v>36748</v>
      </c>
      <c r="M90" s="47">
        <v>36748</v>
      </c>
      <c r="N90" s="47">
        <v>36748</v>
      </c>
      <c r="O90" s="47">
        <v>36748</v>
      </c>
      <c r="P90" s="47">
        <v>36748</v>
      </c>
      <c r="Q90" s="47">
        <v>36748</v>
      </c>
      <c r="R90" s="47">
        <v>36748</v>
      </c>
      <c r="S90" s="47">
        <v>36748</v>
      </c>
      <c r="T90" s="47">
        <v>36748</v>
      </c>
      <c r="U90" s="47">
        <v>36748</v>
      </c>
      <c r="V90" s="47">
        <v>36765</v>
      </c>
      <c r="W90" s="47">
        <f t="shared" si="13"/>
        <v>440993</v>
      </c>
    </row>
    <row r="91" spans="1:23" s="63" customFormat="1" ht="11.75" customHeight="1">
      <c r="A91" s="59" t="s">
        <v>167</v>
      </c>
      <c r="B91" s="59"/>
      <c r="C91" s="64" t="s">
        <v>103</v>
      </c>
      <c r="D91" s="57"/>
      <c r="E91" s="57"/>
      <c r="F91" s="57"/>
      <c r="G91" s="57"/>
      <c r="H91" s="57"/>
      <c r="I91" s="57"/>
      <c r="J91" s="62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>
        <f t="shared" si="13"/>
        <v>0</v>
      </c>
    </row>
    <row r="92" spans="1:23" s="63" customFormat="1" ht="11.75" customHeight="1">
      <c r="A92" s="59" t="s">
        <v>168</v>
      </c>
      <c r="B92" s="59"/>
      <c r="C92" s="64" t="s">
        <v>169</v>
      </c>
      <c r="D92" s="57"/>
      <c r="E92" s="57"/>
      <c r="F92" s="57"/>
      <c r="G92" s="57"/>
      <c r="H92" s="57"/>
      <c r="I92" s="57"/>
      <c r="J92" s="62"/>
      <c r="K92" s="47">
        <v>5277</v>
      </c>
      <c r="L92" s="47">
        <v>5277</v>
      </c>
      <c r="M92" s="47">
        <v>5277</v>
      </c>
      <c r="N92" s="47">
        <v>5277</v>
      </c>
      <c r="O92" s="47">
        <v>5277</v>
      </c>
      <c r="P92" s="47">
        <v>5277</v>
      </c>
      <c r="Q92" s="47">
        <v>5277</v>
      </c>
      <c r="R92" s="47">
        <v>5277</v>
      </c>
      <c r="S92" s="47">
        <v>5277</v>
      </c>
      <c r="T92" s="47">
        <v>5277</v>
      </c>
      <c r="U92" s="47">
        <v>5277</v>
      </c>
      <c r="V92" s="47">
        <v>5286</v>
      </c>
      <c r="W92" s="47">
        <f t="shared" si="13"/>
        <v>63333</v>
      </c>
    </row>
    <row r="93" spans="1:23" s="63" customFormat="1" ht="11.75" customHeight="1">
      <c r="A93" s="59" t="s">
        <v>170</v>
      </c>
      <c r="B93" s="59"/>
      <c r="C93" s="64" t="s">
        <v>171</v>
      </c>
      <c r="D93" s="57"/>
      <c r="E93" s="57"/>
      <c r="F93" s="57"/>
      <c r="G93" s="57"/>
      <c r="H93" s="57"/>
      <c r="I93" s="57"/>
      <c r="J93" s="62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>
        <f t="shared" si="13"/>
        <v>0</v>
      </c>
    </row>
    <row r="94" spans="1:23" s="63" customFormat="1" ht="11.75" customHeight="1">
      <c r="A94" s="59" t="s">
        <v>172</v>
      </c>
      <c r="B94" s="59"/>
      <c r="C94" s="64" t="s">
        <v>173</v>
      </c>
      <c r="D94" s="57"/>
      <c r="E94" s="57"/>
      <c r="F94" s="57"/>
      <c r="G94" s="57"/>
      <c r="H94" s="57"/>
      <c r="I94" s="57"/>
      <c r="J94" s="62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>
        <f t="shared" si="13"/>
        <v>0</v>
      </c>
    </row>
    <row r="95" spans="1:23" s="63" customFormat="1" ht="11.75" customHeight="1">
      <c r="A95" s="59" t="s">
        <v>174</v>
      </c>
      <c r="B95" s="59"/>
      <c r="C95" s="64" t="s">
        <v>175</v>
      </c>
      <c r="D95" s="57"/>
      <c r="E95" s="57"/>
      <c r="F95" s="57"/>
      <c r="G95" s="57"/>
      <c r="H95" s="57"/>
      <c r="I95" s="57"/>
      <c r="J95" s="62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>
        <f t="shared" si="13"/>
        <v>0</v>
      </c>
    </row>
    <row r="96" spans="1:23" s="63" customFormat="1" ht="11.75" customHeight="1" thickBot="1">
      <c r="A96" s="59" t="s">
        <v>176</v>
      </c>
      <c r="B96" s="59"/>
      <c r="C96" s="64" t="s">
        <v>177</v>
      </c>
      <c r="D96" s="57"/>
      <c r="E96" s="57"/>
      <c r="F96" s="57"/>
      <c r="G96" s="57"/>
      <c r="H96" s="57"/>
      <c r="I96" s="57"/>
      <c r="J96" s="62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>
        <f t="shared" si="13"/>
        <v>0</v>
      </c>
    </row>
    <row r="97" spans="1:23" s="8" customFormat="1" ht="11.75" customHeight="1" thickTop="1" thickBot="1">
      <c r="A97" s="9" t="s">
        <v>178</v>
      </c>
      <c r="B97" s="26" t="s">
        <v>179</v>
      </c>
      <c r="C97" s="27"/>
      <c r="D97" s="27"/>
      <c r="E97" s="27"/>
      <c r="F97" s="27"/>
      <c r="G97" s="27"/>
      <c r="H97" s="27"/>
      <c r="I97" s="27"/>
      <c r="J97" s="28"/>
      <c r="K97" s="29">
        <f>K37+K19+K85</f>
        <v>246171</v>
      </c>
      <c r="L97" s="29">
        <f t="shared" ref="L97:V97" si="17">L37+L19+L85</f>
        <v>678344</v>
      </c>
      <c r="M97" s="29">
        <f t="shared" si="17"/>
        <v>933416</v>
      </c>
      <c r="N97" s="29">
        <f t="shared" si="17"/>
        <v>822208</v>
      </c>
      <c r="O97" s="29">
        <f t="shared" si="17"/>
        <v>836434</v>
      </c>
      <c r="P97" s="29">
        <f t="shared" si="17"/>
        <v>834320</v>
      </c>
      <c r="Q97" s="29">
        <f t="shared" si="17"/>
        <v>764813</v>
      </c>
      <c r="R97" s="29">
        <f t="shared" si="17"/>
        <v>700558</v>
      </c>
      <c r="S97" s="29">
        <f t="shared" si="17"/>
        <v>742452</v>
      </c>
      <c r="T97" s="29">
        <f t="shared" si="17"/>
        <v>839598</v>
      </c>
      <c r="U97" s="29">
        <f t="shared" si="17"/>
        <v>846351</v>
      </c>
      <c r="V97" s="29">
        <f t="shared" si="17"/>
        <v>1346823</v>
      </c>
      <c r="W97" s="29">
        <f t="shared" si="13"/>
        <v>9591488</v>
      </c>
    </row>
    <row r="98" spans="1:23" s="8" customFormat="1" ht="11.75" customHeight="1" thickBot="1">
      <c r="A98" s="9" t="s">
        <v>180</v>
      </c>
      <c r="B98" s="30" t="s">
        <v>181</v>
      </c>
      <c r="C98" s="31"/>
      <c r="D98" s="31"/>
      <c r="E98" s="31"/>
      <c r="F98" s="31"/>
      <c r="G98" s="31"/>
      <c r="H98" s="31"/>
      <c r="I98" s="31"/>
      <c r="J98" s="32"/>
      <c r="K98" s="33">
        <f>K18-K97</f>
        <v>-469877</v>
      </c>
      <c r="L98" s="33">
        <f t="shared" ref="L98:V98" si="18">L18-L97</f>
        <v>-437353</v>
      </c>
      <c r="M98" s="33">
        <f t="shared" si="18"/>
        <v>-1097498</v>
      </c>
      <c r="N98" s="33">
        <f t="shared" si="18"/>
        <v>-1393356</v>
      </c>
      <c r="O98" s="33">
        <f t="shared" si="18"/>
        <v>-945476</v>
      </c>
      <c r="P98" s="33">
        <f t="shared" si="18"/>
        <v>-948852</v>
      </c>
      <c r="Q98" s="33">
        <f t="shared" si="18"/>
        <v>-826189</v>
      </c>
      <c r="R98" s="33">
        <f t="shared" si="18"/>
        <v>-721447</v>
      </c>
      <c r="S98" s="33">
        <f t="shared" si="18"/>
        <v>-893506</v>
      </c>
      <c r="T98" s="33">
        <f t="shared" si="18"/>
        <v>-87929.400000000023</v>
      </c>
      <c r="U98" s="33">
        <f t="shared" si="18"/>
        <v>-341706</v>
      </c>
      <c r="V98" s="33">
        <f t="shared" si="18"/>
        <v>-891801</v>
      </c>
      <c r="W98" s="33">
        <f t="shared" si="13"/>
        <v>-9054990.4000000004</v>
      </c>
    </row>
    <row r="99" spans="1:23" s="8" customFormat="1" ht="11.75" customHeight="1">
      <c r="A99" s="9" t="s">
        <v>182</v>
      </c>
      <c r="B99" s="34" t="s">
        <v>183</v>
      </c>
      <c r="C99" s="35"/>
      <c r="D99" s="35"/>
      <c r="E99" s="35"/>
      <c r="F99" s="35"/>
      <c r="G99" s="35"/>
      <c r="H99" s="35"/>
      <c r="I99" s="35"/>
      <c r="J99" s="36"/>
      <c r="K99" s="37">
        <f>SUM(K100,K104:K106)</f>
        <v>0</v>
      </c>
      <c r="L99" s="37">
        <f t="shared" ref="L99:V99" si="19">SUM(L100,L104:L106)</f>
        <v>0</v>
      </c>
      <c r="M99" s="37">
        <f t="shared" si="19"/>
        <v>0</v>
      </c>
      <c r="N99" s="37">
        <f t="shared" si="19"/>
        <v>0</v>
      </c>
      <c r="O99" s="37">
        <f t="shared" si="19"/>
        <v>0</v>
      </c>
      <c r="P99" s="37">
        <f t="shared" si="19"/>
        <v>17728</v>
      </c>
      <c r="Q99" s="37">
        <f t="shared" si="19"/>
        <v>0</v>
      </c>
      <c r="R99" s="37">
        <f t="shared" si="19"/>
        <v>0</v>
      </c>
      <c r="S99" s="37">
        <f t="shared" si="19"/>
        <v>0</v>
      </c>
      <c r="T99" s="37">
        <f t="shared" si="19"/>
        <v>0</v>
      </c>
      <c r="U99" s="37">
        <f t="shared" si="19"/>
        <v>0</v>
      </c>
      <c r="V99" s="37">
        <f t="shared" si="19"/>
        <v>0</v>
      </c>
      <c r="W99" s="37">
        <f t="shared" si="13"/>
        <v>17728</v>
      </c>
    </row>
    <row r="100" spans="1:23" s="8" customFormat="1" ht="11.75" customHeight="1">
      <c r="A100" s="9" t="s">
        <v>184</v>
      </c>
      <c r="B100" s="3"/>
      <c r="C100" s="10" t="s">
        <v>185</v>
      </c>
      <c r="D100" s="2"/>
      <c r="E100" s="2"/>
      <c r="F100" s="2"/>
      <c r="G100" s="2"/>
      <c r="H100" s="2"/>
      <c r="I100" s="2"/>
      <c r="J100" s="11"/>
      <c r="K100" s="12">
        <f>SUM(K101:K103)</f>
        <v>0</v>
      </c>
      <c r="L100" s="12">
        <f t="shared" ref="L100:V100" si="20">SUM(L101:L103)</f>
        <v>0</v>
      </c>
      <c r="M100" s="12">
        <f t="shared" si="20"/>
        <v>0</v>
      </c>
      <c r="N100" s="12">
        <f t="shared" si="20"/>
        <v>0</v>
      </c>
      <c r="O100" s="12">
        <f t="shared" si="20"/>
        <v>0</v>
      </c>
      <c r="P100" s="12">
        <f t="shared" si="20"/>
        <v>0</v>
      </c>
      <c r="Q100" s="12">
        <f t="shared" si="20"/>
        <v>0</v>
      </c>
      <c r="R100" s="12">
        <f t="shared" si="20"/>
        <v>0</v>
      </c>
      <c r="S100" s="12">
        <f t="shared" si="20"/>
        <v>0</v>
      </c>
      <c r="T100" s="12">
        <f t="shared" si="20"/>
        <v>0</v>
      </c>
      <c r="U100" s="12">
        <f t="shared" si="20"/>
        <v>0</v>
      </c>
      <c r="V100" s="12">
        <f t="shared" si="20"/>
        <v>0</v>
      </c>
      <c r="W100" s="12">
        <f t="shared" si="13"/>
        <v>0</v>
      </c>
    </row>
    <row r="101" spans="1:23" s="63" customFormat="1" ht="11.75" customHeight="1">
      <c r="A101" s="59" t="s">
        <v>186</v>
      </c>
      <c r="B101" s="59"/>
      <c r="C101" s="59"/>
      <c r="D101" s="64" t="s">
        <v>187</v>
      </c>
      <c r="E101" s="57"/>
      <c r="F101" s="57"/>
      <c r="G101" s="57"/>
      <c r="H101" s="57"/>
      <c r="I101" s="57"/>
      <c r="J101" s="62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>
        <f t="shared" si="13"/>
        <v>0</v>
      </c>
    </row>
    <row r="102" spans="1:23" s="63" customFormat="1" ht="11.75" customHeight="1">
      <c r="A102" s="59" t="s">
        <v>188</v>
      </c>
      <c r="B102" s="59"/>
      <c r="C102" s="59"/>
      <c r="D102" s="64" t="s">
        <v>189</v>
      </c>
      <c r="E102" s="57"/>
      <c r="F102" s="57"/>
      <c r="G102" s="57"/>
      <c r="H102" s="57"/>
      <c r="I102" s="57"/>
      <c r="J102" s="62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>
        <f t="shared" si="13"/>
        <v>0</v>
      </c>
    </row>
    <row r="103" spans="1:23" s="63" customFormat="1" ht="11.75" customHeight="1">
      <c r="A103" s="59" t="s">
        <v>190</v>
      </c>
      <c r="B103" s="59"/>
      <c r="C103" s="59"/>
      <c r="D103" s="64" t="s">
        <v>191</v>
      </c>
      <c r="E103" s="57"/>
      <c r="F103" s="57"/>
      <c r="G103" s="57"/>
      <c r="H103" s="57"/>
      <c r="I103" s="57"/>
      <c r="J103" s="62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>
        <f t="shared" si="13"/>
        <v>0</v>
      </c>
    </row>
    <row r="104" spans="1:23" s="63" customFormat="1" ht="11.75" customHeight="1">
      <c r="A104" s="59" t="s">
        <v>192</v>
      </c>
      <c r="B104" s="59"/>
      <c r="C104" s="64" t="s">
        <v>193</v>
      </c>
      <c r="D104" s="57"/>
      <c r="E104" s="57"/>
      <c r="F104" s="57"/>
      <c r="G104" s="57"/>
      <c r="H104" s="57"/>
      <c r="I104" s="57"/>
      <c r="J104" s="62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>
        <f t="shared" si="13"/>
        <v>0</v>
      </c>
    </row>
    <row r="105" spans="1:23" s="63" customFormat="1" ht="11.75" customHeight="1">
      <c r="A105" s="59" t="s">
        <v>194</v>
      </c>
      <c r="B105" s="59"/>
      <c r="C105" s="64" t="s">
        <v>195</v>
      </c>
      <c r="D105" s="57"/>
      <c r="E105" s="57"/>
      <c r="F105" s="57"/>
      <c r="G105" s="57"/>
      <c r="H105" s="57"/>
      <c r="I105" s="57"/>
      <c r="J105" s="62"/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17728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f t="shared" si="13"/>
        <v>17728</v>
      </c>
    </row>
    <row r="106" spans="1:23" s="63" customFormat="1" ht="11.75" customHeight="1">
      <c r="A106" s="59" t="s">
        <v>196</v>
      </c>
      <c r="B106" s="59"/>
      <c r="C106" s="64" t="s">
        <v>191</v>
      </c>
      <c r="D106" s="57"/>
      <c r="E106" s="57"/>
      <c r="F106" s="57"/>
      <c r="G106" s="57"/>
      <c r="H106" s="57"/>
      <c r="I106" s="57"/>
      <c r="J106" s="62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>
        <f t="shared" si="13"/>
        <v>0</v>
      </c>
    </row>
    <row r="107" spans="1:23" s="8" customFormat="1" ht="11.75" customHeight="1">
      <c r="A107" s="9" t="s">
        <v>197</v>
      </c>
      <c r="B107" s="38" t="s">
        <v>198</v>
      </c>
      <c r="C107" s="39"/>
      <c r="D107" s="39"/>
      <c r="E107" s="39"/>
      <c r="F107" s="39"/>
      <c r="G107" s="39"/>
      <c r="H107" s="39"/>
      <c r="I107" s="39"/>
      <c r="J107" s="40"/>
      <c r="K107" s="41">
        <f>SUM(K108:K110)</f>
        <v>0</v>
      </c>
      <c r="L107" s="41">
        <f t="shared" ref="L107:V107" si="21">SUM(L108:L110)</f>
        <v>0</v>
      </c>
      <c r="M107" s="41">
        <f t="shared" si="21"/>
        <v>0</v>
      </c>
      <c r="N107" s="41">
        <f t="shared" si="21"/>
        <v>0</v>
      </c>
      <c r="O107" s="41">
        <f t="shared" si="21"/>
        <v>0</v>
      </c>
      <c r="P107" s="41">
        <f t="shared" si="21"/>
        <v>0</v>
      </c>
      <c r="Q107" s="41">
        <f t="shared" si="21"/>
        <v>0</v>
      </c>
      <c r="R107" s="41">
        <f t="shared" si="21"/>
        <v>0</v>
      </c>
      <c r="S107" s="41">
        <f t="shared" si="21"/>
        <v>0</v>
      </c>
      <c r="T107" s="41">
        <f t="shared" si="21"/>
        <v>0</v>
      </c>
      <c r="U107" s="41">
        <f t="shared" si="21"/>
        <v>0</v>
      </c>
      <c r="V107" s="41">
        <f t="shared" si="21"/>
        <v>0</v>
      </c>
      <c r="W107" s="41">
        <f t="shared" si="13"/>
        <v>0</v>
      </c>
    </row>
    <row r="108" spans="1:23" s="63" customFormat="1" ht="11.75" customHeight="1">
      <c r="A108" s="59" t="s">
        <v>199</v>
      </c>
      <c r="B108" s="60"/>
      <c r="C108" s="61" t="s">
        <v>200</v>
      </c>
      <c r="D108" s="57"/>
      <c r="E108" s="57"/>
      <c r="F108" s="57"/>
      <c r="G108" s="57"/>
      <c r="H108" s="57"/>
      <c r="I108" s="57"/>
      <c r="J108" s="62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>
        <f t="shared" si="13"/>
        <v>0</v>
      </c>
    </row>
    <row r="109" spans="1:23" s="63" customFormat="1" ht="11.75" customHeight="1">
      <c r="A109" s="59" t="s">
        <v>201</v>
      </c>
      <c r="B109" s="59"/>
      <c r="C109" s="64" t="s">
        <v>202</v>
      </c>
      <c r="D109" s="57"/>
      <c r="E109" s="57"/>
      <c r="F109" s="57"/>
      <c r="G109" s="57"/>
      <c r="H109" s="57"/>
      <c r="I109" s="57"/>
      <c r="J109" s="62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>
        <f t="shared" si="13"/>
        <v>0</v>
      </c>
    </row>
    <row r="110" spans="1:23" s="63" customFormat="1" ht="11.75" customHeight="1" thickBot="1">
      <c r="A110" s="59" t="s">
        <v>203</v>
      </c>
      <c r="B110" s="59"/>
      <c r="C110" s="64" t="s">
        <v>191</v>
      </c>
      <c r="D110" s="57"/>
      <c r="E110" s="57"/>
      <c r="F110" s="57"/>
      <c r="G110" s="57"/>
      <c r="H110" s="57"/>
      <c r="I110" s="57"/>
      <c r="J110" s="62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>
        <f t="shared" si="13"/>
        <v>0</v>
      </c>
    </row>
    <row r="111" spans="1:23" s="8" customFormat="1" ht="11.75" customHeight="1" thickBot="1">
      <c r="A111" s="9" t="s">
        <v>204</v>
      </c>
      <c r="B111" s="30" t="s">
        <v>205</v>
      </c>
      <c r="C111" s="31"/>
      <c r="D111" s="31"/>
      <c r="E111" s="31"/>
      <c r="F111" s="31"/>
      <c r="G111" s="31"/>
      <c r="H111" s="31"/>
      <c r="I111" s="31"/>
      <c r="J111" s="32"/>
      <c r="K111" s="33">
        <f>K98+K99-K107</f>
        <v>-469877</v>
      </c>
      <c r="L111" s="33">
        <f t="shared" ref="L111:V111" si="22">L98+L99-L107</f>
        <v>-437353</v>
      </c>
      <c r="M111" s="33">
        <f t="shared" si="22"/>
        <v>-1097498</v>
      </c>
      <c r="N111" s="33">
        <f t="shared" si="22"/>
        <v>-1393356</v>
      </c>
      <c r="O111" s="33">
        <f t="shared" si="22"/>
        <v>-945476</v>
      </c>
      <c r="P111" s="33">
        <f t="shared" si="22"/>
        <v>-931124</v>
      </c>
      <c r="Q111" s="33">
        <f t="shared" si="22"/>
        <v>-826189</v>
      </c>
      <c r="R111" s="33">
        <f t="shared" si="22"/>
        <v>-721447</v>
      </c>
      <c r="S111" s="33">
        <f t="shared" si="22"/>
        <v>-893506</v>
      </c>
      <c r="T111" s="33">
        <f t="shared" si="22"/>
        <v>-87929.400000000023</v>
      </c>
      <c r="U111" s="33">
        <f t="shared" si="22"/>
        <v>-341706</v>
      </c>
      <c r="V111" s="33">
        <f t="shared" si="22"/>
        <v>-891801</v>
      </c>
      <c r="W111" s="33">
        <f t="shared" si="13"/>
        <v>-9037262.4000000004</v>
      </c>
    </row>
    <row r="112" spans="1:23" s="8" customFormat="1" ht="11.75" customHeight="1">
      <c r="A112" s="9" t="s">
        <v>206</v>
      </c>
      <c r="B112" s="34" t="s">
        <v>207</v>
      </c>
      <c r="C112" s="35"/>
      <c r="D112" s="35"/>
      <c r="E112" s="35"/>
      <c r="F112" s="35"/>
      <c r="G112" s="35"/>
      <c r="H112" s="35"/>
      <c r="I112" s="35"/>
      <c r="J112" s="36"/>
      <c r="K112" s="37">
        <f>SUM(K113:K114)</f>
        <v>0</v>
      </c>
      <c r="L112" s="37">
        <f t="shared" ref="L112:V112" si="23">SUM(L113:L114)</f>
        <v>0</v>
      </c>
      <c r="M112" s="37">
        <f t="shared" si="23"/>
        <v>0</v>
      </c>
      <c r="N112" s="37">
        <f t="shared" si="23"/>
        <v>0</v>
      </c>
      <c r="O112" s="37">
        <f t="shared" si="23"/>
        <v>0</v>
      </c>
      <c r="P112" s="37">
        <f t="shared" si="23"/>
        <v>0</v>
      </c>
      <c r="Q112" s="37">
        <f t="shared" si="23"/>
        <v>0</v>
      </c>
      <c r="R112" s="37">
        <f t="shared" si="23"/>
        <v>0</v>
      </c>
      <c r="S112" s="37">
        <f t="shared" si="23"/>
        <v>0</v>
      </c>
      <c r="T112" s="37">
        <f t="shared" si="23"/>
        <v>0</v>
      </c>
      <c r="U112" s="37">
        <f t="shared" si="23"/>
        <v>0</v>
      </c>
      <c r="V112" s="37">
        <f t="shared" si="23"/>
        <v>0</v>
      </c>
      <c r="W112" s="37">
        <f t="shared" si="13"/>
        <v>0</v>
      </c>
    </row>
    <row r="113" spans="1:23" s="63" customFormat="1" ht="11.75" customHeight="1">
      <c r="A113" s="59" t="s">
        <v>208</v>
      </c>
      <c r="B113" s="60"/>
      <c r="C113" s="61" t="s">
        <v>209</v>
      </c>
      <c r="D113" s="57"/>
      <c r="E113" s="57"/>
      <c r="F113" s="57"/>
      <c r="G113" s="57"/>
      <c r="H113" s="57"/>
      <c r="I113" s="57"/>
      <c r="J113" s="62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>
        <f t="shared" si="13"/>
        <v>0</v>
      </c>
    </row>
    <row r="114" spans="1:23" s="63" customFormat="1" ht="11.75" customHeight="1">
      <c r="A114" s="59" t="s">
        <v>210</v>
      </c>
      <c r="B114" s="59"/>
      <c r="C114" s="64" t="s">
        <v>191</v>
      </c>
      <c r="D114" s="57"/>
      <c r="E114" s="57"/>
      <c r="F114" s="57"/>
      <c r="G114" s="57"/>
      <c r="H114" s="57"/>
      <c r="I114" s="57"/>
      <c r="J114" s="62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>
        <f t="shared" si="13"/>
        <v>0</v>
      </c>
    </row>
    <row r="115" spans="1:23" s="8" customFormat="1" ht="11.75" customHeight="1">
      <c r="A115" s="9" t="s">
        <v>211</v>
      </c>
      <c r="B115" s="38" t="s">
        <v>212</v>
      </c>
      <c r="C115" s="39"/>
      <c r="D115" s="39"/>
      <c r="E115" s="39"/>
      <c r="F115" s="39"/>
      <c r="G115" s="39"/>
      <c r="H115" s="39"/>
      <c r="I115" s="39"/>
      <c r="J115" s="40"/>
      <c r="K115" s="41">
        <f>SUM(K116:K117)</f>
        <v>0</v>
      </c>
      <c r="L115" s="41">
        <f t="shared" ref="L115:V115" si="24">SUM(L116:L117)</f>
        <v>0</v>
      </c>
      <c r="M115" s="41">
        <f t="shared" si="24"/>
        <v>0</v>
      </c>
      <c r="N115" s="41">
        <f t="shared" si="24"/>
        <v>0</v>
      </c>
      <c r="O115" s="41">
        <f t="shared" si="24"/>
        <v>0</v>
      </c>
      <c r="P115" s="41">
        <f t="shared" si="24"/>
        <v>0</v>
      </c>
      <c r="Q115" s="41">
        <f t="shared" si="24"/>
        <v>0</v>
      </c>
      <c r="R115" s="41">
        <f t="shared" si="24"/>
        <v>0</v>
      </c>
      <c r="S115" s="41">
        <f t="shared" si="24"/>
        <v>0</v>
      </c>
      <c r="T115" s="41">
        <f t="shared" si="24"/>
        <v>0</v>
      </c>
      <c r="U115" s="41">
        <f t="shared" si="24"/>
        <v>0</v>
      </c>
      <c r="V115" s="41">
        <f t="shared" si="24"/>
        <v>0</v>
      </c>
      <c r="W115" s="41">
        <f t="shared" si="13"/>
        <v>0</v>
      </c>
    </row>
    <row r="116" spans="1:23" s="63" customFormat="1" ht="11.75" customHeight="1">
      <c r="A116" s="59" t="s">
        <v>213</v>
      </c>
      <c r="B116" s="60"/>
      <c r="C116" s="61" t="s">
        <v>214</v>
      </c>
      <c r="D116" s="57"/>
      <c r="E116" s="57"/>
      <c r="F116" s="57"/>
      <c r="G116" s="57"/>
      <c r="H116" s="57"/>
      <c r="I116" s="57"/>
      <c r="J116" s="62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>
        <f t="shared" si="13"/>
        <v>0</v>
      </c>
    </row>
    <row r="117" spans="1:23" s="63" customFormat="1" ht="11.75" customHeight="1" thickBot="1">
      <c r="A117" s="59" t="s">
        <v>215</v>
      </c>
      <c r="B117" s="59"/>
      <c r="C117" s="64" t="s">
        <v>191</v>
      </c>
      <c r="D117" s="57"/>
      <c r="E117" s="57"/>
      <c r="F117" s="57"/>
      <c r="G117" s="57"/>
      <c r="H117" s="57"/>
      <c r="I117" s="57"/>
      <c r="J117" s="62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>
        <f t="shared" si="13"/>
        <v>0</v>
      </c>
    </row>
    <row r="118" spans="1:23" s="8" customFormat="1" ht="11.75" customHeight="1">
      <c r="A118" s="42" t="s">
        <v>238</v>
      </c>
      <c r="B118" s="43" t="s">
        <v>217</v>
      </c>
      <c r="C118" s="44"/>
      <c r="D118" s="44"/>
      <c r="E118" s="44"/>
      <c r="F118" s="44"/>
      <c r="G118" s="44"/>
      <c r="H118" s="44"/>
      <c r="I118" s="44"/>
      <c r="J118" s="45"/>
      <c r="K118" s="46">
        <f>K111+K112-K115</f>
        <v>-469877</v>
      </c>
      <c r="L118" s="46">
        <f t="shared" ref="L118:V118" si="25">L111+L112-L115</f>
        <v>-437353</v>
      </c>
      <c r="M118" s="46">
        <f t="shared" si="25"/>
        <v>-1097498</v>
      </c>
      <c r="N118" s="46">
        <f t="shared" si="25"/>
        <v>-1393356</v>
      </c>
      <c r="O118" s="46">
        <f t="shared" si="25"/>
        <v>-945476</v>
      </c>
      <c r="P118" s="46">
        <f t="shared" si="25"/>
        <v>-931124</v>
      </c>
      <c r="Q118" s="46">
        <f t="shared" si="25"/>
        <v>-826189</v>
      </c>
      <c r="R118" s="46">
        <f t="shared" si="25"/>
        <v>-721447</v>
      </c>
      <c r="S118" s="46">
        <f t="shared" si="25"/>
        <v>-893506</v>
      </c>
      <c r="T118" s="46">
        <f t="shared" si="25"/>
        <v>-87929.400000000023</v>
      </c>
      <c r="U118" s="46">
        <f t="shared" si="25"/>
        <v>-341706</v>
      </c>
      <c r="V118" s="46">
        <f t="shared" si="25"/>
        <v>-891801</v>
      </c>
      <c r="W118" s="46">
        <f t="shared" si="13"/>
        <v>-9037262.4000000004</v>
      </c>
    </row>
  </sheetData>
  <mergeCells count="2">
    <mergeCell ref="A4:A5"/>
    <mergeCell ref="B4:J5"/>
  </mergeCells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383C-0CDC-4612-9297-A629241D744F}">
  <dimension ref="A1:X118"/>
  <sheetViews>
    <sheetView showGridLines="0" zoomScaleNormal="100" workbookViewId="0">
      <pane xSplit="10" ySplit="5" topLeftCell="K6" activePane="bottomRight" state="frozen"/>
      <selection activeCell="Q127" sqref="Q127"/>
      <selection pane="topRight" activeCell="Q127" sqref="Q127"/>
      <selection pane="bottomLeft" activeCell="Q127" sqref="Q127"/>
      <selection pane="bottomRight" activeCell="X90" sqref="X90"/>
    </sheetView>
  </sheetViews>
  <sheetFormatPr baseColWidth="10" defaultColWidth="9" defaultRowHeight="18"/>
  <cols>
    <col min="1" max="1" width="5.83203125" style="49" customWidth="1"/>
    <col min="2" max="8" width="2.33203125" style="49" customWidth="1"/>
    <col min="9" max="9" width="2.1640625" style="49" customWidth="1"/>
    <col min="10" max="10" width="0" style="49" hidden="1" customWidth="1"/>
    <col min="11" max="16" width="12.1640625" style="49" bestFit="1" customWidth="1"/>
    <col min="17" max="19" width="13" style="49" bestFit="1" customWidth="1"/>
    <col min="20" max="22" width="12.1640625" style="49" bestFit="1" customWidth="1"/>
    <col min="23" max="23" width="12.1640625" style="51" bestFit="1" customWidth="1"/>
    <col min="24" max="24" width="10.5" style="51" bestFit="1" customWidth="1"/>
    <col min="25" max="16384" width="9" style="51"/>
  </cols>
  <sheetData>
    <row r="1" spans="1:24" ht="20" customHeight="1">
      <c r="A1" s="56" t="s">
        <v>258</v>
      </c>
      <c r="X1" s="137">
        <f>SUM(K6:P6)</f>
        <v>13846055</v>
      </c>
    </row>
    <row r="3" spans="1:24" ht="11.75" customHeight="1">
      <c r="A3" s="57" t="s">
        <v>221</v>
      </c>
    </row>
    <row r="4" spans="1:24" s="58" customFormat="1" ht="11.75" customHeight="1">
      <c r="A4" s="177" t="s">
        <v>0</v>
      </c>
      <c r="B4" s="179" t="s">
        <v>1</v>
      </c>
      <c r="C4" s="180"/>
      <c r="D4" s="180"/>
      <c r="E4" s="180"/>
      <c r="F4" s="180"/>
      <c r="G4" s="180"/>
      <c r="H4" s="180"/>
      <c r="I4" s="180"/>
      <c r="J4" s="181"/>
      <c r="K4" s="55" t="s">
        <v>226</v>
      </c>
      <c r="L4" s="55" t="s">
        <v>227</v>
      </c>
      <c r="M4" s="55" t="s">
        <v>228</v>
      </c>
      <c r="N4" s="55" t="s">
        <v>229</v>
      </c>
      <c r="O4" s="55" t="s">
        <v>230</v>
      </c>
      <c r="P4" s="55" t="s">
        <v>231</v>
      </c>
      <c r="Q4" s="55" t="s">
        <v>232</v>
      </c>
      <c r="R4" s="55" t="s">
        <v>233</v>
      </c>
      <c r="S4" s="55" t="s">
        <v>234</v>
      </c>
      <c r="T4" s="55" t="s">
        <v>235</v>
      </c>
      <c r="U4" s="55" t="s">
        <v>236</v>
      </c>
      <c r="V4" s="55" t="s">
        <v>237</v>
      </c>
      <c r="W4" s="52" t="s">
        <v>225</v>
      </c>
    </row>
    <row r="5" spans="1:24" s="58" customFormat="1" ht="25.5" customHeight="1">
      <c r="A5" s="178"/>
      <c r="B5" s="182"/>
      <c r="C5" s="183"/>
      <c r="D5" s="183"/>
      <c r="E5" s="183"/>
      <c r="F5" s="183"/>
      <c r="G5" s="183"/>
      <c r="H5" s="183"/>
      <c r="I5" s="183"/>
      <c r="J5" s="184"/>
      <c r="K5" s="50" t="s">
        <v>2</v>
      </c>
      <c r="L5" s="50" t="s">
        <v>2</v>
      </c>
      <c r="M5" s="50" t="s">
        <v>2</v>
      </c>
      <c r="N5" s="50" t="s">
        <v>2</v>
      </c>
      <c r="O5" s="50" t="s">
        <v>2</v>
      </c>
      <c r="P5" s="50" t="s">
        <v>2</v>
      </c>
      <c r="Q5" s="50" t="s">
        <v>2</v>
      </c>
      <c r="R5" s="50" t="s">
        <v>2</v>
      </c>
      <c r="S5" s="50" t="s">
        <v>2</v>
      </c>
      <c r="T5" s="50" t="s">
        <v>2</v>
      </c>
      <c r="U5" s="50" t="s">
        <v>2</v>
      </c>
      <c r="V5" s="50" t="s">
        <v>2</v>
      </c>
      <c r="W5" s="50" t="s">
        <v>2</v>
      </c>
    </row>
    <row r="6" spans="1:24" s="8" customFormat="1" ht="11.75" customHeight="1">
      <c r="A6" s="3" t="s">
        <v>3</v>
      </c>
      <c r="B6" s="4" t="s">
        <v>4</v>
      </c>
      <c r="C6" s="5"/>
      <c r="D6" s="5"/>
      <c r="E6" s="5"/>
      <c r="F6" s="5"/>
      <c r="G6" s="5"/>
      <c r="H6" s="5"/>
      <c r="I6" s="5"/>
      <c r="J6" s="6"/>
      <c r="K6" s="7">
        <f>SUM(K7:K16)</f>
        <v>816554</v>
      </c>
      <c r="L6" s="7">
        <f t="shared" ref="L6:V6" si="0">SUM(L7:L16)</f>
        <v>2186335</v>
      </c>
      <c r="M6" s="7">
        <f t="shared" si="0"/>
        <v>2618073</v>
      </c>
      <c r="N6" s="7">
        <f t="shared" si="0"/>
        <v>2913199</v>
      </c>
      <c r="O6" s="7">
        <f t="shared" si="0"/>
        <v>3029520</v>
      </c>
      <c r="P6" s="7">
        <f t="shared" si="0"/>
        <v>2282374</v>
      </c>
      <c r="Q6" s="7">
        <f t="shared" si="0"/>
        <v>1850869</v>
      </c>
      <c r="R6" s="7">
        <f t="shared" si="0"/>
        <v>1042130</v>
      </c>
      <c r="S6" s="7">
        <f t="shared" si="0"/>
        <v>1008159</v>
      </c>
      <c r="T6" s="7">
        <f t="shared" si="0"/>
        <v>399390</v>
      </c>
      <c r="U6" s="7">
        <f t="shared" si="0"/>
        <v>1020355</v>
      </c>
      <c r="V6" s="7">
        <f t="shared" si="0"/>
        <v>998850</v>
      </c>
      <c r="W6" s="7">
        <f>SUM(K6:V6)</f>
        <v>20165808</v>
      </c>
    </row>
    <row r="7" spans="1:24" s="63" customFormat="1" ht="11.75" customHeight="1">
      <c r="A7" s="59" t="s">
        <v>5</v>
      </c>
      <c r="B7" s="60"/>
      <c r="C7" s="61" t="s">
        <v>6</v>
      </c>
      <c r="D7" s="57"/>
      <c r="E7" s="57"/>
      <c r="F7" s="57"/>
      <c r="G7" s="57"/>
      <c r="H7" s="57"/>
      <c r="I7" s="57"/>
      <c r="J7" s="62"/>
      <c r="K7" s="47">
        <v>816554</v>
      </c>
      <c r="L7" s="47">
        <v>2186335</v>
      </c>
      <c r="M7" s="47">
        <v>2618073</v>
      </c>
      <c r="N7" s="47">
        <v>2913199</v>
      </c>
      <c r="O7" s="47">
        <v>3029520</v>
      </c>
      <c r="P7" s="47">
        <v>2282374</v>
      </c>
      <c r="Q7" s="47">
        <v>1850869</v>
      </c>
      <c r="R7" s="47">
        <v>1042130</v>
      </c>
      <c r="S7" s="47">
        <v>1008159</v>
      </c>
      <c r="T7" s="47">
        <v>399390</v>
      </c>
      <c r="U7" s="47">
        <v>1020355</v>
      </c>
      <c r="V7" s="47">
        <v>998850</v>
      </c>
      <c r="W7" s="47">
        <f t="shared" ref="W7:W70" si="1">SUM(K7:V7)</f>
        <v>20165808</v>
      </c>
    </row>
    <row r="8" spans="1:24" s="63" customFormat="1" ht="11.75" customHeight="1">
      <c r="A8" s="59" t="s">
        <v>7</v>
      </c>
      <c r="B8" s="59"/>
      <c r="C8" s="64" t="s">
        <v>8</v>
      </c>
      <c r="D8" s="57"/>
      <c r="E8" s="57"/>
      <c r="F8" s="57"/>
      <c r="G8" s="57"/>
      <c r="H8" s="57"/>
      <c r="I8" s="57"/>
      <c r="J8" s="62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>
        <f t="shared" si="1"/>
        <v>0</v>
      </c>
    </row>
    <row r="9" spans="1:24" s="63" customFormat="1" ht="11.75" customHeight="1">
      <c r="A9" s="59" t="s">
        <v>9</v>
      </c>
      <c r="B9" s="59"/>
      <c r="C9" s="64" t="s">
        <v>10</v>
      </c>
      <c r="D9" s="57"/>
      <c r="E9" s="57"/>
      <c r="F9" s="57"/>
      <c r="G9" s="57"/>
      <c r="H9" s="57"/>
      <c r="I9" s="57"/>
      <c r="J9" s="62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>
        <f t="shared" si="1"/>
        <v>0</v>
      </c>
    </row>
    <row r="10" spans="1:24" s="63" customFormat="1" ht="11.75" customHeight="1">
      <c r="A10" s="59" t="s">
        <v>11</v>
      </c>
      <c r="B10" s="59"/>
      <c r="C10" s="64" t="s">
        <v>12</v>
      </c>
      <c r="D10" s="57"/>
      <c r="E10" s="57"/>
      <c r="F10" s="57"/>
      <c r="G10" s="57"/>
      <c r="H10" s="57"/>
      <c r="I10" s="57"/>
      <c r="J10" s="62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>
        <f t="shared" si="1"/>
        <v>0</v>
      </c>
    </row>
    <row r="11" spans="1:24" s="63" customFormat="1" ht="11.75" customHeight="1">
      <c r="A11" s="59" t="s">
        <v>13</v>
      </c>
      <c r="B11" s="59"/>
      <c r="C11" s="64" t="s">
        <v>14</v>
      </c>
      <c r="D11" s="57"/>
      <c r="E11" s="57"/>
      <c r="F11" s="57"/>
      <c r="G11" s="57"/>
      <c r="H11" s="57"/>
      <c r="I11" s="57"/>
      <c r="J11" s="62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>
        <f t="shared" si="1"/>
        <v>0</v>
      </c>
    </row>
    <row r="12" spans="1:24" s="63" customFormat="1" ht="11.75" customHeight="1">
      <c r="A12" s="59" t="s">
        <v>15</v>
      </c>
      <c r="B12" s="59"/>
      <c r="C12" s="64" t="s">
        <v>16</v>
      </c>
      <c r="D12" s="57"/>
      <c r="E12" s="57"/>
      <c r="F12" s="57"/>
      <c r="G12" s="57"/>
      <c r="H12" s="57"/>
      <c r="I12" s="57"/>
      <c r="J12" s="62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>
        <f t="shared" si="1"/>
        <v>0</v>
      </c>
    </row>
    <row r="13" spans="1:24" s="63" customFormat="1" ht="11.75" customHeight="1">
      <c r="A13" s="59" t="s">
        <v>17</v>
      </c>
      <c r="B13" s="59"/>
      <c r="C13" s="64" t="s">
        <v>18</v>
      </c>
      <c r="D13" s="57"/>
      <c r="E13" s="57"/>
      <c r="F13" s="57"/>
      <c r="G13" s="57"/>
      <c r="H13" s="57"/>
      <c r="I13" s="57"/>
      <c r="J13" s="62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>
        <f t="shared" si="1"/>
        <v>0</v>
      </c>
    </row>
    <row r="14" spans="1:24" s="63" customFormat="1" ht="11.75" customHeight="1">
      <c r="A14" s="59" t="s">
        <v>19</v>
      </c>
      <c r="B14" s="59"/>
      <c r="C14" s="64" t="s">
        <v>20</v>
      </c>
      <c r="D14" s="57"/>
      <c r="E14" s="57"/>
      <c r="F14" s="57"/>
      <c r="G14" s="57"/>
      <c r="H14" s="57"/>
      <c r="I14" s="57"/>
      <c r="J14" s="62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>
        <f t="shared" si="1"/>
        <v>0</v>
      </c>
    </row>
    <row r="15" spans="1:24" s="63" customFormat="1" ht="11.75" customHeight="1">
      <c r="A15" s="59" t="s">
        <v>21</v>
      </c>
      <c r="B15" s="59"/>
      <c r="C15" s="64" t="s">
        <v>22</v>
      </c>
      <c r="D15" s="57"/>
      <c r="E15" s="57"/>
      <c r="F15" s="57"/>
      <c r="G15" s="57"/>
      <c r="H15" s="57"/>
      <c r="I15" s="57"/>
      <c r="J15" s="62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>
        <f t="shared" si="1"/>
        <v>0</v>
      </c>
    </row>
    <row r="16" spans="1:24" s="63" customFormat="1" ht="11.75" customHeight="1">
      <c r="A16" s="59" t="s">
        <v>23</v>
      </c>
      <c r="B16" s="59"/>
      <c r="C16" s="64" t="s">
        <v>24</v>
      </c>
      <c r="D16" s="57"/>
      <c r="E16" s="57"/>
      <c r="F16" s="57"/>
      <c r="G16" s="57"/>
      <c r="H16" s="57"/>
      <c r="I16" s="57"/>
      <c r="J16" s="62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>
        <f t="shared" si="1"/>
        <v>0</v>
      </c>
    </row>
    <row r="17" spans="1:23" s="63" customFormat="1" ht="11.75" customHeight="1" thickBot="1">
      <c r="A17" s="59" t="s">
        <v>25</v>
      </c>
      <c r="B17" s="65" t="s">
        <v>26</v>
      </c>
      <c r="C17" s="66"/>
      <c r="D17" s="66"/>
      <c r="E17" s="66"/>
      <c r="F17" s="66"/>
      <c r="G17" s="66"/>
      <c r="H17" s="66"/>
      <c r="I17" s="66"/>
      <c r="J17" s="67"/>
      <c r="K17" s="48">
        <f>K7*0.305</f>
        <v>249048.97</v>
      </c>
      <c r="L17" s="48">
        <f t="shared" ref="L17:V17" si="2">L7*0.305</f>
        <v>666832.17499999993</v>
      </c>
      <c r="M17" s="48">
        <f t="shared" si="2"/>
        <v>798512.26500000001</v>
      </c>
      <c r="N17" s="48">
        <f t="shared" si="2"/>
        <v>888525.69499999995</v>
      </c>
      <c r="O17" s="48">
        <f t="shared" si="2"/>
        <v>924003.6</v>
      </c>
      <c r="P17" s="48">
        <f t="shared" si="2"/>
        <v>696124.07</v>
      </c>
      <c r="Q17" s="48">
        <f t="shared" si="2"/>
        <v>564515.04500000004</v>
      </c>
      <c r="R17" s="48">
        <f t="shared" si="2"/>
        <v>317849.64999999997</v>
      </c>
      <c r="S17" s="48">
        <f t="shared" si="2"/>
        <v>307488.495</v>
      </c>
      <c r="T17" s="48">
        <f>T7*0.305</f>
        <v>121813.95</v>
      </c>
      <c r="U17" s="48">
        <f t="shared" si="2"/>
        <v>311208.27499999997</v>
      </c>
      <c r="V17" s="48">
        <f t="shared" si="2"/>
        <v>304649.25</v>
      </c>
      <c r="W17" s="48">
        <f t="shared" si="1"/>
        <v>6150571.4400000013</v>
      </c>
    </row>
    <row r="18" spans="1:23" s="8" customFormat="1" ht="11.75" customHeight="1" thickTop="1">
      <c r="A18" s="9" t="s">
        <v>27</v>
      </c>
      <c r="B18" s="14" t="s">
        <v>28</v>
      </c>
      <c r="C18" s="15"/>
      <c r="D18" s="15"/>
      <c r="E18" s="15"/>
      <c r="F18" s="15"/>
      <c r="G18" s="15"/>
      <c r="H18" s="15"/>
      <c r="I18" s="15"/>
      <c r="J18" s="16"/>
      <c r="K18" s="17">
        <f>K6-K17</f>
        <v>567505.03</v>
      </c>
      <c r="L18" s="17">
        <f t="shared" ref="L18:V18" si="3">L6-L17</f>
        <v>1519502.8250000002</v>
      </c>
      <c r="M18" s="17">
        <f t="shared" si="3"/>
        <v>1819560.7349999999</v>
      </c>
      <c r="N18" s="17">
        <f t="shared" si="3"/>
        <v>2024673.3050000002</v>
      </c>
      <c r="O18" s="17">
        <f t="shared" si="3"/>
        <v>2105516.4</v>
      </c>
      <c r="P18" s="17">
        <f t="shared" si="3"/>
        <v>1586249.9300000002</v>
      </c>
      <c r="Q18" s="17">
        <f t="shared" si="3"/>
        <v>1286353.9550000001</v>
      </c>
      <c r="R18" s="17">
        <f t="shared" si="3"/>
        <v>724280.35000000009</v>
      </c>
      <c r="S18" s="17">
        <f t="shared" si="3"/>
        <v>700670.505</v>
      </c>
      <c r="T18" s="17">
        <f t="shared" si="3"/>
        <v>277576.05</v>
      </c>
      <c r="U18" s="17">
        <f t="shared" si="3"/>
        <v>709146.72500000009</v>
      </c>
      <c r="V18" s="17">
        <f t="shared" si="3"/>
        <v>694200.75</v>
      </c>
      <c r="W18" s="17">
        <f t="shared" si="1"/>
        <v>14015236.560000001</v>
      </c>
    </row>
    <row r="19" spans="1:23" s="8" customFormat="1" ht="11.75" customHeight="1">
      <c r="A19" s="9" t="s">
        <v>29</v>
      </c>
      <c r="B19" s="18" t="s">
        <v>30</v>
      </c>
      <c r="C19" s="19"/>
      <c r="D19" s="19"/>
      <c r="E19" s="19"/>
      <c r="F19" s="19"/>
      <c r="G19" s="19"/>
      <c r="H19" s="19"/>
      <c r="I19" s="19"/>
      <c r="J19" s="20"/>
      <c r="K19" s="21">
        <f>SUM(K20:K22,K26,K29:K31,K35:K36)</f>
        <v>0</v>
      </c>
      <c r="L19" s="21">
        <f t="shared" ref="L19:V19" si="4">SUM(L20:L22,L26,L29:L31,L35:L36)</f>
        <v>0</v>
      </c>
      <c r="M19" s="21">
        <f t="shared" si="4"/>
        <v>0</v>
      </c>
      <c r="N19" s="21">
        <f t="shared" si="4"/>
        <v>0</v>
      </c>
      <c r="O19" s="21">
        <f t="shared" si="4"/>
        <v>0</v>
      </c>
      <c r="P19" s="21">
        <f t="shared" si="4"/>
        <v>0</v>
      </c>
      <c r="Q19" s="21">
        <f t="shared" si="4"/>
        <v>0</v>
      </c>
      <c r="R19" s="21">
        <f t="shared" si="4"/>
        <v>0</v>
      </c>
      <c r="S19" s="21">
        <f t="shared" si="4"/>
        <v>0</v>
      </c>
      <c r="T19" s="21">
        <f t="shared" si="4"/>
        <v>0</v>
      </c>
      <c r="U19" s="21">
        <f t="shared" si="4"/>
        <v>0</v>
      </c>
      <c r="V19" s="21">
        <f t="shared" si="4"/>
        <v>0</v>
      </c>
      <c r="W19" s="21">
        <f t="shared" si="1"/>
        <v>0</v>
      </c>
    </row>
    <row r="20" spans="1:23" s="63" customFormat="1" ht="11.75" customHeight="1">
      <c r="A20" s="59" t="s">
        <v>31</v>
      </c>
      <c r="B20" s="59"/>
      <c r="C20" s="64" t="s">
        <v>32</v>
      </c>
      <c r="D20" s="57"/>
      <c r="E20" s="57"/>
      <c r="F20" s="57"/>
      <c r="G20" s="57"/>
      <c r="H20" s="57"/>
      <c r="I20" s="57"/>
      <c r="J20" s="62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>
        <f t="shared" si="1"/>
        <v>0</v>
      </c>
    </row>
    <row r="21" spans="1:23" s="63" customFormat="1" ht="11.75" customHeight="1">
      <c r="A21" s="59" t="s">
        <v>33</v>
      </c>
      <c r="B21" s="59"/>
      <c r="C21" s="64" t="s">
        <v>34</v>
      </c>
      <c r="D21" s="57"/>
      <c r="E21" s="57"/>
      <c r="F21" s="57"/>
      <c r="G21" s="57"/>
      <c r="H21" s="57"/>
      <c r="I21" s="57"/>
      <c r="J21" s="62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>
        <f t="shared" si="1"/>
        <v>0</v>
      </c>
    </row>
    <row r="22" spans="1:23" s="8" customFormat="1" ht="11.75" customHeight="1">
      <c r="A22" s="9" t="s">
        <v>35</v>
      </c>
      <c r="B22" s="9"/>
      <c r="C22" s="13" t="s">
        <v>36</v>
      </c>
      <c r="D22" s="2"/>
      <c r="E22" s="2"/>
      <c r="F22" s="2"/>
      <c r="G22" s="2"/>
      <c r="H22" s="2"/>
      <c r="I22" s="2"/>
      <c r="J22" s="11"/>
      <c r="K22" s="12">
        <f>SUM(K23:K25)</f>
        <v>0</v>
      </c>
      <c r="L22" s="12">
        <f t="shared" ref="L22:V22" si="5">SUM(L23:L25)</f>
        <v>0</v>
      </c>
      <c r="M22" s="12">
        <f t="shared" si="5"/>
        <v>0</v>
      </c>
      <c r="N22" s="12">
        <f t="shared" si="5"/>
        <v>0</v>
      </c>
      <c r="O22" s="12">
        <f t="shared" si="5"/>
        <v>0</v>
      </c>
      <c r="P22" s="12">
        <f t="shared" si="5"/>
        <v>0</v>
      </c>
      <c r="Q22" s="12">
        <f t="shared" si="5"/>
        <v>0</v>
      </c>
      <c r="R22" s="12">
        <f t="shared" si="5"/>
        <v>0</v>
      </c>
      <c r="S22" s="12">
        <f t="shared" si="5"/>
        <v>0</v>
      </c>
      <c r="T22" s="12">
        <f t="shared" si="5"/>
        <v>0</v>
      </c>
      <c r="U22" s="12">
        <f t="shared" si="5"/>
        <v>0</v>
      </c>
      <c r="V22" s="12">
        <f t="shared" si="5"/>
        <v>0</v>
      </c>
      <c r="W22" s="12">
        <f t="shared" si="1"/>
        <v>0</v>
      </c>
    </row>
    <row r="23" spans="1:23" s="63" customFormat="1" ht="11.75" customHeight="1">
      <c r="A23" s="59" t="s">
        <v>37</v>
      </c>
      <c r="B23" s="59"/>
      <c r="C23" s="59"/>
      <c r="D23" s="64" t="s">
        <v>38</v>
      </c>
      <c r="E23" s="57"/>
      <c r="F23" s="57"/>
      <c r="G23" s="57"/>
      <c r="H23" s="57"/>
      <c r="I23" s="57"/>
      <c r="J23" s="62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>
        <f t="shared" si="1"/>
        <v>0</v>
      </c>
    </row>
    <row r="24" spans="1:23" s="63" customFormat="1" ht="11.75" customHeight="1">
      <c r="A24" s="59" t="s">
        <v>39</v>
      </c>
      <c r="B24" s="59"/>
      <c r="C24" s="59"/>
      <c r="D24" s="64" t="s">
        <v>40</v>
      </c>
      <c r="E24" s="57"/>
      <c r="F24" s="57"/>
      <c r="G24" s="57"/>
      <c r="H24" s="57"/>
      <c r="I24" s="57"/>
      <c r="J24" s="62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>
        <f t="shared" si="1"/>
        <v>0</v>
      </c>
    </row>
    <row r="25" spans="1:23" s="63" customFormat="1" ht="11.75" customHeight="1">
      <c r="A25" s="59" t="s">
        <v>41</v>
      </c>
      <c r="B25" s="59"/>
      <c r="C25" s="59"/>
      <c r="D25" s="64" t="s">
        <v>42</v>
      </c>
      <c r="E25" s="57"/>
      <c r="F25" s="57"/>
      <c r="G25" s="57"/>
      <c r="H25" s="57"/>
      <c r="I25" s="57"/>
      <c r="J25" s="62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>
        <f t="shared" si="1"/>
        <v>0</v>
      </c>
    </row>
    <row r="26" spans="1:23" s="8" customFormat="1" ht="11.75" customHeight="1">
      <c r="A26" s="9" t="s">
        <v>43</v>
      </c>
      <c r="B26" s="9"/>
      <c r="C26" s="13" t="s">
        <v>44</v>
      </c>
      <c r="D26" s="2"/>
      <c r="E26" s="2"/>
      <c r="F26" s="2"/>
      <c r="G26" s="2"/>
      <c r="H26" s="2"/>
      <c r="I26" s="2"/>
      <c r="J26" s="11"/>
      <c r="K26" s="12">
        <f>SUM(K27:K28)</f>
        <v>0</v>
      </c>
      <c r="L26" s="12">
        <f t="shared" ref="L26:V26" si="6">SUM(L27:L28)</f>
        <v>0</v>
      </c>
      <c r="M26" s="12">
        <f t="shared" si="6"/>
        <v>0</v>
      </c>
      <c r="N26" s="12">
        <f t="shared" si="6"/>
        <v>0</v>
      </c>
      <c r="O26" s="12">
        <f t="shared" si="6"/>
        <v>0</v>
      </c>
      <c r="P26" s="12">
        <f t="shared" si="6"/>
        <v>0</v>
      </c>
      <c r="Q26" s="12">
        <f t="shared" si="6"/>
        <v>0</v>
      </c>
      <c r="R26" s="12">
        <f t="shared" si="6"/>
        <v>0</v>
      </c>
      <c r="S26" s="12">
        <f t="shared" si="6"/>
        <v>0</v>
      </c>
      <c r="T26" s="12">
        <f t="shared" si="6"/>
        <v>0</v>
      </c>
      <c r="U26" s="12">
        <f t="shared" si="6"/>
        <v>0</v>
      </c>
      <c r="V26" s="12">
        <f t="shared" si="6"/>
        <v>0</v>
      </c>
      <c r="W26" s="12">
        <f t="shared" si="1"/>
        <v>0</v>
      </c>
    </row>
    <row r="27" spans="1:23" s="63" customFormat="1" ht="11.75" customHeight="1">
      <c r="A27" s="59" t="s">
        <v>45</v>
      </c>
      <c r="B27" s="59"/>
      <c r="C27" s="59"/>
      <c r="D27" s="64" t="s">
        <v>46</v>
      </c>
      <c r="E27" s="57"/>
      <c r="F27" s="57"/>
      <c r="G27" s="57"/>
      <c r="H27" s="57"/>
      <c r="I27" s="57"/>
      <c r="J27" s="62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>
        <f t="shared" si="1"/>
        <v>0</v>
      </c>
    </row>
    <row r="28" spans="1:23" s="63" customFormat="1" ht="11.75" customHeight="1">
      <c r="A28" s="59" t="s">
        <v>47</v>
      </c>
      <c r="B28" s="59"/>
      <c r="C28" s="59"/>
      <c r="D28" s="64" t="s">
        <v>48</v>
      </c>
      <c r="E28" s="57"/>
      <c r="F28" s="57"/>
      <c r="G28" s="57"/>
      <c r="H28" s="57"/>
      <c r="I28" s="57"/>
      <c r="J28" s="62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>
        <f t="shared" si="1"/>
        <v>0</v>
      </c>
    </row>
    <row r="29" spans="1:23" s="63" customFormat="1" ht="11.75" customHeight="1">
      <c r="A29" s="59" t="s">
        <v>49</v>
      </c>
      <c r="B29" s="59"/>
      <c r="C29" s="64" t="s">
        <v>50</v>
      </c>
      <c r="D29" s="57"/>
      <c r="E29" s="57"/>
      <c r="F29" s="57"/>
      <c r="G29" s="57"/>
      <c r="H29" s="57"/>
      <c r="I29" s="57"/>
      <c r="J29" s="62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>
        <f t="shared" si="1"/>
        <v>0</v>
      </c>
    </row>
    <row r="30" spans="1:23" s="63" customFormat="1" ht="11.75" customHeight="1">
      <c r="A30" s="59" t="s">
        <v>51</v>
      </c>
      <c r="B30" s="59"/>
      <c r="C30" s="64" t="s">
        <v>52</v>
      </c>
      <c r="D30" s="57"/>
      <c r="E30" s="57"/>
      <c r="F30" s="57"/>
      <c r="G30" s="57"/>
      <c r="H30" s="57"/>
      <c r="I30" s="57"/>
      <c r="J30" s="62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>
        <f t="shared" si="1"/>
        <v>0</v>
      </c>
    </row>
    <row r="31" spans="1:23" s="8" customFormat="1" ht="11.75" customHeight="1">
      <c r="A31" s="9" t="s">
        <v>53</v>
      </c>
      <c r="B31" s="9"/>
      <c r="C31" s="13" t="s">
        <v>54</v>
      </c>
      <c r="D31" s="2"/>
      <c r="E31" s="2"/>
      <c r="F31" s="2"/>
      <c r="G31" s="2"/>
      <c r="H31" s="2"/>
      <c r="I31" s="2"/>
      <c r="J31" s="11"/>
      <c r="K31" s="12">
        <f>SUM(K32:K34)</f>
        <v>0</v>
      </c>
      <c r="L31" s="12">
        <f t="shared" ref="L31:V31" si="7">SUM(L32:L34)</f>
        <v>0</v>
      </c>
      <c r="M31" s="12">
        <f t="shared" si="7"/>
        <v>0</v>
      </c>
      <c r="N31" s="12">
        <f t="shared" si="7"/>
        <v>0</v>
      </c>
      <c r="O31" s="12">
        <f t="shared" si="7"/>
        <v>0</v>
      </c>
      <c r="P31" s="12">
        <f t="shared" si="7"/>
        <v>0</v>
      </c>
      <c r="Q31" s="12">
        <f t="shared" si="7"/>
        <v>0</v>
      </c>
      <c r="R31" s="12">
        <f t="shared" si="7"/>
        <v>0</v>
      </c>
      <c r="S31" s="12">
        <f t="shared" si="7"/>
        <v>0</v>
      </c>
      <c r="T31" s="12">
        <f t="shared" si="7"/>
        <v>0</v>
      </c>
      <c r="U31" s="12">
        <f t="shared" si="7"/>
        <v>0</v>
      </c>
      <c r="V31" s="12">
        <f t="shared" si="7"/>
        <v>0</v>
      </c>
      <c r="W31" s="12">
        <f t="shared" si="1"/>
        <v>0</v>
      </c>
    </row>
    <row r="32" spans="1:23" s="63" customFormat="1" ht="11.75" customHeight="1">
      <c r="A32" s="59" t="s">
        <v>55</v>
      </c>
      <c r="B32" s="59"/>
      <c r="C32" s="59"/>
      <c r="D32" s="64" t="s">
        <v>54</v>
      </c>
      <c r="E32" s="57"/>
      <c r="F32" s="57"/>
      <c r="G32" s="57"/>
      <c r="H32" s="57"/>
      <c r="I32" s="57"/>
      <c r="J32" s="62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>
        <f t="shared" si="1"/>
        <v>0</v>
      </c>
    </row>
    <row r="33" spans="1:23" s="63" customFormat="1" ht="11.75" customHeight="1">
      <c r="A33" s="59" t="s">
        <v>56</v>
      </c>
      <c r="B33" s="59"/>
      <c r="C33" s="59"/>
      <c r="D33" s="64" t="s">
        <v>57</v>
      </c>
      <c r="E33" s="57"/>
      <c r="F33" s="57"/>
      <c r="G33" s="57"/>
      <c r="H33" s="57"/>
      <c r="I33" s="57"/>
      <c r="J33" s="62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>
        <f t="shared" si="1"/>
        <v>0</v>
      </c>
    </row>
    <row r="34" spans="1:23" s="63" customFormat="1" ht="11.75" customHeight="1">
      <c r="A34" s="59" t="s">
        <v>58</v>
      </c>
      <c r="B34" s="59"/>
      <c r="C34" s="59"/>
      <c r="D34" s="64" t="s">
        <v>59</v>
      </c>
      <c r="E34" s="57"/>
      <c r="F34" s="57"/>
      <c r="G34" s="57"/>
      <c r="H34" s="57"/>
      <c r="I34" s="57"/>
      <c r="J34" s="62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>
        <f t="shared" si="1"/>
        <v>0</v>
      </c>
    </row>
    <row r="35" spans="1:23" s="63" customFormat="1" ht="11.75" customHeight="1">
      <c r="A35" s="59" t="s">
        <v>60</v>
      </c>
      <c r="B35" s="59"/>
      <c r="C35" s="64" t="s">
        <v>61</v>
      </c>
      <c r="D35" s="57"/>
      <c r="E35" s="57"/>
      <c r="F35" s="57"/>
      <c r="G35" s="57"/>
      <c r="H35" s="57"/>
      <c r="I35" s="57"/>
      <c r="J35" s="62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>
        <f t="shared" si="1"/>
        <v>0</v>
      </c>
    </row>
    <row r="36" spans="1:23" s="63" customFormat="1" ht="11.75" customHeight="1">
      <c r="A36" s="59" t="s">
        <v>62</v>
      </c>
      <c r="B36" s="59"/>
      <c r="C36" s="64" t="s">
        <v>63</v>
      </c>
      <c r="D36" s="57"/>
      <c r="E36" s="57"/>
      <c r="F36" s="57"/>
      <c r="G36" s="57"/>
      <c r="H36" s="57"/>
      <c r="I36" s="57"/>
      <c r="J36" s="62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53">
        <f t="shared" si="1"/>
        <v>0</v>
      </c>
    </row>
    <row r="37" spans="1:23" s="8" customFormat="1" ht="11.75" customHeight="1">
      <c r="A37" s="9" t="s">
        <v>64</v>
      </c>
      <c r="B37" s="22" t="s">
        <v>65</v>
      </c>
      <c r="C37" s="23"/>
      <c r="D37" s="23"/>
      <c r="E37" s="23"/>
      <c r="F37" s="23"/>
      <c r="G37" s="23"/>
      <c r="H37" s="23"/>
      <c r="I37" s="23"/>
      <c r="J37" s="24"/>
      <c r="K37" s="25">
        <f>SUM(K38:K41,K46,K50,K57:K58,K61:K67,K70:K72,K78:K80,K83:K84)</f>
        <v>39037</v>
      </c>
      <c r="L37" s="25">
        <f t="shared" ref="L37:V37" si="8">SUM(L38:L41,L46,L50,L57:L58,L61:L67,L70:L72,L78:L80,L83:L84)</f>
        <v>35638</v>
      </c>
      <c r="M37" s="25">
        <f t="shared" si="8"/>
        <v>52680</v>
      </c>
      <c r="N37" s="25">
        <f t="shared" si="8"/>
        <v>53117</v>
      </c>
      <c r="O37" s="25">
        <f t="shared" si="8"/>
        <v>326040</v>
      </c>
      <c r="P37" s="25">
        <f t="shared" si="8"/>
        <v>61745</v>
      </c>
      <c r="Q37" s="25">
        <f t="shared" si="8"/>
        <v>47159</v>
      </c>
      <c r="R37" s="25">
        <f t="shared" si="8"/>
        <v>297099</v>
      </c>
      <c r="S37" s="25">
        <f t="shared" si="8"/>
        <v>27540</v>
      </c>
      <c r="T37" s="25">
        <f t="shared" si="8"/>
        <v>334374</v>
      </c>
      <c r="U37" s="25">
        <f t="shared" si="8"/>
        <v>58883</v>
      </c>
      <c r="V37" s="25">
        <f t="shared" si="8"/>
        <v>285974</v>
      </c>
      <c r="W37" s="25">
        <f t="shared" si="1"/>
        <v>1619286</v>
      </c>
    </row>
    <row r="38" spans="1:23" s="63" customFormat="1" ht="11.75" customHeight="1">
      <c r="A38" s="59" t="s">
        <v>66</v>
      </c>
      <c r="B38" s="60"/>
      <c r="C38" s="61" t="s">
        <v>67</v>
      </c>
      <c r="D38" s="57"/>
      <c r="E38" s="57"/>
      <c r="F38" s="57"/>
      <c r="G38" s="57"/>
      <c r="H38" s="57"/>
      <c r="I38" s="57"/>
      <c r="J38" s="62"/>
      <c r="K38" s="47"/>
      <c r="L38" s="47"/>
      <c r="M38" s="47"/>
      <c r="N38" s="47"/>
      <c r="O38" s="47"/>
      <c r="P38" s="47"/>
      <c r="Q38" s="47"/>
      <c r="R38" s="47">
        <v>0</v>
      </c>
      <c r="S38" s="47">
        <v>0</v>
      </c>
      <c r="T38" s="47">
        <v>0</v>
      </c>
      <c r="U38" s="47">
        <v>30000</v>
      </c>
      <c r="V38" s="47">
        <v>0</v>
      </c>
      <c r="W38" s="47">
        <f t="shared" si="1"/>
        <v>30000</v>
      </c>
    </row>
    <row r="39" spans="1:23" s="63" customFormat="1" ht="11.75" customHeight="1">
      <c r="A39" s="59" t="s">
        <v>68</v>
      </c>
      <c r="B39" s="59"/>
      <c r="C39" s="64" t="s">
        <v>69</v>
      </c>
      <c r="D39" s="57"/>
      <c r="E39" s="57"/>
      <c r="F39" s="57"/>
      <c r="G39" s="57"/>
      <c r="H39" s="57"/>
      <c r="I39" s="57"/>
      <c r="J39" s="62"/>
      <c r="K39" s="47">
        <v>0</v>
      </c>
      <c r="L39" s="47">
        <v>0</v>
      </c>
      <c r="M39" s="47">
        <v>0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0</v>
      </c>
      <c r="V39" s="47">
        <v>0</v>
      </c>
      <c r="W39" s="47">
        <f t="shared" si="1"/>
        <v>0</v>
      </c>
    </row>
    <row r="40" spans="1:23" s="63" customFormat="1" ht="11.75" customHeight="1">
      <c r="A40" s="59" t="s">
        <v>70</v>
      </c>
      <c r="B40" s="59"/>
      <c r="C40" s="64" t="s">
        <v>71</v>
      </c>
      <c r="D40" s="57"/>
      <c r="E40" s="57"/>
      <c r="F40" s="57"/>
      <c r="G40" s="57"/>
      <c r="H40" s="57"/>
      <c r="I40" s="57"/>
      <c r="J40" s="62"/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f t="shared" si="1"/>
        <v>0</v>
      </c>
    </row>
    <row r="41" spans="1:23" s="8" customFormat="1" ht="11.75" customHeight="1">
      <c r="A41" s="9" t="s">
        <v>72</v>
      </c>
      <c r="B41" s="9"/>
      <c r="C41" s="13" t="s">
        <v>73</v>
      </c>
      <c r="D41" s="2"/>
      <c r="E41" s="2"/>
      <c r="F41" s="2"/>
      <c r="G41" s="2"/>
      <c r="H41" s="2"/>
      <c r="I41" s="2"/>
      <c r="J41" s="11"/>
      <c r="K41" s="12">
        <f>SUM(K42:K45)</f>
        <v>0</v>
      </c>
      <c r="L41" s="12">
        <f t="shared" ref="L41:V41" si="9">SUM(L42:L45)</f>
        <v>0</v>
      </c>
      <c r="M41" s="12">
        <f t="shared" si="9"/>
        <v>0</v>
      </c>
      <c r="N41" s="12">
        <f t="shared" si="9"/>
        <v>0</v>
      </c>
      <c r="O41" s="12">
        <f t="shared" si="9"/>
        <v>261900</v>
      </c>
      <c r="P41" s="12">
        <f t="shared" si="9"/>
        <v>0</v>
      </c>
      <c r="Q41" s="12">
        <f t="shared" si="9"/>
        <v>0</v>
      </c>
      <c r="R41" s="12">
        <f t="shared" si="9"/>
        <v>261900</v>
      </c>
      <c r="S41" s="12">
        <f t="shared" si="9"/>
        <v>0</v>
      </c>
      <c r="T41" s="12">
        <f t="shared" si="9"/>
        <v>255491</v>
      </c>
      <c r="U41" s="12">
        <f t="shared" si="9"/>
        <v>0</v>
      </c>
      <c r="V41" s="12">
        <f t="shared" si="9"/>
        <v>255491</v>
      </c>
      <c r="W41" s="12">
        <f t="shared" si="1"/>
        <v>1034782</v>
      </c>
    </row>
    <row r="42" spans="1:23" s="63" customFormat="1" ht="11.75" customHeight="1">
      <c r="A42" s="59" t="s">
        <v>74</v>
      </c>
      <c r="B42" s="59"/>
      <c r="C42" s="59"/>
      <c r="D42" s="64" t="s">
        <v>75</v>
      </c>
      <c r="E42" s="57"/>
      <c r="F42" s="57"/>
      <c r="G42" s="57"/>
      <c r="H42" s="57"/>
      <c r="I42" s="57"/>
      <c r="J42" s="62"/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f t="shared" si="1"/>
        <v>0</v>
      </c>
    </row>
    <row r="43" spans="1:23" s="63" customFormat="1" ht="11.75" customHeight="1">
      <c r="A43" s="59" t="s">
        <v>76</v>
      </c>
      <c r="B43" s="59"/>
      <c r="C43" s="59"/>
      <c r="D43" s="64" t="s">
        <v>77</v>
      </c>
      <c r="E43" s="57"/>
      <c r="F43" s="57"/>
      <c r="G43" s="57"/>
      <c r="H43" s="57"/>
      <c r="I43" s="57"/>
      <c r="J43" s="62"/>
      <c r="K43" s="47">
        <v>0</v>
      </c>
      <c r="L43" s="47">
        <v>0</v>
      </c>
      <c r="M43" s="47">
        <v>0</v>
      </c>
      <c r="N43" s="47">
        <v>0</v>
      </c>
      <c r="O43" s="47">
        <v>261900</v>
      </c>
      <c r="P43" s="47">
        <v>0</v>
      </c>
      <c r="Q43" s="47">
        <v>0</v>
      </c>
      <c r="R43" s="47">
        <v>261900</v>
      </c>
      <c r="S43" s="47">
        <v>0</v>
      </c>
      <c r="T43" s="47">
        <v>255491</v>
      </c>
      <c r="U43" s="47">
        <v>0</v>
      </c>
      <c r="V43" s="47">
        <v>255491</v>
      </c>
      <c r="W43" s="47">
        <f t="shared" si="1"/>
        <v>1034782</v>
      </c>
    </row>
    <row r="44" spans="1:23" s="63" customFormat="1" ht="11.75" customHeight="1">
      <c r="A44" s="59" t="s">
        <v>78</v>
      </c>
      <c r="B44" s="59"/>
      <c r="C44" s="59"/>
      <c r="D44" s="64" t="s">
        <v>79</v>
      </c>
      <c r="E44" s="57"/>
      <c r="F44" s="57"/>
      <c r="G44" s="57"/>
      <c r="H44" s="57"/>
      <c r="I44" s="57"/>
      <c r="J44" s="62"/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f t="shared" si="1"/>
        <v>0</v>
      </c>
    </row>
    <row r="45" spans="1:23" s="63" customFormat="1" ht="11.75" customHeight="1">
      <c r="A45" s="59" t="s">
        <v>80</v>
      </c>
      <c r="B45" s="59"/>
      <c r="C45" s="59"/>
      <c r="D45" s="64" t="s">
        <v>81</v>
      </c>
      <c r="E45" s="57"/>
      <c r="F45" s="57"/>
      <c r="G45" s="57"/>
      <c r="H45" s="57"/>
      <c r="I45" s="57"/>
      <c r="J45" s="62"/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f t="shared" si="1"/>
        <v>0</v>
      </c>
    </row>
    <row r="46" spans="1:23" s="8" customFormat="1" ht="11.75" customHeight="1">
      <c r="A46" s="9" t="s">
        <v>82</v>
      </c>
      <c r="B46" s="9"/>
      <c r="C46" s="13" t="s">
        <v>83</v>
      </c>
      <c r="D46" s="2"/>
      <c r="E46" s="2"/>
      <c r="F46" s="2"/>
      <c r="G46" s="2"/>
      <c r="H46" s="2"/>
      <c r="I46" s="2"/>
      <c r="J46" s="11"/>
      <c r="K46" s="12">
        <f>SUM(K47:K49)</f>
        <v>2947</v>
      </c>
      <c r="L46" s="12">
        <f t="shared" ref="L46:V46" si="10">SUM(L47:L49)</f>
        <v>0</v>
      </c>
      <c r="M46" s="12">
        <f t="shared" si="10"/>
        <v>0</v>
      </c>
      <c r="N46" s="12">
        <f t="shared" si="10"/>
        <v>0</v>
      </c>
      <c r="O46" s="12">
        <f t="shared" si="10"/>
        <v>0</v>
      </c>
      <c r="P46" s="12">
        <f t="shared" si="10"/>
        <v>0</v>
      </c>
      <c r="Q46" s="12">
        <f t="shared" si="10"/>
        <v>0</v>
      </c>
      <c r="R46" s="12">
        <f t="shared" si="10"/>
        <v>0</v>
      </c>
      <c r="S46" s="12">
        <f t="shared" si="10"/>
        <v>0</v>
      </c>
      <c r="T46" s="12">
        <f t="shared" si="10"/>
        <v>0</v>
      </c>
      <c r="U46" s="12">
        <f t="shared" si="10"/>
        <v>0</v>
      </c>
      <c r="V46" s="12">
        <f t="shared" si="10"/>
        <v>0</v>
      </c>
      <c r="W46" s="12">
        <f t="shared" si="1"/>
        <v>2947</v>
      </c>
    </row>
    <row r="47" spans="1:23" s="63" customFormat="1" ht="11.75" customHeight="1">
      <c r="A47" s="59" t="s">
        <v>84</v>
      </c>
      <c r="B47" s="59"/>
      <c r="C47" s="59"/>
      <c r="D47" s="64" t="s">
        <v>85</v>
      </c>
      <c r="E47" s="57"/>
      <c r="F47" s="57"/>
      <c r="G47" s="57"/>
      <c r="H47" s="57"/>
      <c r="I47" s="57"/>
      <c r="J47" s="62"/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  <c r="Q47" s="47">
        <v>0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f t="shared" si="1"/>
        <v>0</v>
      </c>
    </row>
    <row r="48" spans="1:23" s="63" customFormat="1" ht="11.75" customHeight="1">
      <c r="A48" s="59" t="s">
        <v>86</v>
      </c>
      <c r="B48" s="59"/>
      <c r="C48" s="59"/>
      <c r="D48" s="64" t="s">
        <v>87</v>
      </c>
      <c r="E48" s="57"/>
      <c r="F48" s="57"/>
      <c r="G48" s="57"/>
      <c r="H48" s="57"/>
      <c r="I48" s="57"/>
      <c r="J48" s="62"/>
      <c r="K48" s="47"/>
      <c r="L48" s="47"/>
      <c r="M48" s="47"/>
      <c r="N48" s="47"/>
      <c r="O48" s="47"/>
      <c r="P48" s="47"/>
      <c r="Q48" s="47"/>
      <c r="R48" s="47">
        <v>0</v>
      </c>
      <c r="S48" s="47">
        <v>0</v>
      </c>
      <c r="T48" s="47">
        <v>0</v>
      </c>
      <c r="U48" s="47">
        <v>0</v>
      </c>
      <c r="V48" s="47">
        <v>0</v>
      </c>
      <c r="W48" s="47">
        <f t="shared" si="1"/>
        <v>0</v>
      </c>
    </row>
    <row r="49" spans="1:23" s="63" customFormat="1" ht="11.75" customHeight="1">
      <c r="A49" s="59" t="s">
        <v>88</v>
      </c>
      <c r="B49" s="59"/>
      <c r="C49" s="59"/>
      <c r="D49" s="64" t="s">
        <v>89</v>
      </c>
      <c r="E49" s="57"/>
      <c r="F49" s="57"/>
      <c r="G49" s="57"/>
      <c r="H49" s="57"/>
      <c r="I49" s="57"/>
      <c r="J49" s="62"/>
      <c r="K49" s="47">
        <v>2947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f t="shared" si="1"/>
        <v>2947</v>
      </c>
    </row>
    <row r="50" spans="1:23" s="8" customFormat="1" ht="11.75" customHeight="1">
      <c r="A50" s="9" t="s">
        <v>90</v>
      </c>
      <c r="B50" s="9"/>
      <c r="C50" s="13" t="s">
        <v>91</v>
      </c>
      <c r="D50" s="2"/>
      <c r="E50" s="2"/>
      <c r="F50" s="2"/>
      <c r="G50" s="2"/>
      <c r="H50" s="2"/>
      <c r="I50" s="2"/>
      <c r="J50" s="11"/>
      <c r="K50" s="12">
        <f>SUM(K51:K56)</f>
        <v>0</v>
      </c>
      <c r="L50" s="12">
        <f t="shared" ref="L50:V50" si="11">SUM(L51:L56)</f>
        <v>0</v>
      </c>
      <c r="M50" s="12">
        <f t="shared" si="11"/>
        <v>0</v>
      </c>
      <c r="N50" s="12">
        <f t="shared" si="11"/>
        <v>0</v>
      </c>
      <c r="O50" s="12">
        <f t="shared" si="11"/>
        <v>0</v>
      </c>
      <c r="P50" s="12">
        <f t="shared" si="11"/>
        <v>0</v>
      </c>
      <c r="Q50" s="12">
        <f t="shared" si="11"/>
        <v>0</v>
      </c>
      <c r="R50" s="12">
        <f t="shared" si="11"/>
        <v>0</v>
      </c>
      <c r="S50" s="12">
        <f t="shared" si="11"/>
        <v>0</v>
      </c>
      <c r="T50" s="12">
        <f t="shared" si="11"/>
        <v>0</v>
      </c>
      <c r="U50" s="12">
        <f t="shared" si="11"/>
        <v>0</v>
      </c>
      <c r="V50" s="12">
        <f t="shared" si="11"/>
        <v>0</v>
      </c>
      <c r="W50" s="12">
        <f t="shared" si="1"/>
        <v>0</v>
      </c>
    </row>
    <row r="51" spans="1:23" s="63" customFormat="1" ht="11.75" customHeight="1">
      <c r="A51" s="59" t="s">
        <v>92</v>
      </c>
      <c r="B51" s="59"/>
      <c r="C51" s="59"/>
      <c r="D51" s="64" t="s">
        <v>93</v>
      </c>
      <c r="E51" s="57"/>
      <c r="F51" s="57"/>
      <c r="G51" s="57"/>
      <c r="H51" s="57"/>
      <c r="I51" s="57"/>
      <c r="J51" s="62"/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0</v>
      </c>
      <c r="V51" s="47">
        <v>0</v>
      </c>
      <c r="W51" s="47">
        <f t="shared" si="1"/>
        <v>0</v>
      </c>
    </row>
    <row r="52" spans="1:23" s="63" customFormat="1" ht="11.75" customHeight="1">
      <c r="A52" s="59" t="s">
        <v>94</v>
      </c>
      <c r="B52" s="59"/>
      <c r="C52" s="59"/>
      <c r="D52" s="64" t="s">
        <v>95</v>
      </c>
      <c r="E52" s="57"/>
      <c r="F52" s="57"/>
      <c r="G52" s="57"/>
      <c r="H52" s="57"/>
      <c r="I52" s="57"/>
      <c r="J52" s="62"/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0</v>
      </c>
      <c r="V52" s="47">
        <v>0</v>
      </c>
      <c r="W52" s="47">
        <f t="shared" si="1"/>
        <v>0</v>
      </c>
    </row>
    <row r="53" spans="1:23" s="63" customFormat="1" ht="11.75" customHeight="1">
      <c r="A53" s="59" t="s">
        <v>96</v>
      </c>
      <c r="B53" s="59"/>
      <c r="C53" s="59"/>
      <c r="D53" s="64" t="s">
        <v>97</v>
      </c>
      <c r="E53" s="57"/>
      <c r="F53" s="57"/>
      <c r="G53" s="57"/>
      <c r="H53" s="57"/>
      <c r="I53" s="57"/>
      <c r="J53" s="62"/>
      <c r="K53" s="47">
        <v>0</v>
      </c>
      <c r="L53" s="47">
        <v>0</v>
      </c>
      <c r="M53" s="47">
        <v>0</v>
      </c>
      <c r="N53" s="47">
        <v>0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0</v>
      </c>
      <c r="V53" s="47">
        <v>0</v>
      </c>
      <c r="W53" s="47">
        <f t="shared" si="1"/>
        <v>0</v>
      </c>
    </row>
    <row r="54" spans="1:23" s="63" customFormat="1" ht="11.75" customHeight="1">
      <c r="A54" s="59" t="s">
        <v>98</v>
      </c>
      <c r="B54" s="59"/>
      <c r="C54" s="59"/>
      <c r="D54" s="64" t="s">
        <v>99</v>
      </c>
      <c r="E54" s="57"/>
      <c r="F54" s="57"/>
      <c r="G54" s="57"/>
      <c r="H54" s="57"/>
      <c r="I54" s="57"/>
      <c r="J54" s="62"/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0</v>
      </c>
      <c r="W54" s="47">
        <f t="shared" si="1"/>
        <v>0</v>
      </c>
    </row>
    <row r="55" spans="1:23" s="63" customFormat="1" ht="11.75" customHeight="1">
      <c r="A55" s="59" t="s">
        <v>100</v>
      </c>
      <c r="B55" s="59"/>
      <c r="C55" s="59"/>
      <c r="D55" s="64" t="s">
        <v>101</v>
      </c>
      <c r="E55" s="57"/>
      <c r="F55" s="57"/>
      <c r="G55" s="57"/>
      <c r="H55" s="57"/>
      <c r="I55" s="57"/>
      <c r="J55" s="62"/>
      <c r="K55" s="47">
        <v>0</v>
      </c>
      <c r="L55" s="47">
        <v>0</v>
      </c>
      <c r="M55" s="47">
        <v>0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f t="shared" si="1"/>
        <v>0</v>
      </c>
    </row>
    <row r="56" spans="1:23" s="63" customFormat="1" ht="11.75" customHeight="1">
      <c r="A56" s="59" t="s">
        <v>102</v>
      </c>
      <c r="B56" s="59"/>
      <c r="C56" s="59"/>
      <c r="D56" s="64" t="s">
        <v>103</v>
      </c>
      <c r="E56" s="57"/>
      <c r="F56" s="57"/>
      <c r="G56" s="57"/>
      <c r="H56" s="57"/>
      <c r="I56" s="57"/>
      <c r="J56" s="62"/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</v>
      </c>
      <c r="V56" s="47">
        <v>0</v>
      </c>
      <c r="W56" s="47">
        <f t="shared" si="1"/>
        <v>0</v>
      </c>
    </row>
    <row r="57" spans="1:23" s="63" customFormat="1" ht="11.75" customHeight="1">
      <c r="A57" s="59" t="s">
        <v>104</v>
      </c>
      <c r="B57" s="59"/>
      <c r="C57" s="64" t="s">
        <v>105</v>
      </c>
      <c r="D57" s="57"/>
      <c r="E57" s="57"/>
      <c r="F57" s="57"/>
      <c r="G57" s="57"/>
      <c r="H57" s="57"/>
      <c r="I57" s="57"/>
      <c r="J57" s="62"/>
      <c r="K57" s="47">
        <v>0</v>
      </c>
      <c r="L57" s="47">
        <v>0</v>
      </c>
      <c r="M57" s="47">
        <v>0</v>
      </c>
      <c r="N57" s="47">
        <v>0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f t="shared" si="1"/>
        <v>0</v>
      </c>
    </row>
    <row r="58" spans="1:23" s="8" customFormat="1" ht="11.75" customHeight="1">
      <c r="A58" s="9" t="s">
        <v>106</v>
      </c>
      <c r="B58" s="9"/>
      <c r="C58" s="13" t="s">
        <v>107</v>
      </c>
      <c r="D58" s="2"/>
      <c r="E58" s="2"/>
      <c r="F58" s="2"/>
      <c r="G58" s="2"/>
      <c r="H58" s="2"/>
      <c r="I58" s="2"/>
      <c r="J58" s="11"/>
      <c r="K58" s="12">
        <f>SUM(K59:K60)</f>
        <v>0</v>
      </c>
      <c r="L58" s="12">
        <f t="shared" ref="L58:V58" si="12">SUM(L59:L60)</f>
        <v>0</v>
      </c>
      <c r="M58" s="12">
        <f t="shared" si="12"/>
        <v>0</v>
      </c>
      <c r="N58" s="12">
        <f t="shared" si="12"/>
        <v>0</v>
      </c>
      <c r="O58" s="12">
        <f t="shared" si="12"/>
        <v>0</v>
      </c>
      <c r="P58" s="12">
        <f t="shared" si="12"/>
        <v>0</v>
      </c>
      <c r="Q58" s="12">
        <f t="shared" si="12"/>
        <v>0</v>
      </c>
      <c r="R58" s="12">
        <f t="shared" si="12"/>
        <v>0</v>
      </c>
      <c r="S58" s="12">
        <f t="shared" si="12"/>
        <v>0</v>
      </c>
      <c r="T58" s="12">
        <f t="shared" si="12"/>
        <v>0</v>
      </c>
      <c r="U58" s="12">
        <f t="shared" si="12"/>
        <v>0</v>
      </c>
      <c r="V58" s="12">
        <f t="shared" si="12"/>
        <v>0</v>
      </c>
      <c r="W58" s="12">
        <f t="shared" si="1"/>
        <v>0</v>
      </c>
    </row>
    <row r="59" spans="1:23" s="63" customFormat="1" ht="11.75" customHeight="1">
      <c r="A59" s="59" t="s">
        <v>108</v>
      </c>
      <c r="B59" s="59"/>
      <c r="C59" s="59"/>
      <c r="D59" s="64" t="s">
        <v>107</v>
      </c>
      <c r="E59" s="57"/>
      <c r="F59" s="57"/>
      <c r="G59" s="57"/>
      <c r="H59" s="57"/>
      <c r="I59" s="57"/>
      <c r="J59" s="62"/>
      <c r="K59" s="47">
        <v>0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0</v>
      </c>
      <c r="V59" s="47">
        <v>0</v>
      </c>
      <c r="W59" s="47">
        <f t="shared" si="1"/>
        <v>0</v>
      </c>
    </row>
    <row r="60" spans="1:23" s="63" customFormat="1" ht="11.75" customHeight="1">
      <c r="A60" s="59" t="s">
        <v>109</v>
      </c>
      <c r="B60" s="59"/>
      <c r="C60" s="59"/>
      <c r="D60" s="64" t="s">
        <v>110</v>
      </c>
      <c r="E60" s="57"/>
      <c r="F60" s="57"/>
      <c r="G60" s="57"/>
      <c r="H60" s="57"/>
      <c r="I60" s="57"/>
      <c r="J60" s="62"/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0</v>
      </c>
      <c r="V60" s="47">
        <v>0</v>
      </c>
      <c r="W60" s="47">
        <f t="shared" si="1"/>
        <v>0</v>
      </c>
    </row>
    <row r="61" spans="1:23" s="63" customFormat="1" ht="11.75" customHeight="1">
      <c r="A61" s="59" t="s">
        <v>111</v>
      </c>
      <c r="B61" s="59"/>
      <c r="C61" s="64" t="s">
        <v>112</v>
      </c>
      <c r="D61" s="57"/>
      <c r="E61" s="57"/>
      <c r="F61" s="57"/>
      <c r="G61" s="57"/>
      <c r="H61" s="57"/>
      <c r="I61" s="57"/>
      <c r="J61" s="62"/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</v>
      </c>
      <c r="V61" s="47">
        <v>0</v>
      </c>
      <c r="W61" s="47">
        <f t="shared" si="1"/>
        <v>0</v>
      </c>
    </row>
    <row r="62" spans="1:23" s="63" customFormat="1" ht="11.75" customHeight="1">
      <c r="A62" s="59" t="s">
        <v>113</v>
      </c>
      <c r="B62" s="59"/>
      <c r="C62" s="64" t="s">
        <v>114</v>
      </c>
      <c r="D62" s="57"/>
      <c r="E62" s="57"/>
      <c r="F62" s="57"/>
      <c r="G62" s="57"/>
      <c r="H62" s="57"/>
      <c r="I62" s="57"/>
      <c r="J62" s="62"/>
      <c r="K62" s="47">
        <v>0</v>
      </c>
      <c r="L62" s="47">
        <v>0</v>
      </c>
      <c r="M62" s="47">
        <v>0</v>
      </c>
      <c r="N62" s="47">
        <v>0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  <c r="W62" s="47">
        <f t="shared" si="1"/>
        <v>0</v>
      </c>
    </row>
    <row r="63" spans="1:23" s="63" customFormat="1" ht="11.75" customHeight="1">
      <c r="A63" s="59" t="s">
        <v>115</v>
      </c>
      <c r="B63" s="59"/>
      <c r="C63" s="64" t="s">
        <v>116</v>
      </c>
      <c r="D63" s="57"/>
      <c r="E63" s="57"/>
      <c r="F63" s="57"/>
      <c r="G63" s="57"/>
      <c r="H63" s="57"/>
      <c r="I63" s="57"/>
      <c r="J63" s="62"/>
      <c r="K63" s="47"/>
      <c r="L63" s="47"/>
      <c r="M63" s="47"/>
      <c r="N63" s="47"/>
      <c r="O63" s="47"/>
      <c r="P63" s="47"/>
      <c r="Q63" s="47"/>
      <c r="R63" s="47">
        <v>0</v>
      </c>
      <c r="S63" s="47">
        <v>0</v>
      </c>
      <c r="T63" s="47">
        <v>0</v>
      </c>
      <c r="U63" s="47">
        <v>0</v>
      </c>
      <c r="V63" s="47">
        <v>0</v>
      </c>
      <c r="W63" s="47">
        <f t="shared" si="1"/>
        <v>0</v>
      </c>
    </row>
    <row r="64" spans="1:23" s="63" customFormat="1" ht="11.75" customHeight="1">
      <c r="A64" s="59" t="s">
        <v>117</v>
      </c>
      <c r="B64" s="59"/>
      <c r="C64" s="64" t="s">
        <v>118</v>
      </c>
      <c r="D64" s="57"/>
      <c r="E64" s="57"/>
      <c r="F64" s="57"/>
      <c r="G64" s="57"/>
      <c r="H64" s="57"/>
      <c r="I64" s="57"/>
      <c r="J64" s="62"/>
      <c r="K64" s="47">
        <v>0</v>
      </c>
      <c r="L64" s="47">
        <v>0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f t="shared" si="1"/>
        <v>0</v>
      </c>
    </row>
    <row r="65" spans="1:23" s="63" customFormat="1" ht="11.75" customHeight="1">
      <c r="A65" s="59" t="s">
        <v>119</v>
      </c>
      <c r="B65" s="59"/>
      <c r="C65" s="64" t="s">
        <v>120</v>
      </c>
      <c r="D65" s="57"/>
      <c r="E65" s="57"/>
      <c r="F65" s="57"/>
      <c r="G65" s="57"/>
      <c r="H65" s="57"/>
      <c r="I65" s="57"/>
      <c r="J65" s="62"/>
      <c r="K65" s="47">
        <v>14000</v>
      </c>
      <c r="L65" s="47">
        <v>14000</v>
      </c>
      <c r="M65" s="47">
        <v>14000</v>
      </c>
      <c r="N65" s="47">
        <v>14000</v>
      </c>
      <c r="O65" s="47">
        <v>14000</v>
      </c>
      <c r="P65" s="47">
        <v>14000</v>
      </c>
      <c r="Q65" s="47">
        <v>14000</v>
      </c>
      <c r="R65" s="47">
        <v>14000</v>
      </c>
      <c r="S65" s="47">
        <v>14000</v>
      </c>
      <c r="T65" s="47">
        <v>64000</v>
      </c>
      <c r="U65" s="47">
        <v>14000</v>
      </c>
      <c r="V65" s="47">
        <v>14000</v>
      </c>
      <c r="W65" s="47">
        <f t="shared" si="1"/>
        <v>218000</v>
      </c>
    </row>
    <row r="66" spans="1:23" s="63" customFormat="1" ht="11.75" customHeight="1">
      <c r="A66" s="59" t="s">
        <v>121</v>
      </c>
      <c r="B66" s="59"/>
      <c r="C66" s="64" t="s">
        <v>122</v>
      </c>
      <c r="D66" s="57"/>
      <c r="E66" s="57"/>
      <c r="F66" s="57"/>
      <c r="G66" s="57"/>
      <c r="H66" s="57"/>
      <c r="I66" s="57"/>
      <c r="J66" s="62"/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f t="shared" si="1"/>
        <v>0</v>
      </c>
    </row>
    <row r="67" spans="1:23" s="8" customFormat="1" ht="11.75" customHeight="1">
      <c r="A67" s="9" t="s">
        <v>123</v>
      </c>
      <c r="B67" s="9"/>
      <c r="C67" s="13" t="s">
        <v>124</v>
      </c>
      <c r="D67" s="2"/>
      <c r="E67" s="2"/>
      <c r="F67" s="2"/>
      <c r="G67" s="2"/>
      <c r="H67" s="2"/>
      <c r="I67" s="2"/>
      <c r="J67" s="11"/>
      <c r="K67" s="12">
        <f>SUM(K68:K69)</f>
        <v>18807</v>
      </c>
      <c r="L67" s="12">
        <f t="shared" ref="L67:V67" si="13">SUM(L68:L69)</f>
        <v>16852</v>
      </c>
      <c r="M67" s="12">
        <f t="shared" si="13"/>
        <v>35397</v>
      </c>
      <c r="N67" s="12">
        <f t="shared" si="13"/>
        <v>35834</v>
      </c>
      <c r="O67" s="12">
        <f t="shared" si="13"/>
        <v>46856</v>
      </c>
      <c r="P67" s="12">
        <f t="shared" si="13"/>
        <v>38448</v>
      </c>
      <c r="Q67" s="12">
        <f t="shared" si="13"/>
        <v>28371</v>
      </c>
      <c r="R67" s="12">
        <f t="shared" si="13"/>
        <v>17915</v>
      </c>
      <c r="S67" s="12">
        <f t="shared" si="13"/>
        <v>10256</v>
      </c>
      <c r="T67" s="12">
        <f t="shared" si="13"/>
        <v>10000</v>
      </c>
      <c r="U67" s="12">
        <f t="shared" si="13"/>
        <v>10000</v>
      </c>
      <c r="V67" s="12">
        <f t="shared" si="13"/>
        <v>10000</v>
      </c>
      <c r="W67" s="12">
        <f t="shared" si="1"/>
        <v>278736</v>
      </c>
    </row>
    <row r="68" spans="1:23" s="63" customFormat="1" ht="11.75" customHeight="1">
      <c r="A68" s="59" t="s">
        <v>125</v>
      </c>
      <c r="B68" s="59"/>
      <c r="C68" s="59"/>
      <c r="D68" s="64" t="s">
        <v>124</v>
      </c>
      <c r="E68" s="57"/>
      <c r="F68" s="57"/>
      <c r="G68" s="57"/>
      <c r="H68" s="57"/>
      <c r="I68" s="57"/>
      <c r="J68" s="62"/>
      <c r="K68" s="47">
        <v>18807</v>
      </c>
      <c r="L68" s="47">
        <v>16852</v>
      </c>
      <c r="M68" s="47">
        <v>35397</v>
      </c>
      <c r="N68" s="47">
        <v>35834</v>
      </c>
      <c r="O68" s="47">
        <v>46856</v>
      </c>
      <c r="P68" s="47">
        <v>38448</v>
      </c>
      <c r="Q68" s="47">
        <v>28371</v>
      </c>
      <c r="R68" s="47">
        <v>17915</v>
      </c>
      <c r="S68" s="47">
        <v>10256</v>
      </c>
      <c r="T68" s="47">
        <v>10000</v>
      </c>
      <c r="U68" s="47">
        <v>10000</v>
      </c>
      <c r="V68" s="47">
        <v>10000</v>
      </c>
      <c r="W68" s="47">
        <f t="shared" si="1"/>
        <v>278736</v>
      </c>
    </row>
    <row r="69" spans="1:23" s="63" customFormat="1" ht="11.75" customHeight="1">
      <c r="A69" s="59" t="s">
        <v>126</v>
      </c>
      <c r="B69" s="59"/>
      <c r="C69" s="59"/>
      <c r="D69" s="64" t="s">
        <v>127</v>
      </c>
      <c r="E69" s="57"/>
      <c r="F69" s="57"/>
      <c r="G69" s="57"/>
      <c r="H69" s="57"/>
      <c r="I69" s="57"/>
      <c r="J69" s="62"/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f t="shared" si="1"/>
        <v>0</v>
      </c>
    </row>
    <row r="70" spans="1:23" s="63" customFormat="1" ht="11.75" customHeight="1">
      <c r="A70" s="59" t="s">
        <v>128</v>
      </c>
      <c r="B70" s="59"/>
      <c r="C70" s="64" t="s">
        <v>129</v>
      </c>
      <c r="D70" s="57"/>
      <c r="E70" s="57"/>
      <c r="F70" s="57"/>
      <c r="G70" s="57"/>
      <c r="H70" s="57"/>
      <c r="I70" s="57"/>
      <c r="J70" s="62"/>
      <c r="K70" s="47">
        <v>0</v>
      </c>
      <c r="L70" s="47">
        <v>0</v>
      </c>
      <c r="M70" s="47">
        <v>0</v>
      </c>
      <c r="N70" s="47">
        <v>0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0</v>
      </c>
      <c r="V70" s="47">
        <v>0</v>
      </c>
      <c r="W70" s="47">
        <f t="shared" si="1"/>
        <v>0</v>
      </c>
    </row>
    <row r="71" spans="1:23" s="63" customFormat="1" ht="11.75" customHeight="1">
      <c r="A71" s="59" t="s">
        <v>130</v>
      </c>
      <c r="B71" s="59"/>
      <c r="C71" s="64" t="s">
        <v>131</v>
      </c>
      <c r="D71" s="57"/>
      <c r="E71" s="57"/>
      <c r="F71" s="57"/>
      <c r="G71" s="57"/>
      <c r="H71" s="57"/>
      <c r="I71" s="57"/>
      <c r="J71" s="62"/>
      <c r="K71" s="47">
        <v>3283</v>
      </c>
      <c r="L71" s="47">
        <v>4786</v>
      </c>
      <c r="M71" s="47">
        <v>3283</v>
      </c>
      <c r="N71" s="47">
        <v>3283</v>
      </c>
      <c r="O71" s="47">
        <v>3284</v>
      </c>
      <c r="P71" s="47">
        <v>9297</v>
      </c>
      <c r="Q71" s="47">
        <v>4788</v>
      </c>
      <c r="R71" s="47">
        <v>3284</v>
      </c>
      <c r="S71" s="47">
        <v>3284</v>
      </c>
      <c r="T71" s="47">
        <v>4883</v>
      </c>
      <c r="U71" s="47">
        <v>4883</v>
      </c>
      <c r="V71" s="47">
        <v>6483</v>
      </c>
      <c r="W71" s="47">
        <f t="shared" ref="W71:W118" si="14">SUM(K71:V71)</f>
        <v>54821</v>
      </c>
    </row>
    <row r="72" spans="1:23" s="8" customFormat="1" ht="11.75" customHeight="1">
      <c r="A72" s="9" t="s">
        <v>132</v>
      </c>
      <c r="B72" s="9"/>
      <c r="C72" s="13" t="s">
        <v>133</v>
      </c>
      <c r="D72" s="2"/>
      <c r="E72" s="2"/>
      <c r="F72" s="2"/>
      <c r="G72" s="2"/>
      <c r="H72" s="2"/>
      <c r="I72" s="2"/>
      <c r="J72" s="11"/>
      <c r="K72" s="12">
        <f>SUM(K73:K77)</f>
        <v>0</v>
      </c>
      <c r="L72" s="12">
        <f t="shared" ref="L72:V72" si="15">SUM(L73:L77)</f>
        <v>0</v>
      </c>
      <c r="M72" s="12">
        <f t="shared" si="15"/>
        <v>0</v>
      </c>
      <c r="N72" s="12">
        <f t="shared" si="15"/>
        <v>0</v>
      </c>
      <c r="O72" s="12">
        <f t="shared" si="15"/>
        <v>0</v>
      </c>
      <c r="P72" s="12">
        <f t="shared" si="15"/>
        <v>0</v>
      </c>
      <c r="Q72" s="12">
        <f t="shared" si="15"/>
        <v>0</v>
      </c>
      <c r="R72" s="12">
        <f t="shared" si="15"/>
        <v>0</v>
      </c>
      <c r="S72" s="12">
        <f t="shared" si="15"/>
        <v>0</v>
      </c>
      <c r="T72" s="12">
        <f t="shared" si="15"/>
        <v>0</v>
      </c>
      <c r="U72" s="12">
        <f t="shared" si="15"/>
        <v>0</v>
      </c>
      <c r="V72" s="12">
        <f t="shared" si="15"/>
        <v>0</v>
      </c>
      <c r="W72" s="12">
        <f t="shared" si="14"/>
        <v>0</v>
      </c>
    </row>
    <row r="73" spans="1:23" s="63" customFormat="1" ht="11.75" customHeight="1">
      <c r="A73" s="59" t="s">
        <v>134</v>
      </c>
      <c r="B73" s="59"/>
      <c r="C73" s="59"/>
      <c r="D73" s="64" t="s">
        <v>135</v>
      </c>
      <c r="E73" s="57"/>
      <c r="F73" s="57"/>
      <c r="G73" s="57"/>
      <c r="H73" s="57"/>
      <c r="I73" s="57"/>
      <c r="J73" s="62"/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  <c r="Q73" s="47">
        <v>0</v>
      </c>
      <c r="R73" s="47">
        <v>0</v>
      </c>
      <c r="S73" s="47">
        <v>0</v>
      </c>
      <c r="T73" s="47">
        <v>0</v>
      </c>
      <c r="U73" s="47">
        <v>0</v>
      </c>
      <c r="V73" s="47">
        <v>0</v>
      </c>
      <c r="W73" s="47">
        <f t="shared" si="14"/>
        <v>0</v>
      </c>
    </row>
    <row r="74" spans="1:23" s="63" customFormat="1" ht="11.75" customHeight="1">
      <c r="A74" s="59" t="s">
        <v>136</v>
      </c>
      <c r="B74" s="59"/>
      <c r="C74" s="59"/>
      <c r="D74" s="64" t="s">
        <v>137</v>
      </c>
      <c r="E74" s="57"/>
      <c r="F74" s="57"/>
      <c r="G74" s="57"/>
      <c r="H74" s="57"/>
      <c r="I74" s="57"/>
      <c r="J74" s="62"/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f t="shared" si="14"/>
        <v>0</v>
      </c>
    </row>
    <row r="75" spans="1:23" s="63" customFormat="1" ht="11.75" customHeight="1">
      <c r="A75" s="59" t="s">
        <v>138</v>
      </c>
      <c r="B75" s="59"/>
      <c r="C75" s="59"/>
      <c r="D75" s="64" t="s">
        <v>139</v>
      </c>
      <c r="E75" s="57"/>
      <c r="F75" s="57"/>
      <c r="G75" s="57"/>
      <c r="H75" s="57"/>
      <c r="I75" s="57"/>
      <c r="J75" s="62"/>
      <c r="K75" s="47">
        <v>0</v>
      </c>
      <c r="L75" s="47">
        <v>0</v>
      </c>
      <c r="M75" s="47">
        <v>0</v>
      </c>
      <c r="N75" s="47">
        <v>0</v>
      </c>
      <c r="O75" s="47">
        <v>0</v>
      </c>
      <c r="P75" s="47">
        <v>0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f t="shared" si="14"/>
        <v>0</v>
      </c>
    </row>
    <row r="76" spans="1:23" s="63" customFormat="1" ht="11.75" customHeight="1">
      <c r="A76" s="59" t="s">
        <v>140</v>
      </c>
      <c r="B76" s="59"/>
      <c r="C76" s="59"/>
      <c r="D76" s="64" t="s">
        <v>141</v>
      </c>
      <c r="E76" s="57"/>
      <c r="F76" s="57"/>
      <c r="G76" s="57"/>
      <c r="H76" s="57"/>
      <c r="I76" s="57"/>
      <c r="J76" s="62"/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f t="shared" si="14"/>
        <v>0</v>
      </c>
    </row>
    <row r="77" spans="1:23" s="63" customFormat="1" ht="11.75" customHeight="1">
      <c r="A77" s="59" t="s">
        <v>142</v>
      </c>
      <c r="B77" s="59"/>
      <c r="C77" s="59"/>
      <c r="D77" s="64" t="s">
        <v>143</v>
      </c>
      <c r="E77" s="57"/>
      <c r="F77" s="57"/>
      <c r="G77" s="57"/>
      <c r="H77" s="57"/>
      <c r="I77" s="57"/>
      <c r="J77" s="62"/>
      <c r="K77" s="47">
        <v>0</v>
      </c>
      <c r="L77" s="47">
        <v>0</v>
      </c>
      <c r="M77" s="47">
        <v>0</v>
      </c>
      <c r="N77" s="47">
        <v>0</v>
      </c>
      <c r="O77" s="47">
        <v>0</v>
      </c>
      <c r="P77" s="47">
        <v>0</v>
      </c>
      <c r="Q77" s="47">
        <v>0</v>
      </c>
      <c r="R77" s="47">
        <v>0</v>
      </c>
      <c r="S77" s="47">
        <v>0</v>
      </c>
      <c r="T77" s="47">
        <v>0</v>
      </c>
      <c r="U77" s="47">
        <v>0</v>
      </c>
      <c r="V77" s="47">
        <v>0</v>
      </c>
      <c r="W77" s="47">
        <f t="shared" si="14"/>
        <v>0</v>
      </c>
    </row>
    <row r="78" spans="1:23" s="63" customFormat="1" ht="11.75" customHeight="1">
      <c r="A78" s="59" t="s">
        <v>144</v>
      </c>
      <c r="B78" s="59"/>
      <c r="C78" s="64" t="s">
        <v>145</v>
      </c>
      <c r="D78" s="57"/>
      <c r="E78" s="57"/>
      <c r="F78" s="57"/>
      <c r="G78" s="57"/>
      <c r="H78" s="57"/>
      <c r="I78" s="57"/>
      <c r="J78" s="62"/>
      <c r="K78" s="47">
        <v>0</v>
      </c>
      <c r="L78" s="47">
        <v>0</v>
      </c>
      <c r="M78" s="47">
        <v>0</v>
      </c>
      <c r="N78" s="47">
        <v>0</v>
      </c>
      <c r="O78" s="47">
        <v>0</v>
      </c>
      <c r="P78" s="47">
        <v>0</v>
      </c>
      <c r="Q78" s="47">
        <v>0</v>
      </c>
      <c r="R78" s="47">
        <v>0</v>
      </c>
      <c r="S78" s="47">
        <v>0</v>
      </c>
      <c r="T78" s="47">
        <v>0</v>
      </c>
      <c r="U78" s="47">
        <v>0</v>
      </c>
      <c r="V78" s="47">
        <v>0</v>
      </c>
      <c r="W78" s="47">
        <f t="shared" si="14"/>
        <v>0</v>
      </c>
    </row>
    <row r="79" spans="1:23" s="63" customFormat="1" ht="11.75" customHeight="1">
      <c r="A79" s="59" t="s">
        <v>146</v>
      </c>
      <c r="B79" s="59"/>
      <c r="C79" s="64" t="s">
        <v>147</v>
      </c>
      <c r="D79" s="57"/>
      <c r="E79" s="57"/>
      <c r="F79" s="57"/>
      <c r="G79" s="57"/>
      <c r="H79" s="57"/>
      <c r="I79" s="57"/>
      <c r="J79" s="62"/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0</v>
      </c>
      <c r="V79" s="47">
        <v>0</v>
      </c>
      <c r="W79" s="47">
        <f t="shared" si="14"/>
        <v>0</v>
      </c>
    </row>
    <row r="80" spans="1:23" s="8" customFormat="1" ht="11.75" customHeight="1">
      <c r="A80" s="9" t="s">
        <v>148</v>
      </c>
      <c r="B80" s="9"/>
      <c r="C80" s="13" t="s">
        <v>149</v>
      </c>
      <c r="D80" s="2"/>
      <c r="E80" s="2"/>
      <c r="F80" s="2"/>
      <c r="G80" s="2"/>
      <c r="H80" s="2"/>
      <c r="I80" s="2"/>
      <c r="J80" s="11"/>
      <c r="K80" s="12">
        <f>SUM(K81:K82)</f>
        <v>0</v>
      </c>
      <c r="L80" s="12">
        <f t="shared" ref="L80:V80" si="16">SUM(L81:L82)</f>
        <v>0</v>
      </c>
      <c r="M80" s="12">
        <f t="shared" si="16"/>
        <v>0</v>
      </c>
      <c r="N80" s="12">
        <f t="shared" si="16"/>
        <v>0</v>
      </c>
      <c r="O80" s="12">
        <f t="shared" si="16"/>
        <v>0</v>
      </c>
      <c r="P80" s="12">
        <f t="shared" si="16"/>
        <v>0</v>
      </c>
      <c r="Q80" s="12">
        <f t="shared" si="16"/>
        <v>0</v>
      </c>
      <c r="R80" s="12">
        <f t="shared" si="16"/>
        <v>0</v>
      </c>
      <c r="S80" s="12">
        <f t="shared" si="16"/>
        <v>0</v>
      </c>
      <c r="T80" s="12">
        <f t="shared" si="16"/>
        <v>0</v>
      </c>
      <c r="U80" s="12">
        <f t="shared" si="16"/>
        <v>0</v>
      </c>
      <c r="V80" s="12">
        <f t="shared" si="16"/>
        <v>0</v>
      </c>
      <c r="W80" s="12">
        <f t="shared" si="14"/>
        <v>0</v>
      </c>
    </row>
    <row r="81" spans="1:23" s="63" customFormat="1" ht="11.75" customHeight="1">
      <c r="A81" s="59" t="s">
        <v>150</v>
      </c>
      <c r="B81" s="59"/>
      <c r="C81" s="59"/>
      <c r="D81" s="64" t="s">
        <v>151</v>
      </c>
      <c r="E81" s="57"/>
      <c r="F81" s="57"/>
      <c r="G81" s="57"/>
      <c r="H81" s="57"/>
      <c r="I81" s="57"/>
      <c r="J81" s="62"/>
      <c r="K81" s="47">
        <v>0</v>
      </c>
      <c r="L81" s="47">
        <v>0</v>
      </c>
      <c r="M81" s="47">
        <v>0</v>
      </c>
      <c r="N81" s="47">
        <v>0</v>
      </c>
      <c r="O81" s="47">
        <v>0</v>
      </c>
      <c r="P81" s="47">
        <v>0</v>
      </c>
      <c r="Q81" s="47">
        <v>0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f t="shared" si="14"/>
        <v>0</v>
      </c>
    </row>
    <row r="82" spans="1:23" s="63" customFormat="1" ht="11.75" customHeight="1">
      <c r="A82" s="59" t="s">
        <v>152</v>
      </c>
      <c r="B82" s="59"/>
      <c r="C82" s="59"/>
      <c r="D82" s="64" t="s">
        <v>153</v>
      </c>
      <c r="E82" s="57"/>
      <c r="F82" s="57"/>
      <c r="G82" s="57"/>
      <c r="H82" s="57"/>
      <c r="I82" s="57"/>
      <c r="J82" s="62"/>
      <c r="K82" s="47">
        <v>0</v>
      </c>
      <c r="L82" s="47">
        <v>0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f t="shared" si="14"/>
        <v>0</v>
      </c>
    </row>
    <row r="83" spans="1:23" s="63" customFormat="1" ht="11.75" customHeight="1">
      <c r="A83" s="59" t="s">
        <v>154</v>
      </c>
      <c r="B83" s="59"/>
      <c r="C83" s="64" t="s">
        <v>155</v>
      </c>
      <c r="D83" s="57"/>
      <c r="E83" s="57"/>
      <c r="F83" s="57"/>
      <c r="G83" s="57"/>
      <c r="H83" s="57"/>
      <c r="I83" s="57"/>
      <c r="J83" s="62"/>
      <c r="K83" s="47">
        <v>0</v>
      </c>
      <c r="L83" s="47">
        <v>0</v>
      </c>
      <c r="M83" s="47">
        <v>0</v>
      </c>
      <c r="N83" s="47">
        <v>0</v>
      </c>
      <c r="O83" s="47">
        <v>0</v>
      </c>
      <c r="P83" s="47">
        <v>0</v>
      </c>
      <c r="Q83" s="47">
        <v>0</v>
      </c>
      <c r="R83" s="47">
        <v>0</v>
      </c>
      <c r="S83" s="47">
        <v>0</v>
      </c>
      <c r="T83" s="47">
        <v>0</v>
      </c>
      <c r="U83" s="47">
        <v>0</v>
      </c>
      <c r="V83" s="47">
        <v>0</v>
      </c>
      <c r="W83" s="47">
        <f t="shared" si="14"/>
        <v>0</v>
      </c>
    </row>
    <row r="84" spans="1:23" s="63" customFormat="1" ht="11.75" customHeight="1">
      <c r="A84" s="59" t="s">
        <v>156</v>
      </c>
      <c r="B84" s="59"/>
      <c r="C84" s="64" t="s">
        <v>157</v>
      </c>
      <c r="D84" s="57"/>
      <c r="E84" s="57"/>
      <c r="F84" s="57"/>
      <c r="G84" s="57"/>
      <c r="H84" s="57"/>
      <c r="I84" s="57"/>
      <c r="J84" s="62"/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f t="shared" si="14"/>
        <v>0</v>
      </c>
    </row>
    <row r="85" spans="1:23" s="8" customFormat="1" ht="11.75" customHeight="1">
      <c r="A85" s="9" t="s">
        <v>158</v>
      </c>
      <c r="B85" s="22" t="s">
        <v>159</v>
      </c>
      <c r="C85" s="23"/>
      <c r="D85" s="23"/>
      <c r="E85" s="23"/>
      <c r="F85" s="23"/>
      <c r="G85" s="23"/>
      <c r="H85" s="23"/>
      <c r="I85" s="23"/>
      <c r="J85" s="24"/>
      <c r="K85" s="25">
        <f>SUM(K86:K96)</f>
        <v>42758</v>
      </c>
      <c r="L85" s="25">
        <f t="shared" ref="L85:V85" si="17">SUM(L86:L96)</f>
        <v>42758</v>
      </c>
      <c r="M85" s="25">
        <f t="shared" si="17"/>
        <v>42758</v>
      </c>
      <c r="N85" s="25">
        <f t="shared" si="17"/>
        <v>42758</v>
      </c>
      <c r="O85" s="25">
        <f t="shared" si="17"/>
        <v>42758</v>
      </c>
      <c r="P85" s="25">
        <f t="shared" si="17"/>
        <v>42758</v>
      </c>
      <c r="Q85" s="25">
        <f t="shared" si="17"/>
        <v>42758</v>
      </c>
      <c r="R85" s="25">
        <f t="shared" si="17"/>
        <v>42758</v>
      </c>
      <c r="S85" s="25">
        <f t="shared" si="17"/>
        <v>42758</v>
      </c>
      <c r="T85" s="25">
        <f t="shared" si="17"/>
        <v>42758</v>
      </c>
      <c r="U85" s="25">
        <f t="shared" si="17"/>
        <v>42758</v>
      </c>
      <c r="V85" s="25">
        <f t="shared" si="17"/>
        <v>42771</v>
      </c>
      <c r="W85" s="25">
        <f t="shared" si="14"/>
        <v>513109</v>
      </c>
    </row>
    <row r="86" spans="1:23" s="63" customFormat="1" ht="11.75" customHeight="1">
      <c r="A86" s="59" t="s">
        <v>160</v>
      </c>
      <c r="B86" s="60"/>
      <c r="C86" s="61" t="s">
        <v>93</v>
      </c>
      <c r="D86" s="57"/>
      <c r="E86" s="57"/>
      <c r="F86" s="57"/>
      <c r="G86" s="57"/>
      <c r="H86" s="57"/>
      <c r="I86" s="57"/>
      <c r="J86" s="62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>
        <f t="shared" si="14"/>
        <v>0</v>
      </c>
    </row>
    <row r="87" spans="1:23" s="63" customFormat="1" ht="11.75" customHeight="1">
      <c r="A87" s="59" t="s">
        <v>161</v>
      </c>
      <c r="B87" s="59"/>
      <c r="C87" s="64" t="s">
        <v>162</v>
      </c>
      <c r="D87" s="57"/>
      <c r="E87" s="57"/>
      <c r="F87" s="57"/>
      <c r="G87" s="57"/>
      <c r="H87" s="57"/>
      <c r="I87" s="57"/>
      <c r="J87" s="62"/>
      <c r="K87" s="47">
        <v>21483</v>
      </c>
      <c r="L87" s="47">
        <v>21483</v>
      </c>
      <c r="M87" s="47">
        <v>21483</v>
      </c>
      <c r="N87" s="47">
        <v>21483</v>
      </c>
      <c r="O87" s="47">
        <v>21483</v>
      </c>
      <c r="P87" s="47">
        <v>21483</v>
      </c>
      <c r="Q87" s="47">
        <v>21483</v>
      </c>
      <c r="R87" s="47">
        <v>21483</v>
      </c>
      <c r="S87" s="47">
        <v>21483</v>
      </c>
      <c r="T87" s="47">
        <v>21483</v>
      </c>
      <c r="U87" s="47">
        <v>21483</v>
      </c>
      <c r="V87" s="47">
        <v>21490</v>
      </c>
      <c r="W87" s="47">
        <f t="shared" si="14"/>
        <v>257803</v>
      </c>
    </row>
    <row r="88" spans="1:23" s="63" customFormat="1" ht="11.75" customHeight="1">
      <c r="A88" s="59" t="s">
        <v>163</v>
      </c>
      <c r="B88" s="59"/>
      <c r="C88" s="64" t="s">
        <v>97</v>
      </c>
      <c r="D88" s="57"/>
      <c r="E88" s="57"/>
      <c r="F88" s="57"/>
      <c r="G88" s="57"/>
      <c r="H88" s="57"/>
      <c r="I88" s="57"/>
      <c r="J88" s="62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>
        <f t="shared" si="14"/>
        <v>0</v>
      </c>
    </row>
    <row r="89" spans="1:23" s="63" customFormat="1" ht="11.75" customHeight="1">
      <c r="A89" s="59" t="s">
        <v>164</v>
      </c>
      <c r="B89" s="59"/>
      <c r="C89" s="64" t="s">
        <v>165</v>
      </c>
      <c r="D89" s="57"/>
      <c r="E89" s="57"/>
      <c r="F89" s="57"/>
      <c r="G89" s="57"/>
      <c r="H89" s="57"/>
      <c r="I89" s="57"/>
      <c r="J89" s="62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>
        <f t="shared" si="14"/>
        <v>0</v>
      </c>
    </row>
    <row r="90" spans="1:23" s="63" customFormat="1" ht="11.75" customHeight="1">
      <c r="A90" s="59" t="s">
        <v>166</v>
      </c>
      <c r="B90" s="59"/>
      <c r="C90" s="64" t="s">
        <v>101</v>
      </c>
      <c r="D90" s="57"/>
      <c r="E90" s="57"/>
      <c r="F90" s="57"/>
      <c r="G90" s="57"/>
      <c r="H90" s="57"/>
      <c r="I90" s="57"/>
      <c r="J90" s="62"/>
      <c r="K90" s="47">
        <v>21275</v>
      </c>
      <c r="L90" s="47">
        <v>21275</v>
      </c>
      <c r="M90" s="47">
        <v>21275</v>
      </c>
      <c r="N90" s="47">
        <v>21275</v>
      </c>
      <c r="O90" s="47">
        <v>21275</v>
      </c>
      <c r="P90" s="47">
        <v>21275</v>
      </c>
      <c r="Q90" s="47">
        <v>21275</v>
      </c>
      <c r="R90" s="47">
        <v>21275</v>
      </c>
      <c r="S90" s="47">
        <v>21275</v>
      </c>
      <c r="T90" s="47">
        <v>21275</v>
      </c>
      <c r="U90" s="47">
        <v>21275</v>
      </c>
      <c r="V90" s="47">
        <v>21281</v>
      </c>
      <c r="W90" s="47">
        <f t="shared" si="14"/>
        <v>255306</v>
      </c>
    </row>
    <row r="91" spans="1:23" s="63" customFormat="1" ht="11.75" customHeight="1">
      <c r="A91" s="59" t="s">
        <v>167</v>
      </c>
      <c r="B91" s="59"/>
      <c r="C91" s="64" t="s">
        <v>103</v>
      </c>
      <c r="D91" s="57"/>
      <c r="E91" s="57"/>
      <c r="F91" s="57"/>
      <c r="G91" s="57"/>
      <c r="H91" s="57"/>
      <c r="I91" s="57"/>
      <c r="J91" s="62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>
        <f t="shared" si="14"/>
        <v>0</v>
      </c>
    </row>
    <row r="92" spans="1:23" s="63" customFormat="1" ht="11.75" customHeight="1">
      <c r="A92" s="59" t="s">
        <v>168</v>
      </c>
      <c r="B92" s="59"/>
      <c r="C92" s="64" t="s">
        <v>169</v>
      </c>
      <c r="D92" s="57"/>
      <c r="E92" s="57"/>
      <c r="F92" s="57"/>
      <c r="G92" s="57"/>
      <c r="H92" s="57"/>
      <c r="I92" s="57"/>
      <c r="J92" s="62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>
        <f t="shared" si="14"/>
        <v>0</v>
      </c>
    </row>
    <row r="93" spans="1:23" s="63" customFormat="1" ht="11.75" customHeight="1">
      <c r="A93" s="59" t="s">
        <v>170</v>
      </c>
      <c r="B93" s="59"/>
      <c r="C93" s="64" t="s">
        <v>171</v>
      </c>
      <c r="D93" s="57"/>
      <c r="E93" s="57"/>
      <c r="F93" s="57"/>
      <c r="G93" s="57"/>
      <c r="H93" s="57"/>
      <c r="I93" s="57"/>
      <c r="J93" s="62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>
        <f t="shared" si="14"/>
        <v>0</v>
      </c>
    </row>
    <row r="94" spans="1:23" s="63" customFormat="1" ht="11.75" customHeight="1">
      <c r="A94" s="59" t="s">
        <v>172</v>
      </c>
      <c r="B94" s="59"/>
      <c r="C94" s="64" t="s">
        <v>173</v>
      </c>
      <c r="D94" s="57"/>
      <c r="E94" s="57"/>
      <c r="F94" s="57"/>
      <c r="G94" s="57"/>
      <c r="H94" s="57"/>
      <c r="I94" s="57"/>
      <c r="J94" s="62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>
        <f t="shared" si="14"/>
        <v>0</v>
      </c>
    </row>
    <row r="95" spans="1:23" s="63" customFormat="1" ht="11.75" customHeight="1">
      <c r="A95" s="59" t="s">
        <v>174</v>
      </c>
      <c r="B95" s="59"/>
      <c r="C95" s="64" t="s">
        <v>175</v>
      </c>
      <c r="D95" s="57"/>
      <c r="E95" s="57"/>
      <c r="F95" s="57"/>
      <c r="G95" s="57"/>
      <c r="H95" s="57"/>
      <c r="I95" s="57"/>
      <c r="J95" s="62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>
        <f t="shared" si="14"/>
        <v>0</v>
      </c>
    </row>
    <row r="96" spans="1:23" s="63" customFormat="1" ht="11.75" customHeight="1" thickBot="1">
      <c r="A96" s="59" t="s">
        <v>176</v>
      </c>
      <c r="B96" s="59"/>
      <c r="C96" s="64" t="s">
        <v>177</v>
      </c>
      <c r="D96" s="57"/>
      <c r="E96" s="57"/>
      <c r="F96" s="57"/>
      <c r="G96" s="57"/>
      <c r="H96" s="57"/>
      <c r="I96" s="57"/>
      <c r="J96" s="62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>
        <f t="shared" si="14"/>
        <v>0</v>
      </c>
    </row>
    <row r="97" spans="1:23" s="8" customFormat="1" ht="11.75" customHeight="1" thickTop="1" thickBot="1">
      <c r="A97" s="9" t="s">
        <v>178</v>
      </c>
      <c r="B97" s="26" t="s">
        <v>179</v>
      </c>
      <c r="C97" s="27"/>
      <c r="D97" s="27"/>
      <c r="E97" s="27"/>
      <c r="F97" s="27"/>
      <c r="G97" s="27"/>
      <c r="H97" s="27"/>
      <c r="I97" s="27"/>
      <c r="J97" s="28"/>
      <c r="K97" s="29">
        <f>K37+K19+K85</f>
        <v>81795</v>
      </c>
      <c r="L97" s="29">
        <f t="shared" ref="L97:V97" si="18">L37+L19+L85</f>
        <v>78396</v>
      </c>
      <c r="M97" s="29">
        <f t="shared" si="18"/>
        <v>95438</v>
      </c>
      <c r="N97" s="29">
        <f t="shared" si="18"/>
        <v>95875</v>
      </c>
      <c r="O97" s="29">
        <f t="shared" si="18"/>
        <v>368798</v>
      </c>
      <c r="P97" s="29">
        <f t="shared" si="18"/>
        <v>104503</v>
      </c>
      <c r="Q97" s="29">
        <f t="shared" si="18"/>
        <v>89917</v>
      </c>
      <c r="R97" s="29">
        <f t="shared" si="18"/>
        <v>339857</v>
      </c>
      <c r="S97" s="29">
        <f t="shared" si="18"/>
        <v>70298</v>
      </c>
      <c r="T97" s="29">
        <f t="shared" si="18"/>
        <v>377132</v>
      </c>
      <c r="U97" s="29">
        <f t="shared" si="18"/>
        <v>101641</v>
      </c>
      <c r="V97" s="29">
        <f t="shared" si="18"/>
        <v>328745</v>
      </c>
      <c r="W97" s="29">
        <f t="shared" si="14"/>
        <v>2132395</v>
      </c>
    </row>
    <row r="98" spans="1:23" s="8" customFormat="1" ht="11.75" customHeight="1" thickBot="1">
      <c r="A98" s="9" t="s">
        <v>180</v>
      </c>
      <c r="B98" s="30" t="s">
        <v>181</v>
      </c>
      <c r="C98" s="31"/>
      <c r="D98" s="31"/>
      <c r="E98" s="31"/>
      <c r="F98" s="31"/>
      <c r="G98" s="31"/>
      <c r="H98" s="31"/>
      <c r="I98" s="31"/>
      <c r="J98" s="32"/>
      <c r="K98" s="33">
        <f>K18-K97</f>
        <v>485710.03</v>
      </c>
      <c r="L98" s="33">
        <f t="shared" ref="L98:V98" si="19">L18-L97</f>
        <v>1441106.8250000002</v>
      </c>
      <c r="M98" s="33">
        <f t="shared" si="19"/>
        <v>1724122.7349999999</v>
      </c>
      <c r="N98" s="33">
        <f t="shared" si="19"/>
        <v>1928798.3050000002</v>
      </c>
      <c r="O98" s="33">
        <f t="shared" si="19"/>
        <v>1736718.4</v>
      </c>
      <c r="P98" s="33">
        <f t="shared" si="19"/>
        <v>1481746.9300000002</v>
      </c>
      <c r="Q98" s="33">
        <f t="shared" si="19"/>
        <v>1196436.9550000001</v>
      </c>
      <c r="R98" s="33">
        <f t="shared" si="19"/>
        <v>384423.35000000009</v>
      </c>
      <c r="S98" s="33">
        <f t="shared" si="19"/>
        <v>630372.505</v>
      </c>
      <c r="T98" s="33">
        <f t="shared" si="19"/>
        <v>-99555.950000000012</v>
      </c>
      <c r="U98" s="33">
        <f t="shared" si="19"/>
        <v>607505.72500000009</v>
      </c>
      <c r="V98" s="33">
        <f t="shared" si="19"/>
        <v>365455.75</v>
      </c>
      <c r="W98" s="33">
        <f t="shared" si="14"/>
        <v>11882841.560000001</v>
      </c>
    </row>
    <row r="99" spans="1:23" s="8" customFormat="1" ht="11.75" customHeight="1">
      <c r="A99" s="9" t="s">
        <v>182</v>
      </c>
      <c r="B99" s="34" t="s">
        <v>183</v>
      </c>
      <c r="C99" s="35"/>
      <c r="D99" s="35"/>
      <c r="E99" s="35"/>
      <c r="F99" s="35"/>
      <c r="G99" s="35"/>
      <c r="H99" s="35"/>
      <c r="I99" s="35"/>
      <c r="J99" s="36"/>
      <c r="K99" s="37">
        <f>SUM(K100,K104:K106)</f>
        <v>0</v>
      </c>
      <c r="L99" s="37">
        <f t="shared" ref="L99:V99" si="20">SUM(L100,L104:L106)</f>
        <v>0</v>
      </c>
      <c r="M99" s="37">
        <f t="shared" si="20"/>
        <v>0</v>
      </c>
      <c r="N99" s="37">
        <f t="shared" si="20"/>
        <v>0</v>
      </c>
      <c r="O99" s="37">
        <f t="shared" si="20"/>
        <v>0</v>
      </c>
      <c r="P99" s="37">
        <f t="shared" si="20"/>
        <v>0</v>
      </c>
      <c r="Q99" s="37">
        <f t="shared" si="20"/>
        <v>0</v>
      </c>
      <c r="R99" s="37">
        <f t="shared" si="20"/>
        <v>0</v>
      </c>
      <c r="S99" s="37">
        <f t="shared" si="20"/>
        <v>0</v>
      </c>
      <c r="T99" s="37">
        <f t="shared" si="20"/>
        <v>0</v>
      </c>
      <c r="U99" s="37">
        <f t="shared" si="20"/>
        <v>0</v>
      </c>
      <c r="V99" s="37">
        <f t="shared" si="20"/>
        <v>0</v>
      </c>
      <c r="W99" s="37">
        <f t="shared" si="14"/>
        <v>0</v>
      </c>
    </row>
    <row r="100" spans="1:23" s="8" customFormat="1" ht="11.75" customHeight="1">
      <c r="A100" s="9" t="s">
        <v>184</v>
      </c>
      <c r="B100" s="3"/>
      <c r="C100" s="10" t="s">
        <v>185</v>
      </c>
      <c r="D100" s="2"/>
      <c r="E100" s="2"/>
      <c r="F100" s="2"/>
      <c r="G100" s="2"/>
      <c r="H100" s="2"/>
      <c r="I100" s="2"/>
      <c r="J100" s="11"/>
      <c r="K100" s="12">
        <f>SUM(K101:K103)</f>
        <v>0</v>
      </c>
      <c r="L100" s="12">
        <f t="shared" ref="L100:V100" si="21">SUM(L101:L103)</f>
        <v>0</v>
      </c>
      <c r="M100" s="12">
        <f t="shared" si="21"/>
        <v>0</v>
      </c>
      <c r="N100" s="12">
        <f t="shared" si="21"/>
        <v>0</v>
      </c>
      <c r="O100" s="12">
        <f t="shared" si="21"/>
        <v>0</v>
      </c>
      <c r="P100" s="12">
        <f t="shared" si="21"/>
        <v>0</v>
      </c>
      <c r="Q100" s="12">
        <f t="shared" si="21"/>
        <v>0</v>
      </c>
      <c r="R100" s="12">
        <f t="shared" si="21"/>
        <v>0</v>
      </c>
      <c r="S100" s="12">
        <f t="shared" si="21"/>
        <v>0</v>
      </c>
      <c r="T100" s="12">
        <f t="shared" si="21"/>
        <v>0</v>
      </c>
      <c r="U100" s="12">
        <f t="shared" si="21"/>
        <v>0</v>
      </c>
      <c r="V100" s="12">
        <f t="shared" si="21"/>
        <v>0</v>
      </c>
      <c r="W100" s="12">
        <f t="shared" si="14"/>
        <v>0</v>
      </c>
    </row>
    <row r="101" spans="1:23" s="63" customFormat="1" ht="11.75" customHeight="1">
      <c r="A101" s="59" t="s">
        <v>186</v>
      </c>
      <c r="B101" s="59"/>
      <c r="C101" s="59"/>
      <c r="D101" s="64" t="s">
        <v>187</v>
      </c>
      <c r="E101" s="57"/>
      <c r="F101" s="57"/>
      <c r="G101" s="57"/>
      <c r="H101" s="57"/>
      <c r="I101" s="57"/>
      <c r="J101" s="62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>
        <f t="shared" si="14"/>
        <v>0</v>
      </c>
    </row>
    <row r="102" spans="1:23" s="63" customFormat="1" ht="11.75" customHeight="1">
      <c r="A102" s="59" t="s">
        <v>188</v>
      </c>
      <c r="B102" s="59"/>
      <c r="C102" s="59"/>
      <c r="D102" s="64" t="s">
        <v>189</v>
      </c>
      <c r="E102" s="57"/>
      <c r="F102" s="57"/>
      <c r="G102" s="57"/>
      <c r="H102" s="57"/>
      <c r="I102" s="57"/>
      <c r="J102" s="62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>
        <f t="shared" si="14"/>
        <v>0</v>
      </c>
    </row>
    <row r="103" spans="1:23" s="63" customFormat="1" ht="11.75" customHeight="1">
      <c r="A103" s="59" t="s">
        <v>190</v>
      </c>
      <c r="B103" s="59"/>
      <c r="C103" s="59"/>
      <c r="D103" s="64" t="s">
        <v>191</v>
      </c>
      <c r="E103" s="57"/>
      <c r="F103" s="57"/>
      <c r="G103" s="57"/>
      <c r="H103" s="57"/>
      <c r="I103" s="57"/>
      <c r="J103" s="62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>
        <f t="shared" si="14"/>
        <v>0</v>
      </c>
    </row>
    <row r="104" spans="1:23" s="63" customFormat="1" ht="11.75" customHeight="1">
      <c r="A104" s="59" t="s">
        <v>192</v>
      </c>
      <c r="B104" s="59"/>
      <c r="C104" s="64" t="s">
        <v>193</v>
      </c>
      <c r="D104" s="57"/>
      <c r="E104" s="57"/>
      <c r="F104" s="57"/>
      <c r="G104" s="57"/>
      <c r="H104" s="57"/>
      <c r="I104" s="57"/>
      <c r="J104" s="62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>
        <f t="shared" si="14"/>
        <v>0</v>
      </c>
    </row>
    <row r="105" spans="1:23" s="63" customFormat="1" ht="11.75" customHeight="1">
      <c r="A105" s="59" t="s">
        <v>194</v>
      </c>
      <c r="B105" s="59"/>
      <c r="C105" s="64" t="s">
        <v>195</v>
      </c>
      <c r="D105" s="57"/>
      <c r="E105" s="57"/>
      <c r="F105" s="57"/>
      <c r="G105" s="57"/>
      <c r="H105" s="57"/>
      <c r="I105" s="57"/>
      <c r="J105" s="62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>
        <f t="shared" si="14"/>
        <v>0</v>
      </c>
    </row>
    <row r="106" spans="1:23" s="63" customFormat="1" ht="11.75" customHeight="1">
      <c r="A106" s="59" t="s">
        <v>196</v>
      </c>
      <c r="B106" s="59"/>
      <c r="C106" s="64" t="s">
        <v>191</v>
      </c>
      <c r="D106" s="57"/>
      <c r="E106" s="57"/>
      <c r="F106" s="57"/>
      <c r="G106" s="57"/>
      <c r="H106" s="57"/>
      <c r="I106" s="57"/>
      <c r="J106" s="62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>
        <f t="shared" si="14"/>
        <v>0</v>
      </c>
    </row>
    <row r="107" spans="1:23" s="8" customFormat="1" ht="11.75" customHeight="1">
      <c r="A107" s="9" t="s">
        <v>197</v>
      </c>
      <c r="B107" s="38" t="s">
        <v>198</v>
      </c>
      <c r="C107" s="39"/>
      <c r="D107" s="39"/>
      <c r="E107" s="39"/>
      <c r="F107" s="39"/>
      <c r="G107" s="39"/>
      <c r="H107" s="39"/>
      <c r="I107" s="39"/>
      <c r="J107" s="40"/>
      <c r="K107" s="41">
        <f>SUM(K108:K110)</f>
        <v>0</v>
      </c>
      <c r="L107" s="41">
        <f t="shared" ref="L107:V107" si="22">SUM(L108:L110)</f>
        <v>0</v>
      </c>
      <c r="M107" s="41">
        <f t="shared" si="22"/>
        <v>0</v>
      </c>
      <c r="N107" s="41">
        <f t="shared" si="22"/>
        <v>0</v>
      </c>
      <c r="O107" s="41">
        <f t="shared" si="22"/>
        <v>0</v>
      </c>
      <c r="P107" s="41">
        <f t="shared" si="22"/>
        <v>0</v>
      </c>
      <c r="Q107" s="41">
        <f t="shared" si="22"/>
        <v>0</v>
      </c>
      <c r="R107" s="41">
        <f t="shared" si="22"/>
        <v>0</v>
      </c>
      <c r="S107" s="41">
        <f t="shared" si="22"/>
        <v>0</v>
      </c>
      <c r="T107" s="41">
        <f t="shared" si="22"/>
        <v>0</v>
      </c>
      <c r="U107" s="41">
        <f t="shared" si="22"/>
        <v>0</v>
      </c>
      <c r="V107" s="41">
        <f t="shared" si="22"/>
        <v>0</v>
      </c>
      <c r="W107" s="41">
        <f t="shared" si="14"/>
        <v>0</v>
      </c>
    </row>
    <row r="108" spans="1:23" s="63" customFormat="1" ht="11.75" customHeight="1">
      <c r="A108" s="59" t="s">
        <v>199</v>
      </c>
      <c r="B108" s="60"/>
      <c r="C108" s="61" t="s">
        <v>200</v>
      </c>
      <c r="D108" s="57"/>
      <c r="E108" s="57"/>
      <c r="F108" s="57"/>
      <c r="G108" s="57"/>
      <c r="H108" s="57"/>
      <c r="I108" s="57"/>
      <c r="J108" s="62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>
        <f t="shared" si="14"/>
        <v>0</v>
      </c>
    </row>
    <row r="109" spans="1:23" s="63" customFormat="1" ht="11.75" customHeight="1">
      <c r="A109" s="59" t="s">
        <v>201</v>
      </c>
      <c r="B109" s="59"/>
      <c r="C109" s="64" t="s">
        <v>202</v>
      </c>
      <c r="D109" s="57"/>
      <c r="E109" s="57"/>
      <c r="F109" s="57"/>
      <c r="G109" s="57"/>
      <c r="H109" s="57"/>
      <c r="I109" s="57"/>
      <c r="J109" s="62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>
        <f t="shared" si="14"/>
        <v>0</v>
      </c>
    </row>
    <row r="110" spans="1:23" s="63" customFormat="1" ht="11.75" customHeight="1" thickBot="1">
      <c r="A110" s="59" t="s">
        <v>203</v>
      </c>
      <c r="B110" s="59"/>
      <c r="C110" s="64" t="s">
        <v>191</v>
      </c>
      <c r="D110" s="57"/>
      <c r="E110" s="57"/>
      <c r="F110" s="57"/>
      <c r="G110" s="57"/>
      <c r="H110" s="57"/>
      <c r="I110" s="57"/>
      <c r="J110" s="62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>
        <f t="shared" si="14"/>
        <v>0</v>
      </c>
    </row>
    <row r="111" spans="1:23" s="8" customFormat="1" ht="11.75" customHeight="1" thickBot="1">
      <c r="A111" s="9" t="s">
        <v>204</v>
      </c>
      <c r="B111" s="30" t="s">
        <v>205</v>
      </c>
      <c r="C111" s="31"/>
      <c r="D111" s="31"/>
      <c r="E111" s="31"/>
      <c r="F111" s="31"/>
      <c r="G111" s="31"/>
      <c r="H111" s="31"/>
      <c r="I111" s="31"/>
      <c r="J111" s="32"/>
      <c r="K111" s="33">
        <f>K98+K99-K107</f>
        <v>485710.03</v>
      </c>
      <c r="L111" s="33">
        <f t="shared" ref="L111:V111" si="23">L98+L99-L107</f>
        <v>1441106.8250000002</v>
      </c>
      <c r="M111" s="33">
        <f t="shared" si="23"/>
        <v>1724122.7349999999</v>
      </c>
      <c r="N111" s="33">
        <f t="shared" si="23"/>
        <v>1928798.3050000002</v>
      </c>
      <c r="O111" s="33">
        <f t="shared" si="23"/>
        <v>1736718.4</v>
      </c>
      <c r="P111" s="33">
        <f t="shared" si="23"/>
        <v>1481746.9300000002</v>
      </c>
      <c r="Q111" s="33">
        <f t="shared" si="23"/>
        <v>1196436.9550000001</v>
      </c>
      <c r="R111" s="33">
        <f t="shared" si="23"/>
        <v>384423.35000000009</v>
      </c>
      <c r="S111" s="33">
        <f t="shared" si="23"/>
        <v>630372.505</v>
      </c>
      <c r="T111" s="33">
        <f t="shared" si="23"/>
        <v>-99555.950000000012</v>
      </c>
      <c r="U111" s="33">
        <f t="shared" si="23"/>
        <v>607505.72500000009</v>
      </c>
      <c r="V111" s="33">
        <f t="shared" si="23"/>
        <v>365455.75</v>
      </c>
      <c r="W111" s="33">
        <f t="shared" si="14"/>
        <v>11882841.560000001</v>
      </c>
    </row>
    <row r="112" spans="1:23" s="8" customFormat="1" ht="11.75" customHeight="1">
      <c r="A112" s="9" t="s">
        <v>206</v>
      </c>
      <c r="B112" s="34" t="s">
        <v>207</v>
      </c>
      <c r="C112" s="35"/>
      <c r="D112" s="35"/>
      <c r="E112" s="35"/>
      <c r="F112" s="35"/>
      <c r="G112" s="35"/>
      <c r="H112" s="35"/>
      <c r="I112" s="35"/>
      <c r="J112" s="36"/>
      <c r="K112" s="37">
        <f>SUM(K113:K114)</f>
        <v>0</v>
      </c>
      <c r="L112" s="37">
        <f t="shared" ref="L112:V112" si="24">SUM(L113:L114)</f>
        <v>0</v>
      </c>
      <c r="M112" s="37">
        <f t="shared" si="24"/>
        <v>0</v>
      </c>
      <c r="N112" s="37">
        <f t="shared" si="24"/>
        <v>0</v>
      </c>
      <c r="O112" s="37">
        <f t="shared" si="24"/>
        <v>0</v>
      </c>
      <c r="P112" s="37">
        <f t="shared" si="24"/>
        <v>0</v>
      </c>
      <c r="Q112" s="37">
        <f t="shared" si="24"/>
        <v>0</v>
      </c>
      <c r="R112" s="37">
        <f t="shared" si="24"/>
        <v>0</v>
      </c>
      <c r="S112" s="37">
        <f t="shared" si="24"/>
        <v>0</v>
      </c>
      <c r="T112" s="37">
        <f t="shared" si="24"/>
        <v>0</v>
      </c>
      <c r="U112" s="37">
        <f t="shared" si="24"/>
        <v>0</v>
      </c>
      <c r="V112" s="37">
        <f t="shared" si="24"/>
        <v>0</v>
      </c>
      <c r="W112" s="37">
        <f t="shared" si="14"/>
        <v>0</v>
      </c>
    </row>
    <row r="113" spans="1:23" s="63" customFormat="1" ht="11.75" customHeight="1">
      <c r="A113" s="59" t="s">
        <v>208</v>
      </c>
      <c r="B113" s="60"/>
      <c r="C113" s="61" t="s">
        <v>209</v>
      </c>
      <c r="D113" s="57"/>
      <c r="E113" s="57"/>
      <c r="F113" s="57"/>
      <c r="G113" s="57"/>
      <c r="H113" s="57"/>
      <c r="I113" s="57"/>
      <c r="J113" s="62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>
        <f t="shared" si="14"/>
        <v>0</v>
      </c>
    </row>
    <row r="114" spans="1:23" s="63" customFormat="1" ht="11.75" customHeight="1">
      <c r="A114" s="59" t="s">
        <v>210</v>
      </c>
      <c r="B114" s="59"/>
      <c r="C114" s="64" t="s">
        <v>191</v>
      </c>
      <c r="D114" s="57"/>
      <c r="E114" s="57"/>
      <c r="F114" s="57"/>
      <c r="G114" s="57"/>
      <c r="H114" s="57"/>
      <c r="I114" s="57"/>
      <c r="J114" s="62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>
        <f t="shared" si="14"/>
        <v>0</v>
      </c>
    </row>
    <row r="115" spans="1:23" s="8" customFormat="1" ht="11.75" customHeight="1">
      <c r="A115" s="9" t="s">
        <v>211</v>
      </c>
      <c r="B115" s="38" t="s">
        <v>212</v>
      </c>
      <c r="C115" s="39"/>
      <c r="D115" s="39"/>
      <c r="E115" s="39"/>
      <c r="F115" s="39"/>
      <c r="G115" s="39"/>
      <c r="H115" s="39"/>
      <c r="I115" s="39"/>
      <c r="J115" s="40"/>
      <c r="K115" s="41">
        <f>SUM(K116:K117)</f>
        <v>0</v>
      </c>
      <c r="L115" s="41">
        <f t="shared" ref="L115:V115" si="25">SUM(L116:L117)</f>
        <v>0</v>
      </c>
      <c r="M115" s="41">
        <f t="shared" si="25"/>
        <v>0</v>
      </c>
      <c r="N115" s="41">
        <f t="shared" si="25"/>
        <v>0</v>
      </c>
      <c r="O115" s="41">
        <f t="shared" si="25"/>
        <v>0</v>
      </c>
      <c r="P115" s="41">
        <f t="shared" si="25"/>
        <v>0</v>
      </c>
      <c r="Q115" s="41">
        <f t="shared" si="25"/>
        <v>0</v>
      </c>
      <c r="R115" s="41">
        <f t="shared" si="25"/>
        <v>0</v>
      </c>
      <c r="S115" s="41">
        <f t="shared" si="25"/>
        <v>0</v>
      </c>
      <c r="T115" s="41">
        <f t="shared" si="25"/>
        <v>0</v>
      </c>
      <c r="U115" s="41">
        <f t="shared" si="25"/>
        <v>0</v>
      </c>
      <c r="V115" s="41">
        <f t="shared" si="25"/>
        <v>0</v>
      </c>
      <c r="W115" s="41">
        <f t="shared" si="14"/>
        <v>0</v>
      </c>
    </row>
    <row r="116" spans="1:23" s="63" customFormat="1" ht="11.75" customHeight="1">
      <c r="A116" s="59" t="s">
        <v>213</v>
      </c>
      <c r="B116" s="60"/>
      <c r="C116" s="61" t="s">
        <v>214</v>
      </c>
      <c r="D116" s="57"/>
      <c r="E116" s="57"/>
      <c r="F116" s="57"/>
      <c r="G116" s="57"/>
      <c r="H116" s="57"/>
      <c r="I116" s="57"/>
      <c r="J116" s="62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>
        <f t="shared" si="14"/>
        <v>0</v>
      </c>
    </row>
    <row r="117" spans="1:23" s="63" customFormat="1" ht="11.75" customHeight="1" thickBot="1">
      <c r="A117" s="59" t="s">
        <v>215</v>
      </c>
      <c r="B117" s="59"/>
      <c r="C117" s="64" t="s">
        <v>191</v>
      </c>
      <c r="D117" s="57"/>
      <c r="E117" s="57"/>
      <c r="F117" s="57"/>
      <c r="G117" s="57"/>
      <c r="H117" s="57"/>
      <c r="I117" s="57"/>
      <c r="J117" s="62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>
        <f t="shared" si="14"/>
        <v>0</v>
      </c>
    </row>
    <row r="118" spans="1:23" s="8" customFormat="1" ht="11.75" customHeight="1">
      <c r="A118" s="42" t="s">
        <v>216</v>
      </c>
      <c r="B118" s="43" t="s">
        <v>217</v>
      </c>
      <c r="C118" s="44"/>
      <c r="D118" s="44"/>
      <c r="E118" s="44"/>
      <c r="F118" s="44"/>
      <c r="G118" s="44"/>
      <c r="H118" s="44"/>
      <c r="I118" s="44"/>
      <c r="J118" s="45"/>
      <c r="K118" s="46">
        <f>K111+K112-K115</f>
        <v>485710.03</v>
      </c>
      <c r="L118" s="46">
        <f t="shared" ref="L118:V118" si="26">L111+L112-L115</f>
        <v>1441106.8250000002</v>
      </c>
      <c r="M118" s="46">
        <f t="shared" si="26"/>
        <v>1724122.7349999999</v>
      </c>
      <c r="N118" s="46">
        <f t="shared" si="26"/>
        <v>1928798.3050000002</v>
      </c>
      <c r="O118" s="46">
        <f t="shared" si="26"/>
        <v>1736718.4</v>
      </c>
      <c r="P118" s="46">
        <f t="shared" si="26"/>
        <v>1481746.9300000002</v>
      </c>
      <c r="Q118" s="46">
        <f t="shared" si="26"/>
        <v>1196436.9550000001</v>
      </c>
      <c r="R118" s="46">
        <f t="shared" si="26"/>
        <v>384423.35000000009</v>
      </c>
      <c r="S118" s="46">
        <f t="shared" si="26"/>
        <v>630372.505</v>
      </c>
      <c r="T118" s="46">
        <f t="shared" si="26"/>
        <v>-99555.950000000012</v>
      </c>
      <c r="U118" s="46">
        <f t="shared" si="26"/>
        <v>607505.72500000009</v>
      </c>
      <c r="V118" s="46">
        <f t="shared" si="26"/>
        <v>365455.75</v>
      </c>
      <c r="W118" s="46">
        <f t="shared" si="14"/>
        <v>11882841.560000001</v>
      </c>
    </row>
  </sheetData>
  <mergeCells count="2">
    <mergeCell ref="A4:A5"/>
    <mergeCell ref="B4:J5"/>
  </mergeCells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85BF4-E4C5-4267-9833-907F34909BC2}">
  <dimension ref="A1:X118"/>
  <sheetViews>
    <sheetView showGridLines="0" zoomScaleNormal="100" workbookViewId="0">
      <pane xSplit="10" ySplit="5" topLeftCell="K6" activePane="bottomRight" state="frozen"/>
      <selection activeCell="Q127" sqref="Q127"/>
      <selection pane="topRight" activeCell="Q127" sqref="Q127"/>
      <selection pane="bottomLeft" activeCell="Q127" sqref="Q127"/>
      <selection pane="bottomRight" activeCell="Y23" sqref="Y23"/>
    </sheetView>
  </sheetViews>
  <sheetFormatPr baseColWidth="10" defaultColWidth="9" defaultRowHeight="18"/>
  <cols>
    <col min="1" max="1" width="5.83203125" style="49" customWidth="1"/>
    <col min="2" max="8" width="2.33203125" style="49" customWidth="1"/>
    <col min="9" max="9" width="2.1640625" style="49" customWidth="1"/>
    <col min="10" max="10" width="0" style="49" hidden="1" customWidth="1"/>
    <col min="11" max="16" width="12.1640625" style="49" bestFit="1" customWidth="1"/>
    <col min="17" max="19" width="13" style="49" bestFit="1" customWidth="1"/>
    <col min="20" max="22" width="12.1640625" style="49" bestFit="1" customWidth="1"/>
    <col min="23" max="23" width="12.1640625" style="51" bestFit="1" customWidth="1"/>
    <col min="24" max="24" width="10.5" style="51" bestFit="1" customWidth="1"/>
    <col min="25" max="16384" width="9" style="51"/>
  </cols>
  <sheetData>
    <row r="1" spans="1:24" ht="20" customHeight="1">
      <c r="A1" s="56" t="s">
        <v>258</v>
      </c>
      <c r="X1" s="137">
        <f>SUM(K6:P6)</f>
        <v>84475532</v>
      </c>
    </row>
    <row r="3" spans="1:24" ht="11.75" customHeight="1">
      <c r="A3" s="57" t="s">
        <v>222</v>
      </c>
    </row>
    <row r="4" spans="1:24" s="58" customFormat="1" ht="11.75" customHeight="1">
      <c r="A4" s="177" t="s">
        <v>0</v>
      </c>
      <c r="B4" s="179" t="s">
        <v>1</v>
      </c>
      <c r="C4" s="180"/>
      <c r="D4" s="180"/>
      <c r="E4" s="180"/>
      <c r="F4" s="180"/>
      <c r="G4" s="180"/>
      <c r="H4" s="180"/>
      <c r="I4" s="180"/>
      <c r="J4" s="181"/>
      <c r="K4" s="55" t="s">
        <v>226</v>
      </c>
      <c r="L4" s="55" t="s">
        <v>227</v>
      </c>
      <c r="M4" s="55" t="s">
        <v>228</v>
      </c>
      <c r="N4" s="55" t="s">
        <v>229</v>
      </c>
      <c r="O4" s="55" t="s">
        <v>230</v>
      </c>
      <c r="P4" s="55" t="s">
        <v>231</v>
      </c>
      <c r="Q4" s="55" t="s">
        <v>232</v>
      </c>
      <c r="R4" s="55" t="s">
        <v>233</v>
      </c>
      <c r="S4" s="55" t="s">
        <v>234</v>
      </c>
      <c r="T4" s="55" t="s">
        <v>235</v>
      </c>
      <c r="U4" s="55" t="s">
        <v>236</v>
      </c>
      <c r="V4" s="55" t="s">
        <v>237</v>
      </c>
      <c r="W4" s="52" t="s">
        <v>225</v>
      </c>
    </row>
    <row r="5" spans="1:24" s="58" customFormat="1" ht="25.5" customHeight="1">
      <c r="A5" s="178"/>
      <c r="B5" s="182"/>
      <c r="C5" s="183"/>
      <c r="D5" s="183"/>
      <c r="E5" s="183"/>
      <c r="F5" s="183"/>
      <c r="G5" s="183"/>
      <c r="H5" s="183"/>
      <c r="I5" s="183"/>
      <c r="J5" s="184"/>
      <c r="K5" s="50" t="s">
        <v>2</v>
      </c>
      <c r="L5" s="50" t="s">
        <v>2</v>
      </c>
      <c r="M5" s="50" t="s">
        <v>2</v>
      </c>
      <c r="N5" s="50" t="s">
        <v>2</v>
      </c>
      <c r="O5" s="50" t="s">
        <v>2</v>
      </c>
      <c r="P5" s="50" t="s">
        <v>2</v>
      </c>
      <c r="Q5" s="50" t="s">
        <v>2</v>
      </c>
      <c r="R5" s="50" t="s">
        <v>2</v>
      </c>
      <c r="S5" s="50" t="s">
        <v>2</v>
      </c>
      <c r="T5" s="50" t="s">
        <v>2</v>
      </c>
      <c r="U5" s="50" t="s">
        <v>2</v>
      </c>
      <c r="V5" s="50" t="s">
        <v>2</v>
      </c>
      <c r="W5" s="50" t="s">
        <v>2</v>
      </c>
    </row>
    <row r="6" spans="1:24" s="8" customFormat="1" ht="11.75" customHeight="1">
      <c r="A6" s="3" t="s">
        <v>3</v>
      </c>
      <c r="B6" s="4" t="s">
        <v>4</v>
      </c>
      <c r="C6" s="5"/>
      <c r="D6" s="5"/>
      <c r="E6" s="5"/>
      <c r="F6" s="5"/>
      <c r="G6" s="5"/>
      <c r="H6" s="5"/>
      <c r="I6" s="5"/>
      <c r="J6" s="6"/>
      <c r="K6" s="7">
        <f>SUM(K7:K16)</f>
        <v>4155555</v>
      </c>
      <c r="L6" s="7">
        <f t="shared" ref="L6:V6" si="0">SUM(L7:L16)</f>
        <v>15950848</v>
      </c>
      <c r="M6" s="7">
        <f t="shared" si="0"/>
        <v>16434120</v>
      </c>
      <c r="N6" s="7">
        <f t="shared" si="0"/>
        <v>16024028</v>
      </c>
      <c r="O6" s="7">
        <f t="shared" si="0"/>
        <v>16148579</v>
      </c>
      <c r="P6" s="7">
        <f t="shared" si="0"/>
        <v>15762402</v>
      </c>
      <c r="Q6" s="7">
        <f t="shared" si="0"/>
        <v>16305050</v>
      </c>
      <c r="R6" s="7">
        <f t="shared" si="0"/>
        <v>12917836</v>
      </c>
      <c r="S6" s="7">
        <f t="shared" si="0"/>
        <v>17035552</v>
      </c>
      <c r="T6" s="7">
        <f t="shared" si="0"/>
        <v>13000582</v>
      </c>
      <c r="U6" s="7">
        <f t="shared" si="0"/>
        <v>11901022</v>
      </c>
      <c r="V6" s="7">
        <f t="shared" si="0"/>
        <v>11500397</v>
      </c>
      <c r="W6" s="7">
        <f>SUM(K6:V6)</f>
        <v>167135971</v>
      </c>
    </row>
    <row r="7" spans="1:24" s="63" customFormat="1" ht="11.75" customHeight="1">
      <c r="A7" s="59" t="s">
        <v>5</v>
      </c>
      <c r="B7" s="60"/>
      <c r="C7" s="61" t="s">
        <v>6</v>
      </c>
      <c r="D7" s="57"/>
      <c r="E7" s="57"/>
      <c r="F7" s="57"/>
      <c r="G7" s="57"/>
      <c r="H7" s="57"/>
      <c r="I7" s="57"/>
      <c r="J7" s="62"/>
      <c r="K7" s="47">
        <v>4155555</v>
      </c>
      <c r="L7" s="47">
        <v>15950848</v>
      </c>
      <c r="M7" s="47">
        <v>16434120</v>
      </c>
      <c r="N7" s="47">
        <v>16024028</v>
      </c>
      <c r="O7" s="47">
        <v>16148579</v>
      </c>
      <c r="P7" s="47">
        <v>15762402</v>
      </c>
      <c r="Q7" s="47">
        <v>16305050</v>
      </c>
      <c r="R7" s="47">
        <v>12917836</v>
      </c>
      <c r="S7" s="47">
        <v>17035552</v>
      </c>
      <c r="T7" s="47">
        <v>13000582</v>
      </c>
      <c r="U7" s="47">
        <v>11901022</v>
      </c>
      <c r="V7" s="47">
        <v>11500397</v>
      </c>
      <c r="W7" s="47">
        <f t="shared" ref="W7:W70" si="1">SUM(K7:V7)</f>
        <v>167135971</v>
      </c>
    </row>
    <row r="8" spans="1:24" s="63" customFormat="1" ht="11.75" customHeight="1">
      <c r="A8" s="59" t="s">
        <v>7</v>
      </c>
      <c r="B8" s="59"/>
      <c r="C8" s="64" t="s">
        <v>8</v>
      </c>
      <c r="D8" s="57"/>
      <c r="E8" s="57"/>
      <c r="F8" s="57"/>
      <c r="G8" s="57"/>
      <c r="H8" s="57"/>
      <c r="I8" s="57"/>
      <c r="J8" s="62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>
        <f t="shared" si="1"/>
        <v>0</v>
      </c>
    </row>
    <row r="9" spans="1:24" s="63" customFormat="1" ht="11.75" customHeight="1">
      <c r="A9" s="59" t="s">
        <v>9</v>
      </c>
      <c r="B9" s="59"/>
      <c r="C9" s="64" t="s">
        <v>10</v>
      </c>
      <c r="D9" s="57"/>
      <c r="E9" s="57"/>
      <c r="F9" s="57"/>
      <c r="G9" s="57"/>
      <c r="H9" s="57"/>
      <c r="I9" s="57"/>
      <c r="J9" s="62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>
        <f t="shared" si="1"/>
        <v>0</v>
      </c>
    </row>
    <row r="10" spans="1:24" s="63" customFormat="1" ht="11.75" customHeight="1">
      <c r="A10" s="59" t="s">
        <v>11</v>
      </c>
      <c r="B10" s="59"/>
      <c r="C10" s="64" t="s">
        <v>12</v>
      </c>
      <c r="D10" s="57"/>
      <c r="E10" s="57"/>
      <c r="F10" s="57"/>
      <c r="G10" s="57"/>
      <c r="H10" s="57"/>
      <c r="I10" s="57"/>
      <c r="J10" s="62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>
        <f t="shared" si="1"/>
        <v>0</v>
      </c>
    </row>
    <row r="11" spans="1:24" s="63" customFormat="1" ht="11.75" customHeight="1">
      <c r="A11" s="59" t="s">
        <v>13</v>
      </c>
      <c r="B11" s="59"/>
      <c r="C11" s="64" t="s">
        <v>14</v>
      </c>
      <c r="D11" s="57"/>
      <c r="E11" s="57"/>
      <c r="F11" s="57"/>
      <c r="G11" s="57"/>
      <c r="H11" s="57"/>
      <c r="I11" s="57"/>
      <c r="J11" s="62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>
        <f t="shared" si="1"/>
        <v>0</v>
      </c>
    </row>
    <row r="12" spans="1:24" s="63" customFormat="1" ht="11.75" customHeight="1">
      <c r="A12" s="59" t="s">
        <v>15</v>
      </c>
      <c r="B12" s="59"/>
      <c r="C12" s="64" t="s">
        <v>16</v>
      </c>
      <c r="D12" s="57"/>
      <c r="E12" s="57"/>
      <c r="F12" s="57"/>
      <c r="G12" s="57"/>
      <c r="H12" s="57"/>
      <c r="I12" s="57"/>
      <c r="J12" s="62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>
        <f t="shared" si="1"/>
        <v>0</v>
      </c>
    </row>
    <row r="13" spans="1:24" s="63" customFormat="1" ht="11.75" customHeight="1">
      <c r="A13" s="59" t="s">
        <v>17</v>
      </c>
      <c r="B13" s="59"/>
      <c r="C13" s="64" t="s">
        <v>18</v>
      </c>
      <c r="D13" s="57"/>
      <c r="E13" s="57"/>
      <c r="F13" s="57"/>
      <c r="G13" s="57"/>
      <c r="H13" s="57"/>
      <c r="I13" s="57"/>
      <c r="J13" s="62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>
        <f t="shared" si="1"/>
        <v>0</v>
      </c>
    </row>
    <row r="14" spans="1:24" s="63" customFormat="1" ht="11.75" customHeight="1">
      <c r="A14" s="59" t="s">
        <v>19</v>
      </c>
      <c r="B14" s="59"/>
      <c r="C14" s="64" t="s">
        <v>20</v>
      </c>
      <c r="D14" s="57"/>
      <c r="E14" s="57"/>
      <c r="F14" s="57"/>
      <c r="G14" s="57"/>
      <c r="H14" s="57"/>
      <c r="I14" s="57"/>
      <c r="J14" s="62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>
        <f t="shared" si="1"/>
        <v>0</v>
      </c>
    </row>
    <row r="15" spans="1:24" s="63" customFormat="1" ht="11.75" customHeight="1">
      <c r="A15" s="59" t="s">
        <v>21</v>
      </c>
      <c r="B15" s="59"/>
      <c r="C15" s="64" t="s">
        <v>22</v>
      </c>
      <c r="D15" s="57"/>
      <c r="E15" s="57"/>
      <c r="F15" s="57"/>
      <c r="G15" s="57"/>
      <c r="H15" s="57"/>
      <c r="I15" s="57"/>
      <c r="J15" s="62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>
        <f t="shared" si="1"/>
        <v>0</v>
      </c>
    </row>
    <row r="16" spans="1:24" s="63" customFormat="1" ht="11.75" customHeight="1">
      <c r="A16" s="59" t="s">
        <v>23</v>
      </c>
      <c r="B16" s="59"/>
      <c r="C16" s="64" t="s">
        <v>24</v>
      </c>
      <c r="D16" s="57"/>
      <c r="E16" s="57"/>
      <c r="F16" s="57"/>
      <c r="G16" s="57"/>
      <c r="H16" s="57"/>
      <c r="I16" s="57"/>
      <c r="J16" s="62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>
        <f t="shared" si="1"/>
        <v>0</v>
      </c>
    </row>
    <row r="17" spans="1:23" s="63" customFormat="1" ht="11.75" customHeight="1" thickBot="1">
      <c r="A17" s="59" t="s">
        <v>25</v>
      </c>
      <c r="B17" s="65" t="s">
        <v>26</v>
      </c>
      <c r="C17" s="66"/>
      <c r="D17" s="66"/>
      <c r="E17" s="66"/>
      <c r="F17" s="66"/>
      <c r="G17" s="66"/>
      <c r="H17" s="66"/>
      <c r="I17" s="66"/>
      <c r="J17" s="67"/>
      <c r="K17" s="48">
        <v>2882993</v>
      </c>
      <c r="L17" s="48">
        <v>4477930</v>
      </c>
      <c r="M17" s="48">
        <v>4669635</v>
      </c>
      <c r="N17" s="48">
        <v>4532471</v>
      </c>
      <c r="O17" s="48">
        <v>4760202</v>
      </c>
      <c r="P17" s="48">
        <v>4428318</v>
      </c>
      <c r="Q17" s="48">
        <v>4664094</v>
      </c>
      <c r="R17" s="48">
        <v>3578960</v>
      </c>
      <c r="S17" s="48">
        <v>6178553</v>
      </c>
      <c r="T17" s="48">
        <f t="shared" ref="T17:U17" si="2">T7*0.2875</f>
        <v>3737667.3249999997</v>
      </c>
      <c r="U17" s="48">
        <f t="shared" si="2"/>
        <v>3421543.8249999997</v>
      </c>
      <c r="V17" s="48">
        <f>V7*0.2875</f>
        <v>3306364.1374999997</v>
      </c>
      <c r="W17" s="48">
        <f t="shared" si="1"/>
        <v>50638731.287500009</v>
      </c>
    </row>
    <row r="18" spans="1:23" s="8" customFormat="1" ht="11.75" customHeight="1" thickTop="1">
      <c r="A18" s="9" t="s">
        <v>27</v>
      </c>
      <c r="B18" s="14" t="s">
        <v>28</v>
      </c>
      <c r="C18" s="15"/>
      <c r="D18" s="15"/>
      <c r="E18" s="15"/>
      <c r="F18" s="15"/>
      <c r="G18" s="15"/>
      <c r="H18" s="15"/>
      <c r="I18" s="15"/>
      <c r="J18" s="16"/>
      <c r="K18" s="17">
        <f>K6-K17</f>
        <v>1272562</v>
      </c>
      <c r="L18" s="17">
        <f t="shared" ref="L18:V18" si="3">L6-L17</f>
        <v>11472918</v>
      </c>
      <c r="M18" s="17">
        <f t="shared" si="3"/>
        <v>11764485</v>
      </c>
      <c r="N18" s="17">
        <f t="shared" si="3"/>
        <v>11491557</v>
      </c>
      <c r="O18" s="17">
        <f t="shared" si="3"/>
        <v>11388377</v>
      </c>
      <c r="P18" s="17">
        <f t="shared" si="3"/>
        <v>11334084</v>
      </c>
      <c r="Q18" s="17">
        <f t="shared" si="3"/>
        <v>11640956</v>
      </c>
      <c r="R18" s="17">
        <f t="shared" si="3"/>
        <v>9338876</v>
      </c>
      <c r="S18" s="17">
        <f t="shared" si="3"/>
        <v>10856999</v>
      </c>
      <c r="T18" s="17">
        <f t="shared" si="3"/>
        <v>9262914.6750000007</v>
      </c>
      <c r="U18" s="17">
        <f t="shared" si="3"/>
        <v>8479478.1750000007</v>
      </c>
      <c r="V18" s="17">
        <f t="shared" si="3"/>
        <v>8194032.8625000007</v>
      </c>
      <c r="W18" s="17">
        <f t="shared" si="1"/>
        <v>116497239.71249999</v>
      </c>
    </row>
    <row r="19" spans="1:23" s="8" customFormat="1" ht="11.75" customHeight="1">
      <c r="A19" s="9" t="s">
        <v>29</v>
      </c>
      <c r="B19" s="18" t="s">
        <v>30</v>
      </c>
      <c r="C19" s="19"/>
      <c r="D19" s="19"/>
      <c r="E19" s="19"/>
      <c r="F19" s="19"/>
      <c r="G19" s="19"/>
      <c r="H19" s="19"/>
      <c r="I19" s="19"/>
      <c r="J19" s="20"/>
      <c r="K19" s="21">
        <f>SUM(K20:K22,K26,K29:K31,K35:K36)</f>
        <v>3654099</v>
      </c>
      <c r="L19" s="21">
        <f t="shared" ref="L19:V19" si="4">SUM(L20:L22,L26,L29:L31,L35:L36)</f>
        <v>3286601</v>
      </c>
      <c r="M19" s="21">
        <f t="shared" si="4"/>
        <v>7120533</v>
      </c>
      <c r="N19" s="21">
        <f t="shared" si="4"/>
        <v>4536947</v>
      </c>
      <c r="O19" s="21">
        <f t="shared" si="4"/>
        <v>3888067</v>
      </c>
      <c r="P19" s="21">
        <f t="shared" si="4"/>
        <v>5162287</v>
      </c>
      <c r="Q19" s="21">
        <f t="shared" si="4"/>
        <v>4827190</v>
      </c>
      <c r="R19" s="21">
        <f t="shared" si="4"/>
        <v>4230357</v>
      </c>
      <c r="S19" s="21">
        <f t="shared" si="4"/>
        <v>9583135</v>
      </c>
      <c r="T19" s="21">
        <f t="shared" si="4"/>
        <v>4397335</v>
      </c>
      <c r="U19" s="21">
        <f t="shared" si="4"/>
        <v>4282468</v>
      </c>
      <c r="V19" s="21">
        <f t="shared" si="4"/>
        <v>5116064</v>
      </c>
      <c r="W19" s="21">
        <f t="shared" si="1"/>
        <v>60085083</v>
      </c>
    </row>
    <row r="20" spans="1:23" s="63" customFormat="1" ht="11.75" customHeight="1">
      <c r="A20" s="59" t="s">
        <v>31</v>
      </c>
      <c r="B20" s="59"/>
      <c r="C20" s="64" t="s">
        <v>32</v>
      </c>
      <c r="D20" s="57"/>
      <c r="E20" s="57"/>
      <c r="F20" s="57"/>
      <c r="G20" s="57"/>
      <c r="H20" s="57"/>
      <c r="I20" s="57"/>
      <c r="J20" s="62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>
        <f t="shared" si="1"/>
        <v>0</v>
      </c>
    </row>
    <row r="21" spans="1:23" s="63" customFormat="1" ht="11.75" customHeight="1">
      <c r="A21" s="59" t="s">
        <v>33</v>
      </c>
      <c r="B21" s="59"/>
      <c r="C21" s="64" t="s">
        <v>34</v>
      </c>
      <c r="D21" s="57"/>
      <c r="E21" s="57"/>
      <c r="F21" s="57"/>
      <c r="G21" s="57"/>
      <c r="H21" s="57"/>
      <c r="I21" s="57"/>
      <c r="J21" s="62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>
        <f t="shared" si="1"/>
        <v>0</v>
      </c>
    </row>
    <row r="22" spans="1:23" s="8" customFormat="1" ht="11.75" customHeight="1">
      <c r="A22" s="9" t="s">
        <v>35</v>
      </c>
      <c r="B22" s="9"/>
      <c r="C22" s="13" t="s">
        <v>36</v>
      </c>
      <c r="D22" s="2"/>
      <c r="E22" s="2"/>
      <c r="F22" s="2"/>
      <c r="G22" s="2"/>
      <c r="H22" s="2"/>
      <c r="I22" s="2"/>
      <c r="J22" s="11"/>
      <c r="K22" s="12">
        <f>SUM(K23:K25)</f>
        <v>3550026</v>
      </c>
      <c r="L22" s="12">
        <f t="shared" ref="L22:V22" si="5">SUM(L23:L25)</f>
        <v>3168701</v>
      </c>
      <c r="M22" s="12">
        <f t="shared" si="5"/>
        <v>6151049</v>
      </c>
      <c r="N22" s="12">
        <f t="shared" si="5"/>
        <v>3664945</v>
      </c>
      <c r="O22" s="12">
        <f t="shared" si="5"/>
        <v>3669117</v>
      </c>
      <c r="P22" s="12">
        <f t="shared" si="5"/>
        <v>4157882</v>
      </c>
      <c r="Q22" s="12">
        <f t="shared" si="5"/>
        <v>4215957</v>
      </c>
      <c r="R22" s="12">
        <f t="shared" si="5"/>
        <v>4111901</v>
      </c>
      <c r="S22" s="12">
        <f t="shared" si="5"/>
        <v>8968542</v>
      </c>
      <c r="T22" s="12">
        <f t="shared" si="5"/>
        <v>3838266</v>
      </c>
      <c r="U22" s="12">
        <f t="shared" si="5"/>
        <v>3705137</v>
      </c>
      <c r="V22" s="12">
        <f t="shared" si="5"/>
        <v>4060404</v>
      </c>
      <c r="W22" s="12">
        <f t="shared" si="1"/>
        <v>53261927</v>
      </c>
    </row>
    <row r="23" spans="1:23" s="63" customFormat="1" ht="11.75" customHeight="1">
      <c r="A23" s="59" t="s">
        <v>37</v>
      </c>
      <c r="B23" s="59"/>
      <c r="C23" s="59"/>
      <c r="D23" s="64" t="s">
        <v>38</v>
      </c>
      <c r="E23" s="57"/>
      <c r="F23" s="57"/>
      <c r="G23" s="57"/>
      <c r="H23" s="57"/>
      <c r="I23" s="57"/>
      <c r="J23" s="62"/>
      <c r="K23" s="47">
        <v>3550026</v>
      </c>
      <c r="L23" s="47">
        <v>2908458</v>
      </c>
      <c r="M23" s="47">
        <v>5678903</v>
      </c>
      <c r="N23" s="47">
        <v>3214635</v>
      </c>
      <c r="O23" s="47">
        <v>3228057</v>
      </c>
      <c r="P23" s="47">
        <v>3602438</v>
      </c>
      <c r="Q23" s="47">
        <v>3745475</v>
      </c>
      <c r="R23" s="47">
        <v>3617620</v>
      </c>
      <c r="S23" s="47">
        <v>8495394</v>
      </c>
      <c r="T23" s="47">
        <v>3287230</v>
      </c>
      <c r="U23" s="47">
        <v>3349870</v>
      </c>
      <c r="V23" s="47">
        <v>3349870</v>
      </c>
      <c r="W23" s="47">
        <f t="shared" si="1"/>
        <v>48027976</v>
      </c>
    </row>
    <row r="24" spans="1:23" s="63" customFormat="1" ht="11.75" customHeight="1">
      <c r="A24" s="59" t="s">
        <v>39</v>
      </c>
      <c r="B24" s="59"/>
      <c r="C24" s="59"/>
      <c r="D24" s="64" t="s">
        <v>40</v>
      </c>
      <c r="E24" s="57"/>
      <c r="F24" s="57"/>
      <c r="G24" s="57"/>
      <c r="H24" s="57"/>
      <c r="I24" s="57"/>
      <c r="J24" s="62"/>
      <c r="K24" s="47">
        <v>0</v>
      </c>
      <c r="L24" s="47">
        <v>10605</v>
      </c>
      <c r="M24" s="47">
        <v>55045</v>
      </c>
      <c r="N24" s="47">
        <v>33835</v>
      </c>
      <c r="O24" s="47">
        <v>82822</v>
      </c>
      <c r="P24" s="47">
        <v>238031</v>
      </c>
      <c r="Q24" s="47">
        <v>160732</v>
      </c>
      <c r="R24" s="47">
        <v>172281</v>
      </c>
      <c r="S24" s="47">
        <v>64773</v>
      </c>
      <c r="T24" s="47">
        <v>83586</v>
      </c>
      <c r="U24" s="47"/>
      <c r="V24" s="47"/>
      <c r="W24" s="47">
        <f t="shared" si="1"/>
        <v>901710</v>
      </c>
    </row>
    <row r="25" spans="1:23" s="63" customFormat="1" ht="11.75" customHeight="1">
      <c r="A25" s="59" t="s">
        <v>41</v>
      </c>
      <c r="B25" s="59"/>
      <c r="C25" s="59"/>
      <c r="D25" s="64" t="s">
        <v>42</v>
      </c>
      <c r="E25" s="57"/>
      <c r="F25" s="57"/>
      <c r="G25" s="57"/>
      <c r="H25" s="57"/>
      <c r="I25" s="57"/>
      <c r="J25" s="62"/>
      <c r="K25" s="47">
        <v>0</v>
      </c>
      <c r="L25" s="47">
        <v>249638</v>
      </c>
      <c r="M25" s="47">
        <v>417101</v>
      </c>
      <c r="N25" s="47">
        <v>416475</v>
      </c>
      <c r="O25" s="47">
        <v>358238</v>
      </c>
      <c r="P25" s="47">
        <v>317413</v>
      </c>
      <c r="Q25" s="47">
        <v>309750</v>
      </c>
      <c r="R25" s="47">
        <v>322000</v>
      </c>
      <c r="S25" s="47">
        <v>408375</v>
      </c>
      <c r="T25" s="47">
        <v>467450</v>
      </c>
      <c r="U25" s="47">
        <v>355267</v>
      </c>
      <c r="V25" s="47">
        <f>355267*2</f>
        <v>710534</v>
      </c>
      <c r="W25" s="47">
        <f t="shared" si="1"/>
        <v>4332241</v>
      </c>
    </row>
    <row r="26" spans="1:23" s="8" customFormat="1" ht="11.75" customHeight="1">
      <c r="A26" s="9" t="s">
        <v>43</v>
      </c>
      <c r="B26" s="9"/>
      <c r="C26" s="13" t="s">
        <v>44</v>
      </c>
      <c r="D26" s="2"/>
      <c r="E26" s="2"/>
      <c r="F26" s="2"/>
      <c r="G26" s="2"/>
      <c r="H26" s="2"/>
      <c r="I26" s="2"/>
      <c r="J26" s="11"/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f t="shared" si="1"/>
        <v>0</v>
      </c>
    </row>
    <row r="27" spans="1:23" s="63" customFormat="1" ht="11.75" customHeight="1">
      <c r="A27" s="59" t="s">
        <v>45</v>
      </c>
      <c r="B27" s="59"/>
      <c r="C27" s="59"/>
      <c r="D27" s="64" t="s">
        <v>46</v>
      </c>
      <c r="E27" s="57"/>
      <c r="F27" s="57"/>
      <c r="G27" s="57"/>
      <c r="H27" s="57"/>
      <c r="I27" s="57"/>
      <c r="J27" s="62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>
        <f t="shared" si="1"/>
        <v>0</v>
      </c>
    </row>
    <row r="28" spans="1:23" s="63" customFormat="1" ht="11.75" customHeight="1">
      <c r="A28" s="59" t="s">
        <v>47</v>
      </c>
      <c r="B28" s="59"/>
      <c r="C28" s="59"/>
      <c r="D28" s="64" t="s">
        <v>48</v>
      </c>
      <c r="E28" s="57"/>
      <c r="F28" s="57"/>
      <c r="G28" s="57"/>
      <c r="H28" s="57"/>
      <c r="I28" s="57"/>
      <c r="J28" s="62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>
        <f t="shared" si="1"/>
        <v>0</v>
      </c>
    </row>
    <row r="29" spans="1:23" s="63" customFormat="1" ht="11.75" customHeight="1">
      <c r="A29" s="59" t="s">
        <v>49</v>
      </c>
      <c r="B29" s="59"/>
      <c r="C29" s="64" t="s">
        <v>50</v>
      </c>
      <c r="D29" s="57"/>
      <c r="E29" s="57"/>
      <c r="F29" s="57"/>
      <c r="G29" s="57"/>
      <c r="H29" s="57"/>
      <c r="I29" s="57"/>
      <c r="J29" s="62"/>
      <c r="K29" s="47">
        <v>0</v>
      </c>
      <c r="L29" s="47">
        <v>0</v>
      </c>
      <c r="M29" s="47">
        <v>857574</v>
      </c>
      <c r="N29" s="47">
        <v>762364</v>
      </c>
      <c r="O29" s="47">
        <v>0</v>
      </c>
      <c r="P29" s="47">
        <v>876585</v>
      </c>
      <c r="Q29" s="47">
        <v>494559</v>
      </c>
      <c r="R29" s="47">
        <v>0</v>
      </c>
      <c r="S29" s="47">
        <v>518418</v>
      </c>
      <c r="T29" s="47">
        <v>460067</v>
      </c>
      <c r="U29" s="47">
        <v>478329</v>
      </c>
      <c r="V29" s="47">
        <f>478329*2</f>
        <v>956658</v>
      </c>
      <c r="W29" s="47">
        <f t="shared" si="1"/>
        <v>5404554</v>
      </c>
    </row>
    <row r="30" spans="1:23" s="63" customFormat="1" ht="11.75" customHeight="1">
      <c r="A30" s="59" t="s">
        <v>51</v>
      </c>
      <c r="B30" s="59"/>
      <c r="C30" s="64" t="s">
        <v>52</v>
      </c>
      <c r="D30" s="57"/>
      <c r="E30" s="57"/>
      <c r="F30" s="57"/>
      <c r="G30" s="57"/>
      <c r="H30" s="57"/>
      <c r="I30" s="57"/>
      <c r="J30" s="62"/>
      <c r="K30" s="47">
        <v>5800</v>
      </c>
      <c r="L30" s="47">
        <v>6200</v>
      </c>
      <c r="M30" s="47">
        <v>8200</v>
      </c>
      <c r="N30" s="47">
        <v>8200</v>
      </c>
      <c r="O30" s="47">
        <v>8200</v>
      </c>
      <c r="P30" s="47">
        <v>7400</v>
      </c>
      <c r="Q30" s="47">
        <v>7000</v>
      </c>
      <c r="R30" s="47">
        <v>7800</v>
      </c>
      <c r="S30" s="47">
        <v>7800</v>
      </c>
      <c r="T30" s="47">
        <v>7400</v>
      </c>
      <c r="U30" s="47">
        <v>7400</v>
      </c>
      <c r="V30" s="47">
        <v>7400</v>
      </c>
      <c r="W30" s="47">
        <f t="shared" si="1"/>
        <v>88800</v>
      </c>
    </row>
    <row r="31" spans="1:23" s="8" customFormat="1" ht="11.75" customHeight="1">
      <c r="A31" s="9" t="s">
        <v>53</v>
      </c>
      <c r="B31" s="9"/>
      <c r="C31" s="13" t="s">
        <v>54</v>
      </c>
      <c r="D31" s="2"/>
      <c r="E31" s="2"/>
      <c r="F31" s="2"/>
      <c r="G31" s="2"/>
      <c r="H31" s="2"/>
      <c r="I31" s="2"/>
      <c r="J31" s="11"/>
      <c r="K31" s="12">
        <f>SUM(K32:K34)</f>
        <v>7200</v>
      </c>
      <c r="L31" s="12">
        <f t="shared" ref="L31:V31" si="6">SUM(L32:L34)</f>
        <v>23925</v>
      </c>
      <c r="M31" s="12">
        <f t="shared" si="6"/>
        <v>7800</v>
      </c>
      <c r="N31" s="12">
        <f t="shared" si="6"/>
        <v>7800</v>
      </c>
      <c r="O31" s="12">
        <f t="shared" si="6"/>
        <v>115425</v>
      </c>
      <c r="P31" s="12">
        <f t="shared" si="6"/>
        <v>6600</v>
      </c>
      <c r="Q31" s="12">
        <f t="shared" si="6"/>
        <v>6600</v>
      </c>
      <c r="R31" s="12">
        <f t="shared" si="6"/>
        <v>7200</v>
      </c>
      <c r="S31" s="12">
        <f t="shared" si="6"/>
        <v>7200</v>
      </c>
      <c r="T31" s="12">
        <f t="shared" si="6"/>
        <v>6600</v>
      </c>
      <c r="U31" s="12">
        <f t="shared" si="6"/>
        <v>6600</v>
      </c>
      <c r="V31" s="12">
        <f t="shared" si="6"/>
        <v>6600</v>
      </c>
      <c r="W31" s="12">
        <f t="shared" si="1"/>
        <v>209550</v>
      </c>
    </row>
    <row r="32" spans="1:23" s="63" customFormat="1" ht="11.75" customHeight="1">
      <c r="A32" s="59" t="s">
        <v>55</v>
      </c>
      <c r="B32" s="59"/>
      <c r="C32" s="59"/>
      <c r="D32" s="64" t="s">
        <v>54</v>
      </c>
      <c r="E32" s="57"/>
      <c r="F32" s="57"/>
      <c r="G32" s="57"/>
      <c r="H32" s="57"/>
      <c r="I32" s="57"/>
      <c r="J32" s="62"/>
      <c r="K32" s="47">
        <v>7200</v>
      </c>
      <c r="L32" s="47">
        <v>7800</v>
      </c>
      <c r="M32" s="47">
        <v>7800</v>
      </c>
      <c r="N32" s="47">
        <v>7800</v>
      </c>
      <c r="O32" s="47">
        <v>7800</v>
      </c>
      <c r="P32" s="47">
        <v>6600</v>
      </c>
      <c r="Q32" s="47">
        <v>6600</v>
      </c>
      <c r="R32" s="47">
        <v>7200</v>
      </c>
      <c r="S32" s="47">
        <v>7200</v>
      </c>
      <c r="T32" s="47">
        <v>6600</v>
      </c>
      <c r="U32" s="47">
        <v>6600</v>
      </c>
      <c r="V32" s="47">
        <v>6600</v>
      </c>
      <c r="W32" s="47">
        <f t="shared" si="1"/>
        <v>85800</v>
      </c>
    </row>
    <row r="33" spans="1:23" s="63" customFormat="1" ht="11.75" customHeight="1">
      <c r="A33" s="59" t="s">
        <v>56</v>
      </c>
      <c r="B33" s="59"/>
      <c r="C33" s="59"/>
      <c r="D33" s="64" t="s">
        <v>57</v>
      </c>
      <c r="E33" s="57"/>
      <c r="F33" s="57"/>
      <c r="G33" s="57"/>
      <c r="H33" s="57"/>
      <c r="I33" s="57"/>
      <c r="J33" s="62"/>
      <c r="K33" s="47">
        <v>0</v>
      </c>
      <c r="L33" s="47">
        <v>16125</v>
      </c>
      <c r="M33" s="47">
        <v>0</v>
      </c>
      <c r="N33" s="47">
        <v>0</v>
      </c>
      <c r="O33" s="47">
        <v>107625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/>
      <c r="V33" s="47"/>
      <c r="W33" s="47">
        <f t="shared" si="1"/>
        <v>123750</v>
      </c>
    </row>
    <row r="34" spans="1:23" s="63" customFormat="1" ht="11.75" customHeight="1">
      <c r="A34" s="59" t="s">
        <v>58</v>
      </c>
      <c r="B34" s="59"/>
      <c r="C34" s="59"/>
      <c r="D34" s="64" t="s">
        <v>59</v>
      </c>
      <c r="E34" s="57"/>
      <c r="F34" s="57"/>
      <c r="G34" s="57"/>
      <c r="H34" s="57"/>
      <c r="I34" s="57"/>
      <c r="J34" s="62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>
        <f t="shared" si="1"/>
        <v>0</v>
      </c>
    </row>
    <row r="35" spans="1:23" s="63" customFormat="1" ht="11.75" customHeight="1">
      <c r="A35" s="59" t="s">
        <v>60</v>
      </c>
      <c r="B35" s="59"/>
      <c r="C35" s="64" t="s">
        <v>61</v>
      </c>
      <c r="D35" s="57"/>
      <c r="E35" s="57"/>
      <c r="F35" s="57"/>
      <c r="G35" s="57"/>
      <c r="H35" s="57"/>
      <c r="I35" s="57"/>
      <c r="J35" s="62"/>
      <c r="K35" s="47">
        <v>91073</v>
      </c>
      <c r="L35" s="47">
        <v>87775</v>
      </c>
      <c r="M35" s="47">
        <v>95910</v>
      </c>
      <c r="N35" s="47">
        <v>93638</v>
      </c>
      <c r="O35" s="47">
        <v>95325</v>
      </c>
      <c r="P35" s="47">
        <v>113820</v>
      </c>
      <c r="Q35" s="47">
        <v>103074</v>
      </c>
      <c r="R35" s="47">
        <v>103456</v>
      </c>
      <c r="S35" s="47">
        <v>81175</v>
      </c>
      <c r="T35" s="47">
        <v>85002</v>
      </c>
      <c r="U35" s="47">
        <v>85002</v>
      </c>
      <c r="V35" s="47">
        <v>85002</v>
      </c>
      <c r="W35" s="47">
        <f t="shared" si="1"/>
        <v>1120252</v>
      </c>
    </row>
    <row r="36" spans="1:23" s="63" customFormat="1" ht="11.75" customHeight="1">
      <c r="A36" s="59" t="s">
        <v>62</v>
      </c>
      <c r="B36" s="59"/>
      <c r="C36" s="64" t="s">
        <v>63</v>
      </c>
      <c r="D36" s="57"/>
      <c r="E36" s="57"/>
      <c r="F36" s="57"/>
      <c r="G36" s="57"/>
      <c r="H36" s="57"/>
      <c r="I36" s="57"/>
      <c r="J36" s="62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53">
        <f t="shared" si="1"/>
        <v>0</v>
      </c>
    </row>
    <row r="37" spans="1:23" s="8" customFormat="1" ht="11.75" customHeight="1">
      <c r="A37" s="9" t="s">
        <v>64</v>
      </c>
      <c r="B37" s="22" t="s">
        <v>65</v>
      </c>
      <c r="C37" s="23"/>
      <c r="D37" s="23"/>
      <c r="E37" s="23"/>
      <c r="F37" s="23"/>
      <c r="G37" s="23"/>
      <c r="H37" s="23"/>
      <c r="I37" s="23"/>
      <c r="J37" s="24"/>
      <c r="K37" s="25">
        <f>SUM(K38:K41,K46,K50,K57:K58,K61:K67,K70:K72,K78:K80,K83:K84)</f>
        <v>1088391</v>
      </c>
      <c r="L37" s="25">
        <f t="shared" ref="L37:V37" si="7">SUM(L38:L41,L46,L50,L57:L58,L61:L67,L70:L72,L78:L80,L83:L84)</f>
        <v>1829534</v>
      </c>
      <c r="M37" s="25">
        <f t="shared" si="7"/>
        <v>2205904</v>
      </c>
      <c r="N37" s="25">
        <f t="shared" si="7"/>
        <v>1901909</v>
      </c>
      <c r="O37" s="25">
        <f t="shared" si="7"/>
        <v>1411614</v>
      </c>
      <c r="P37" s="25">
        <f t="shared" si="7"/>
        <v>2078182</v>
      </c>
      <c r="Q37" s="25">
        <f t="shared" si="7"/>
        <v>1590212</v>
      </c>
      <c r="R37" s="25">
        <f t="shared" si="7"/>
        <v>1675576</v>
      </c>
      <c r="S37" s="25">
        <f t="shared" si="7"/>
        <v>1993652</v>
      </c>
      <c r="T37" s="25">
        <f t="shared" si="7"/>
        <v>1376180</v>
      </c>
      <c r="U37" s="25">
        <f t="shared" si="7"/>
        <v>1454230</v>
      </c>
      <c r="V37" s="25">
        <f t="shared" si="7"/>
        <v>1630230</v>
      </c>
      <c r="W37" s="25">
        <f t="shared" si="1"/>
        <v>20235614</v>
      </c>
    </row>
    <row r="38" spans="1:23" s="63" customFormat="1" ht="11.75" customHeight="1">
      <c r="A38" s="59" t="s">
        <v>66</v>
      </c>
      <c r="B38" s="60"/>
      <c r="C38" s="61" t="s">
        <v>67</v>
      </c>
      <c r="D38" s="57"/>
      <c r="E38" s="57"/>
      <c r="F38" s="57"/>
      <c r="G38" s="57"/>
      <c r="H38" s="57"/>
      <c r="I38" s="57"/>
      <c r="J38" s="62"/>
      <c r="K38" s="47">
        <v>182579</v>
      </c>
      <c r="L38" s="47">
        <v>600818</v>
      </c>
      <c r="M38" s="47">
        <v>346612</v>
      </c>
      <c r="N38" s="47">
        <v>594857</v>
      </c>
      <c r="O38" s="47">
        <v>27122</v>
      </c>
      <c r="P38" s="47">
        <v>332219</v>
      </c>
      <c r="Q38" s="47">
        <v>255860</v>
      </c>
      <c r="R38" s="47">
        <v>185746</v>
      </c>
      <c r="S38" s="47">
        <v>427951</v>
      </c>
      <c r="T38" s="47">
        <v>170000</v>
      </c>
      <c r="U38" s="47">
        <v>170000</v>
      </c>
      <c r="V38" s="47">
        <v>176000</v>
      </c>
      <c r="W38" s="47">
        <f t="shared" si="1"/>
        <v>3469764</v>
      </c>
    </row>
    <row r="39" spans="1:23" s="63" customFormat="1" ht="11.75" customHeight="1">
      <c r="A39" s="59" t="s">
        <v>68</v>
      </c>
      <c r="B39" s="59"/>
      <c r="C39" s="64" t="s">
        <v>69</v>
      </c>
      <c r="D39" s="57"/>
      <c r="E39" s="57"/>
      <c r="F39" s="57"/>
      <c r="G39" s="57"/>
      <c r="H39" s="57"/>
      <c r="I39" s="57"/>
      <c r="J39" s="62"/>
      <c r="K39" s="47">
        <v>0</v>
      </c>
      <c r="L39" s="47">
        <v>53175</v>
      </c>
      <c r="M39" s="47">
        <v>15430</v>
      </c>
      <c r="N39" s="47">
        <v>15019</v>
      </c>
      <c r="O39" s="47">
        <v>13347</v>
      </c>
      <c r="P39" s="47">
        <v>12472</v>
      </c>
      <c r="Q39" s="47">
        <v>13314</v>
      </c>
      <c r="R39" s="47">
        <v>26476</v>
      </c>
      <c r="S39" s="47">
        <v>9171</v>
      </c>
      <c r="T39" s="47">
        <v>25000</v>
      </c>
      <c r="U39" s="47">
        <v>25000</v>
      </c>
      <c r="V39" s="47">
        <v>25000</v>
      </c>
      <c r="W39" s="47">
        <f t="shared" si="1"/>
        <v>233404</v>
      </c>
    </row>
    <row r="40" spans="1:23" s="63" customFormat="1" ht="11.75" customHeight="1">
      <c r="A40" s="59" t="s">
        <v>70</v>
      </c>
      <c r="B40" s="59"/>
      <c r="C40" s="64" t="s">
        <v>71</v>
      </c>
      <c r="D40" s="57"/>
      <c r="E40" s="57"/>
      <c r="F40" s="57"/>
      <c r="G40" s="57"/>
      <c r="H40" s="57"/>
      <c r="I40" s="57"/>
      <c r="J40" s="62"/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f t="shared" si="1"/>
        <v>0</v>
      </c>
    </row>
    <row r="41" spans="1:23" s="8" customFormat="1" ht="11.75" customHeight="1">
      <c r="A41" s="9" t="s">
        <v>72</v>
      </c>
      <c r="B41" s="9"/>
      <c r="C41" s="13" t="s">
        <v>73</v>
      </c>
      <c r="D41" s="2"/>
      <c r="E41" s="2"/>
      <c r="F41" s="2"/>
      <c r="G41" s="2"/>
      <c r="H41" s="2"/>
      <c r="I41" s="2"/>
      <c r="J41" s="11"/>
      <c r="K41" s="12">
        <f>SUM(K42:K45)</f>
        <v>23698</v>
      </c>
      <c r="L41" s="12">
        <f t="shared" ref="L41:V41" si="8">SUM(L42:L45)</f>
        <v>42310</v>
      </c>
      <c r="M41" s="12">
        <f t="shared" si="8"/>
        <v>39625</v>
      </c>
      <c r="N41" s="12">
        <f t="shared" si="8"/>
        <v>42585</v>
      </c>
      <c r="O41" s="12">
        <f t="shared" si="8"/>
        <v>37345</v>
      </c>
      <c r="P41" s="12">
        <f t="shared" si="8"/>
        <v>41490</v>
      </c>
      <c r="Q41" s="12">
        <f t="shared" si="8"/>
        <v>50133</v>
      </c>
      <c r="R41" s="12">
        <f t="shared" si="8"/>
        <v>38996</v>
      </c>
      <c r="S41" s="12">
        <f t="shared" si="8"/>
        <v>133035</v>
      </c>
      <c r="T41" s="12">
        <f t="shared" si="8"/>
        <v>41310</v>
      </c>
      <c r="U41" s="12">
        <f t="shared" si="8"/>
        <v>41310</v>
      </c>
      <c r="V41" s="12">
        <f t="shared" si="8"/>
        <v>41310</v>
      </c>
      <c r="W41" s="12">
        <f t="shared" si="1"/>
        <v>573147</v>
      </c>
    </row>
    <row r="42" spans="1:23" s="63" customFormat="1" ht="11.75" customHeight="1">
      <c r="A42" s="59" t="s">
        <v>74</v>
      </c>
      <c r="B42" s="59"/>
      <c r="C42" s="59"/>
      <c r="D42" s="64" t="s">
        <v>75</v>
      </c>
      <c r="E42" s="57"/>
      <c r="F42" s="57"/>
      <c r="G42" s="57"/>
      <c r="H42" s="57"/>
      <c r="I42" s="57"/>
      <c r="J42" s="62"/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f t="shared" si="1"/>
        <v>0</v>
      </c>
    </row>
    <row r="43" spans="1:23" s="63" customFormat="1" ht="11.75" customHeight="1">
      <c r="A43" s="59" t="s">
        <v>76</v>
      </c>
      <c r="B43" s="59"/>
      <c r="C43" s="59"/>
      <c r="D43" s="64" t="s">
        <v>77</v>
      </c>
      <c r="E43" s="57"/>
      <c r="F43" s="57"/>
      <c r="G43" s="57"/>
      <c r="H43" s="57"/>
      <c r="I43" s="57"/>
      <c r="J43" s="62"/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0</v>
      </c>
      <c r="R43" s="47">
        <v>0</v>
      </c>
      <c r="S43" s="47">
        <v>0</v>
      </c>
      <c r="T43" s="47">
        <v>0</v>
      </c>
      <c r="U43" s="47">
        <v>0</v>
      </c>
      <c r="V43" s="47">
        <v>0</v>
      </c>
      <c r="W43" s="47">
        <f t="shared" si="1"/>
        <v>0</v>
      </c>
    </row>
    <row r="44" spans="1:23" s="63" customFormat="1" ht="11.75" customHeight="1">
      <c r="A44" s="59" t="s">
        <v>78</v>
      </c>
      <c r="B44" s="59"/>
      <c r="C44" s="59"/>
      <c r="D44" s="64" t="s">
        <v>79</v>
      </c>
      <c r="E44" s="57"/>
      <c r="F44" s="57"/>
      <c r="G44" s="57"/>
      <c r="H44" s="57"/>
      <c r="I44" s="57"/>
      <c r="J44" s="62"/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f t="shared" si="1"/>
        <v>0</v>
      </c>
    </row>
    <row r="45" spans="1:23" s="63" customFormat="1" ht="11.75" customHeight="1">
      <c r="A45" s="59" t="s">
        <v>80</v>
      </c>
      <c r="B45" s="59"/>
      <c r="C45" s="59"/>
      <c r="D45" s="64" t="s">
        <v>81</v>
      </c>
      <c r="E45" s="57"/>
      <c r="F45" s="57"/>
      <c r="G45" s="57"/>
      <c r="H45" s="57"/>
      <c r="I45" s="57"/>
      <c r="J45" s="62"/>
      <c r="K45" s="47">
        <v>23698</v>
      </c>
      <c r="L45" s="47">
        <v>42310</v>
      </c>
      <c r="M45" s="47">
        <v>39625</v>
      </c>
      <c r="N45" s="47">
        <v>42585</v>
      </c>
      <c r="O45" s="47">
        <v>37345</v>
      </c>
      <c r="P45" s="47">
        <v>41490</v>
      </c>
      <c r="Q45" s="47">
        <v>50133</v>
      </c>
      <c r="R45" s="47">
        <v>38996</v>
      </c>
      <c r="S45" s="47">
        <v>133035</v>
      </c>
      <c r="T45" s="47">
        <v>41310</v>
      </c>
      <c r="U45" s="47">
        <v>41310</v>
      </c>
      <c r="V45" s="47">
        <v>41310</v>
      </c>
      <c r="W45" s="47">
        <f t="shared" si="1"/>
        <v>573147</v>
      </c>
    </row>
    <row r="46" spans="1:23" s="8" customFormat="1" ht="11.75" customHeight="1">
      <c r="A46" s="9" t="s">
        <v>82</v>
      </c>
      <c r="B46" s="9"/>
      <c r="C46" s="13" t="s">
        <v>83</v>
      </c>
      <c r="D46" s="2"/>
      <c r="E46" s="2"/>
      <c r="F46" s="2"/>
      <c r="G46" s="2"/>
      <c r="H46" s="2"/>
      <c r="I46" s="2"/>
      <c r="J46" s="11"/>
      <c r="K46" s="12">
        <f>SUM(K47:K49)</f>
        <v>2947</v>
      </c>
      <c r="L46" s="12">
        <f t="shared" ref="L46:V46" si="9">SUM(L47:L49)</f>
        <v>0</v>
      </c>
      <c r="M46" s="12">
        <f t="shared" si="9"/>
        <v>17650</v>
      </c>
      <c r="N46" s="12">
        <f t="shared" si="9"/>
        <v>0</v>
      </c>
      <c r="O46" s="12">
        <f t="shared" si="9"/>
        <v>0</v>
      </c>
      <c r="P46" s="12">
        <f t="shared" si="9"/>
        <v>0</v>
      </c>
      <c r="Q46" s="12">
        <f t="shared" si="9"/>
        <v>0</v>
      </c>
      <c r="R46" s="12">
        <f t="shared" si="9"/>
        <v>0</v>
      </c>
      <c r="S46" s="12">
        <f t="shared" si="9"/>
        <v>1670</v>
      </c>
      <c r="T46" s="12">
        <f t="shared" si="9"/>
        <v>0</v>
      </c>
      <c r="U46" s="12">
        <f t="shared" si="9"/>
        <v>0</v>
      </c>
      <c r="V46" s="12">
        <f t="shared" si="9"/>
        <v>0</v>
      </c>
      <c r="W46" s="12">
        <f t="shared" si="1"/>
        <v>22267</v>
      </c>
    </row>
    <row r="47" spans="1:23" s="63" customFormat="1" ht="11.75" customHeight="1">
      <c r="A47" s="59" t="s">
        <v>84</v>
      </c>
      <c r="B47" s="59"/>
      <c r="C47" s="59"/>
      <c r="D47" s="64" t="s">
        <v>85</v>
      </c>
      <c r="E47" s="57"/>
      <c r="F47" s="57"/>
      <c r="G47" s="57"/>
      <c r="H47" s="57"/>
      <c r="I47" s="57"/>
      <c r="J47" s="62"/>
      <c r="K47" s="47"/>
      <c r="L47" s="47"/>
      <c r="M47" s="47"/>
      <c r="N47" s="47"/>
      <c r="O47" s="47"/>
      <c r="P47" s="47"/>
      <c r="Q47" s="47"/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f t="shared" si="1"/>
        <v>0</v>
      </c>
    </row>
    <row r="48" spans="1:23" s="63" customFormat="1" ht="11.75" customHeight="1">
      <c r="A48" s="59" t="s">
        <v>86</v>
      </c>
      <c r="B48" s="59"/>
      <c r="C48" s="59"/>
      <c r="D48" s="64" t="s">
        <v>87</v>
      </c>
      <c r="E48" s="57"/>
      <c r="F48" s="57"/>
      <c r="G48" s="57"/>
      <c r="H48" s="57"/>
      <c r="I48" s="57"/>
      <c r="J48" s="62"/>
      <c r="K48" s="47">
        <v>0</v>
      </c>
      <c r="L48" s="47">
        <v>0</v>
      </c>
      <c r="M48" s="47">
        <v>17650</v>
      </c>
      <c r="N48" s="47">
        <v>0</v>
      </c>
      <c r="O48" s="47">
        <v>0</v>
      </c>
      <c r="P48" s="47">
        <v>0</v>
      </c>
      <c r="Q48" s="47">
        <v>0</v>
      </c>
      <c r="R48" s="47">
        <v>0</v>
      </c>
      <c r="S48" s="47">
        <v>1670</v>
      </c>
      <c r="T48" s="47">
        <v>0</v>
      </c>
      <c r="U48" s="47">
        <v>0</v>
      </c>
      <c r="V48" s="47">
        <v>0</v>
      </c>
      <c r="W48" s="47">
        <f t="shared" si="1"/>
        <v>19320</v>
      </c>
    </row>
    <row r="49" spans="1:23" s="63" customFormat="1" ht="11.75" customHeight="1">
      <c r="A49" s="59" t="s">
        <v>88</v>
      </c>
      <c r="B49" s="59"/>
      <c r="C49" s="59"/>
      <c r="D49" s="64" t="s">
        <v>89</v>
      </c>
      <c r="E49" s="57"/>
      <c r="F49" s="57"/>
      <c r="G49" s="57"/>
      <c r="H49" s="57"/>
      <c r="I49" s="57"/>
      <c r="J49" s="62"/>
      <c r="K49" s="47">
        <v>2947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f t="shared" si="1"/>
        <v>2947</v>
      </c>
    </row>
    <row r="50" spans="1:23" s="8" customFormat="1" ht="11.75" customHeight="1">
      <c r="A50" s="9" t="s">
        <v>90</v>
      </c>
      <c r="B50" s="9"/>
      <c r="C50" s="13" t="s">
        <v>91</v>
      </c>
      <c r="D50" s="2"/>
      <c r="E50" s="2"/>
      <c r="F50" s="2"/>
      <c r="G50" s="2"/>
      <c r="H50" s="2"/>
      <c r="I50" s="2"/>
      <c r="J50" s="11"/>
      <c r="K50" s="12">
        <f>SUM(K51:K56)</f>
        <v>0</v>
      </c>
      <c r="L50" s="12">
        <f t="shared" ref="L50:V50" si="10">SUM(L51:L56)</f>
        <v>0</v>
      </c>
      <c r="M50" s="12">
        <f t="shared" si="10"/>
        <v>23350</v>
      </c>
      <c r="N50" s="12">
        <f t="shared" si="10"/>
        <v>0</v>
      </c>
      <c r="O50" s="12">
        <f t="shared" si="10"/>
        <v>0</v>
      </c>
      <c r="P50" s="12">
        <f t="shared" si="10"/>
        <v>0</v>
      </c>
      <c r="Q50" s="12">
        <f t="shared" si="10"/>
        <v>0</v>
      </c>
      <c r="R50" s="12">
        <f t="shared" si="10"/>
        <v>0</v>
      </c>
      <c r="S50" s="12">
        <f t="shared" si="10"/>
        <v>17030</v>
      </c>
      <c r="T50" s="12">
        <f t="shared" si="10"/>
        <v>9950</v>
      </c>
      <c r="U50" s="12">
        <f t="shared" si="10"/>
        <v>0</v>
      </c>
      <c r="V50" s="12">
        <f t="shared" si="10"/>
        <v>0</v>
      </c>
      <c r="W50" s="12">
        <f t="shared" si="1"/>
        <v>50330</v>
      </c>
    </row>
    <row r="51" spans="1:23" s="63" customFormat="1" ht="11.75" customHeight="1">
      <c r="A51" s="59" t="s">
        <v>92</v>
      </c>
      <c r="B51" s="59"/>
      <c r="C51" s="59"/>
      <c r="D51" s="64" t="s">
        <v>93</v>
      </c>
      <c r="E51" s="57"/>
      <c r="F51" s="57"/>
      <c r="G51" s="57"/>
      <c r="H51" s="57"/>
      <c r="I51" s="57"/>
      <c r="J51" s="62"/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0</v>
      </c>
      <c r="V51" s="47">
        <v>0</v>
      </c>
      <c r="W51" s="47">
        <f t="shared" si="1"/>
        <v>0</v>
      </c>
    </row>
    <row r="52" spans="1:23" s="63" customFormat="1" ht="11.75" customHeight="1">
      <c r="A52" s="59" t="s">
        <v>94</v>
      </c>
      <c r="B52" s="59"/>
      <c r="C52" s="59"/>
      <c r="D52" s="64" t="s">
        <v>95</v>
      </c>
      <c r="E52" s="57"/>
      <c r="F52" s="57"/>
      <c r="G52" s="57"/>
      <c r="H52" s="57"/>
      <c r="I52" s="57"/>
      <c r="J52" s="62"/>
      <c r="K52" s="47">
        <v>0</v>
      </c>
      <c r="L52" s="47">
        <v>0</v>
      </c>
      <c r="M52" s="47">
        <v>9950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9950</v>
      </c>
      <c r="U52" s="47">
        <v>0</v>
      </c>
      <c r="V52" s="47">
        <v>0</v>
      </c>
      <c r="W52" s="47">
        <f t="shared" si="1"/>
        <v>19900</v>
      </c>
    </row>
    <row r="53" spans="1:23" s="63" customFormat="1" ht="11.75" customHeight="1">
      <c r="A53" s="59" t="s">
        <v>96</v>
      </c>
      <c r="B53" s="59"/>
      <c r="C53" s="59"/>
      <c r="D53" s="64" t="s">
        <v>97</v>
      </c>
      <c r="E53" s="57"/>
      <c r="F53" s="57"/>
      <c r="G53" s="57"/>
      <c r="H53" s="57"/>
      <c r="I53" s="57"/>
      <c r="J53" s="62"/>
      <c r="K53" s="47">
        <v>0</v>
      </c>
      <c r="L53" s="47">
        <v>0</v>
      </c>
      <c r="M53" s="47">
        <v>0</v>
      </c>
      <c r="N53" s="47">
        <v>0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0</v>
      </c>
      <c r="V53" s="47">
        <v>0</v>
      </c>
      <c r="W53" s="47">
        <f t="shared" si="1"/>
        <v>0</v>
      </c>
    </row>
    <row r="54" spans="1:23" s="63" customFormat="1" ht="11.75" customHeight="1">
      <c r="A54" s="59" t="s">
        <v>98</v>
      </c>
      <c r="B54" s="59"/>
      <c r="C54" s="59"/>
      <c r="D54" s="64" t="s">
        <v>99</v>
      </c>
      <c r="E54" s="57"/>
      <c r="F54" s="57"/>
      <c r="G54" s="57"/>
      <c r="H54" s="57"/>
      <c r="I54" s="57"/>
      <c r="J54" s="62"/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0</v>
      </c>
      <c r="W54" s="47">
        <f t="shared" si="1"/>
        <v>0</v>
      </c>
    </row>
    <row r="55" spans="1:23" s="63" customFormat="1" ht="11.75" customHeight="1">
      <c r="A55" s="59" t="s">
        <v>100</v>
      </c>
      <c r="B55" s="59"/>
      <c r="C55" s="59"/>
      <c r="D55" s="64" t="s">
        <v>101</v>
      </c>
      <c r="E55" s="57"/>
      <c r="F55" s="57"/>
      <c r="G55" s="57"/>
      <c r="H55" s="57"/>
      <c r="I55" s="57"/>
      <c r="J55" s="62"/>
      <c r="K55" s="47">
        <v>0</v>
      </c>
      <c r="L55" s="47">
        <v>0</v>
      </c>
      <c r="M55" s="47">
        <v>13400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17030</v>
      </c>
      <c r="T55" s="47">
        <v>0</v>
      </c>
      <c r="U55" s="47">
        <v>0</v>
      </c>
      <c r="V55" s="47">
        <v>0</v>
      </c>
      <c r="W55" s="47">
        <f t="shared" si="1"/>
        <v>30430</v>
      </c>
    </row>
    <row r="56" spans="1:23" s="63" customFormat="1" ht="11.75" customHeight="1">
      <c r="A56" s="59" t="s">
        <v>102</v>
      </c>
      <c r="B56" s="59"/>
      <c r="C56" s="59"/>
      <c r="D56" s="64" t="s">
        <v>103</v>
      </c>
      <c r="E56" s="57"/>
      <c r="F56" s="57"/>
      <c r="G56" s="57"/>
      <c r="H56" s="57"/>
      <c r="I56" s="57"/>
      <c r="J56" s="62"/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</v>
      </c>
      <c r="V56" s="47">
        <v>0</v>
      </c>
      <c r="W56" s="47">
        <f t="shared" si="1"/>
        <v>0</v>
      </c>
    </row>
    <row r="57" spans="1:23" s="63" customFormat="1" ht="11.75" customHeight="1">
      <c r="A57" s="59" t="s">
        <v>104</v>
      </c>
      <c r="B57" s="59"/>
      <c r="C57" s="64" t="s">
        <v>105</v>
      </c>
      <c r="D57" s="57"/>
      <c r="E57" s="57"/>
      <c r="F57" s="57"/>
      <c r="G57" s="57"/>
      <c r="H57" s="57"/>
      <c r="I57" s="57"/>
      <c r="J57" s="62"/>
      <c r="K57" s="47">
        <v>0</v>
      </c>
      <c r="L57" s="47">
        <v>0</v>
      </c>
      <c r="M57" s="47">
        <v>279460</v>
      </c>
      <c r="N57" s="47">
        <v>0</v>
      </c>
      <c r="O57" s="47">
        <v>0</v>
      </c>
      <c r="P57" s="47">
        <v>0</v>
      </c>
      <c r="Q57" s="47">
        <v>7200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f t="shared" si="1"/>
        <v>286660</v>
      </c>
    </row>
    <row r="58" spans="1:23" s="8" customFormat="1" ht="11.75" customHeight="1">
      <c r="A58" s="9" t="s">
        <v>106</v>
      </c>
      <c r="B58" s="9"/>
      <c r="C58" s="13" t="s">
        <v>107</v>
      </c>
      <c r="D58" s="2"/>
      <c r="E58" s="2"/>
      <c r="F58" s="2"/>
      <c r="G58" s="2"/>
      <c r="H58" s="2"/>
      <c r="I58" s="2"/>
      <c r="J58" s="11"/>
      <c r="K58" s="12">
        <f>SUM(K59:K60)</f>
        <v>6100</v>
      </c>
      <c r="L58" s="12">
        <f t="shared" ref="L58:V58" si="11">SUM(L59:L60)</f>
        <v>0</v>
      </c>
      <c r="M58" s="12">
        <f t="shared" si="11"/>
        <v>0</v>
      </c>
      <c r="N58" s="12">
        <f t="shared" si="11"/>
        <v>0</v>
      </c>
      <c r="O58" s="12">
        <f t="shared" si="11"/>
        <v>7880</v>
      </c>
      <c r="P58" s="12">
        <f t="shared" si="11"/>
        <v>0</v>
      </c>
      <c r="Q58" s="12">
        <f t="shared" si="11"/>
        <v>0</v>
      </c>
      <c r="R58" s="12">
        <f t="shared" si="11"/>
        <v>0</v>
      </c>
      <c r="S58" s="12">
        <f t="shared" si="11"/>
        <v>0</v>
      </c>
      <c r="T58" s="12">
        <f t="shared" si="11"/>
        <v>12000</v>
      </c>
      <c r="U58" s="12">
        <f t="shared" si="11"/>
        <v>0</v>
      </c>
      <c r="V58" s="12">
        <f t="shared" si="11"/>
        <v>0</v>
      </c>
      <c r="W58" s="12">
        <f t="shared" si="1"/>
        <v>25980</v>
      </c>
    </row>
    <row r="59" spans="1:23" s="63" customFormat="1" ht="11.75" customHeight="1">
      <c r="A59" s="59" t="s">
        <v>108</v>
      </c>
      <c r="B59" s="59"/>
      <c r="C59" s="59"/>
      <c r="D59" s="64" t="s">
        <v>107</v>
      </c>
      <c r="E59" s="57"/>
      <c r="F59" s="57"/>
      <c r="G59" s="57"/>
      <c r="H59" s="57"/>
      <c r="I59" s="57"/>
      <c r="J59" s="62"/>
      <c r="K59" s="47">
        <v>6100</v>
      </c>
      <c r="L59" s="47">
        <v>0</v>
      </c>
      <c r="M59" s="47">
        <v>0</v>
      </c>
      <c r="N59" s="47">
        <v>0</v>
      </c>
      <c r="O59" s="47">
        <v>7880</v>
      </c>
      <c r="P59" s="47">
        <v>0</v>
      </c>
      <c r="Q59" s="47">
        <v>0</v>
      </c>
      <c r="R59" s="47">
        <v>0</v>
      </c>
      <c r="S59" s="47">
        <v>0</v>
      </c>
      <c r="T59" s="47">
        <v>12000</v>
      </c>
      <c r="U59" s="47">
        <v>0</v>
      </c>
      <c r="V59" s="47">
        <v>0</v>
      </c>
      <c r="W59" s="47">
        <f t="shared" si="1"/>
        <v>25980</v>
      </c>
    </row>
    <row r="60" spans="1:23" s="63" customFormat="1" ht="11.75" customHeight="1">
      <c r="A60" s="59" t="s">
        <v>109</v>
      </c>
      <c r="B60" s="59"/>
      <c r="C60" s="59"/>
      <c r="D60" s="64" t="s">
        <v>110</v>
      </c>
      <c r="E60" s="57"/>
      <c r="F60" s="57"/>
      <c r="G60" s="57"/>
      <c r="H60" s="57"/>
      <c r="I60" s="57"/>
      <c r="J60" s="62"/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0</v>
      </c>
      <c r="V60" s="47">
        <v>0</v>
      </c>
      <c r="W60" s="47">
        <f t="shared" si="1"/>
        <v>0</v>
      </c>
    </row>
    <row r="61" spans="1:23" s="63" customFormat="1" ht="11.75" customHeight="1">
      <c r="A61" s="59" t="s">
        <v>111</v>
      </c>
      <c r="B61" s="59"/>
      <c r="C61" s="64" t="s">
        <v>112</v>
      </c>
      <c r="D61" s="57"/>
      <c r="E61" s="57"/>
      <c r="F61" s="57"/>
      <c r="G61" s="57"/>
      <c r="H61" s="57"/>
      <c r="I61" s="57"/>
      <c r="J61" s="62"/>
      <c r="K61" s="47">
        <v>133312</v>
      </c>
      <c r="L61" s="47">
        <v>15544</v>
      </c>
      <c r="M61" s="47">
        <v>33408</v>
      </c>
      <c r="N61" s="47">
        <v>45600</v>
      </c>
      <c r="O61" s="47">
        <v>112608</v>
      </c>
      <c r="P61" s="47">
        <v>37693</v>
      </c>
      <c r="Q61" s="47">
        <v>58635</v>
      </c>
      <c r="R61" s="47">
        <v>51513</v>
      </c>
      <c r="S61" s="47">
        <v>60151</v>
      </c>
      <c r="T61" s="47">
        <v>35000</v>
      </c>
      <c r="U61" s="47">
        <v>35000</v>
      </c>
      <c r="V61" s="47">
        <v>35000</v>
      </c>
      <c r="W61" s="47">
        <f t="shared" si="1"/>
        <v>653464</v>
      </c>
    </row>
    <row r="62" spans="1:23" s="63" customFormat="1" ht="11.75" customHeight="1">
      <c r="A62" s="59" t="s">
        <v>113</v>
      </c>
      <c r="B62" s="59"/>
      <c r="C62" s="64" t="s">
        <v>114</v>
      </c>
      <c r="D62" s="57"/>
      <c r="E62" s="57"/>
      <c r="F62" s="57"/>
      <c r="G62" s="57"/>
      <c r="H62" s="57"/>
      <c r="I62" s="57"/>
      <c r="J62" s="62"/>
      <c r="K62" s="47">
        <v>0</v>
      </c>
      <c r="L62" s="47">
        <v>0</v>
      </c>
      <c r="M62" s="47">
        <v>0</v>
      </c>
      <c r="N62" s="47">
        <v>0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  <c r="W62" s="47">
        <f t="shared" si="1"/>
        <v>0</v>
      </c>
    </row>
    <row r="63" spans="1:23" s="63" customFormat="1" ht="11.75" customHeight="1">
      <c r="A63" s="59" t="s">
        <v>115</v>
      </c>
      <c r="B63" s="59"/>
      <c r="C63" s="64" t="s">
        <v>116</v>
      </c>
      <c r="D63" s="57"/>
      <c r="E63" s="57"/>
      <c r="F63" s="57"/>
      <c r="G63" s="57"/>
      <c r="H63" s="57"/>
      <c r="I63" s="57"/>
      <c r="J63" s="62"/>
      <c r="K63" s="47">
        <v>4500</v>
      </c>
      <c r="L63" s="47">
        <v>0</v>
      </c>
      <c r="M63" s="47">
        <v>59300</v>
      </c>
      <c r="N63" s="47">
        <v>0</v>
      </c>
      <c r="O63" s="47">
        <v>0</v>
      </c>
      <c r="P63" s="47">
        <v>0</v>
      </c>
      <c r="Q63" s="47">
        <v>0</v>
      </c>
      <c r="R63" s="47">
        <v>8550</v>
      </c>
      <c r="S63" s="47">
        <v>0</v>
      </c>
      <c r="T63" s="47">
        <v>0</v>
      </c>
      <c r="U63" s="47">
        <v>0</v>
      </c>
      <c r="V63" s="47">
        <v>0</v>
      </c>
      <c r="W63" s="47">
        <f t="shared" si="1"/>
        <v>72350</v>
      </c>
    </row>
    <row r="64" spans="1:23" s="63" customFormat="1" ht="11.75" customHeight="1">
      <c r="A64" s="59" t="s">
        <v>117</v>
      </c>
      <c r="B64" s="59"/>
      <c r="C64" s="64" t="s">
        <v>118</v>
      </c>
      <c r="D64" s="57"/>
      <c r="E64" s="57"/>
      <c r="F64" s="57"/>
      <c r="G64" s="57"/>
      <c r="H64" s="57"/>
      <c r="I64" s="57"/>
      <c r="J64" s="62"/>
      <c r="K64" s="47">
        <v>0</v>
      </c>
      <c r="L64" s="47">
        <v>50000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15000</v>
      </c>
      <c r="T64" s="47">
        <v>0</v>
      </c>
      <c r="U64" s="47">
        <v>0</v>
      </c>
      <c r="V64" s="47">
        <v>50000</v>
      </c>
      <c r="W64" s="47">
        <f t="shared" si="1"/>
        <v>115000</v>
      </c>
    </row>
    <row r="65" spans="1:23" s="63" customFormat="1" ht="11.75" customHeight="1">
      <c r="A65" s="59" t="s">
        <v>119</v>
      </c>
      <c r="B65" s="59"/>
      <c r="C65" s="64" t="s">
        <v>120</v>
      </c>
      <c r="D65" s="57"/>
      <c r="E65" s="57"/>
      <c r="F65" s="57"/>
      <c r="G65" s="57"/>
      <c r="H65" s="57"/>
      <c r="I65" s="57"/>
      <c r="J65" s="62"/>
      <c r="K65" s="47">
        <v>309995</v>
      </c>
      <c r="L65" s="47">
        <v>242136</v>
      </c>
      <c r="M65" s="47">
        <v>430719</v>
      </c>
      <c r="N65" s="47">
        <v>352639</v>
      </c>
      <c r="O65" s="47">
        <v>278071</v>
      </c>
      <c r="P65" s="47">
        <v>350975</v>
      </c>
      <c r="Q65" s="47">
        <v>313189</v>
      </c>
      <c r="R65" s="47">
        <v>389115</v>
      </c>
      <c r="S65" s="47">
        <v>492776</v>
      </c>
      <c r="T65" s="47">
        <v>199120</v>
      </c>
      <c r="U65" s="47">
        <v>219120</v>
      </c>
      <c r="V65" s="47">
        <v>189120</v>
      </c>
      <c r="W65" s="47">
        <f t="shared" si="1"/>
        <v>3766975</v>
      </c>
    </row>
    <row r="66" spans="1:23" s="63" customFormat="1" ht="11.75" customHeight="1">
      <c r="A66" s="59" t="s">
        <v>121</v>
      </c>
      <c r="B66" s="59"/>
      <c r="C66" s="64" t="s">
        <v>122</v>
      </c>
      <c r="D66" s="57"/>
      <c r="E66" s="57"/>
      <c r="F66" s="57"/>
      <c r="G66" s="57"/>
      <c r="H66" s="57"/>
      <c r="I66" s="57"/>
      <c r="J66" s="62"/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f t="shared" si="1"/>
        <v>0</v>
      </c>
    </row>
    <row r="67" spans="1:23" s="8" customFormat="1" ht="11.75" customHeight="1">
      <c r="A67" s="9" t="s">
        <v>123</v>
      </c>
      <c r="B67" s="9"/>
      <c r="C67" s="13" t="s">
        <v>124</v>
      </c>
      <c r="D67" s="2"/>
      <c r="E67" s="2"/>
      <c r="F67" s="2"/>
      <c r="G67" s="2"/>
      <c r="H67" s="2"/>
      <c r="I67" s="2"/>
      <c r="J67" s="11"/>
      <c r="K67" s="12">
        <f>SUM(K68:K69)</f>
        <v>128943</v>
      </c>
      <c r="L67" s="12">
        <f t="shared" ref="L67:V67" si="12">SUM(L68:L69)</f>
        <v>267579</v>
      </c>
      <c r="M67" s="12">
        <f t="shared" si="12"/>
        <v>339881</v>
      </c>
      <c r="N67" s="12">
        <f t="shared" si="12"/>
        <v>382541</v>
      </c>
      <c r="O67" s="12">
        <f t="shared" si="12"/>
        <v>448460</v>
      </c>
      <c r="P67" s="12">
        <f t="shared" si="12"/>
        <v>446278</v>
      </c>
      <c r="Q67" s="12">
        <f t="shared" si="12"/>
        <v>405838</v>
      </c>
      <c r="R67" s="12">
        <f t="shared" si="12"/>
        <v>350337</v>
      </c>
      <c r="S67" s="12">
        <f t="shared" si="12"/>
        <v>405367</v>
      </c>
      <c r="T67" s="12">
        <f t="shared" si="12"/>
        <v>415000</v>
      </c>
      <c r="U67" s="12">
        <f t="shared" si="12"/>
        <v>445000</v>
      </c>
      <c r="V67" s="12">
        <f t="shared" si="12"/>
        <v>445000</v>
      </c>
      <c r="W67" s="12">
        <f t="shared" si="1"/>
        <v>4480224</v>
      </c>
    </row>
    <row r="68" spans="1:23" s="63" customFormat="1" ht="11.75" customHeight="1">
      <c r="A68" s="59" t="s">
        <v>125</v>
      </c>
      <c r="B68" s="59"/>
      <c r="C68" s="59"/>
      <c r="D68" s="64" t="s">
        <v>124</v>
      </c>
      <c r="E68" s="57"/>
      <c r="F68" s="57"/>
      <c r="G68" s="57"/>
      <c r="H68" s="57"/>
      <c r="I68" s="57"/>
      <c r="J68" s="62"/>
      <c r="K68" s="47">
        <v>128943</v>
      </c>
      <c r="L68" s="47">
        <v>267579</v>
      </c>
      <c r="M68" s="47">
        <v>339881</v>
      </c>
      <c r="N68" s="47">
        <v>382541</v>
      </c>
      <c r="O68" s="47">
        <v>448460</v>
      </c>
      <c r="P68" s="47">
        <v>446278</v>
      </c>
      <c r="Q68" s="47">
        <v>405838</v>
      </c>
      <c r="R68" s="47">
        <v>350337</v>
      </c>
      <c r="S68" s="47">
        <v>405367</v>
      </c>
      <c r="T68" s="47">
        <v>415000</v>
      </c>
      <c r="U68" s="47">
        <v>445000</v>
      </c>
      <c r="V68" s="47">
        <v>445000</v>
      </c>
      <c r="W68" s="47">
        <f t="shared" si="1"/>
        <v>4480224</v>
      </c>
    </row>
    <row r="69" spans="1:23" s="63" customFormat="1" ht="11.75" customHeight="1">
      <c r="A69" s="59" t="s">
        <v>126</v>
      </c>
      <c r="B69" s="59"/>
      <c r="C69" s="59"/>
      <c r="D69" s="64" t="s">
        <v>127</v>
      </c>
      <c r="E69" s="57"/>
      <c r="F69" s="57"/>
      <c r="G69" s="57"/>
      <c r="H69" s="57"/>
      <c r="I69" s="57"/>
      <c r="J69" s="62"/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f t="shared" si="1"/>
        <v>0</v>
      </c>
    </row>
    <row r="70" spans="1:23" s="63" customFormat="1" ht="11.75" customHeight="1">
      <c r="A70" s="59" t="s">
        <v>128</v>
      </c>
      <c r="B70" s="59"/>
      <c r="C70" s="64" t="s">
        <v>129</v>
      </c>
      <c r="D70" s="57"/>
      <c r="E70" s="57"/>
      <c r="F70" s="57"/>
      <c r="G70" s="57"/>
      <c r="H70" s="57"/>
      <c r="I70" s="57"/>
      <c r="J70" s="62"/>
      <c r="K70" s="47">
        <v>24948</v>
      </c>
      <c r="L70" s="47">
        <v>3251</v>
      </c>
      <c r="M70" s="47">
        <v>5165</v>
      </c>
      <c r="N70" s="47">
        <v>14583</v>
      </c>
      <c r="O70" s="47">
        <v>18164</v>
      </c>
      <c r="P70" s="47">
        <v>3719</v>
      </c>
      <c r="Q70" s="47">
        <v>0</v>
      </c>
      <c r="R70" s="47">
        <v>0</v>
      </c>
      <c r="S70" s="47">
        <v>0</v>
      </c>
      <c r="T70" s="47">
        <v>10000</v>
      </c>
      <c r="U70" s="47">
        <v>10000</v>
      </c>
      <c r="V70" s="47">
        <v>10000</v>
      </c>
      <c r="W70" s="47">
        <f t="shared" si="1"/>
        <v>99830</v>
      </c>
    </row>
    <row r="71" spans="1:23" s="63" customFormat="1" ht="11.75" customHeight="1">
      <c r="A71" s="59" t="s">
        <v>130</v>
      </c>
      <c r="B71" s="59"/>
      <c r="C71" s="64" t="s">
        <v>131</v>
      </c>
      <c r="D71" s="57"/>
      <c r="E71" s="57"/>
      <c r="F71" s="57"/>
      <c r="G71" s="57"/>
      <c r="H71" s="57"/>
      <c r="I71" s="57"/>
      <c r="J71" s="62"/>
      <c r="K71" s="47">
        <v>22518</v>
      </c>
      <c r="L71" s="47">
        <v>93542</v>
      </c>
      <c r="M71" s="47">
        <v>39216</v>
      </c>
      <c r="N71" s="47">
        <v>43635</v>
      </c>
      <c r="O71" s="47">
        <v>51165</v>
      </c>
      <c r="P71" s="47">
        <v>243355</v>
      </c>
      <c r="Q71" s="47">
        <v>92730</v>
      </c>
      <c r="R71" s="47">
        <v>93798</v>
      </c>
      <c r="S71" s="47">
        <v>110346</v>
      </c>
      <c r="T71" s="47">
        <v>87800</v>
      </c>
      <c r="U71" s="47">
        <v>87800</v>
      </c>
      <c r="V71" s="47">
        <v>87800</v>
      </c>
      <c r="W71" s="47">
        <f t="shared" ref="W71:W118" si="13">SUM(K71:V71)</f>
        <v>1053705</v>
      </c>
    </row>
    <row r="72" spans="1:23" s="8" customFormat="1" ht="11.75" customHeight="1">
      <c r="A72" s="9" t="s">
        <v>132</v>
      </c>
      <c r="B72" s="9"/>
      <c r="C72" s="13" t="s">
        <v>133</v>
      </c>
      <c r="D72" s="2"/>
      <c r="E72" s="2"/>
      <c r="F72" s="2"/>
      <c r="G72" s="2"/>
      <c r="H72" s="2"/>
      <c r="I72" s="2"/>
      <c r="J72" s="11"/>
      <c r="K72" s="12">
        <f>SUM(K73:K77)</f>
        <v>223551</v>
      </c>
      <c r="L72" s="12">
        <f t="shared" ref="L72:V72" si="14">SUM(L73:L77)</f>
        <v>435689</v>
      </c>
      <c r="M72" s="12">
        <f t="shared" si="14"/>
        <v>416753</v>
      </c>
      <c r="N72" s="12">
        <f t="shared" si="14"/>
        <v>385250</v>
      </c>
      <c r="O72" s="12">
        <f t="shared" si="14"/>
        <v>391242</v>
      </c>
      <c r="P72" s="12">
        <f t="shared" si="14"/>
        <v>393966</v>
      </c>
      <c r="Q72" s="12">
        <f t="shared" si="14"/>
        <v>367323</v>
      </c>
      <c r="R72" s="12">
        <f t="shared" si="14"/>
        <v>304425</v>
      </c>
      <c r="S72" s="12">
        <f t="shared" si="14"/>
        <v>294629</v>
      </c>
      <c r="T72" s="12">
        <f t="shared" si="14"/>
        <v>345000</v>
      </c>
      <c r="U72" s="12">
        <f t="shared" si="14"/>
        <v>345000</v>
      </c>
      <c r="V72" s="12">
        <f t="shared" si="14"/>
        <v>345000</v>
      </c>
      <c r="W72" s="12">
        <f t="shared" si="13"/>
        <v>4247828</v>
      </c>
    </row>
    <row r="73" spans="1:23" s="63" customFormat="1" ht="11.75" customHeight="1">
      <c r="A73" s="59" t="s">
        <v>134</v>
      </c>
      <c r="B73" s="59"/>
      <c r="C73" s="59"/>
      <c r="D73" s="64" t="s">
        <v>135</v>
      </c>
      <c r="E73" s="57"/>
      <c r="F73" s="57"/>
      <c r="G73" s="57"/>
      <c r="H73" s="57"/>
      <c r="I73" s="57"/>
      <c r="J73" s="62"/>
      <c r="K73" s="47">
        <v>204893</v>
      </c>
      <c r="L73" s="47">
        <v>392581</v>
      </c>
      <c r="M73" s="47">
        <v>373535</v>
      </c>
      <c r="N73" s="47">
        <v>342022</v>
      </c>
      <c r="O73" s="47">
        <v>342903</v>
      </c>
      <c r="P73" s="47">
        <v>350206</v>
      </c>
      <c r="Q73" s="47">
        <v>324050</v>
      </c>
      <c r="R73" s="47">
        <v>264319</v>
      </c>
      <c r="S73" s="47">
        <v>254742</v>
      </c>
      <c r="T73" s="47">
        <v>300000</v>
      </c>
      <c r="U73" s="47">
        <v>300000</v>
      </c>
      <c r="V73" s="47">
        <v>300000</v>
      </c>
      <c r="W73" s="47">
        <f t="shared" si="13"/>
        <v>3749251</v>
      </c>
    </row>
    <row r="74" spans="1:23" s="63" customFormat="1" ht="11.75" customHeight="1">
      <c r="A74" s="59" t="s">
        <v>136</v>
      </c>
      <c r="B74" s="59"/>
      <c r="C74" s="59"/>
      <c r="D74" s="64" t="s">
        <v>137</v>
      </c>
      <c r="E74" s="57"/>
      <c r="F74" s="57"/>
      <c r="G74" s="57"/>
      <c r="H74" s="57"/>
      <c r="I74" s="57"/>
      <c r="J74" s="62"/>
      <c r="K74" s="47">
        <v>18658</v>
      </c>
      <c r="L74" s="47">
        <v>43108</v>
      </c>
      <c r="M74" s="47">
        <v>43218</v>
      </c>
      <c r="N74" s="47">
        <v>43228</v>
      </c>
      <c r="O74" s="47">
        <v>48339</v>
      </c>
      <c r="P74" s="47">
        <v>43760</v>
      </c>
      <c r="Q74" s="47">
        <v>43273</v>
      </c>
      <c r="R74" s="47">
        <v>40106</v>
      </c>
      <c r="S74" s="47">
        <v>39887</v>
      </c>
      <c r="T74" s="47">
        <v>45000</v>
      </c>
      <c r="U74" s="47">
        <v>45000</v>
      </c>
      <c r="V74" s="47">
        <v>45000</v>
      </c>
      <c r="W74" s="47">
        <f t="shared" si="13"/>
        <v>498577</v>
      </c>
    </row>
    <row r="75" spans="1:23" s="63" customFormat="1" ht="11.75" customHeight="1">
      <c r="A75" s="59" t="s">
        <v>138</v>
      </c>
      <c r="B75" s="59"/>
      <c r="C75" s="59"/>
      <c r="D75" s="64" t="s">
        <v>139</v>
      </c>
      <c r="E75" s="57"/>
      <c r="F75" s="57"/>
      <c r="G75" s="57"/>
      <c r="H75" s="57"/>
      <c r="I75" s="57"/>
      <c r="J75" s="62"/>
      <c r="K75" s="47">
        <v>0</v>
      </c>
      <c r="L75" s="47">
        <v>0</v>
      </c>
      <c r="M75" s="47">
        <v>0</v>
      </c>
      <c r="N75" s="47">
        <v>0</v>
      </c>
      <c r="O75" s="47">
        <v>0</v>
      </c>
      <c r="P75" s="47">
        <v>0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f t="shared" si="13"/>
        <v>0</v>
      </c>
    </row>
    <row r="76" spans="1:23" s="63" customFormat="1" ht="11.75" customHeight="1">
      <c r="A76" s="59" t="s">
        <v>140</v>
      </c>
      <c r="B76" s="59"/>
      <c r="C76" s="59"/>
      <c r="D76" s="64" t="s">
        <v>141</v>
      </c>
      <c r="E76" s="57"/>
      <c r="F76" s="57"/>
      <c r="G76" s="57"/>
      <c r="H76" s="57"/>
      <c r="I76" s="57"/>
      <c r="J76" s="62"/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f t="shared" si="13"/>
        <v>0</v>
      </c>
    </row>
    <row r="77" spans="1:23" s="63" customFormat="1" ht="11.75" customHeight="1">
      <c r="A77" s="59" t="s">
        <v>142</v>
      </c>
      <c r="B77" s="59"/>
      <c r="C77" s="59"/>
      <c r="D77" s="64" t="s">
        <v>143</v>
      </c>
      <c r="E77" s="57"/>
      <c r="F77" s="57"/>
      <c r="G77" s="57"/>
      <c r="H77" s="57"/>
      <c r="I77" s="57"/>
      <c r="J77" s="62"/>
      <c r="K77" s="47">
        <v>0</v>
      </c>
      <c r="L77" s="47">
        <v>0</v>
      </c>
      <c r="M77" s="47">
        <v>0</v>
      </c>
      <c r="N77" s="47">
        <v>0</v>
      </c>
      <c r="O77" s="47">
        <v>0</v>
      </c>
      <c r="P77" s="47">
        <v>0</v>
      </c>
      <c r="Q77" s="47">
        <v>0</v>
      </c>
      <c r="R77" s="47">
        <v>0</v>
      </c>
      <c r="S77" s="47">
        <v>0</v>
      </c>
      <c r="T77" s="47">
        <v>0</v>
      </c>
      <c r="U77" s="47">
        <v>0</v>
      </c>
      <c r="V77" s="47">
        <v>0</v>
      </c>
      <c r="W77" s="47">
        <f t="shared" si="13"/>
        <v>0</v>
      </c>
    </row>
    <row r="78" spans="1:23" s="63" customFormat="1" ht="11.75" customHeight="1">
      <c r="A78" s="59" t="s">
        <v>144</v>
      </c>
      <c r="B78" s="59"/>
      <c r="C78" s="64" t="s">
        <v>145</v>
      </c>
      <c r="D78" s="57"/>
      <c r="E78" s="57"/>
      <c r="F78" s="57"/>
      <c r="G78" s="57"/>
      <c r="H78" s="57"/>
      <c r="I78" s="57"/>
      <c r="J78" s="62"/>
      <c r="K78" s="47">
        <v>300</v>
      </c>
      <c r="L78" s="47">
        <v>490</v>
      </c>
      <c r="M78" s="47">
        <v>835</v>
      </c>
      <c r="N78" s="47">
        <v>200</v>
      </c>
      <c r="O78" s="47">
        <v>1210</v>
      </c>
      <c r="P78" s="47">
        <v>1015</v>
      </c>
      <c r="Q78" s="47">
        <v>990</v>
      </c>
      <c r="R78" s="47">
        <v>1620</v>
      </c>
      <c r="S78" s="47">
        <v>1526</v>
      </c>
      <c r="T78" s="47">
        <v>1000</v>
      </c>
      <c r="U78" s="47">
        <v>1000</v>
      </c>
      <c r="V78" s="47">
        <v>1000</v>
      </c>
      <c r="W78" s="47">
        <f t="shared" si="13"/>
        <v>11186</v>
      </c>
    </row>
    <row r="79" spans="1:23" s="63" customFormat="1" ht="11.75" customHeight="1">
      <c r="A79" s="59" t="s">
        <v>146</v>
      </c>
      <c r="B79" s="59"/>
      <c r="C79" s="64" t="s">
        <v>147</v>
      </c>
      <c r="D79" s="57"/>
      <c r="E79" s="57"/>
      <c r="F79" s="57"/>
      <c r="G79" s="57"/>
      <c r="H79" s="57"/>
      <c r="I79" s="57"/>
      <c r="J79" s="62"/>
      <c r="K79" s="47">
        <v>25000</v>
      </c>
      <c r="L79" s="47">
        <v>25000</v>
      </c>
      <c r="M79" s="47">
        <v>158500</v>
      </c>
      <c r="N79" s="47">
        <v>25000</v>
      </c>
      <c r="O79" s="47">
        <v>25000</v>
      </c>
      <c r="P79" s="47">
        <v>215000</v>
      </c>
      <c r="Q79" s="47">
        <v>25000</v>
      </c>
      <c r="R79" s="47">
        <v>225000</v>
      </c>
      <c r="S79" s="47">
        <v>25000</v>
      </c>
      <c r="T79" s="47">
        <v>25000</v>
      </c>
      <c r="U79" s="47">
        <v>75000</v>
      </c>
      <c r="V79" s="47">
        <v>225000</v>
      </c>
      <c r="W79" s="47">
        <f t="shared" si="13"/>
        <v>1073500</v>
      </c>
    </row>
    <row r="80" spans="1:23" s="8" customFormat="1" ht="11.75" customHeight="1">
      <c r="A80" s="9" t="s">
        <v>148</v>
      </c>
      <c r="B80" s="9"/>
      <c r="C80" s="13" t="s">
        <v>149</v>
      </c>
      <c r="D80" s="2"/>
      <c r="E80" s="2"/>
      <c r="F80" s="2"/>
      <c r="G80" s="2"/>
      <c r="H80" s="2"/>
      <c r="I80" s="2"/>
      <c r="J80" s="11"/>
      <c r="K80" s="12">
        <f>SUM(K81:K82)</f>
        <v>0</v>
      </c>
      <c r="L80" s="12">
        <f t="shared" ref="L80:V80" si="15">SUM(L81:L82)</f>
        <v>0</v>
      </c>
      <c r="M80" s="12">
        <f t="shared" si="15"/>
        <v>0</v>
      </c>
      <c r="N80" s="12">
        <f t="shared" si="15"/>
        <v>0</v>
      </c>
      <c r="O80" s="12">
        <f t="shared" si="15"/>
        <v>0</v>
      </c>
      <c r="P80" s="12">
        <f t="shared" si="15"/>
        <v>0</v>
      </c>
      <c r="Q80" s="12">
        <f t="shared" si="15"/>
        <v>0</v>
      </c>
      <c r="R80" s="12">
        <f t="shared" si="15"/>
        <v>0</v>
      </c>
      <c r="S80" s="12">
        <f t="shared" si="15"/>
        <v>0</v>
      </c>
      <c r="T80" s="12">
        <f t="shared" si="15"/>
        <v>0</v>
      </c>
      <c r="U80" s="12">
        <f t="shared" si="15"/>
        <v>0</v>
      </c>
      <c r="V80" s="12">
        <f t="shared" si="15"/>
        <v>0</v>
      </c>
      <c r="W80" s="12">
        <f t="shared" si="13"/>
        <v>0</v>
      </c>
    </row>
    <row r="81" spans="1:23" s="63" customFormat="1" ht="11.75" customHeight="1">
      <c r="A81" s="59" t="s">
        <v>150</v>
      </c>
      <c r="B81" s="59"/>
      <c r="C81" s="59"/>
      <c r="D81" s="64" t="s">
        <v>151</v>
      </c>
      <c r="E81" s="57"/>
      <c r="F81" s="57"/>
      <c r="G81" s="57"/>
      <c r="H81" s="57"/>
      <c r="I81" s="57"/>
      <c r="J81" s="62"/>
      <c r="K81" s="47">
        <v>0</v>
      </c>
      <c r="L81" s="47">
        <v>0</v>
      </c>
      <c r="M81" s="47">
        <v>0</v>
      </c>
      <c r="N81" s="47">
        <v>0</v>
      </c>
      <c r="O81" s="47">
        <v>0</v>
      </c>
      <c r="P81" s="47">
        <v>0</v>
      </c>
      <c r="Q81" s="47">
        <v>0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f t="shared" si="13"/>
        <v>0</v>
      </c>
    </row>
    <row r="82" spans="1:23" s="63" customFormat="1" ht="11.75" customHeight="1">
      <c r="A82" s="59" t="s">
        <v>152</v>
      </c>
      <c r="B82" s="59"/>
      <c r="C82" s="59"/>
      <c r="D82" s="64" t="s">
        <v>153</v>
      </c>
      <c r="E82" s="57"/>
      <c r="F82" s="57"/>
      <c r="G82" s="57"/>
      <c r="H82" s="57"/>
      <c r="I82" s="57"/>
      <c r="J82" s="62"/>
      <c r="K82" s="47">
        <v>0</v>
      </c>
      <c r="L82" s="47">
        <v>0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f t="shared" si="13"/>
        <v>0</v>
      </c>
    </row>
    <row r="83" spans="1:23" s="63" customFormat="1" ht="11.75" customHeight="1">
      <c r="A83" s="59" t="s">
        <v>154</v>
      </c>
      <c r="B83" s="59"/>
      <c r="C83" s="64" t="s">
        <v>155</v>
      </c>
      <c r="D83" s="57"/>
      <c r="E83" s="57"/>
      <c r="F83" s="57"/>
      <c r="G83" s="57"/>
      <c r="H83" s="57"/>
      <c r="I83" s="57"/>
      <c r="J83" s="62"/>
      <c r="K83" s="47">
        <v>0</v>
      </c>
      <c r="L83" s="47">
        <v>0</v>
      </c>
      <c r="M83" s="47">
        <v>0</v>
      </c>
      <c r="N83" s="47">
        <v>0</v>
      </c>
      <c r="O83" s="47">
        <v>0</v>
      </c>
      <c r="P83" s="47">
        <v>0</v>
      </c>
      <c r="Q83" s="47">
        <v>0</v>
      </c>
      <c r="R83" s="47">
        <v>0</v>
      </c>
      <c r="S83" s="47">
        <v>0</v>
      </c>
      <c r="T83" s="47">
        <v>0</v>
      </c>
      <c r="U83" s="47">
        <v>0</v>
      </c>
      <c r="V83" s="47">
        <v>0</v>
      </c>
      <c r="W83" s="47">
        <f t="shared" si="13"/>
        <v>0</v>
      </c>
    </row>
    <row r="84" spans="1:23" s="63" customFormat="1" ht="11.75" customHeight="1">
      <c r="A84" s="59" t="s">
        <v>156</v>
      </c>
      <c r="B84" s="59"/>
      <c r="C84" s="64" t="s">
        <v>157</v>
      </c>
      <c r="D84" s="57"/>
      <c r="E84" s="57"/>
      <c r="F84" s="57"/>
      <c r="G84" s="57"/>
      <c r="H84" s="57"/>
      <c r="I84" s="57"/>
      <c r="J84" s="62"/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f t="shared" si="13"/>
        <v>0</v>
      </c>
    </row>
    <row r="85" spans="1:23" s="8" customFormat="1" ht="11.75" customHeight="1">
      <c r="A85" s="9" t="s">
        <v>158</v>
      </c>
      <c r="B85" s="22" t="s">
        <v>159</v>
      </c>
      <c r="C85" s="23"/>
      <c r="D85" s="23"/>
      <c r="E85" s="23"/>
      <c r="F85" s="23"/>
      <c r="G85" s="23"/>
      <c r="H85" s="23"/>
      <c r="I85" s="23"/>
      <c r="J85" s="24"/>
      <c r="K85" s="25">
        <f>SUM(K86:K96)</f>
        <v>221999</v>
      </c>
      <c r="L85" s="25">
        <f t="shared" ref="L85:V85" si="16">SUM(L86:L96)</f>
        <v>221999</v>
      </c>
      <c r="M85" s="25">
        <f t="shared" si="16"/>
        <v>221999</v>
      </c>
      <c r="N85" s="25">
        <f t="shared" si="16"/>
        <v>221999</v>
      </c>
      <c r="O85" s="25">
        <f t="shared" si="16"/>
        <v>241535</v>
      </c>
      <c r="P85" s="25">
        <f t="shared" si="16"/>
        <v>291817</v>
      </c>
      <c r="Q85" s="25">
        <f t="shared" si="16"/>
        <v>286905</v>
      </c>
      <c r="R85" s="25">
        <f t="shared" si="16"/>
        <v>370924</v>
      </c>
      <c r="S85" s="25">
        <f t="shared" si="16"/>
        <v>380698</v>
      </c>
      <c r="T85" s="25">
        <f t="shared" si="16"/>
        <v>380698</v>
      </c>
      <c r="U85" s="25">
        <f t="shared" si="16"/>
        <v>380698</v>
      </c>
      <c r="V85" s="25">
        <f t="shared" si="16"/>
        <v>379273</v>
      </c>
      <c r="W85" s="25">
        <f t="shared" si="13"/>
        <v>3600544</v>
      </c>
    </row>
    <row r="86" spans="1:23" s="63" customFormat="1" ht="11.75" customHeight="1">
      <c r="A86" s="59" t="s">
        <v>160</v>
      </c>
      <c r="B86" s="60"/>
      <c r="C86" s="61" t="s">
        <v>93</v>
      </c>
      <c r="D86" s="57"/>
      <c r="E86" s="57"/>
      <c r="F86" s="57"/>
      <c r="G86" s="57"/>
      <c r="H86" s="57"/>
      <c r="I86" s="57"/>
      <c r="J86" s="62"/>
      <c r="K86" s="47">
        <v>28169</v>
      </c>
      <c r="L86" s="47">
        <v>28169</v>
      </c>
      <c r="M86" s="47">
        <v>28169</v>
      </c>
      <c r="N86" s="47">
        <v>28169</v>
      </c>
      <c r="O86" s="47">
        <v>28169</v>
      </c>
      <c r="P86" s="47">
        <v>28169</v>
      </c>
      <c r="Q86" s="47">
        <v>28169</v>
      </c>
      <c r="R86" s="47">
        <v>28169</v>
      </c>
      <c r="S86" s="47">
        <v>28169</v>
      </c>
      <c r="T86" s="47">
        <v>28169</v>
      </c>
      <c r="U86" s="47">
        <v>28169</v>
      </c>
      <c r="V86" s="47">
        <v>28209</v>
      </c>
      <c r="W86" s="47">
        <f t="shared" si="13"/>
        <v>338068</v>
      </c>
    </row>
    <row r="87" spans="1:23" s="63" customFormat="1" ht="11.75" customHeight="1">
      <c r="A87" s="59" t="s">
        <v>161</v>
      </c>
      <c r="B87" s="59"/>
      <c r="C87" s="64" t="s">
        <v>162</v>
      </c>
      <c r="D87" s="57"/>
      <c r="E87" s="57"/>
      <c r="F87" s="57"/>
      <c r="G87" s="57"/>
      <c r="H87" s="57"/>
      <c r="I87" s="57"/>
      <c r="J87" s="62"/>
      <c r="K87" s="47">
        <v>46160</v>
      </c>
      <c r="L87" s="47">
        <v>46160</v>
      </c>
      <c r="M87" s="47">
        <v>46160</v>
      </c>
      <c r="N87" s="47">
        <v>46160</v>
      </c>
      <c r="O87" s="47">
        <v>46160</v>
      </c>
      <c r="P87" s="47">
        <v>46160</v>
      </c>
      <c r="Q87" s="47">
        <v>46160</v>
      </c>
      <c r="R87" s="47">
        <v>46160</v>
      </c>
      <c r="S87" s="47">
        <v>46160</v>
      </c>
      <c r="T87" s="47">
        <v>46160</v>
      </c>
      <c r="U87" s="47">
        <v>46160</v>
      </c>
      <c r="V87" s="47">
        <v>46197</v>
      </c>
      <c r="W87" s="47">
        <f t="shared" si="13"/>
        <v>553957</v>
      </c>
    </row>
    <row r="88" spans="1:23" s="63" customFormat="1" ht="11.75" customHeight="1">
      <c r="A88" s="59" t="s">
        <v>163</v>
      </c>
      <c r="B88" s="59"/>
      <c r="C88" s="64" t="s">
        <v>97</v>
      </c>
      <c r="D88" s="57"/>
      <c r="E88" s="57"/>
      <c r="F88" s="57"/>
      <c r="G88" s="57"/>
      <c r="H88" s="57"/>
      <c r="I88" s="57"/>
      <c r="J88" s="62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>
        <f t="shared" si="13"/>
        <v>0</v>
      </c>
    </row>
    <row r="89" spans="1:23" s="63" customFormat="1" ht="11.75" customHeight="1">
      <c r="A89" s="59" t="s">
        <v>164</v>
      </c>
      <c r="B89" s="59"/>
      <c r="C89" s="64" t="s">
        <v>165</v>
      </c>
      <c r="D89" s="57"/>
      <c r="E89" s="57"/>
      <c r="F89" s="57"/>
      <c r="G89" s="57"/>
      <c r="H89" s="57"/>
      <c r="I89" s="57"/>
      <c r="J89" s="62"/>
      <c r="K89" s="47">
        <v>14591</v>
      </c>
      <c r="L89" s="47">
        <v>14591</v>
      </c>
      <c r="M89" s="47">
        <v>14591</v>
      </c>
      <c r="N89" s="47">
        <v>14591</v>
      </c>
      <c r="O89" s="47">
        <v>14591</v>
      </c>
      <c r="P89" s="47">
        <v>14591</v>
      </c>
      <c r="Q89" s="47">
        <v>14591</v>
      </c>
      <c r="R89" s="47">
        <v>14591</v>
      </c>
      <c r="S89" s="47">
        <v>14591</v>
      </c>
      <c r="T89" s="47">
        <v>14591</v>
      </c>
      <c r="U89" s="47">
        <v>14591</v>
      </c>
      <c r="V89" s="47">
        <v>14599</v>
      </c>
      <c r="W89" s="47">
        <f t="shared" si="13"/>
        <v>175100</v>
      </c>
    </row>
    <row r="90" spans="1:23" s="63" customFormat="1" ht="11.75" customHeight="1">
      <c r="A90" s="59" t="s">
        <v>166</v>
      </c>
      <c r="B90" s="59"/>
      <c r="C90" s="64" t="s">
        <v>101</v>
      </c>
      <c r="D90" s="57"/>
      <c r="E90" s="57"/>
      <c r="F90" s="57"/>
      <c r="G90" s="57"/>
      <c r="H90" s="57"/>
      <c r="I90" s="57"/>
      <c r="J90" s="62"/>
      <c r="K90" s="47">
        <v>99356</v>
      </c>
      <c r="L90" s="47">
        <v>99356</v>
      </c>
      <c r="M90" s="47">
        <v>99356</v>
      </c>
      <c r="N90" s="47">
        <v>99356</v>
      </c>
      <c r="O90" s="47">
        <v>98856</v>
      </c>
      <c r="P90" s="47">
        <v>164165</v>
      </c>
      <c r="Q90" s="47">
        <v>159253</v>
      </c>
      <c r="R90" s="47">
        <v>159253</v>
      </c>
      <c r="S90" s="47">
        <v>169027</v>
      </c>
      <c r="T90" s="47">
        <v>169027</v>
      </c>
      <c r="U90" s="47">
        <v>169027</v>
      </c>
      <c r="V90" s="47">
        <v>167488</v>
      </c>
      <c r="W90" s="47">
        <f t="shared" si="13"/>
        <v>1653520</v>
      </c>
    </row>
    <row r="91" spans="1:23" s="63" customFormat="1" ht="11.75" customHeight="1">
      <c r="A91" s="59" t="s">
        <v>167</v>
      </c>
      <c r="B91" s="59"/>
      <c r="C91" s="64" t="s">
        <v>103</v>
      </c>
      <c r="D91" s="57"/>
      <c r="E91" s="57"/>
      <c r="F91" s="57"/>
      <c r="G91" s="57"/>
      <c r="H91" s="57"/>
      <c r="I91" s="57"/>
      <c r="J91" s="62"/>
      <c r="K91" s="47">
        <v>0</v>
      </c>
      <c r="L91" s="47">
        <v>0</v>
      </c>
      <c r="M91" s="47">
        <v>0</v>
      </c>
      <c r="N91" s="47">
        <v>0</v>
      </c>
      <c r="O91" s="47">
        <v>0</v>
      </c>
      <c r="P91" s="47">
        <v>0</v>
      </c>
      <c r="Q91" s="47">
        <v>0</v>
      </c>
      <c r="R91" s="47">
        <v>84019</v>
      </c>
      <c r="S91" s="47">
        <v>84019</v>
      </c>
      <c r="T91" s="47">
        <v>84019</v>
      </c>
      <c r="U91" s="47">
        <v>84019</v>
      </c>
      <c r="V91" s="47">
        <v>84022</v>
      </c>
      <c r="W91" s="47">
        <f t="shared" si="13"/>
        <v>420098</v>
      </c>
    </row>
    <row r="92" spans="1:23" s="63" customFormat="1" ht="11.75" customHeight="1">
      <c r="A92" s="59" t="s">
        <v>168</v>
      </c>
      <c r="B92" s="59"/>
      <c r="C92" s="64" t="s">
        <v>169</v>
      </c>
      <c r="D92" s="57"/>
      <c r="E92" s="57"/>
      <c r="F92" s="57"/>
      <c r="G92" s="57"/>
      <c r="H92" s="57"/>
      <c r="I92" s="57"/>
      <c r="J92" s="62"/>
      <c r="K92" s="47">
        <v>33723</v>
      </c>
      <c r="L92" s="47">
        <v>33723</v>
      </c>
      <c r="M92" s="47">
        <v>33723</v>
      </c>
      <c r="N92" s="47">
        <v>33723</v>
      </c>
      <c r="O92" s="47">
        <v>53759</v>
      </c>
      <c r="P92" s="47">
        <v>38732</v>
      </c>
      <c r="Q92" s="47">
        <v>38732</v>
      </c>
      <c r="R92" s="47">
        <v>38732</v>
      </c>
      <c r="S92" s="47">
        <v>38732</v>
      </c>
      <c r="T92" s="47">
        <v>38732</v>
      </c>
      <c r="U92" s="47">
        <v>38732</v>
      </c>
      <c r="V92" s="47">
        <v>38758</v>
      </c>
      <c r="W92" s="47">
        <f t="shared" si="13"/>
        <v>459801</v>
      </c>
    </row>
    <row r="93" spans="1:23" s="63" customFormat="1" ht="11.75" customHeight="1">
      <c r="A93" s="59" t="s">
        <v>170</v>
      </c>
      <c r="B93" s="59"/>
      <c r="C93" s="64" t="s">
        <v>171</v>
      </c>
      <c r="D93" s="57"/>
      <c r="E93" s="57"/>
      <c r="F93" s="57"/>
      <c r="G93" s="57"/>
      <c r="H93" s="57"/>
      <c r="I93" s="57"/>
      <c r="J93" s="62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>
        <f t="shared" si="13"/>
        <v>0</v>
      </c>
    </row>
    <row r="94" spans="1:23" s="63" customFormat="1" ht="11.75" customHeight="1">
      <c r="A94" s="59" t="s">
        <v>172</v>
      </c>
      <c r="B94" s="59"/>
      <c r="C94" s="64" t="s">
        <v>173</v>
      </c>
      <c r="D94" s="57"/>
      <c r="E94" s="57"/>
      <c r="F94" s="57"/>
      <c r="G94" s="57"/>
      <c r="H94" s="57"/>
      <c r="I94" s="57"/>
      <c r="J94" s="62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>
        <f t="shared" si="13"/>
        <v>0</v>
      </c>
    </row>
    <row r="95" spans="1:23" s="63" customFormat="1" ht="11.75" customHeight="1">
      <c r="A95" s="59" t="s">
        <v>174</v>
      </c>
      <c r="B95" s="59"/>
      <c r="C95" s="64" t="s">
        <v>175</v>
      </c>
      <c r="D95" s="57"/>
      <c r="E95" s="57"/>
      <c r="F95" s="57"/>
      <c r="G95" s="57"/>
      <c r="H95" s="57"/>
      <c r="I95" s="57"/>
      <c r="J95" s="62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>
        <f t="shared" si="13"/>
        <v>0</v>
      </c>
    </row>
    <row r="96" spans="1:23" s="63" customFormat="1" ht="11.75" customHeight="1" thickBot="1">
      <c r="A96" s="59" t="s">
        <v>176</v>
      </c>
      <c r="B96" s="59"/>
      <c r="C96" s="64" t="s">
        <v>177</v>
      </c>
      <c r="D96" s="57"/>
      <c r="E96" s="57"/>
      <c r="F96" s="57"/>
      <c r="G96" s="57"/>
      <c r="H96" s="57"/>
      <c r="I96" s="57"/>
      <c r="J96" s="62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>
        <f t="shared" si="13"/>
        <v>0</v>
      </c>
    </row>
    <row r="97" spans="1:23" s="8" customFormat="1" ht="11.75" customHeight="1" thickTop="1" thickBot="1">
      <c r="A97" s="9" t="s">
        <v>178</v>
      </c>
      <c r="B97" s="26" t="s">
        <v>179</v>
      </c>
      <c r="C97" s="27"/>
      <c r="D97" s="27"/>
      <c r="E97" s="27"/>
      <c r="F97" s="27"/>
      <c r="G97" s="27"/>
      <c r="H97" s="27"/>
      <c r="I97" s="27"/>
      <c r="J97" s="28"/>
      <c r="K97" s="29">
        <f>K37+K19+K85</f>
        <v>4964489</v>
      </c>
      <c r="L97" s="29">
        <f t="shared" ref="L97:V97" si="17">L37+L19+L85</f>
        <v>5338134</v>
      </c>
      <c r="M97" s="29">
        <f t="shared" si="17"/>
        <v>9548436</v>
      </c>
      <c r="N97" s="29">
        <f t="shared" si="17"/>
        <v>6660855</v>
      </c>
      <c r="O97" s="29">
        <f t="shared" si="17"/>
        <v>5541216</v>
      </c>
      <c r="P97" s="29">
        <f t="shared" si="17"/>
        <v>7532286</v>
      </c>
      <c r="Q97" s="29">
        <f t="shared" si="17"/>
        <v>6704307</v>
      </c>
      <c r="R97" s="29">
        <f t="shared" si="17"/>
        <v>6276857</v>
      </c>
      <c r="S97" s="29">
        <f t="shared" si="17"/>
        <v>11957485</v>
      </c>
      <c r="T97" s="29">
        <f t="shared" si="17"/>
        <v>6154213</v>
      </c>
      <c r="U97" s="29">
        <f t="shared" si="17"/>
        <v>6117396</v>
      </c>
      <c r="V97" s="29">
        <f t="shared" si="17"/>
        <v>7125567</v>
      </c>
      <c r="W97" s="29">
        <f t="shared" si="13"/>
        <v>83921241</v>
      </c>
    </row>
    <row r="98" spans="1:23" s="8" customFormat="1" ht="11.75" customHeight="1" thickBot="1">
      <c r="A98" s="9" t="s">
        <v>180</v>
      </c>
      <c r="B98" s="30" t="s">
        <v>181</v>
      </c>
      <c r="C98" s="31"/>
      <c r="D98" s="31"/>
      <c r="E98" s="31"/>
      <c r="F98" s="31"/>
      <c r="G98" s="31"/>
      <c r="H98" s="31"/>
      <c r="I98" s="31"/>
      <c r="J98" s="32"/>
      <c r="K98" s="33">
        <f>K18-K97</f>
        <v>-3691927</v>
      </c>
      <c r="L98" s="33">
        <f t="shared" ref="L98:V98" si="18">L18-L97</f>
        <v>6134784</v>
      </c>
      <c r="M98" s="33">
        <f t="shared" si="18"/>
        <v>2216049</v>
      </c>
      <c r="N98" s="33">
        <f t="shared" si="18"/>
        <v>4830702</v>
      </c>
      <c r="O98" s="33">
        <f t="shared" si="18"/>
        <v>5847161</v>
      </c>
      <c r="P98" s="33">
        <f t="shared" si="18"/>
        <v>3801798</v>
      </c>
      <c r="Q98" s="33">
        <f t="shared" si="18"/>
        <v>4936649</v>
      </c>
      <c r="R98" s="33">
        <f t="shared" si="18"/>
        <v>3062019</v>
      </c>
      <c r="S98" s="33">
        <f t="shared" si="18"/>
        <v>-1100486</v>
      </c>
      <c r="T98" s="33">
        <f t="shared" si="18"/>
        <v>3108701.6750000007</v>
      </c>
      <c r="U98" s="33">
        <f t="shared" si="18"/>
        <v>2362082.1750000007</v>
      </c>
      <c r="V98" s="33">
        <f t="shared" si="18"/>
        <v>1068465.8625000007</v>
      </c>
      <c r="W98" s="33">
        <f t="shared" si="13"/>
        <v>32575998.712500002</v>
      </c>
    </row>
    <row r="99" spans="1:23" s="8" customFormat="1" ht="11.75" customHeight="1">
      <c r="A99" s="9" t="s">
        <v>182</v>
      </c>
      <c r="B99" s="34" t="s">
        <v>183</v>
      </c>
      <c r="C99" s="35"/>
      <c r="D99" s="35"/>
      <c r="E99" s="35"/>
      <c r="F99" s="35"/>
      <c r="G99" s="35"/>
      <c r="H99" s="35"/>
      <c r="I99" s="35"/>
      <c r="J99" s="36"/>
      <c r="K99" s="37">
        <f>SUM(K100,K104:K106)</f>
        <v>0</v>
      </c>
      <c r="L99" s="37">
        <f t="shared" ref="L99:V99" si="19">SUM(L100,L104:L106)</f>
        <v>0</v>
      </c>
      <c r="M99" s="37">
        <f t="shared" si="19"/>
        <v>0</v>
      </c>
      <c r="N99" s="37">
        <f t="shared" si="19"/>
        <v>0</v>
      </c>
      <c r="O99" s="37">
        <f t="shared" si="19"/>
        <v>0</v>
      </c>
      <c r="P99" s="37">
        <f t="shared" si="19"/>
        <v>391</v>
      </c>
      <c r="Q99" s="37">
        <f t="shared" si="19"/>
        <v>0</v>
      </c>
      <c r="R99" s="37">
        <f t="shared" si="19"/>
        <v>0</v>
      </c>
      <c r="S99" s="37">
        <f t="shared" si="19"/>
        <v>0</v>
      </c>
      <c r="T99" s="37">
        <f t="shared" si="19"/>
        <v>0</v>
      </c>
      <c r="U99" s="37">
        <f t="shared" si="19"/>
        <v>0</v>
      </c>
      <c r="V99" s="37">
        <f t="shared" si="19"/>
        <v>0</v>
      </c>
      <c r="W99" s="37">
        <f t="shared" si="13"/>
        <v>391</v>
      </c>
    </row>
    <row r="100" spans="1:23" s="8" customFormat="1" ht="11.75" customHeight="1">
      <c r="A100" s="9" t="s">
        <v>184</v>
      </c>
      <c r="B100" s="3"/>
      <c r="C100" s="10" t="s">
        <v>185</v>
      </c>
      <c r="D100" s="2"/>
      <c r="E100" s="2"/>
      <c r="F100" s="2"/>
      <c r="G100" s="2"/>
      <c r="H100" s="2"/>
      <c r="I100" s="2"/>
      <c r="J100" s="11"/>
      <c r="K100" s="12">
        <f>SUM(K101:K103)</f>
        <v>0</v>
      </c>
      <c r="L100" s="12">
        <f t="shared" ref="L100:V100" si="20">SUM(L101:L103)</f>
        <v>0</v>
      </c>
      <c r="M100" s="12">
        <f t="shared" si="20"/>
        <v>0</v>
      </c>
      <c r="N100" s="12">
        <f t="shared" si="20"/>
        <v>0</v>
      </c>
      <c r="O100" s="12">
        <f t="shared" si="20"/>
        <v>0</v>
      </c>
      <c r="P100" s="12">
        <f t="shared" si="20"/>
        <v>0</v>
      </c>
      <c r="Q100" s="12">
        <f t="shared" si="20"/>
        <v>0</v>
      </c>
      <c r="R100" s="12">
        <f t="shared" si="20"/>
        <v>0</v>
      </c>
      <c r="S100" s="12">
        <f t="shared" si="20"/>
        <v>0</v>
      </c>
      <c r="T100" s="12">
        <f t="shared" si="20"/>
        <v>0</v>
      </c>
      <c r="U100" s="12">
        <f t="shared" si="20"/>
        <v>0</v>
      </c>
      <c r="V100" s="12">
        <f t="shared" si="20"/>
        <v>0</v>
      </c>
      <c r="W100" s="12">
        <f t="shared" si="13"/>
        <v>0</v>
      </c>
    </row>
    <row r="101" spans="1:23" s="63" customFormat="1" ht="11.75" customHeight="1">
      <c r="A101" s="59" t="s">
        <v>186</v>
      </c>
      <c r="B101" s="59"/>
      <c r="C101" s="59"/>
      <c r="D101" s="64" t="s">
        <v>187</v>
      </c>
      <c r="E101" s="57"/>
      <c r="F101" s="57"/>
      <c r="G101" s="57"/>
      <c r="H101" s="57"/>
      <c r="I101" s="57"/>
      <c r="J101" s="62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>
        <f t="shared" si="13"/>
        <v>0</v>
      </c>
    </row>
    <row r="102" spans="1:23" s="63" customFormat="1" ht="11.75" customHeight="1">
      <c r="A102" s="59" t="s">
        <v>188</v>
      </c>
      <c r="B102" s="59"/>
      <c r="C102" s="59"/>
      <c r="D102" s="64" t="s">
        <v>189</v>
      </c>
      <c r="E102" s="57"/>
      <c r="F102" s="57"/>
      <c r="G102" s="57"/>
      <c r="H102" s="57"/>
      <c r="I102" s="57"/>
      <c r="J102" s="62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>
        <f t="shared" si="13"/>
        <v>0</v>
      </c>
    </row>
    <row r="103" spans="1:23" s="63" customFormat="1" ht="11.75" customHeight="1">
      <c r="A103" s="59" t="s">
        <v>190</v>
      </c>
      <c r="B103" s="59"/>
      <c r="C103" s="59"/>
      <c r="D103" s="64" t="s">
        <v>191</v>
      </c>
      <c r="E103" s="57"/>
      <c r="F103" s="57"/>
      <c r="G103" s="57"/>
      <c r="H103" s="57"/>
      <c r="I103" s="57"/>
      <c r="J103" s="62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>
        <f t="shared" si="13"/>
        <v>0</v>
      </c>
    </row>
    <row r="104" spans="1:23" s="63" customFormat="1" ht="11.75" customHeight="1">
      <c r="A104" s="59" t="s">
        <v>192</v>
      </c>
      <c r="B104" s="59"/>
      <c r="C104" s="64" t="s">
        <v>193</v>
      </c>
      <c r="D104" s="57"/>
      <c r="E104" s="57"/>
      <c r="F104" s="57"/>
      <c r="G104" s="57"/>
      <c r="H104" s="57"/>
      <c r="I104" s="57"/>
      <c r="J104" s="62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>
        <f t="shared" si="13"/>
        <v>0</v>
      </c>
    </row>
    <row r="105" spans="1:23" s="63" customFormat="1" ht="11.75" customHeight="1">
      <c r="A105" s="59" t="s">
        <v>194</v>
      </c>
      <c r="B105" s="59"/>
      <c r="C105" s="64" t="s">
        <v>195</v>
      </c>
      <c r="D105" s="57"/>
      <c r="E105" s="57"/>
      <c r="F105" s="57"/>
      <c r="G105" s="57"/>
      <c r="H105" s="57"/>
      <c r="I105" s="57"/>
      <c r="J105" s="62"/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391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f t="shared" si="13"/>
        <v>391</v>
      </c>
    </row>
    <row r="106" spans="1:23" s="63" customFormat="1" ht="11.75" customHeight="1">
      <c r="A106" s="59" t="s">
        <v>196</v>
      </c>
      <c r="B106" s="59"/>
      <c r="C106" s="64" t="s">
        <v>191</v>
      </c>
      <c r="D106" s="57"/>
      <c r="E106" s="57"/>
      <c r="F106" s="57"/>
      <c r="G106" s="57"/>
      <c r="H106" s="57"/>
      <c r="I106" s="57"/>
      <c r="J106" s="62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>
        <f t="shared" si="13"/>
        <v>0</v>
      </c>
    </row>
    <row r="107" spans="1:23" s="8" customFormat="1" ht="11.75" customHeight="1">
      <c r="A107" s="9" t="s">
        <v>197</v>
      </c>
      <c r="B107" s="38" t="s">
        <v>198</v>
      </c>
      <c r="C107" s="39"/>
      <c r="D107" s="39"/>
      <c r="E107" s="39"/>
      <c r="F107" s="39"/>
      <c r="G107" s="39"/>
      <c r="H107" s="39"/>
      <c r="I107" s="39"/>
      <c r="J107" s="40"/>
      <c r="K107" s="41">
        <f>SUM(K108:K110)</f>
        <v>0</v>
      </c>
      <c r="L107" s="41">
        <f t="shared" ref="L107:V107" si="21">SUM(L108:L110)</f>
        <v>0</v>
      </c>
      <c r="M107" s="41">
        <f t="shared" si="21"/>
        <v>0</v>
      </c>
      <c r="N107" s="41">
        <f t="shared" si="21"/>
        <v>0</v>
      </c>
      <c r="O107" s="41">
        <f t="shared" si="21"/>
        <v>0</v>
      </c>
      <c r="P107" s="41">
        <f t="shared" si="21"/>
        <v>0</v>
      </c>
      <c r="Q107" s="41">
        <f t="shared" si="21"/>
        <v>0</v>
      </c>
      <c r="R107" s="41">
        <f t="shared" si="21"/>
        <v>0</v>
      </c>
      <c r="S107" s="41">
        <f t="shared" si="21"/>
        <v>0</v>
      </c>
      <c r="T107" s="41">
        <f t="shared" si="21"/>
        <v>0</v>
      </c>
      <c r="U107" s="41">
        <f t="shared" si="21"/>
        <v>0</v>
      </c>
      <c r="V107" s="41">
        <f t="shared" si="21"/>
        <v>0</v>
      </c>
      <c r="W107" s="41">
        <f t="shared" si="13"/>
        <v>0</v>
      </c>
    </row>
    <row r="108" spans="1:23" s="63" customFormat="1" ht="11.75" customHeight="1">
      <c r="A108" s="59" t="s">
        <v>199</v>
      </c>
      <c r="B108" s="60"/>
      <c r="C108" s="61" t="s">
        <v>200</v>
      </c>
      <c r="D108" s="57"/>
      <c r="E108" s="57"/>
      <c r="F108" s="57"/>
      <c r="G108" s="57"/>
      <c r="H108" s="57"/>
      <c r="I108" s="57"/>
      <c r="J108" s="62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>
        <f t="shared" si="13"/>
        <v>0</v>
      </c>
    </row>
    <row r="109" spans="1:23" s="63" customFormat="1" ht="11.75" customHeight="1">
      <c r="A109" s="59" t="s">
        <v>201</v>
      </c>
      <c r="B109" s="59"/>
      <c r="C109" s="64" t="s">
        <v>202</v>
      </c>
      <c r="D109" s="57"/>
      <c r="E109" s="57"/>
      <c r="F109" s="57"/>
      <c r="G109" s="57"/>
      <c r="H109" s="57"/>
      <c r="I109" s="57"/>
      <c r="J109" s="62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>
        <f t="shared" si="13"/>
        <v>0</v>
      </c>
    </row>
    <row r="110" spans="1:23" s="63" customFormat="1" ht="11.75" customHeight="1" thickBot="1">
      <c r="A110" s="59" t="s">
        <v>203</v>
      </c>
      <c r="B110" s="59"/>
      <c r="C110" s="64" t="s">
        <v>191</v>
      </c>
      <c r="D110" s="57"/>
      <c r="E110" s="57"/>
      <c r="F110" s="57"/>
      <c r="G110" s="57"/>
      <c r="H110" s="57"/>
      <c r="I110" s="57"/>
      <c r="J110" s="62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>
        <f t="shared" si="13"/>
        <v>0</v>
      </c>
    </row>
    <row r="111" spans="1:23" s="8" customFormat="1" ht="11.75" customHeight="1" thickBot="1">
      <c r="A111" s="9" t="s">
        <v>204</v>
      </c>
      <c r="B111" s="30" t="s">
        <v>205</v>
      </c>
      <c r="C111" s="31"/>
      <c r="D111" s="31"/>
      <c r="E111" s="31"/>
      <c r="F111" s="31"/>
      <c r="G111" s="31"/>
      <c r="H111" s="31"/>
      <c r="I111" s="31"/>
      <c r="J111" s="32"/>
      <c r="K111" s="33">
        <f>K98+K99-K107</f>
        <v>-3691927</v>
      </c>
      <c r="L111" s="33">
        <f t="shared" ref="L111:V111" si="22">L98+L99-L107</f>
        <v>6134784</v>
      </c>
      <c r="M111" s="33">
        <f t="shared" si="22"/>
        <v>2216049</v>
      </c>
      <c r="N111" s="33">
        <f t="shared" si="22"/>
        <v>4830702</v>
      </c>
      <c r="O111" s="33">
        <f t="shared" si="22"/>
        <v>5847161</v>
      </c>
      <c r="P111" s="33">
        <f t="shared" si="22"/>
        <v>3802189</v>
      </c>
      <c r="Q111" s="33">
        <f t="shared" si="22"/>
        <v>4936649</v>
      </c>
      <c r="R111" s="33">
        <f t="shared" si="22"/>
        <v>3062019</v>
      </c>
      <c r="S111" s="33">
        <f t="shared" si="22"/>
        <v>-1100486</v>
      </c>
      <c r="T111" s="33">
        <f t="shared" si="22"/>
        <v>3108701.6750000007</v>
      </c>
      <c r="U111" s="33">
        <f t="shared" si="22"/>
        <v>2362082.1750000007</v>
      </c>
      <c r="V111" s="33">
        <f t="shared" si="22"/>
        <v>1068465.8625000007</v>
      </c>
      <c r="W111" s="33">
        <f t="shared" si="13"/>
        <v>32576389.712500002</v>
      </c>
    </row>
    <row r="112" spans="1:23" s="8" customFormat="1" ht="11.75" customHeight="1">
      <c r="A112" s="9" t="s">
        <v>206</v>
      </c>
      <c r="B112" s="34" t="s">
        <v>207</v>
      </c>
      <c r="C112" s="35"/>
      <c r="D112" s="35"/>
      <c r="E112" s="35"/>
      <c r="F112" s="35"/>
      <c r="G112" s="35"/>
      <c r="H112" s="35"/>
      <c r="I112" s="35"/>
      <c r="J112" s="36"/>
      <c r="K112" s="37">
        <f>SUM(K113:K114)</f>
        <v>0</v>
      </c>
      <c r="L112" s="37">
        <f t="shared" ref="L112:V112" si="23">SUM(L113:L114)</f>
        <v>0</v>
      </c>
      <c r="M112" s="37">
        <f t="shared" si="23"/>
        <v>0</v>
      </c>
      <c r="N112" s="37">
        <f t="shared" si="23"/>
        <v>0</v>
      </c>
      <c r="O112" s="37">
        <f t="shared" si="23"/>
        <v>0</v>
      </c>
      <c r="P112" s="37">
        <f t="shared" si="23"/>
        <v>0</v>
      </c>
      <c r="Q112" s="37">
        <f t="shared" si="23"/>
        <v>0</v>
      </c>
      <c r="R112" s="37">
        <f t="shared" si="23"/>
        <v>0</v>
      </c>
      <c r="S112" s="37">
        <f t="shared" si="23"/>
        <v>0</v>
      </c>
      <c r="T112" s="37">
        <f t="shared" si="23"/>
        <v>0</v>
      </c>
      <c r="U112" s="37">
        <f t="shared" si="23"/>
        <v>0</v>
      </c>
      <c r="V112" s="37">
        <f t="shared" si="23"/>
        <v>0</v>
      </c>
      <c r="W112" s="37">
        <f t="shared" si="13"/>
        <v>0</v>
      </c>
    </row>
    <row r="113" spans="1:23" s="63" customFormat="1" ht="11.75" customHeight="1">
      <c r="A113" s="59" t="s">
        <v>208</v>
      </c>
      <c r="B113" s="60"/>
      <c r="C113" s="61" t="s">
        <v>209</v>
      </c>
      <c r="D113" s="57"/>
      <c r="E113" s="57"/>
      <c r="F113" s="57"/>
      <c r="G113" s="57"/>
      <c r="H113" s="57"/>
      <c r="I113" s="57"/>
      <c r="J113" s="62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>
        <f t="shared" si="13"/>
        <v>0</v>
      </c>
    </row>
    <row r="114" spans="1:23" s="63" customFormat="1" ht="11.75" customHeight="1">
      <c r="A114" s="59" t="s">
        <v>210</v>
      </c>
      <c r="B114" s="59"/>
      <c r="C114" s="64" t="s">
        <v>191</v>
      </c>
      <c r="D114" s="57"/>
      <c r="E114" s="57"/>
      <c r="F114" s="57"/>
      <c r="G114" s="57"/>
      <c r="H114" s="57"/>
      <c r="I114" s="57"/>
      <c r="J114" s="62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>
        <f t="shared" si="13"/>
        <v>0</v>
      </c>
    </row>
    <row r="115" spans="1:23" s="8" customFormat="1" ht="11.75" customHeight="1">
      <c r="A115" s="9" t="s">
        <v>211</v>
      </c>
      <c r="B115" s="38" t="s">
        <v>212</v>
      </c>
      <c r="C115" s="39"/>
      <c r="D115" s="39"/>
      <c r="E115" s="39"/>
      <c r="F115" s="39"/>
      <c r="G115" s="39"/>
      <c r="H115" s="39"/>
      <c r="I115" s="39"/>
      <c r="J115" s="40"/>
      <c r="K115" s="41">
        <f>SUM(K116:K117)</f>
        <v>0</v>
      </c>
      <c r="L115" s="41">
        <f t="shared" ref="L115:V115" si="24">SUM(L116:L117)</f>
        <v>0</v>
      </c>
      <c r="M115" s="41">
        <f t="shared" si="24"/>
        <v>0</v>
      </c>
      <c r="N115" s="41">
        <f t="shared" si="24"/>
        <v>0</v>
      </c>
      <c r="O115" s="41">
        <f t="shared" si="24"/>
        <v>0</v>
      </c>
      <c r="P115" s="41">
        <f t="shared" si="24"/>
        <v>0</v>
      </c>
      <c r="Q115" s="41">
        <f t="shared" si="24"/>
        <v>0</v>
      </c>
      <c r="R115" s="41">
        <f t="shared" si="24"/>
        <v>0</v>
      </c>
      <c r="S115" s="41">
        <f t="shared" si="24"/>
        <v>0</v>
      </c>
      <c r="T115" s="41">
        <f t="shared" si="24"/>
        <v>0</v>
      </c>
      <c r="U115" s="41">
        <f t="shared" si="24"/>
        <v>0</v>
      </c>
      <c r="V115" s="41">
        <f t="shared" si="24"/>
        <v>0</v>
      </c>
      <c r="W115" s="41">
        <f t="shared" si="13"/>
        <v>0</v>
      </c>
    </row>
    <row r="116" spans="1:23" s="63" customFormat="1" ht="11.75" customHeight="1">
      <c r="A116" s="59" t="s">
        <v>213</v>
      </c>
      <c r="B116" s="60"/>
      <c r="C116" s="61" t="s">
        <v>214</v>
      </c>
      <c r="D116" s="57"/>
      <c r="E116" s="57"/>
      <c r="F116" s="57"/>
      <c r="G116" s="57"/>
      <c r="H116" s="57"/>
      <c r="I116" s="57"/>
      <c r="J116" s="62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>
        <f t="shared" si="13"/>
        <v>0</v>
      </c>
    </row>
    <row r="117" spans="1:23" s="63" customFormat="1" ht="11.75" customHeight="1" thickBot="1">
      <c r="A117" s="59" t="s">
        <v>215</v>
      </c>
      <c r="B117" s="59"/>
      <c r="C117" s="64" t="s">
        <v>191</v>
      </c>
      <c r="D117" s="57"/>
      <c r="E117" s="57"/>
      <c r="F117" s="57"/>
      <c r="G117" s="57"/>
      <c r="H117" s="57"/>
      <c r="I117" s="57"/>
      <c r="J117" s="62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>
        <f t="shared" si="13"/>
        <v>0</v>
      </c>
    </row>
    <row r="118" spans="1:23" s="8" customFormat="1" ht="11.75" customHeight="1">
      <c r="A118" s="42" t="s">
        <v>216</v>
      </c>
      <c r="B118" s="43" t="s">
        <v>217</v>
      </c>
      <c r="C118" s="44"/>
      <c r="D118" s="44"/>
      <c r="E118" s="44"/>
      <c r="F118" s="44"/>
      <c r="G118" s="44"/>
      <c r="H118" s="44"/>
      <c r="I118" s="44"/>
      <c r="J118" s="45"/>
      <c r="K118" s="46">
        <f>K111+K112-K115</f>
        <v>-3691927</v>
      </c>
      <c r="L118" s="46">
        <f t="shared" ref="L118:V118" si="25">L111+L112-L115</f>
        <v>6134784</v>
      </c>
      <c r="M118" s="46">
        <f t="shared" si="25"/>
        <v>2216049</v>
      </c>
      <c r="N118" s="46">
        <f t="shared" si="25"/>
        <v>4830702</v>
      </c>
      <c r="O118" s="46">
        <f t="shared" si="25"/>
        <v>5847161</v>
      </c>
      <c r="P118" s="46">
        <f t="shared" si="25"/>
        <v>3802189</v>
      </c>
      <c r="Q118" s="46">
        <f t="shared" si="25"/>
        <v>4936649</v>
      </c>
      <c r="R118" s="46">
        <f t="shared" si="25"/>
        <v>3062019</v>
      </c>
      <c r="S118" s="46">
        <f t="shared" si="25"/>
        <v>-1100486</v>
      </c>
      <c r="T118" s="46">
        <f t="shared" si="25"/>
        <v>3108701.6750000007</v>
      </c>
      <c r="U118" s="46">
        <f t="shared" si="25"/>
        <v>2362082.1750000007</v>
      </c>
      <c r="V118" s="46">
        <f t="shared" si="25"/>
        <v>1068465.8625000007</v>
      </c>
      <c r="W118" s="46">
        <f t="shared" si="13"/>
        <v>32576389.712500002</v>
      </c>
    </row>
  </sheetData>
  <mergeCells count="2">
    <mergeCell ref="A4:A5"/>
    <mergeCell ref="B4:J5"/>
  </mergeCells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E40D-3431-4B44-8B1A-93D5FD6E7906}">
  <dimension ref="A1:AC118"/>
  <sheetViews>
    <sheetView showGridLines="0" zoomScaleNormal="100" workbookViewId="0">
      <pane xSplit="10" ySplit="5" topLeftCell="N6" activePane="bottomRight" state="frozen"/>
      <selection activeCell="Q127" sqref="Q127"/>
      <selection pane="topRight" activeCell="Q127" sqref="Q127"/>
      <selection pane="bottomLeft" activeCell="Q127" sqref="Q127"/>
      <selection pane="bottomRight" activeCell="V17" sqref="V17"/>
    </sheetView>
  </sheetViews>
  <sheetFormatPr baseColWidth="10" defaultColWidth="9" defaultRowHeight="18"/>
  <cols>
    <col min="1" max="1" width="5.83203125" style="49" customWidth="1"/>
    <col min="2" max="8" width="2.33203125" style="49" customWidth="1"/>
    <col min="9" max="9" width="2.1640625" style="49" customWidth="1"/>
    <col min="10" max="10" width="0" style="49" hidden="1" customWidth="1"/>
    <col min="11" max="16" width="12.1640625" style="49" bestFit="1" customWidth="1"/>
    <col min="17" max="19" width="13" style="49" bestFit="1" customWidth="1"/>
    <col min="20" max="22" width="12.1640625" style="49" bestFit="1" customWidth="1"/>
    <col min="23" max="23" width="12.1640625" style="51" bestFit="1" customWidth="1"/>
    <col min="24" max="24" width="12.1640625" style="51" customWidth="1"/>
    <col min="25" max="25" width="10.5" style="51" bestFit="1" customWidth="1"/>
    <col min="26" max="16384" width="9" style="51"/>
  </cols>
  <sheetData>
    <row r="1" spans="1:24" ht="20" customHeight="1">
      <c r="A1" s="56" t="s">
        <v>258</v>
      </c>
      <c r="X1" s="137">
        <f>SUM(K6:P6)</f>
        <v>70035413</v>
      </c>
    </row>
    <row r="3" spans="1:24" ht="11.75" customHeight="1">
      <c r="A3" s="57" t="s">
        <v>223</v>
      </c>
    </row>
    <row r="4" spans="1:24" s="58" customFormat="1" ht="11.75" customHeight="1">
      <c r="A4" s="177" t="s">
        <v>0</v>
      </c>
      <c r="B4" s="179" t="s">
        <v>1</v>
      </c>
      <c r="C4" s="180"/>
      <c r="D4" s="180"/>
      <c r="E4" s="180"/>
      <c r="F4" s="180"/>
      <c r="G4" s="180"/>
      <c r="H4" s="180"/>
      <c r="I4" s="180"/>
      <c r="J4" s="181"/>
      <c r="K4" s="55" t="s">
        <v>226</v>
      </c>
      <c r="L4" s="55" t="s">
        <v>227</v>
      </c>
      <c r="M4" s="55" t="s">
        <v>228</v>
      </c>
      <c r="N4" s="55" t="s">
        <v>229</v>
      </c>
      <c r="O4" s="55" t="s">
        <v>230</v>
      </c>
      <c r="P4" s="55" t="s">
        <v>231</v>
      </c>
      <c r="Q4" s="55" t="s">
        <v>232</v>
      </c>
      <c r="R4" s="55" t="s">
        <v>233</v>
      </c>
      <c r="S4" s="55" t="s">
        <v>234</v>
      </c>
      <c r="T4" s="55" t="s">
        <v>235</v>
      </c>
      <c r="U4" s="55" t="s">
        <v>236</v>
      </c>
      <c r="V4" s="55" t="s">
        <v>237</v>
      </c>
      <c r="W4" s="52" t="s">
        <v>225</v>
      </c>
      <c r="X4" s="133"/>
    </row>
    <row r="5" spans="1:24" s="58" customFormat="1" ht="25.5" customHeight="1">
      <c r="A5" s="178"/>
      <c r="B5" s="182"/>
      <c r="C5" s="183"/>
      <c r="D5" s="183"/>
      <c r="E5" s="183"/>
      <c r="F5" s="183"/>
      <c r="G5" s="183"/>
      <c r="H5" s="183"/>
      <c r="I5" s="183"/>
      <c r="J5" s="184"/>
      <c r="K5" s="50" t="s">
        <v>2</v>
      </c>
      <c r="L5" s="50" t="s">
        <v>2</v>
      </c>
      <c r="M5" s="50" t="s">
        <v>2</v>
      </c>
      <c r="N5" s="50" t="s">
        <v>2</v>
      </c>
      <c r="O5" s="50" t="s">
        <v>2</v>
      </c>
      <c r="P5" s="50" t="s">
        <v>2</v>
      </c>
      <c r="Q5" s="50" t="s">
        <v>2</v>
      </c>
      <c r="R5" s="50" t="s">
        <v>2</v>
      </c>
      <c r="S5" s="50" t="s">
        <v>2</v>
      </c>
      <c r="T5" s="50" t="s">
        <v>2</v>
      </c>
      <c r="U5" s="50" t="s">
        <v>2</v>
      </c>
      <c r="V5" s="50" t="s">
        <v>2</v>
      </c>
      <c r="W5" s="50" t="s">
        <v>2</v>
      </c>
      <c r="X5" s="134"/>
    </row>
    <row r="6" spans="1:24" s="8" customFormat="1" ht="11.75" customHeight="1">
      <c r="A6" s="3" t="s">
        <v>3</v>
      </c>
      <c r="B6" s="4" t="s">
        <v>4</v>
      </c>
      <c r="C6" s="5"/>
      <c r="D6" s="5"/>
      <c r="E6" s="5"/>
      <c r="F6" s="5"/>
      <c r="G6" s="5"/>
      <c r="H6" s="5"/>
      <c r="I6" s="5"/>
      <c r="J6" s="6"/>
      <c r="K6" s="7">
        <f>SUM(K7:K16)</f>
        <v>9107304</v>
      </c>
      <c r="L6" s="7">
        <f t="shared" ref="L6:V6" si="0">SUM(L7:L16)</f>
        <v>11527533</v>
      </c>
      <c r="M6" s="7">
        <f t="shared" si="0"/>
        <v>12237548</v>
      </c>
      <c r="N6" s="7">
        <f t="shared" si="0"/>
        <v>13526992</v>
      </c>
      <c r="O6" s="7">
        <f t="shared" si="0"/>
        <v>11682094</v>
      </c>
      <c r="P6" s="7">
        <f t="shared" si="0"/>
        <v>11953942</v>
      </c>
      <c r="Q6" s="7">
        <f t="shared" si="0"/>
        <v>14836058</v>
      </c>
      <c r="R6" s="7">
        <f t="shared" si="0"/>
        <v>13195990</v>
      </c>
      <c r="S6" s="7">
        <f t="shared" si="0"/>
        <v>21007371</v>
      </c>
      <c r="T6" s="7">
        <f t="shared" si="0"/>
        <v>10950311</v>
      </c>
      <c r="U6" s="7">
        <f t="shared" si="0"/>
        <v>12890000</v>
      </c>
      <c r="V6" s="7">
        <f t="shared" si="0"/>
        <v>12070000</v>
      </c>
      <c r="W6" s="7">
        <f>SUM(K6:V6)</f>
        <v>154985143</v>
      </c>
      <c r="X6" s="132"/>
    </row>
    <row r="7" spans="1:24" s="63" customFormat="1" ht="11.75" customHeight="1">
      <c r="A7" s="59" t="s">
        <v>5</v>
      </c>
      <c r="B7" s="60"/>
      <c r="C7" s="61" t="s">
        <v>6</v>
      </c>
      <c r="D7" s="57"/>
      <c r="E7" s="57"/>
      <c r="F7" s="57"/>
      <c r="G7" s="57"/>
      <c r="H7" s="57"/>
      <c r="I7" s="57"/>
      <c r="J7" s="62"/>
      <c r="K7" s="47">
        <v>9107304</v>
      </c>
      <c r="L7" s="47">
        <v>11527533</v>
      </c>
      <c r="M7" s="47">
        <v>12237548</v>
      </c>
      <c r="N7" s="47">
        <v>13526992</v>
      </c>
      <c r="O7" s="47">
        <v>11682094</v>
      </c>
      <c r="P7" s="47">
        <v>11953942</v>
      </c>
      <c r="Q7" s="47">
        <v>14836058</v>
      </c>
      <c r="R7" s="47">
        <v>13195990</v>
      </c>
      <c r="S7" s="47">
        <v>21007371</v>
      </c>
      <c r="T7" s="47">
        <v>10950311</v>
      </c>
      <c r="U7" s="47">
        <v>12890000</v>
      </c>
      <c r="V7" s="47">
        <v>12070000</v>
      </c>
      <c r="W7" s="47">
        <f t="shared" ref="W7:W70" si="1">SUM(K7:V7)</f>
        <v>154985143</v>
      </c>
      <c r="X7" s="135"/>
    </row>
    <row r="8" spans="1:24" s="63" customFormat="1" ht="11.75" customHeight="1">
      <c r="A8" s="59" t="s">
        <v>7</v>
      </c>
      <c r="B8" s="59"/>
      <c r="C8" s="64" t="s">
        <v>8</v>
      </c>
      <c r="D8" s="57"/>
      <c r="E8" s="57"/>
      <c r="F8" s="57"/>
      <c r="G8" s="57"/>
      <c r="H8" s="57"/>
      <c r="I8" s="57"/>
      <c r="J8" s="62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>
        <f t="shared" si="1"/>
        <v>0</v>
      </c>
      <c r="X8" s="135"/>
    </row>
    <row r="9" spans="1:24" s="63" customFormat="1" ht="11.75" customHeight="1">
      <c r="A9" s="59" t="s">
        <v>9</v>
      </c>
      <c r="B9" s="59"/>
      <c r="C9" s="64" t="s">
        <v>10</v>
      </c>
      <c r="D9" s="57"/>
      <c r="E9" s="57"/>
      <c r="F9" s="57"/>
      <c r="G9" s="57"/>
      <c r="H9" s="57"/>
      <c r="I9" s="57"/>
      <c r="J9" s="62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>
        <f t="shared" si="1"/>
        <v>0</v>
      </c>
      <c r="X9" s="135"/>
    </row>
    <row r="10" spans="1:24" s="63" customFormat="1" ht="11.75" customHeight="1">
      <c r="A10" s="59" t="s">
        <v>11</v>
      </c>
      <c r="B10" s="59"/>
      <c r="C10" s="64" t="s">
        <v>12</v>
      </c>
      <c r="D10" s="57"/>
      <c r="E10" s="57"/>
      <c r="F10" s="57"/>
      <c r="G10" s="57"/>
      <c r="H10" s="57"/>
      <c r="I10" s="57"/>
      <c r="J10" s="62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>
        <f t="shared" si="1"/>
        <v>0</v>
      </c>
      <c r="X10" s="135"/>
    </row>
    <row r="11" spans="1:24" s="63" customFormat="1" ht="11.75" customHeight="1">
      <c r="A11" s="59" t="s">
        <v>13</v>
      </c>
      <c r="B11" s="59"/>
      <c r="C11" s="64" t="s">
        <v>14</v>
      </c>
      <c r="D11" s="57"/>
      <c r="E11" s="57"/>
      <c r="F11" s="57"/>
      <c r="G11" s="57"/>
      <c r="H11" s="57"/>
      <c r="I11" s="57"/>
      <c r="J11" s="62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>
        <f t="shared" si="1"/>
        <v>0</v>
      </c>
      <c r="X11" s="135"/>
    </row>
    <row r="12" spans="1:24" s="63" customFormat="1" ht="11.75" customHeight="1">
      <c r="A12" s="59" t="s">
        <v>15</v>
      </c>
      <c r="B12" s="59"/>
      <c r="C12" s="64" t="s">
        <v>16</v>
      </c>
      <c r="D12" s="57"/>
      <c r="E12" s="57"/>
      <c r="F12" s="57"/>
      <c r="G12" s="57"/>
      <c r="H12" s="57"/>
      <c r="I12" s="57"/>
      <c r="J12" s="62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>
        <f t="shared" si="1"/>
        <v>0</v>
      </c>
      <c r="X12" s="135"/>
    </row>
    <row r="13" spans="1:24" s="63" customFormat="1" ht="11.75" customHeight="1">
      <c r="A13" s="59" t="s">
        <v>17</v>
      </c>
      <c r="B13" s="59"/>
      <c r="C13" s="64" t="s">
        <v>18</v>
      </c>
      <c r="D13" s="57"/>
      <c r="E13" s="57"/>
      <c r="F13" s="57"/>
      <c r="G13" s="57"/>
      <c r="H13" s="57"/>
      <c r="I13" s="57"/>
      <c r="J13" s="62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>
        <f t="shared" si="1"/>
        <v>0</v>
      </c>
      <c r="X13" s="135"/>
    </row>
    <row r="14" spans="1:24" s="63" customFormat="1" ht="11.75" customHeight="1">
      <c r="A14" s="59" t="s">
        <v>19</v>
      </c>
      <c r="B14" s="59"/>
      <c r="C14" s="64" t="s">
        <v>20</v>
      </c>
      <c r="D14" s="57"/>
      <c r="E14" s="57"/>
      <c r="F14" s="57"/>
      <c r="G14" s="57"/>
      <c r="H14" s="57"/>
      <c r="I14" s="57"/>
      <c r="J14" s="62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>
        <f t="shared" si="1"/>
        <v>0</v>
      </c>
    </row>
    <row r="15" spans="1:24" s="63" customFormat="1" ht="11.75" customHeight="1">
      <c r="A15" s="59" t="s">
        <v>21</v>
      </c>
      <c r="B15" s="59"/>
      <c r="C15" s="64" t="s">
        <v>22</v>
      </c>
      <c r="D15" s="57"/>
      <c r="E15" s="57"/>
      <c r="F15" s="57"/>
      <c r="G15" s="57"/>
      <c r="H15" s="57"/>
      <c r="I15" s="57"/>
      <c r="J15" s="62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>
        <f t="shared" si="1"/>
        <v>0</v>
      </c>
    </row>
    <row r="16" spans="1:24" s="63" customFormat="1" ht="11.75" customHeight="1">
      <c r="A16" s="59" t="s">
        <v>23</v>
      </c>
      <c r="B16" s="59"/>
      <c r="C16" s="64" t="s">
        <v>24</v>
      </c>
      <c r="D16" s="57"/>
      <c r="E16" s="57"/>
      <c r="F16" s="57"/>
      <c r="G16" s="57"/>
      <c r="H16" s="57"/>
      <c r="I16" s="57"/>
      <c r="J16" s="62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>
        <f t="shared" si="1"/>
        <v>0</v>
      </c>
    </row>
    <row r="17" spans="1:29" s="63" customFormat="1" ht="11.75" customHeight="1" thickBot="1">
      <c r="A17" s="59" t="s">
        <v>25</v>
      </c>
      <c r="B17" s="65" t="s">
        <v>26</v>
      </c>
      <c r="C17" s="66"/>
      <c r="D17" s="66"/>
      <c r="E17" s="66"/>
      <c r="F17" s="66"/>
      <c r="G17" s="66"/>
      <c r="H17" s="66"/>
      <c r="I17" s="66"/>
      <c r="J17" s="67"/>
      <c r="K17" s="48">
        <v>3218397</v>
      </c>
      <c r="L17" s="48">
        <v>4438588</v>
      </c>
      <c r="M17" s="48">
        <v>3770421</v>
      </c>
      <c r="N17" s="48">
        <v>4113204</v>
      </c>
      <c r="O17" s="48">
        <v>3219871</v>
      </c>
      <c r="P17" s="48">
        <v>4269660</v>
      </c>
      <c r="Q17" s="48">
        <v>5407770</v>
      </c>
      <c r="R17" s="48">
        <v>5546084</v>
      </c>
      <c r="S17" s="48">
        <v>7973257</v>
      </c>
      <c r="T17" s="48">
        <f t="shared" ref="T17:U17" si="2">T7*0.31</f>
        <v>3394596.41</v>
      </c>
      <c r="U17" s="48">
        <f t="shared" si="2"/>
        <v>3995900</v>
      </c>
      <c r="V17" s="48">
        <f>V7*0.31</f>
        <v>3741700</v>
      </c>
      <c r="W17" s="48">
        <f t="shared" si="1"/>
        <v>53089448.409999996</v>
      </c>
    </row>
    <row r="18" spans="1:29" s="8" customFormat="1" ht="11.75" customHeight="1" thickTop="1">
      <c r="A18" s="9" t="s">
        <v>27</v>
      </c>
      <c r="B18" s="14" t="s">
        <v>28</v>
      </c>
      <c r="C18" s="15"/>
      <c r="D18" s="15"/>
      <c r="E18" s="15"/>
      <c r="F18" s="15"/>
      <c r="G18" s="15"/>
      <c r="H18" s="15"/>
      <c r="I18" s="15"/>
      <c r="J18" s="16"/>
      <c r="K18" s="17">
        <f>K6-K17</f>
        <v>5888907</v>
      </c>
      <c r="L18" s="17">
        <f t="shared" ref="L18:V18" si="3">L6-L17</f>
        <v>7088945</v>
      </c>
      <c r="M18" s="17">
        <f t="shared" si="3"/>
        <v>8467127</v>
      </c>
      <c r="N18" s="17">
        <f t="shared" si="3"/>
        <v>9413788</v>
      </c>
      <c r="O18" s="17">
        <f t="shared" si="3"/>
        <v>8462223</v>
      </c>
      <c r="P18" s="17">
        <f t="shared" si="3"/>
        <v>7684282</v>
      </c>
      <c r="Q18" s="17">
        <f t="shared" si="3"/>
        <v>9428288</v>
      </c>
      <c r="R18" s="17">
        <f t="shared" si="3"/>
        <v>7649906</v>
      </c>
      <c r="S18" s="17">
        <f t="shared" si="3"/>
        <v>13034114</v>
      </c>
      <c r="T18" s="17">
        <f t="shared" si="3"/>
        <v>7555714.5899999999</v>
      </c>
      <c r="U18" s="17">
        <f t="shared" si="3"/>
        <v>8894100</v>
      </c>
      <c r="V18" s="17">
        <f t="shared" si="3"/>
        <v>8328300</v>
      </c>
      <c r="W18" s="17">
        <f t="shared" si="1"/>
        <v>101895694.59</v>
      </c>
      <c r="X18" s="63"/>
      <c r="Y18" s="63"/>
      <c r="Z18" s="63"/>
      <c r="AA18" s="63"/>
      <c r="AB18" s="63"/>
      <c r="AC18" s="63"/>
    </row>
    <row r="19" spans="1:29" s="8" customFormat="1" ht="11.75" customHeight="1">
      <c r="A19" s="9" t="s">
        <v>29</v>
      </c>
      <c r="B19" s="18" t="s">
        <v>30</v>
      </c>
      <c r="C19" s="19"/>
      <c r="D19" s="19"/>
      <c r="E19" s="19"/>
      <c r="F19" s="19"/>
      <c r="G19" s="19"/>
      <c r="H19" s="19"/>
      <c r="I19" s="19"/>
      <c r="J19" s="20"/>
      <c r="K19" s="21">
        <f>SUM(K20:K22,K26,K29:K31,K35:K36)</f>
        <v>3878680</v>
      </c>
      <c r="L19" s="21">
        <f t="shared" ref="L19:V19" si="4">SUM(L20:L22,L26,L29:L31,L35:L36)</f>
        <v>4718141</v>
      </c>
      <c r="M19" s="21">
        <f t="shared" si="4"/>
        <v>7459441</v>
      </c>
      <c r="N19" s="21">
        <f t="shared" si="4"/>
        <v>5757205</v>
      </c>
      <c r="O19" s="21">
        <f t="shared" si="4"/>
        <v>5477921</v>
      </c>
      <c r="P19" s="21">
        <f t="shared" si="4"/>
        <v>6268055</v>
      </c>
      <c r="Q19" s="21">
        <f t="shared" si="4"/>
        <v>5600673</v>
      </c>
      <c r="R19" s="21">
        <f t="shared" si="4"/>
        <v>5273326</v>
      </c>
      <c r="S19" s="21">
        <f t="shared" si="4"/>
        <v>10491317</v>
      </c>
      <c r="T19" s="21">
        <f t="shared" si="4"/>
        <v>6389668</v>
      </c>
      <c r="U19" s="21">
        <f t="shared" si="4"/>
        <v>4957319</v>
      </c>
      <c r="V19" s="21">
        <f t="shared" si="4"/>
        <v>6138840</v>
      </c>
      <c r="W19" s="21">
        <f t="shared" si="1"/>
        <v>72410586</v>
      </c>
      <c r="X19" s="63"/>
      <c r="Y19" s="63"/>
      <c r="Z19" s="63"/>
      <c r="AA19" s="63"/>
      <c r="AB19" s="63"/>
      <c r="AC19" s="63"/>
    </row>
    <row r="20" spans="1:29" s="63" customFormat="1" ht="11.75" customHeight="1">
      <c r="A20" s="59" t="s">
        <v>31</v>
      </c>
      <c r="B20" s="59"/>
      <c r="C20" s="64" t="s">
        <v>32</v>
      </c>
      <c r="D20" s="57"/>
      <c r="E20" s="57"/>
      <c r="F20" s="57"/>
      <c r="G20" s="57"/>
      <c r="H20" s="57"/>
      <c r="I20" s="57"/>
      <c r="J20" s="62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>
        <f t="shared" si="1"/>
        <v>0</v>
      </c>
    </row>
    <row r="21" spans="1:29" s="63" customFormat="1" ht="11.75" customHeight="1">
      <c r="A21" s="59" t="s">
        <v>33</v>
      </c>
      <c r="B21" s="59"/>
      <c r="C21" s="64" t="s">
        <v>34</v>
      </c>
      <c r="D21" s="57"/>
      <c r="E21" s="57"/>
      <c r="F21" s="57"/>
      <c r="G21" s="57"/>
      <c r="H21" s="57"/>
      <c r="I21" s="57"/>
      <c r="J21" s="62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>
        <f t="shared" si="1"/>
        <v>0</v>
      </c>
    </row>
    <row r="22" spans="1:29" s="8" customFormat="1" ht="11.75" customHeight="1">
      <c r="A22" s="9" t="s">
        <v>35</v>
      </c>
      <c r="B22" s="9"/>
      <c r="C22" s="13" t="s">
        <v>36</v>
      </c>
      <c r="D22" s="2"/>
      <c r="E22" s="2"/>
      <c r="F22" s="2"/>
      <c r="G22" s="2"/>
      <c r="H22" s="2"/>
      <c r="I22" s="2"/>
      <c r="J22" s="11"/>
      <c r="K22" s="12">
        <f>SUM(K23:K25)</f>
        <v>3717243</v>
      </c>
      <c r="L22" s="12">
        <f t="shared" ref="L22:V22" si="5">SUM(L23:L25)</f>
        <v>4501922</v>
      </c>
      <c r="M22" s="12">
        <f t="shared" si="5"/>
        <v>6353211</v>
      </c>
      <c r="N22" s="12">
        <f t="shared" si="5"/>
        <v>4826069</v>
      </c>
      <c r="O22" s="12">
        <f t="shared" si="5"/>
        <v>5173160</v>
      </c>
      <c r="P22" s="12">
        <f t="shared" si="5"/>
        <v>5100821</v>
      </c>
      <c r="Q22" s="12">
        <f t="shared" si="5"/>
        <v>4778260</v>
      </c>
      <c r="R22" s="12">
        <f t="shared" si="5"/>
        <v>5008647</v>
      </c>
      <c r="S22" s="12">
        <f t="shared" si="5"/>
        <v>9735313</v>
      </c>
      <c r="T22" s="12">
        <f t="shared" si="5"/>
        <v>5630927</v>
      </c>
      <c r="U22" s="12">
        <f t="shared" si="5"/>
        <v>4223899</v>
      </c>
      <c r="V22" s="12">
        <f t="shared" si="5"/>
        <v>4945402</v>
      </c>
      <c r="W22" s="12">
        <f t="shared" si="1"/>
        <v>63994874</v>
      </c>
      <c r="X22" s="63"/>
      <c r="Y22" s="63"/>
      <c r="Z22" s="63"/>
      <c r="AA22" s="63"/>
      <c r="AB22" s="63"/>
      <c r="AC22" s="63"/>
    </row>
    <row r="23" spans="1:29" s="63" customFormat="1" ht="11.75" customHeight="1">
      <c r="A23" s="59" t="s">
        <v>37</v>
      </c>
      <c r="B23" s="59"/>
      <c r="C23" s="59"/>
      <c r="D23" s="64" t="s">
        <v>38</v>
      </c>
      <c r="E23" s="57"/>
      <c r="F23" s="57"/>
      <c r="G23" s="57"/>
      <c r="H23" s="57"/>
      <c r="I23" s="57"/>
      <c r="J23" s="62"/>
      <c r="K23" s="47">
        <v>3707243</v>
      </c>
      <c r="L23" s="47">
        <v>3886857</v>
      </c>
      <c r="M23" s="47">
        <v>5492449</v>
      </c>
      <c r="N23" s="47">
        <v>3822319</v>
      </c>
      <c r="O23" s="47">
        <v>3994297</v>
      </c>
      <c r="P23" s="47">
        <v>4119526</v>
      </c>
      <c r="Q23" s="47">
        <v>3851105</v>
      </c>
      <c r="R23" s="47">
        <v>3711627</v>
      </c>
      <c r="S23" s="47">
        <v>8670132</v>
      </c>
      <c r="T23" s="47">
        <v>4144638</v>
      </c>
      <c r="U23" s="47">
        <v>3502396</v>
      </c>
      <c r="V23" s="47">
        <v>3502396</v>
      </c>
      <c r="W23" s="47">
        <f t="shared" si="1"/>
        <v>52404985</v>
      </c>
    </row>
    <row r="24" spans="1:29" s="63" customFormat="1" ht="11.75" customHeight="1">
      <c r="A24" s="59" t="s">
        <v>39</v>
      </c>
      <c r="B24" s="59"/>
      <c r="C24" s="59"/>
      <c r="D24" s="64" t="s">
        <v>40</v>
      </c>
      <c r="E24" s="57"/>
      <c r="F24" s="57"/>
      <c r="G24" s="57"/>
      <c r="H24" s="57"/>
      <c r="I24" s="57"/>
      <c r="J24" s="62"/>
      <c r="K24" s="47">
        <v>0</v>
      </c>
      <c r="L24" s="47">
        <v>5050</v>
      </c>
      <c r="M24" s="47">
        <v>190868</v>
      </c>
      <c r="N24" s="47">
        <v>313674</v>
      </c>
      <c r="O24" s="47">
        <v>491913</v>
      </c>
      <c r="P24" s="47">
        <v>304795</v>
      </c>
      <c r="Q24" s="47">
        <v>253955</v>
      </c>
      <c r="R24" s="47">
        <v>661082</v>
      </c>
      <c r="S24" s="47">
        <v>495656</v>
      </c>
      <c r="T24" s="47">
        <v>665794</v>
      </c>
      <c r="U24" s="47"/>
      <c r="V24" s="47"/>
      <c r="W24" s="47">
        <f t="shared" si="1"/>
        <v>3382787</v>
      </c>
    </row>
    <row r="25" spans="1:29" s="63" customFormat="1" ht="11.75" customHeight="1">
      <c r="A25" s="59" t="s">
        <v>41</v>
      </c>
      <c r="B25" s="59"/>
      <c r="C25" s="59"/>
      <c r="D25" s="64" t="s">
        <v>42</v>
      </c>
      <c r="E25" s="57"/>
      <c r="F25" s="57"/>
      <c r="G25" s="57"/>
      <c r="H25" s="57"/>
      <c r="I25" s="57"/>
      <c r="J25" s="62"/>
      <c r="K25" s="47">
        <v>10000</v>
      </c>
      <c r="L25" s="47">
        <v>610015</v>
      </c>
      <c r="M25" s="47">
        <v>669894</v>
      </c>
      <c r="N25" s="47">
        <v>690076</v>
      </c>
      <c r="O25" s="47">
        <v>686950</v>
      </c>
      <c r="P25" s="47">
        <v>676500</v>
      </c>
      <c r="Q25" s="47">
        <v>673200</v>
      </c>
      <c r="R25" s="47">
        <v>635938</v>
      </c>
      <c r="S25" s="47">
        <v>569525</v>
      </c>
      <c r="T25" s="47">
        <v>820495</v>
      </c>
      <c r="U25" s="47">
        <v>721503</v>
      </c>
      <c r="V25" s="47">
        <f>721503*2</f>
        <v>1443006</v>
      </c>
      <c r="W25" s="47">
        <f t="shared" si="1"/>
        <v>8207102</v>
      </c>
    </row>
    <row r="26" spans="1:29" s="8" customFormat="1" ht="11.75" customHeight="1">
      <c r="A26" s="9" t="s">
        <v>43</v>
      </c>
      <c r="B26" s="9"/>
      <c r="C26" s="13" t="s">
        <v>44</v>
      </c>
      <c r="D26" s="2"/>
      <c r="E26" s="2"/>
      <c r="F26" s="2"/>
      <c r="G26" s="2"/>
      <c r="H26" s="2"/>
      <c r="I26" s="2"/>
      <c r="J26" s="11"/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f t="shared" si="1"/>
        <v>0</v>
      </c>
      <c r="X26" s="63"/>
      <c r="Y26" s="63"/>
      <c r="Z26" s="63"/>
      <c r="AA26" s="63"/>
      <c r="AB26" s="63"/>
      <c r="AC26" s="63"/>
    </row>
    <row r="27" spans="1:29" s="63" customFormat="1" ht="11.75" customHeight="1">
      <c r="A27" s="59" t="s">
        <v>45</v>
      </c>
      <c r="B27" s="59"/>
      <c r="C27" s="59"/>
      <c r="D27" s="64" t="s">
        <v>46</v>
      </c>
      <c r="E27" s="57"/>
      <c r="F27" s="57"/>
      <c r="G27" s="57"/>
      <c r="H27" s="57"/>
      <c r="I27" s="57"/>
      <c r="J27" s="62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>
        <f t="shared" si="1"/>
        <v>0</v>
      </c>
    </row>
    <row r="28" spans="1:29" s="63" customFormat="1" ht="11.75" customHeight="1">
      <c r="A28" s="59" t="s">
        <v>47</v>
      </c>
      <c r="B28" s="59"/>
      <c r="C28" s="59"/>
      <c r="D28" s="64" t="s">
        <v>48</v>
      </c>
      <c r="E28" s="57"/>
      <c r="F28" s="57"/>
      <c r="G28" s="57"/>
      <c r="H28" s="57"/>
      <c r="I28" s="57"/>
      <c r="J28" s="62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>
        <f t="shared" si="1"/>
        <v>0</v>
      </c>
    </row>
    <row r="29" spans="1:29" s="63" customFormat="1" ht="11.75" customHeight="1">
      <c r="A29" s="59" t="s">
        <v>49</v>
      </c>
      <c r="B29" s="59"/>
      <c r="C29" s="64" t="s">
        <v>50</v>
      </c>
      <c r="D29" s="57"/>
      <c r="E29" s="57"/>
      <c r="F29" s="57"/>
      <c r="G29" s="57"/>
      <c r="H29" s="57"/>
      <c r="I29" s="57"/>
      <c r="J29" s="62"/>
      <c r="K29" s="47">
        <v>0</v>
      </c>
      <c r="L29" s="47">
        <v>0</v>
      </c>
      <c r="M29" s="47">
        <v>855383</v>
      </c>
      <c r="N29" s="47">
        <v>698070</v>
      </c>
      <c r="O29" s="47">
        <v>0</v>
      </c>
      <c r="P29" s="47">
        <v>930623</v>
      </c>
      <c r="Q29" s="47">
        <v>505366</v>
      </c>
      <c r="R29" s="47">
        <v>0</v>
      </c>
      <c r="S29" s="47">
        <v>533047</v>
      </c>
      <c r="T29" s="47">
        <v>485339</v>
      </c>
      <c r="U29" s="47">
        <v>460018</v>
      </c>
      <c r="V29" s="47">
        <f>460018*2</f>
        <v>920036</v>
      </c>
      <c r="W29" s="47">
        <f t="shared" si="1"/>
        <v>5387882</v>
      </c>
    </row>
    <row r="30" spans="1:29" s="63" customFormat="1" ht="11.75" customHeight="1">
      <c r="A30" s="59" t="s">
        <v>51</v>
      </c>
      <c r="B30" s="59"/>
      <c r="C30" s="64" t="s">
        <v>52</v>
      </c>
      <c r="D30" s="57"/>
      <c r="E30" s="57"/>
      <c r="F30" s="57"/>
      <c r="G30" s="57"/>
      <c r="H30" s="57"/>
      <c r="I30" s="57"/>
      <c r="J30" s="62"/>
      <c r="K30" s="47">
        <v>7200</v>
      </c>
      <c r="L30" s="47">
        <v>6400</v>
      </c>
      <c r="M30" s="47">
        <v>4000</v>
      </c>
      <c r="N30" s="47">
        <v>5800</v>
      </c>
      <c r="O30" s="47">
        <v>5800</v>
      </c>
      <c r="P30" s="47">
        <v>5800</v>
      </c>
      <c r="Q30" s="47">
        <v>5800</v>
      </c>
      <c r="R30" s="47">
        <v>5800</v>
      </c>
      <c r="S30" s="47">
        <v>5800</v>
      </c>
      <c r="T30" s="47">
        <v>4800</v>
      </c>
      <c r="U30" s="47">
        <v>4800</v>
      </c>
      <c r="V30" s="47">
        <v>4800</v>
      </c>
      <c r="W30" s="47">
        <f t="shared" si="1"/>
        <v>66800</v>
      </c>
    </row>
    <row r="31" spans="1:29" s="8" customFormat="1" ht="11.75" customHeight="1">
      <c r="A31" s="9" t="s">
        <v>53</v>
      </c>
      <c r="B31" s="9"/>
      <c r="C31" s="13" t="s">
        <v>54</v>
      </c>
      <c r="D31" s="2"/>
      <c r="E31" s="2"/>
      <c r="F31" s="2"/>
      <c r="G31" s="2"/>
      <c r="H31" s="2"/>
      <c r="I31" s="2"/>
      <c r="J31" s="11"/>
      <c r="K31" s="12">
        <f>SUM(K32:K34)</f>
        <v>7800</v>
      </c>
      <c r="L31" s="12">
        <f t="shared" ref="L31:V31" si="6">SUM(L32:L34)</f>
        <v>7200</v>
      </c>
      <c r="M31" s="12">
        <f t="shared" si="6"/>
        <v>6600</v>
      </c>
      <c r="N31" s="12">
        <f t="shared" si="6"/>
        <v>10700</v>
      </c>
      <c r="O31" s="12">
        <f t="shared" si="6"/>
        <v>86060</v>
      </c>
      <c r="P31" s="12">
        <f t="shared" si="6"/>
        <v>7200</v>
      </c>
      <c r="Q31" s="12">
        <f t="shared" si="6"/>
        <v>96900</v>
      </c>
      <c r="R31" s="12">
        <f t="shared" si="6"/>
        <v>9896</v>
      </c>
      <c r="S31" s="12">
        <f t="shared" si="6"/>
        <v>7200</v>
      </c>
      <c r="T31" s="12">
        <f t="shared" si="6"/>
        <v>7200</v>
      </c>
      <c r="U31" s="12">
        <f t="shared" si="6"/>
        <v>7200</v>
      </c>
      <c r="V31" s="12">
        <f t="shared" si="6"/>
        <v>7200</v>
      </c>
      <c r="W31" s="12">
        <f t="shared" si="1"/>
        <v>261156</v>
      </c>
      <c r="X31" s="63"/>
      <c r="Y31" s="63"/>
      <c r="Z31" s="63"/>
      <c r="AA31" s="63"/>
      <c r="AB31" s="63"/>
      <c r="AC31" s="63"/>
    </row>
    <row r="32" spans="1:29" s="63" customFormat="1" ht="11.75" customHeight="1">
      <c r="A32" s="59" t="s">
        <v>55</v>
      </c>
      <c r="B32" s="59"/>
      <c r="C32" s="59"/>
      <c r="D32" s="64" t="s">
        <v>54</v>
      </c>
      <c r="E32" s="57"/>
      <c r="F32" s="57"/>
      <c r="G32" s="57"/>
      <c r="H32" s="57"/>
      <c r="I32" s="57"/>
      <c r="J32" s="62"/>
      <c r="K32" s="47">
        <v>7800</v>
      </c>
      <c r="L32" s="47">
        <v>7200</v>
      </c>
      <c r="M32" s="47">
        <v>6600</v>
      </c>
      <c r="N32" s="47">
        <v>10700</v>
      </c>
      <c r="O32" s="47">
        <v>7200</v>
      </c>
      <c r="P32" s="47">
        <v>7200</v>
      </c>
      <c r="Q32" s="47">
        <v>7200</v>
      </c>
      <c r="R32" s="47">
        <v>9896</v>
      </c>
      <c r="S32" s="47">
        <v>7200</v>
      </c>
      <c r="T32" s="47">
        <v>7200</v>
      </c>
      <c r="U32" s="47">
        <v>7200</v>
      </c>
      <c r="V32" s="47">
        <v>7200</v>
      </c>
      <c r="W32" s="47">
        <f t="shared" si="1"/>
        <v>92596</v>
      </c>
    </row>
    <row r="33" spans="1:24" s="63" customFormat="1" ht="11.75" customHeight="1">
      <c r="A33" s="59" t="s">
        <v>56</v>
      </c>
      <c r="B33" s="59"/>
      <c r="C33" s="59"/>
      <c r="D33" s="64" t="s">
        <v>57</v>
      </c>
      <c r="E33" s="57"/>
      <c r="F33" s="57"/>
      <c r="G33" s="57"/>
      <c r="H33" s="57"/>
      <c r="I33" s="57"/>
      <c r="J33" s="62"/>
      <c r="K33" s="47">
        <v>0</v>
      </c>
      <c r="L33" s="47">
        <v>0</v>
      </c>
      <c r="M33" s="47">
        <v>0</v>
      </c>
      <c r="N33" s="47">
        <v>0</v>
      </c>
      <c r="O33" s="47">
        <v>78860</v>
      </c>
      <c r="P33" s="47">
        <v>0</v>
      </c>
      <c r="Q33" s="47">
        <v>89700</v>
      </c>
      <c r="R33" s="47">
        <v>0</v>
      </c>
      <c r="S33" s="47">
        <v>0</v>
      </c>
      <c r="T33" s="47">
        <v>0</v>
      </c>
      <c r="U33" s="47"/>
      <c r="V33" s="47"/>
      <c r="W33" s="47">
        <f t="shared" si="1"/>
        <v>168560</v>
      </c>
    </row>
    <row r="34" spans="1:24" s="63" customFormat="1" ht="11.75" customHeight="1">
      <c r="A34" s="59" t="s">
        <v>58</v>
      </c>
      <c r="B34" s="59"/>
      <c r="C34" s="59"/>
      <c r="D34" s="64" t="s">
        <v>59</v>
      </c>
      <c r="E34" s="57"/>
      <c r="F34" s="57"/>
      <c r="G34" s="57"/>
      <c r="H34" s="57"/>
      <c r="I34" s="57"/>
      <c r="J34" s="62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>
        <f t="shared" si="1"/>
        <v>0</v>
      </c>
    </row>
    <row r="35" spans="1:24" s="63" customFormat="1" ht="11.75" customHeight="1">
      <c r="A35" s="59" t="s">
        <v>60</v>
      </c>
      <c r="B35" s="59"/>
      <c r="C35" s="64" t="s">
        <v>61</v>
      </c>
      <c r="D35" s="57"/>
      <c r="E35" s="57"/>
      <c r="F35" s="57"/>
      <c r="G35" s="57"/>
      <c r="H35" s="57"/>
      <c r="I35" s="57"/>
      <c r="J35" s="62"/>
      <c r="K35" s="47">
        <v>146437</v>
      </c>
      <c r="L35" s="47">
        <v>202619</v>
      </c>
      <c r="M35" s="47">
        <v>240247</v>
      </c>
      <c r="N35" s="47">
        <v>216566</v>
      </c>
      <c r="O35" s="47">
        <v>212901</v>
      </c>
      <c r="P35" s="47">
        <v>223611</v>
      </c>
      <c r="Q35" s="47">
        <v>214347</v>
      </c>
      <c r="R35" s="47">
        <v>248983</v>
      </c>
      <c r="S35" s="47">
        <v>209957</v>
      </c>
      <c r="T35" s="47">
        <v>261402</v>
      </c>
      <c r="U35" s="47">
        <v>261402</v>
      </c>
      <c r="V35" s="47">
        <v>261402</v>
      </c>
      <c r="W35" s="47">
        <f t="shared" si="1"/>
        <v>2699874</v>
      </c>
    </row>
    <row r="36" spans="1:24" s="63" customFormat="1" ht="11.75" customHeight="1">
      <c r="A36" s="59" t="s">
        <v>62</v>
      </c>
      <c r="B36" s="59"/>
      <c r="C36" s="64" t="s">
        <v>63</v>
      </c>
      <c r="D36" s="57"/>
      <c r="E36" s="57"/>
      <c r="F36" s="57"/>
      <c r="G36" s="57"/>
      <c r="H36" s="57"/>
      <c r="I36" s="57"/>
      <c r="J36" s="62"/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/>
      <c r="V36" s="47"/>
      <c r="W36" s="53">
        <f t="shared" si="1"/>
        <v>0</v>
      </c>
    </row>
    <row r="37" spans="1:24" s="8" customFormat="1" ht="11.75" customHeight="1">
      <c r="A37" s="9" t="s">
        <v>64</v>
      </c>
      <c r="B37" s="22" t="s">
        <v>65</v>
      </c>
      <c r="C37" s="23"/>
      <c r="D37" s="23"/>
      <c r="E37" s="23"/>
      <c r="F37" s="23"/>
      <c r="G37" s="23"/>
      <c r="H37" s="23"/>
      <c r="I37" s="23"/>
      <c r="J37" s="24"/>
      <c r="K37" s="25">
        <f>SUM(K38:K41,K46,K50,K57:K58,K61:K67,K70:K72,K78:K80,K83:K84)</f>
        <v>2084600</v>
      </c>
      <c r="L37" s="25">
        <f t="shared" ref="L37:V37" si="7">SUM(L38:L41,L46,L50,L57:L58,L61:L67,L70:L72,L78:L80,L83:L84)</f>
        <v>2519916</v>
      </c>
      <c r="M37" s="25">
        <f t="shared" si="7"/>
        <v>2614156</v>
      </c>
      <c r="N37" s="25">
        <f t="shared" si="7"/>
        <v>2748718</v>
      </c>
      <c r="O37" s="25">
        <f t="shared" si="7"/>
        <v>3028956</v>
      </c>
      <c r="P37" s="25">
        <f t="shared" si="7"/>
        <v>2937264</v>
      </c>
      <c r="Q37" s="25">
        <f t="shared" si="7"/>
        <v>2737640</v>
      </c>
      <c r="R37" s="25">
        <f t="shared" si="7"/>
        <v>3812477</v>
      </c>
      <c r="S37" s="25">
        <f t="shared" si="7"/>
        <v>3234332</v>
      </c>
      <c r="T37" s="25">
        <f t="shared" si="7"/>
        <v>2756088</v>
      </c>
      <c r="U37" s="25">
        <f t="shared" si="7"/>
        <v>2715679</v>
      </c>
      <c r="V37" s="25">
        <f t="shared" si="7"/>
        <v>3287588</v>
      </c>
      <c r="W37" s="25">
        <f t="shared" si="1"/>
        <v>34477414</v>
      </c>
      <c r="X37" s="132"/>
    </row>
    <row r="38" spans="1:24" s="63" customFormat="1" ht="11.75" customHeight="1">
      <c r="A38" s="59" t="s">
        <v>66</v>
      </c>
      <c r="B38" s="60"/>
      <c r="C38" s="61" t="s">
        <v>67</v>
      </c>
      <c r="D38" s="57"/>
      <c r="E38" s="57"/>
      <c r="F38" s="57"/>
      <c r="G38" s="57"/>
      <c r="H38" s="57"/>
      <c r="I38" s="57"/>
      <c r="J38" s="62"/>
      <c r="K38" s="47">
        <v>53966</v>
      </c>
      <c r="L38" s="47">
        <v>173362</v>
      </c>
      <c r="M38" s="47">
        <v>162022</v>
      </c>
      <c r="N38" s="47">
        <v>185445</v>
      </c>
      <c r="O38" s="47">
        <v>304368</v>
      </c>
      <c r="P38" s="47">
        <v>84360</v>
      </c>
      <c r="Q38" s="47">
        <v>234344</v>
      </c>
      <c r="R38" s="47">
        <v>496215</v>
      </c>
      <c r="S38" s="47">
        <v>249012</v>
      </c>
      <c r="T38" s="47">
        <v>150500</v>
      </c>
      <c r="U38" s="47">
        <v>100091</v>
      </c>
      <c r="V38" s="47">
        <v>300000</v>
      </c>
      <c r="W38" s="47">
        <f t="shared" si="1"/>
        <v>2493685</v>
      </c>
      <c r="X38" s="135"/>
    </row>
    <row r="39" spans="1:24" s="63" customFormat="1" ht="11.75" customHeight="1">
      <c r="A39" s="59" t="s">
        <v>68</v>
      </c>
      <c r="B39" s="59"/>
      <c r="C39" s="64" t="s">
        <v>69</v>
      </c>
      <c r="D39" s="57"/>
      <c r="E39" s="57"/>
      <c r="F39" s="57"/>
      <c r="G39" s="57"/>
      <c r="H39" s="57"/>
      <c r="I39" s="57"/>
      <c r="J39" s="62"/>
      <c r="K39" s="47">
        <v>37990</v>
      </c>
      <c r="L39" s="47">
        <v>57928</v>
      </c>
      <c r="M39" s="47">
        <v>21963</v>
      </c>
      <c r="N39" s="47">
        <v>49587</v>
      </c>
      <c r="O39" s="47">
        <v>29589</v>
      </c>
      <c r="P39" s="47">
        <v>19167</v>
      </c>
      <c r="Q39" s="47">
        <v>24200</v>
      </c>
      <c r="R39" s="47">
        <v>29112</v>
      </c>
      <c r="S39" s="47">
        <v>35800</v>
      </c>
      <c r="T39" s="47">
        <v>32000</v>
      </c>
      <c r="U39" s="47">
        <v>32000</v>
      </c>
      <c r="V39" s="47">
        <v>32000</v>
      </c>
      <c r="W39" s="47">
        <f t="shared" si="1"/>
        <v>401336</v>
      </c>
      <c r="X39" s="135"/>
    </row>
    <row r="40" spans="1:24" s="63" customFormat="1" ht="11.75" customHeight="1">
      <c r="A40" s="59" t="s">
        <v>70</v>
      </c>
      <c r="B40" s="59"/>
      <c r="C40" s="64" t="s">
        <v>71</v>
      </c>
      <c r="D40" s="57"/>
      <c r="E40" s="57"/>
      <c r="F40" s="57"/>
      <c r="G40" s="57"/>
      <c r="H40" s="57"/>
      <c r="I40" s="57"/>
      <c r="J40" s="62"/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f t="shared" si="1"/>
        <v>0</v>
      </c>
      <c r="X40" s="135"/>
    </row>
    <row r="41" spans="1:24" s="8" customFormat="1" ht="11.75" customHeight="1">
      <c r="A41" s="9" t="s">
        <v>72</v>
      </c>
      <c r="B41" s="9"/>
      <c r="C41" s="13" t="s">
        <v>73</v>
      </c>
      <c r="D41" s="2"/>
      <c r="E41" s="2"/>
      <c r="F41" s="2"/>
      <c r="G41" s="2"/>
      <c r="H41" s="2"/>
      <c r="I41" s="2"/>
      <c r="J41" s="11"/>
      <c r="K41" s="12">
        <f>SUM(K42:K45)</f>
        <v>1000011</v>
      </c>
      <c r="L41" s="12">
        <f t="shared" ref="L41:V41" si="8">SUM(L42:L45)</f>
        <v>1016429</v>
      </c>
      <c r="M41" s="12">
        <f t="shared" si="8"/>
        <v>1018340</v>
      </c>
      <c r="N41" s="12">
        <f t="shared" si="8"/>
        <v>1020352</v>
      </c>
      <c r="O41" s="12">
        <f t="shared" si="8"/>
        <v>1013128</v>
      </c>
      <c r="P41" s="12">
        <f t="shared" si="8"/>
        <v>1034166</v>
      </c>
      <c r="Q41" s="12">
        <f t="shared" si="8"/>
        <v>1026770</v>
      </c>
      <c r="R41" s="12">
        <f t="shared" si="8"/>
        <v>1014879</v>
      </c>
      <c r="S41" s="12">
        <f t="shared" si="8"/>
        <v>1421567</v>
      </c>
      <c r="T41" s="12">
        <f t="shared" si="8"/>
        <v>1021805</v>
      </c>
      <c r="U41" s="12">
        <f t="shared" si="8"/>
        <v>1024805</v>
      </c>
      <c r="V41" s="12">
        <f t="shared" si="8"/>
        <v>1024805</v>
      </c>
      <c r="W41" s="12">
        <f t="shared" si="1"/>
        <v>12637057</v>
      </c>
      <c r="X41" s="132"/>
    </row>
    <row r="42" spans="1:24" s="63" customFormat="1" ht="11.75" customHeight="1">
      <c r="A42" s="59" t="s">
        <v>74</v>
      </c>
      <c r="B42" s="59"/>
      <c r="C42" s="59"/>
      <c r="D42" s="64" t="s">
        <v>75</v>
      </c>
      <c r="E42" s="57"/>
      <c r="F42" s="57"/>
      <c r="G42" s="57"/>
      <c r="H42" s="57"/>
      <c r="I42" s="57"/>
      <c r="J42" s="62"/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f t="shared" si="1"/>
        <v>0</v>
      </c>
      <c r="X42" s="135"/>
    </row>
    <row r="43" spans="1:24" s="63" customFormat="1" ht="11.75" customHeight="1">
      <c r="A43" s="59" t="s">
        <v>76</v>
      </c>
      <c r="B43" s="59"/>
      <c r="C43" s="59"/>
      <c r="D43" s="64" t="s">
        <v>77</v>
      </c>
      <c r="E43" s="57"/>
      <c r="F43" s="57"/>
      <c r="G43" s="57"/>
      <c r="H43" s="57"/>
      <c r="I43" s="57"/>
      <c r="J43" s="62"/>
      <c r="K43" s="47">
        <v>963205</v>
      </c>
      <c r="L43" s="47">
        <v>963205</v>
      </c>
      <c r="M43" s="47">
        <v>963205</v>
      </c>
      <c r="N43" s="47">
        <v>963205</v>
      </c>
      <c r="O43" s="47">
        <v>963206</v>
      </c>
      <c r="P43" s="47">
        <v>963205</v>
      </c>
      <c r="Q43" s="47">
        <v>963205</v>
      </c>
      <c r="R43" s="47">
        <v>963205</v>
      </c>
      <c r="S43" s="47">
        <v>963205</v>
      </c>
      <c r="T43" s="47">
        <v>963205</v>
      </c>
      <c r="U43" s="47">
        <v>963205</v>
      </c>
      <c r="V43" s="47">
        <v>963205</v>
      </c>
      <c r="W43" s="47">
        <f t="shared" si="1"/>
        <v>11558461</v>
      </c>
      <c r="X43" s="135"/>
    </row>
    <row r="44" spans="1:24" s="63" customFormat="1" ht="11.75" customHeight="1">
      <c r="A44" s="59" t="s">
        <v>78</v>
      </c>
      <c r="B44" s="59"/>
      <c r="C44" s="59"/>
      <c r="D44" s="64" t="s">
        <v>79</v>
      </c>
      <c r="E44" s="57"/>
      <c r="F44" s="57"/>
      <c r="G44" s="57"/>
      <c r="H44" s="57"/>
      <c r="I44" s="57"/>
      <c r="J44" s="62"/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f t="shared" si="1"/>
        <v>0</v>
      </c>
      <c r="X44" s="135"/>
    </row>
    <row r="45" spans="1:24" s="63" customFormat="1" ht="11.75" customHeight="1">
      <c r="A45" s="59" t="s">
        <v>80</v>
      </c>
      <c r="B45" s="59"/>
      <c r="C45" s="59"/>
      <c r="D45" s="64" t="s">
        <v>81</v>
      </c>
      <c r="E45" s="57"/>
      <c r="F45" s="57"/>
      <c r="G45" s="57"/>
      <c r="H45" s="57"/>
      <c r="I45" s="57"/>
      <c r="J45" s="62"/>
      <c r="K45" s="47">
        <v>36806</v>
      </c>
      <c r="L45" s="47">
        <v>53224</v>
      </c>
      <c r="M45" s="47">
        <v>55135</v>
      </c>
      <c r="N45" s="47">
        <v>57147</v>
      </c>
      <c r="O45" s="47">
        <v>49922</v>
      </c>
      <c r="P45" s="47">
        <v>70961</v>
      </c>
      <c r="Q45" s="47">
        <v>63565</v>
      </c>
      <c r="R45" s="47">
        <v>51674</v>
      </c>
      <c r="S45" s="47">
        <v>458362</v>
      </c>
      <c r="T45" s="47">
        <v>58600</v>
      </c>
      <c r="U45" s="47">
        <v>61600</v>
      </c>
      <c r="V45" s="47">
        <v>61600</v>
      </c>
      <c r="W45" s="47">
        <f t="shared" si="1"/>
        <v>1078596</v>
      </c>
      <c r="X45" s="135"/>
    </row>
    <row r="46" spans="1:24" s="8" customFormat="1" ht="11.75" customHeight="1">
      <c r="A46" s="9" t="s">
        <v>82</v>
      </c>
      <c r="B46" s="9"/>
      <c r="C46" s="13" t="s">
        <v>83</v>
      </c>
      <c r="D46" s="2"/>
      <c r="E46" s="2"/>
      <c r="F46" s="2"/>
      <c r="G46" s="2"/>
      <c r="H46" s="2"/>
      <c r="I46" s="2"/>
      <c r="J46" s="11"/>
      <c r="K46" s="12">
        <f>SUM(K47:K49)</f>
        <v>2947</v>
      </c>
      <c r="L46" s="12">
        <f t="shared" ref="L46:V46" si="9">SUM(L47:L49)</f>
        <v>0</v>
      </c>
      <c r="M46" s="12">
        <f t="shared" si="9"/>
        <v>0</v>
      </c>
      <c r="N46" s="12">
        <f t="shared" si="9"/>
        <v>0</v>
      </c>
      <c r="O46" s="12">
        <f t="shared" si="9"/>
        <v>0</v>
      </c>
      <c r="P46" s="12">
        <f t="shared" si="9"/>
        <v>0</v>
      </c>
      <c r="Q46" s="12">
        <f t="shared" si="9"/>
        <v>0</v>
      </c>
      <c r="R46" s="12">
        <f t="shared" si="9"/>
        <v>0</v>
      </c>
      <c r="S46" s="12">
        <f t="shared" si="9"/>
        <v>0</v>
      </c>
      <c r="T46" s="12">
        <f t="shared" si="9"/>
        <v>0</v>
      </c>
      <c r="U46" s="12">
        <f t="shared" si="9"/>
        <v>0</v>
      </c>
      <c r="V46" s="12">
        <f t="shared" si="9"/>
        <v>0</v>
      </c>
      <c r="W46" s="12">
        <f t="shared" si="1"/>
        <v>2947</v>
      </c>
      <c r="X46" s="132"/>
    </row>
    <row r="47" spans="1:24" s="63" customFormat="1" ht="11.75" customHeight="1">
      <c r="A47" s="59" t="s">
        <v>84</v>
      </c>
      <c r="B47" s="59"/>
      <c r="C47" s="59"/>
      <c r="D47" s="64" t="s">
        <v>85</v>
      </c>
      <c r="E47" s="57"/>
      <c r="F47" s="57"/>
      <c r="G47" s="57"/>
      <c r="H47" s="57"/>
      <c r="I47" s="57"/>
      <c r="J47" s="62"/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  <c r="Q47" s="47">
        <v>0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f t="shared" si="1"/>
        <v>0</v>
      </c>
      <c r="X47" s="135"/>
    </row>
    <row r="48" spans="1:24" s="63" customFormat="1" ht="11.75" customHeight="1">
      <c r="A48" s="59" t="s">
        <v>86</v>
      </c>
      <c r="B48" s="59"/>
      <c r="C48" s="59"/>
      <c r="D48" s="64" t="s">
        <v>87</v>
      </c>
      <c r="E48" s="57"/>
      <c r="F48" s="57"/>
      <c r="G48" s="57"/>
      <c r="H48" s="57"/>
      <c r="I48" s="57"/>
      <c r="J48" s="62"/>
      <c r="K48" s="47">
        <v>0</v>
      </c>
      <c r="L48" s="47">
        <v>0</v>
      </c>
      <c r="M48" s="47">
        <v>0</v>
      </c>
      <c r="N48" s="47">
        <v>0</v>
      </c>
      <c r="O48" s="47">
        <v>0</v>
      </c>
      <c r="P48" s="47">
        <v>0</v>
      </c>
      <c r="Q48" s="47">
        <v>0</v>
      </c>
      <c r="R48" s="47">
        <v>0</v>
      </c>
      <c r="S48" s="47">
        <v>0</v>
      </c>
      <c r="T48" s="47">
        <v>0</v>
      </c>
      <c r="U48" s="47">
        <v>0</v>
      </c>
      <c r="V48" s="47">
        <v>0</v>
      </c>
      <c r="W48" s="47">
        <f t="shared" si="1"/>
        <v>0</v>
      </c>
      <c r="X48" s="135"/>
    </row>
    <row r="49" spans="1:24" s="63" customFormat="1" ht="11.75" customHeight="1">
      <c r="A49" s="59" t="s">
        <v>88</v>
      </c>
      <c r="B49" s="59"/>
      <c r="C49" s="59"/>
      <c r="D49" s="64" t="s">
        <v>89</v>
      </c>
      <c r="E49" s="57"/>
      <c r="F49" s="57"/>
      <c r="G49" s="57"/>
      <c r="H49" s="57"/>
      <c r="I49" s="57"/>
      <c r="J49" s="62"/>
      <c r="K49" s="47">
        <v>2947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f t="shared" si="1"/>
        <v>2947</v>
      </c>
      <c r="X49" s="135"/>
    </row>
    <row r="50" spans="1:24" s="8" customFormat="1" ht="11.75" customHeight="1">
      <c r="A50" s="9" t="s">
        <v>90</v>
      </c>
      <c r="B50" s="9"/>
      <c r="C50" s="13" t="s">
        <v>91</v>
      </c>
      <c r="D50" s="2"/>
      <c r="E50" s="2"/>
      <c r="F50" s="2"/>
      <c r="G50" s="2"/>
      <c r="H50" s="2"/>
      <c r="I50" s="2"/>
      <c r="J50" s="11"/>
      <c r="K50" s="12">
        <f>SUM(K51:K56)</f>
        <v>0</v>
      </c>
      <c r="L50" s="12">
        <f t="shared" ref="L50:V50" si="10">SUM(L51:L56)</f>
        <v>40000</v>
      </c>
      <c r="M50" s="12">
        <f t="shared" si="10"/>
        <v>0</v>
      </c>
      <c r="N50" s="12">
        <f t="shared" si="10"/>
        <v>0</v>
      </c>
      <c r="O50" s="12">
        <f t="shared" si="10"/>
        <v>44600</v>
      </c>
      <c r="P50" s="12">
        <f t="shared" si="10"/>
        <v>0</v>
      </c>
      <c r="Q50" s="12">
        <f t="shared" si="10"/>
        <v>0</v>
      </c>
      <c r="R50" s="12">
        <f t="shared" si="10"/>
        <v>73100</v>
      </c>
      <c r="S50" s="12">
        <f t="shared" si="10"/>
        <v>0</v>
      </c>
      <c r="T50" s="12">
        <f t="shared" si="10"/>
        <v>0</v>
      </c>
      <c r="U50" s="12">
        <f t="shared" si="10"/>
        <v>0</v>
      </c>
      <c r="V50" s="12">
        <f t="shared" si="10"/>
        <v>0</v>
      </c>
      <c r="W50" s="12">
        <f t="shared" si="1"/>
        <v>157700</v>
      </c>
      <c r="X50" s="132"/>
    </row>
    <row r="51" spans="1:24" s="63" customFormat="1" ht="11.75" customHeight="1">
      <c r="A51" s="59" t="s">
        <v>92</v>
      </c>
      <c r="B51" s="59"/>
      <c r="C51" s="59"/>
      <c r="D51" s="64" t="s">
        <v>93</v>
      </c>
      <c r="E51" s="57"/>
      <c r="F51" s="57"/>
      <c r="G51" s="57"/>
      <c r="H51" s="57"/>
      <c r="I51" s="57"/>
      <c r="J51" s="62"/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0</v>
      </c>
      <c r="V51" s="47">
        <v>0</v>
      </c>
      <c r="W51" s="47">
        <f t="shared" si="1"/>
        <v>0</v>
      </c>
      <c r="X51" s="135"/>
    </row>
    <row r="52" spans="1:24" s="63" customFormat="1" ht="11.75" customHeight="1">
      <c r="A52" s="59" t="s">
        <v>94</v>
      </c>
      <c r="B52" s="59"/>
      <c r="C52" s="59"/>
      <c r="D52" s="64" t="s">
        <v>95</v>
      </c>
      <c r="E52" s="57"/>
      <c r="F52" s="57"/>
      <c r="G52" s="57"/>
      <c r="H52" s="57"/>
      <c r="I52" s="57"/>
      <c r="J52" s="62"/>
      <c r="K52" s="47">
        <v>0</v>
      </c>
      <c r="L52" s="47">
        <v>40000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0</v>
      </c>
      <c r="V52" s="47">
        <v>0</v>
      </c>
      <c r="W52" s="47">
        <f t="shared" si="1"/>
        <v>40000</v>
      </c>
      <c r="X52" s="135"/>
    </row>
    <row r="53" spans="1:24" s="63" customFormat="1" ht="11.75" customHeight="1">
      <c r="A53" s="59" t="s">
        <v>96</v>
      </c>
      <c r="B53" s="59"/>
      <c r="C53" s="59"/>
      <c r="D53" s="64" t="s">
        <v>97</v>
      </c>
      <c r="E53" s="57"/>
      <c r="F53" s="57"/>
      <c r="G53" s="57"/>
      <c r="H53" s="57"/>
      <c r="I53" s="57"/>
      <c r="J53" s="62"/>
      <c r="K53" s="47">
        <v>0</v>
      </c>
      <c r="L53" s="47">
        <v>0</v>
      </c>
      <c r="M53" s="47">
        <v>0</v>
      </c>
      <c r="N53" s="47">
        <v>0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0</v>
      </c>
      <c r="V53" s="47">
        <v>0</v>
      </c>
      <c r="W53" s="47">
        <f t="shared" si="1"/>
        <v>0</v>
      </c>
      <c r="X53" s="135"/>
    </row>
    <row r="54" spans="1:24" s="63" customFormat="1" ht="11.75" customHeight="1">
      <c r="A54" s="59" t="s">
        <v>98</v>
      </c>
      <c r="B54" s="59"/>
      <c r="C54" s="59"/>
      <c r="D54" s="64" t="s">
        <v>99</v>
      </c>
      <c r="E54" s="57"/>
      <c r="F54" s="57"/>
      <c r="G54" s="57"/>
      <c r="H54" s="57"/>
      <c r="I54" s="57"/>
      <c r="J54" s="62"/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0</v>
      </c>
      <c r="W54" s="47">
        <f t="shared" si="1"/>
        <v>0</v>
      </c>
      <c r="X54" s="135"/>
    </row>
    <row r="55" spans="1:24" s="63" customFormat="1" ht="11.75" customHeight="1">
      <c r="A55" s="59" t="s">
        <v>100</v>
      </c>
      <c r="B55" s="59"/>
      <c r="C55" s="59"/>
      <c r="D55" s="64" t="s">
        <v>101</v>
      </c>
      <c r="E55" s="57"/>
      <c r="F55" s="57"/>
      <c r="G55" s="57"/>
      <c r="H55" s="57"/>
      <c r="I55" s="57"/>
      <c r="J55" s="62"/>
      <c r="K55" s="47">
        <v>0</v>
      </c>
      <c r="L55" s="47">
        <v>0</v>
      </c>
      <c r="M55" s="47">
        <v>0</v>
      </c>
      <c r="N55" s="47">
        <v>0</v>
      </c>
      <c r="O55" s="47">
        <v>44600</v>
      </c>
      <c r="P55" s="47">
        <v>0</v>
      </c>
      <c r="Q55" s="47">
        <v>0</v>
      </c>
      <c r="R55" s="47">
        <v>73100</v>
      </c>
      <c r="S55" s="47">
        <v>0</v>
      </c>
      <c r="T55" s="47">
        <v>0</v>
      </c>
      <c r="U55" s="47">
        <v>0</v>
      </c>
      <c r="V55" s="47">
        <v>0</v>
      </c>
      <c r="W55" s="47">
        <f t="shared" si="1"/>
        <v>117700</v>
      </c>
      <c r="X55" s="135"/>
    </row>
    <row r="56" spans="1:24" s="63" customFormat="1" ht="11.75" customHeight="1">
      <c r="A56" s="59" t="s">
        <v>102</v>
      </c>
      <c r="B56" s="59"/>
      <c r="C56" s="59"/>
      <c r="D56" s="64" t="s">
        <v>103</v>
      </c>
      <c r="E56" s="57"/>
      <c r="F56" s="57"/>
      <c r="G56" s="57"/>
      <c r="H56" s="57"/>
      <c r="I56" s="57"/>
      <c r="J56" s="62"/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</v>
      </c>
      <c r="V56" s="47">
        <v>0</v>
      </c>
      <c r="W56" s="47">
        <f t="shared" si="1"/>
        <v>0</v>
      </c>
      <c r="X56" s="135"/>
    </row>
    <row r="57" spans="1:24" s="63" customFormat="1" ht="11.75" customHeight="1">
      <c r="A57" s="59" t="s">
        <v>104</v>
      </c>
      <c r="B57" s="59"/>
      <c r="C57" s="64" t="s">
        <v>105</v>
      </c>
      <c r="D57" s="57"/>
      <c r="E57" s="57"/>
      <c r="F57" s="57"/>
      <c r="G57" s="57"/>
      <c r="H57" s="57"/>
      <c r="I57" s="57"/>
      <c r="J57" s="62"/>
      <c r="K57" s="47">
        <v>0</v>
      </c>
      <c r="L57" s="47">
        <v>0</v>
      </c>
      <c r="M57" s="47">
        <v>0</v>
      </c>
      <c r="N57" s="47">
        <v>0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f t="shared" si="1"/>
        <v>0</v>
      </c>
      <c r="X57" s="135"/>
    </row>
    <row r="58" spans="1:24" s="8" customFormat="1" ht="11.75" customHeight="1">
      <c r="A58" s="9" t="s">
        <v>106</v>
      </c>
      <c r="B58" s="9"/>
      <c r="C58" s="13" t="s">
        <v>107</v>
      </c>
      <c r="D58" s="2"/>
      <c r="E58" s="2"/>
      <c r="F58" s="2"/>
      <c r="G58" s="2"/>
      <c r="H58" s="2"/>
      <c r="I58" s="2"/>
      <c r="J58" s="11"/>
      <c r="K58" s="12">
        <f>SUM(K59:K60)</f>
        <v>12200</v>
      </c>
      <c r="L58" s="12">
        <f t="shared" ref="L58:V58" si="11">SUM(L59:L60)</f>
        <v>6500</v>
      </c>
      <c r="M58" s="12">
        <f t="shared" si="11"/>
        <v>0</v>
      </c>
      <c r="N58" s="12">
        <f t="shared" si="11"/>
        <v>0</v>
      </c>
      <c r="O58" s="12">
        <f t="shared" si="11"/>
        <v>16520</v>
      </c>
      <c r="P58" s="12">
        <f t="shared" si="11"/>
        <v>0</v>
      </c>
      <c r="Q58" s="12">
        <f t="shared" si="11"/>
        <v>5000</v>
      </c>
      <c r="R58" s="12">
        <f t="shared" si="11"/>
        <v>0</v>
      </c>
      <c r="S58" s="12">
        <f t="shared" si="11"/>
        <v>0</v>
      </c>
      <c r="T58" s="12">
        <f t="shared" si="11"/>
        <v>0</v>
      </c>
      <c r="U58" s="12">
        <f t="shared" si="11"/>
        <v>0</v>
      </c>
      <c r="V58" s="12">
        <f t="shared" si="11"/>
        <v>0</v>
      </c>
      <c r="W58" s="12">
        <f t="shared" si="1"/>
        <v>40220</v>
      </c>
      <c r="X58" s="132"/>
    </row>
    <row r="59" spans="1:24" s="63" customFormat="1" ht="11.75" customHeight="1">
      <c r="A59" s="59" t="s">
        <v>108</v>
      </c>
      <c r="B59" s="59"/>
      <c r="C59" s="59"/>
      <c r="D59" s="64" t="s">
        <v>107</v>
      </c>
      <c r="E59" s="57"/>
      <c r="F59" s="57"/>
      <c r="G59" s="57"/>
      <c r="H59" s="57"/>
      <c r="I59" s="57"/>
      <c r="J59" s="62"/>
      <c r="K59" s="47">
        <v>12200</v>
      </c>
      <c r="L59" s="47">
        <v>6500</v>
      </c>
      <c r="M59" s="47">
        <v>0</v>
      </c>
      <c r="N59" s="47">
        <v>0</v>
      </c>
      <c r="O59" s="47">
        <v>16520</v>
      </c>
      <c r="P59" s="47">
        <v>0</v>
      </c>
      <c r="Q59" s="47">
        <v>5000</v>
      </c>
      <c r="R59" s="47">
        <v>0</v>
      </c>
      <c r="S59" s="47">
        <v>0</v>
      </c>
      <c r="T59" s="47">
        <v>0</v>
      </c>
      <c r="U59" s="47">
        <v>0</v>
      </c>
      <c r="V59" s="47">
        <v>0</v>
      </c>
      <c r="W59" s="47">
        <f t="shared" si="1"/>
        <v>40220</v>
      </c>
      <c r="X59" s="135"/>
    </row>
    <row r="60" spans="1:24" s="63" customFormat="1" ht="11.75" customHeight="1">
      <c r="A60" s="59" t="s">
        <v>109</v>
      </c>
      <c r="B60" s="59"/>
      <c r="C60" s="59"/>
      <c r="D60" s="64" t="s">
        <v>110</v>
      </c>
      <c r="E60" s="57"/>
      <c r="F60" s="57"/>
      <c r="G60" s="57"/>
      <c r="H60" s="57"/>
      <c r="I60" s="57"/>
      <c r="J60" s="62"/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0</v>
      </c>
      <c r="V60" s="47">
        <v>0</v>
      </c>
      <c r="W60" s="47">
        <f t="shared" si="1"/>
        <v>0</v>
      </c>
      <c r="X60" s="135"/>
    </row>
    <row r="61" spans="1:24" s="63" customFormat="1" ht="11.75" customHeight="1">
      <c r="A61" s="59" t="s">
        <v>111</v>
      </c>
      <c r="B61" s="59"/>
      <c r="C61" s="64" t="s">
        <v>112</v>
      </c>
      <c r="D61" s="57"/>
      <c r="E61" s="57"/>
      <c r="F61" s="57"/>
      <c r="G61" s="57"/>
      <c r="H61" s="57"/>
      <c r="I61" s="57"/>
      <c r="J61" s="62"/>
      <c r="K61" s="47">
        <v>28400</v>
      </c>
      <c r="L61" s="47">
        <v>45917</v>
      </c>
      <c r="M61" s="47">
        <v>76909</v>
      </c>
      <c r="N61" s="47">
        <v>30164</v>
      </c>
      <c r="O61" s="47">
        <v>37635</v>
      </c>
      <c r="P61" s="47">
        <v>50300</v>
      </c>
      <c r="Q61" s="47">
        <v>32639</v>
      </c>
      <c r="R61" s="47">
        <v>44188</v>
      </c>
      <c r="S61" s="47">
        <v>75005</v>
      </c>
      <c r="T61" s="47">
        <v>40000</v>
      </c>
      <c r="U61" s="47">
        <v>30000</v>
      </c>
      <c r="V61" s="47">
        <v>30000</v>
      </c>
      <c r="W61" s="47">
        <f t="shared" si="1"/>
        <v>521157</v>
      </c>
      <c r="X61" s="135"/>
    </row>
    <row r="62" spans="1:24" s="63" customFormat="1" ht="11.75" customHeight="1">
      <c r="A62" s="59" t="s">
        <v>113</v>
      </c>
      <c r="B62" s="59"/>
      <c r="C62" s="64" t="s">
        <v>114</v>
      </c>
      <c r="D62" s="57"/>
      <c r="E62" s="57"/>
      <c r="F62" s="57"/>
      <c r="G62" s="57"/>
      <c r="H62" s="57"/>
      <c r="I62" s="57"/>
      <c r="J62" s="62"/>
      <c r="K62" s="47">
        <v>0</v>
      </c>
      <c r="L62" s="47">
        <v>0</v>
      </c>
      <c r="M62" s="47">
        <v>0</v>
      </c>
      <c r="N62" s="47">
        <v>0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  <c r="W62" s="47">
        <f t="shared" si="1"/>
        <v>0</v>
      </c>
      <c r="X62" s="135"/>
    </row>
    <row r="63" spans="1:24" s="63" customFormat="1" ht="11.75" customHeight="1">
      <c r="A63" s="59" t="s">
        <v>115</v>
      </c>
      <c r="B63" s="59"/>
      <c r="C63" s="64" t="s">
        <v>116</v>
      </c>
      <c r="D63" s="57"/>
      <c r="E63" s="57"/>
      <c r="F63" s="57"/>
      <c r="G63" s="57"/>
      <c r="H63" s="57"/>
      <c r="I63" s="57"/>
      <c r="J63" s="62"/>
      <c r="K63" s="47">
        <v>0</v>
      </c>
      <c r="L63" s="47">
        <v>0</v>
      </c>
      <c r="M63" s="47">
        <v>0</v>
      </c>
      <c r="N63" s="47">
        <v>10300</v>
      </c>
      <c r="O63" s="47">
        <v>4000</v>
      </c>
      <c r="P63" s="47">
        <v>1000</v>
      </c>
      <c r="Q63" s="47">
        <v>2000</v>
      </c>
      <c r="R63" s="47">
        <v>0</v>
      </c>
      <c r="S63" s="47">
        <v>0</v>
      </c>
      <c r="T63" s="47">
        <v>1000</v>
      </c>
      <c r="U63" s="47">
        <v>0</v>
      </c>
      <c r="V63" s="47">
        <v>0</v>
      </c>
      <c r="W63" s="47">
        <f t="shared" si="1"/>
        <v>18300</v>
      </c>
      <c r="X63" s="135"/>
    </row>
    <row r="64" spans="1:24" s="63" customFormat="1" ht="11.75" customHeight="1">
      <c r="A64" s="59" t="s">
        <v>117</v>
      </c>
      <c r="B64" s="59"/>
      <c r="C64" s="64" t="s">
        <v>118</v>
      </c>
      <c r="D64" s="57"/>
      <c r="E64" s="57"/>
      <c r="F64" s="57"/>
      <c r="G64" s="57"/>
      <c r="H64" s="57"/>
      <c r="I64" s="57"/>
      <c r="J64" s="62"/>
      <c r="K64" s="47">
        <v>0</v>
      </c>
      <c r="L64" s="47">
        <v>0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15000</v>
      </c>
      <c r="T64" s="47">
        <v>0</v>
      </c>
      <c r="U64" s="47">
        <v>0</v>
      </c>
      <c r="V64" s="47">
        <v>50000</v>
      </c>
      <c r="W64" s="47">
        <f t="shared" si="1"/>
        <v>65000</v>
      </c>
      <c r="X64" s="135"/>
    </row>
    <row r="65" spans="1:24" s="63" customFormat="1" ht="11.75" customHeight="1">
      <c r="A65" s="59" t="s">
        <v>119</v>
      </c>
      <c r="B65" s="59"/>
      <c r="C65" s="64" t="s">
        <v>120</v>
      </c>
      <c r="D65" s="57"/>
      <c r="E65" s="57"/>
      <c r="F65" s="57"/>
      <c r="G65" s="57"/>
      <c r="H65" s="57"/>
      <c r="I65" s="57"/>
      <c r="J65" s="62"/>
      <c r="K65" s="47">
        <v>438370</v>
      </c>
      <c r="L65" s="47">
        <v>375036</v>
      </c>
      <c r="M65" s="47">
        <v>415580</v>
      </c>
      <c r="N65" s="47">
        <v>507201</v>
      </c>
      <c r="O65" s="47">
        <v>489053</v>
      </c>
      <c r="P65" s="47">
        <v>430012</v>
      </c>
      <c r="Q65" s="47">
        <v>468167</v>
      </c>
      <c r="R65" s="47">
        <v>1020199</v>
      </c>
      <c r="S65" s="47">
        <v>497348</v>
      </c>
      <c r="T65" s="47">
        <v>588719</v>
      </c>
      <c r="U65" s="47">
        <v>636719</v>
      </c>
      <c r="V65" s="47">
        <v>588719</v>
      </c>
      <c r="W65" s="47">
        <f t="shared" si="1"/>
        <v>6455123</v>
      </c>
      <c r="X65" s="135"/>
    </row>
    <row r="66" spans="1:24" s="63" customFormat="1" ht="11.75" customHeight="1">
      <c r="A66" s="59" t="s">
        <v>121</v>
      </c>
      <c r="B66" s="59"/>
      <c r="C66" s="64" t="s">
        <v>122</v>
      </c>
      <c r="D66" s="57"/>
      <c r="E66" s="57"/>
      <c r="F66" s="57"/>
      <c r="G66" s="57"/>
      <c r="H66" s="57"/>
      <c r="I66" s="57"/>
      <c r="J66" s="62"/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f t="shared" si="1"/>
        <v>0</v>
      </c>
      <c r="X66" s="135"/>
    </row>
    <row r="67" spans="1:24" s="8" customFormat="1" ht="11.75" customHeight="1">
      <c r="A67" s="9" t="s">
        <v>123</v>
      </c>
      <c r="B67" s="9"/>
      <c r="C67" s="13" t="s">
        <v>124</v>
      </c>
      <c r="D67" s="2"/>
      <c r="E67" s="2"/>
      <c r="F67" s="2"/>
      <c r="G67" s="2"/>
      <c r="H67" s="2"/>
      <c r="I67" s="2"/>
      <c r="J67" s="11"/>
      <c r="K67" s="12">
        <f>SUM(K68:K69)</f>
        <v>291026</v>
      </c>
      <c r="L67" s="12">
        <f t="shared" ref="L67:V67" si="12">SUM(L68:L69)</f>
        <v>256690</v>
      </c>
      <c r="M67" s="12">
        <f t="shared" si="12"/>
        <v>322609</v>
      </c>
      <c r="N67" s="12">
        <f t="shared" si="12"/>
        <v>327388</v>
      </c>
      <c r="O67" s="12">
        <f t="shared" si="12"/>
        <v>397236</v>
      </c>
      <c r="P67" s="12">
        <f t="shared" si="12"/>
        <v>322638</v>
      </c>
      <c r="Q67" s="12">
        <f t="shared" si="12"/>
        <v>307644</v>
      </c>
      <c r="R67" s="12">
        <f t="shared" si="12"/>
        <v>360376</v>
      </c>
      <c r="S67" s="12">
        <f t="shared" si="12"/>
        <v>370614</v>
      </c>
      <c r="T67" s="12">
        <f t="shared" si="12"/>
        <v>285000</v>
      </c>
      <c r="U67" s="12">
        <f t="shared" si="12"/>
        <v>285000</v>
      </c>
      <c r="V67" s="12">
        <f t="shared" si="12"/>
        <v>385000</v>
      </c>
      <c r="W67" s="12">
        <f t="shared" si="1"/>
        <v>3911221</v>
      </c>
      <c r="X67" s="132"/>
    </row>
    <row r="68" spans="1:24" s="63" customFormat="1" ht="11.75" customHeight="1">
      <c r="A68" s="59" t="s">
        <v>125</v>
      </c>
      <c r="B68" s="59"/>
      <c r="C68" s="59"/>
      <c r="D68" s="64" t="s">
        <v>124</v>
      </c>
      <c r="E68" s="57"/>
      <c r="F68" s="57"/>
      <c r="G68" s="57"/>
      <c r="H68" s="57"/>
      <c r="I68" s="57"/>
      <c r="J68" s="62"/>
      <c r="K68" s="47">
        <v>291026</v>
      </c>
      <c r="L68" s="47">
        <v>256690</v>
      </c>
      <c r="M68" s="47">
        <v>322609</v>
      </c>
      <c r="N68" s="47">
        <v>327388</v>
      </c>
      <c r="O68" s="47">
        <v>397236</v>
      </c>
      <c r="P68" s="47">
        <v>322638</v>
      </c>
      <c r="Q68" s="47">
        <v>307644</v>
      </c>
      <c r="R68" s="47">
        <v>360376</v>
      </c>
      <c r="S68" s="47">
        <v>370614</v>
      </c>
      <c r="T68" s="47">
        <v>285000</v>
      </c>
      <c r="U68" s="47">
        <v>285000</v>
      </c>
      <c r="V68" s="47">
        <v>385000</v>
      </c>
      <c r="W68" s="47">
        <f t="shared" si="1"/>
        <v>3911221</v>
      </c>
      <c r="X68" s="135"/>
    </row>
    <row r="69" spans="1:24" s="63" customFormat="1" ht="11.75" customHeight="1">
      <c r="A69" s="59" t="s">
        <v>126</v>
      </c>
      <c r="B69" s="59"/>
      <c r="C69" s="59"/>
      <c r="D69" s="64" t="s">
        <v>127</v>
      </c>
      <c r="E69" s="57"/>
      <c r="F69" s="57"/>
      <c r="G69" s="57"/>
      <c r="H69" s="57"/>
      <c r="I69" s="57"/>
      <c r="J69" s="62"/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f t="shared" si="1"/>
        <v>0</v>
      </c>
      <c r="X69" s="135"/>
    </row>
    <row r="70" spans="1:24" s="63" customFormat="1" ht="11.75" customHeight="1">
      <c r="A70" s="59" t="s">
        <v>128</v>
      </c>
      <c r="B70" s="59"/>
      <c r="C70" s="64" t="s">
        <v>129</v>
      </c>
      <c r="D70" s="57"/>
      <c r="E70" s="57"/>
      <c r="F70" s="57"/>
      <c r="G70" s="57"/>
      <c r="H70" s="57"/>
      <c r="I70" s="57"/>
      <c r="J70" s="62"/>
      <c r="K70" s="47">
        <v>22705</v>
      </c>
      <c r="L70" s="47">
        <v>43179</v>
      </c>
      <c r="M70" s="47">
        <v>41736</v>
      </c>
      <c r="N70" s="47">
        <v>43653</v>
      </c>
      <c r="O70" s="47">
        <v>52710</v>
      </c>
      <c r="P70" s="47">
        <v>83664</v>
      </c>
      <c r="Q70" s="47">
        <v>54857</v>
      </c>
      <c r="R70" s="47">
        <v>2730</v>
      </c>
      <c r="S70" s="47">
        <v>16678</v>
      </c>
      <c r="T70" s="47">
        <v>55000</v>
      </c>
      <c r="U70" s="47">
        <v>55000</v>
      </c>
      <c r="V70" s="47">
        <v>55000</v>
      </c>
      <c r="W70" s="47">
        <f t="shared" si="1"/>
        <v>526912</v>
      </c>
      <c r="X70" s="135"/>
    </row>
    <row r="71" spans="1:24" s="63" customFormat="1" ht="11.75" customHeight="1">
      <c r="A71" s="59" t="s">
        <v>130</v>
      </c>
      <c r="B71" s="59"/>
      <c r="C71" s="64" t="s">
        <v>131</v>
      </c>
      <c r="D71" s="57"/>
      <c r="E71" s="57"/>
      <c r="F71" s="57"/>
      <c r="G71" s="57"/>
      <c r="H71" s="57"/>
      <c r="I71" s="57"/>
      <c r="J71" s="62"/>
      <c r="K71" s="47">
        <v>14709</v>
      </c>
      <c r="L71" s="47">
        <v>73380</v>
      </c>
      <c r="M71" s="47">
        <v>16620</v>
      </c>
      <c r="N71" s="47">
        <v>22233</v>
      </c>
      <c r="O71" s="47">
        <v>28653</v>
      </c>
      <c r="P71" s="47">
        <v>148841</v>
      </c>
      <c r="Q71" s="47">
        <v>59481</v>
      </c>
      <c r="R71" s="47">
        <v>60672</v>
      </c>
      <c r="S71" s="47">
        <v>74285</v>
      </c>
      <c r="T71" s="47">
        <v>36564</v>
      </c>
      <c r="U71" s="47">
        <v>36564</v>
      </c>
      <c r="V71" s="47">
        <v>36564</v>
      </c>
      <c r="W71" s="47">
        <f t="shared" ref="W71:W118" si="13">SUM(K71:V71)</f>
        <v>608566</v>
      </c>
      <c r="X71" s="135"/>
    </row>
    <row r="72" spans="1:24" s="8" customFormat="1" ht="11.75" customHeight="1">
      <c r="A72" s="9" t="s">
        <v>132</v>
      </c>
      <c r="B72" s="9"/>
      <c r="C72" s="13" t="s">
        <v>133</v>
      </c>
      <c r="D72" s="2"/>
      <c r="E72" s="2"/>
      <c r="F72" s="2"/>
      <c r="G72" s="2"/>
      <c r="H72" s="2"/>
      <c r="I72" s="2"/>
      <c r="J72" s="11"/>
      <c r="K72" s="12">
        <f>SUM(K73:K77)</f>
        <v>0</v>
      </c>
      <c r="L72" s="12">
        <f t="shared" ref="L72:V72" si="14">SUM(L73:L77)</f>
        <v>376271</v>
      </c>
      <c r="M72" s="12">
        <f t="shared" si="14"/>
        <v>486158</v>
      </c>
      <c r="N72" s="12">
        <f t="shared" si="14"/>
        <v>524847</v>
      </c>
      <c r="O72" s="12">
        <f t="shared" si="14"/>
        <v>584594</v>
      </c>
      <c r="P72" s="12">
        <f t="shared" si="14"/>
        <v>545179</v>
      </c>
      <c r="Q72" s="12">
        <f t="shared" si="14"/>
        <v>494207</v>
      </c>
      <c r="R72" s="12">
        <f t="shared" si="14"/>
        <v>484096</v>
      </c>
      <c r="S72" s="12">
        <f t="shared" si="14"/>
        <v>449949</v>
      </c>
      <c r="T72" s="12">
        <f t="shared" si="14"/>
        <v>463000</v>
      </c>
      <c r="U72" s="12">
        <f t="shared" si="14"/>
        <v>463000</v>
      </c>
      <c r="V72" s="12">
        <f t="shared" si="14"/>
        <v>463000</v>
      </c>
      <c r="W72" s="12">
        <f t="shared" si="13"/>
        <v>5334301</v>
      </c>
      <c r="X72" s="132"/>
    </row>
    <row r="73" spans="1:24" s="63" customFormat="1" ht="11.75" customHeight="1">
      <c r="A73" s="59" t="s">
        <v>134</v>
      </c>
      <c r="B73" s="59"/>
      <c r="C73" s="59"/>
      <c r="D73" s="64" t="s">
        <v>135</v>
      </c>
      <c r="E73" s="57"/>
      <c r="F73" s="57"/>
      <c r="G73" s="57"/>
      <c r="H73" s="57"/>
      <c r="I73" s="57"/>
      <c r="J73" s="62"/>
      <c r="K73" s="47">
        <v>0</v>
      </c>
      <c r="L73" s="47">
        <v>282249</v>
      </c>
      <c r="M73" s="47">
        <v>312313</v>
      </c>
      <c r="N73" s="47">
        <v>364584</v>
      </c>
      <c r="O73" s="47">
        <v>430254</v>
      </c>
      <c r="P73" s="47">
        <v>400126</v>
      </c>
      <c r="Q73" s="47">
        <v>359206</v>
      </c>
      <c r="R73" s="47">
        <v>346798</v>
      </c>
      <c r="S73" s="47">
        <v>289674</v>
      </c>
      <c r="T73" s="47">
        <v>300000</v>
      </c>
      <c r="U73" s="47">
        <v>300000</v>
      </c>
      <c r="V73" s="47">
        <v>300000</v>
      </c>
      <c r="W73" s="47">
        <f t="shared" si="13"/>
        <v>3685204</v>
      </c>
      <c r="X73" s="135"/>
    </row>
    <row r="74" spans="1:24" s="63" customFormat="1" ht="11.75" customHeight="1">
      <c r="A74" s="59" t="s">
        <v>136</v>
      </c>
      <c r="B74" s="59"/>
      <c r="C74" s="59"/>
      <c r="D74" s="64" t="s">
        <v>137</v>
      </c>
      <c r="E74" s="57"/>
      <c r="F74" s="57"/>
      <c r="G74" s="57"/>
      <c r="H74" s="57"/>
      <c r="I74" s="57"/>
      <c r="J74" s="62"/>
      <c r="K74" s="47">
        <v>0</v>
      </c>
      <c r="L74" s="47">
        <v>3100</v>
      </c>
      <c r="M74" s="47">
        <v>61832</v>
      </c>
      <c r="N74" s="47">
        <v>63520</v>
      </c>
      <c r="O74" s="47">
        <v>62540</v>
      </c>
      <c r="P74" s="47">
        <v>63030</v>
      </c>
      <c r="Q74" s="47">
        <v>61360</v>
      </c>
      <c r="R74" s="47">
        <v>62068</v>
      </c>
      <c r="S74" s="47">
        <v>70870</v>
      </c>
      <c r="T74" s="47">
        <v>63000</v>
      </c>
      <c r="U74" s="47">
        <v>63000</v>
      </c>
      <c r="V74" s="47">
        <v>63000</v>
      </c>
      <c r="W74" s="47">
        <f t="shared" si="13"/>
        <v>637320</v>
      </c>
      <c r="X74" s="135"/>
    </row>
    <row r="75" spans="1:24" s="63" customFormat="1" ht="11.75" customHeight="1">
      <c r="A75" s="59" t="s">
        <v>138</v>
      </c>
      <c r="B75" s="59"/>
      <c r="C75" s="59"/>
      <c r="D75" s="64" t="s">
        <v>139</v>
      </c>
      <c r="E75" s="57"/>
      <c r="F75" s="57"/>
      <c r="G75" s="57"/>
      <c r="H75" s="57"/>
      <c r="I75" s="57"/>
      <c r="J75" s="62"/>
      <c r="K75" s="47">
        <v>0</v>
      </c>
      <c r="L75" s="47">
        <v>90922</v>
      </c>
      <c r="M75" s="47">
        <v>112013</v>
      </c>
      <c r="N75" s="47">
        <v>96743</v>
      </c>
      <c r="O75" s="47">
        <v>91800</v>
      </c>
      <c r="P75" s="47">
        <v>82023</v>
      </c>
      <c r="Q75" s="47">
        <v>73641</v>
      </c>
      <c r="R75" s="47">
        <v>75230</v>
      </c>
      <c r="S75" s="47">
        <v>89405</v>
      </c>
      <c r="T75" s="47">
        <v>100000</v>
      </c>
      <c r="U75" s="47">
        <v>100000</v>
      </c>
      <c r="V75" s="47">
        <v>100000</v>
      </c>
      <c r="W75" s="47">
        <f t="shared" si="13"/>
        <v>1011777</v>
      </c>
      <c r="X75" s="135"/>
    </row>
    <row r="76" spans="1:24" s="63" customFormat="1" ht="11.75" customHeight="1">
      <c r="A76" s="59" t="s">
        <v>140</v>
      </c>
      <c r="B76" s="59"/>
      <c r="C76" s="59"/>
      <c r="D76" s="64" t="s">
        <v>141</v>
      </c>
      <c r="E76" s="57"/>
      <c r="F76" s="57"/>
      <c r="G76" s="57"/>
      <c r="H76" s="57"/>
      <c r="I76" s="57"/>
      <c r="J76" s="62"/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f t="shared" si="13"/>
        <v>0</v>
      </c>
      <c r="X76" s="135"/>
    </row>
    <row r="77" spans="1:24" s="63" customFormat="1" ht="11.75" customHeight="1">
      <c r="A77" s="59" t="s">
        <v>142</v>
      </c>
      <c r="B77" s="59"/>
      <c r="C77" s="59"/>
      <c r="D77" s="64" t="s">
        <v>143</v>
      </c>
      <c r="E77" s="57"/>
      <c r="F77" s="57"/>
      <c r="G77" s="57"/>
      <c r="H77" s="57"/>
      <c r="I77" s="57"/>
      <c r="J77" s="62"/>
      <c r="K77" s="47">
        <v>0</v>
      </c>
      <c r="L77" s="47">
        <v>0</v>
      </c>
      <c r="M77" s="47">
        <v>0</v>
      </c>
      <c r="N77" s="47">
        <v>0</v>
      </c>
      <c r="O77" s="47">
        <v>0</v>
      </c>
      <c r="P77" s="47">
        <v>0</v>
      </c>
      <c r="Q77" s="47">
        <v>0</v>
      </c>
      <c r="R77" s="47">
        <v>0</v>
      </c>
      <c r="S77" s="47">
        <v>0</v>
      </c>
      <c r="T77" s="47">
        <v>0</v>
      </c>
      <c r="U77" s="47">
        <v>0</v>
      </c>
      <c r="V77" s="47">
        <v>0</v>
      </c>
      <c r="W77" s="47">
        <f t="shared" si="13"/>
        <v>0</v>
      </c>
      <c r="X77" s="135"/>
    </row>
    <row r="78" spans="1:24" s="63" customFormat="1" ht="11.75" customHeight="1">
      <c r="A78" s="59" t="s">
        <v>144</v>
      </c>
      <c r="B78" s="59"/>
      <c r="C78" s="64" t="s">
        <v>145</v>
      </c>
      <c r="D78" s="57"/>
      <c r="E78" s="57"/>
      <c r="F78" s="57"/>
      <c r="G78" s="57"/>
      <c r="H78" s="57"/>
      <c r="I78" s="57"/>
      <c r="J78" s="62"/>
      <c r="K78" s="47">
        <v>1476</v>
      </c>
      <c r="L78" s="47">
        <v>2224</v>
      </c>
      <c r="M78" s="47">
        <v>2219</v>
      </c>
      <c r="N78" s="47">
        <v>2548</v>
      </c>
      <c r="O78" s="47">
        <v>1870</v>
      </c>
      <c r="P78" s="47">
        <v>2937</v>
      </c>
      <c r="Q78" s="47">
        <v>3331</v>
      </c>
      <c r="R78" s="47">
        <v>1910</v>
      </c>
      <c r="S78" s="47">
        <v>4074</v>
      </c>
      <c r="T78" s="47">
        <v>2500</v>
      </c>
      <c r="U78" s="47">
        <v>2500</v>
      </c>
      <c r="V78" s="47">
        <v>2500</v>
      </c>
      <c r="W78" s="47">
        <f t="shared" si="13"/>
        <v>30089</v>
      </c>
      <c r="X78" s="135"/>
    </row>
    <row r="79" spans="1:24" s="63" customFormat="1" ht="11.75" customHeight="1">
      <c r="A79" s="59" t="s">
        <v>146</v>
      </c>
      <c r="B79" s="59"/>
      <c r="C79" s="64" t="s">
        <v>147</v>
      </c>
      <c r="D79" s="57"/>
      <c r="E79" s="57"/>
      <c r="F79" s="57"/>
      <c r="G79" s="57"/>
      <c r="H79" s="57"/>
      <c r="I79" s="57"/>
      <c r="J79" s="62"/>
      <c r="K79" s="47">
        <v>180800</v>
      </c>
      <c r="L79" s="47">
        <v>50000</v>
      </c>
      <c r="M79" s="47">
        <v>50000</v>
      </c>
      <c r="N79" s="47">
        <v>25000</v>
      </c>
      <c r="O79" s="47">
        <v>25000</v>
      </c>
      <c r="P79" s="47">
        <v>215000</v>
      </c>
      <c r="Q79" s="47">
        <v>25000</v>
      </c>
      <c r="R79" s="47">
        <v>225000</v>
      </c>
      <c r="S79" s="47">
        <v>25000</v>
      </c>
      <c r="T79" s="47">
        <v>80000</v>
      </c>
      <c r="U79" s="47">
        <v>50000</v>
      </c>
      <c r="V79" s="47">
        <v>320000</v>
      </c>
      <c r="W79" s="47">
        <f t="shared" si="13"/>
        <v>1270800</v>
      </c>
      <c r="X79" s="135"/>
    </row>
    <row r="80" spans="1:24" s="8" customFormat="1" ht="11.75" customHeight="1">
      <c r="A80" s="9" t="s">
        <v>148</v>
      </c>
      <c r="B80" s="9"/>
      <c r="C80" s="13" t="s">
        <v>149</v>
      </c>
      <c r="D80" s="2"/>
      <c r="E80" s="2"/>
      <c r="F80" s="2"/>
      <c r="G80" s="2"/>
      <c r="H80" s="2"/>
      <c r="I80" s="2"/>
      <c r="J80" s="11"/>
      <c r="K80" s="12">
        <f>SUM(K81:K82)</f>
        <v>0</v>
      </c>
      <c r="L80" s="12">
        <f t="shared" ref="L80:V80" si="15">SUM(L81:L82)</f>
        <v>0</v>
      </c>
      <c r="M80" s="12">
        <f t="shared" si="15"/>
        <v>0</v>
      </c>
      <c r="N80" s="12">
        <f t="shared" si="15"/>
        <v>0</v>
      </c>
      <c r="O80" s="12">
        <f t="shared" si="15"/>
        <v>0</v>
      </c>
      <c r="P80" s="12">
        <f t="shared" si="15"/>
        <v>0</v>
      </c>
      <c r="Q80" s="12">
        <f t="shared" si="15"/>
        <v>0</v>
      </c>
      <c r="R80" s="12">
        <f t="shared" si="15"/>
        <v>0</v>
      </c>
      <c r="S80" s="12">
        <f t="shared" si="15"/>
        <v>0</v>
      </c>
      <c r="T80" s="12">
        <f t="shared" si="15"/>
        <v>0</v>
      </c>
      <c r="U80" s="12">
        <f t="shared" si="15"/>
        <v>0</v>
      </c>
      <c r="V80" s="12">
        <f t="shared" si="15"/>
        <v>0</v>
      </c>
      <c r="W80" s="12">
        <f t="shared" si="13"/>
        <v>0</v>
      </c>
      <c r="X80" s="132"/>
    </row>
    <row r="81" spans="1:24" s="63" customFormat="1" ht="11.75" customHeight="1">
      <c r="A81" s="59" t="s">
        <v>150</v>
      </c>
      <c r="B81" s="59"/>
      <c r="C81" s="59"/>
      <c r="D81" s="64" t="s">
        <v>151</v>
      </c>
      <c r="E81" s="57"/>
      <c r="F81" s="57"/>
      <c r="G81" s="57"/>
      <c r="H81" s="57"/>
      <c r="I81" s="57"/>
      <c r="J81" s="62"/>
      <c r="K81" s="47">
        <v>0</v>
      </c>
      <c r="L81" s="47">
        <v>0</v>
      </c>
      <c r="M81" s="47">
        <v>0</v>
      </c>
      <c r="N81" s="47">
        <v>0</v>
      </c>
      <c r="O81" s="47">
        <v>0</v>
      </c>
      <c r="P81" s="47">
        <v>0</v>
      </c>
      <c r="Q81" s="47">
        <v>0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f t="shared" si="13"/>
        <v>0</v>
      </c>
      <c r="X81" s="135"/>
    </row>
    <row r="82" spans="1:24" s="63" customFormat="1" ht="11.75" customHeight="1">
      <c r="A82" s="59" t="s">
        <v>152</v>
      </c>
      <c r="B82" s="59"/>
      <c r="C82" s="59"/>
      <c r="D82" s="64" t="s">
        <v>153</v>
      </c>
      <c r="E82" s="57"/>
      <c r="F82" s="57"/>
      <c r="G82" s="57"/>
      <c r="H82" s="57"/>
      <c r="I82" s="57"/>
      <c r="J82" s="62"/>
      <c r="K82" s="47">
        <v>0</v>
      </c>
      <c r="L82" s="47">
        <v>0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f t="shared" si="13"/>
        <v>0</v>
      </c>
      <c r="X82" s="135"/>
    </row>
    <row r="83" spans="1:24" s="63" customFormat="1" ht="11.75" customHeight="1">
      <c r="A83" s="59" t="s">
        <v>154</v>
      </c>
      <c r="B83" s="59"/>
      <c r="C83" s="64" t="s">
        <v>155</v>
      </c>
      <c r="D83" s="57"/>
      <c r="E83" s="57"/>
      <c r="F83" s="57"/>
      <c r="G83" s="57"/>
      <c r="H83" s="57"/>
      <c r="I83" s="57"/>
      <c r="J83" s="62"/>
      <c r="K83" s="47">
        <v>0</v>
      </c>
      <c r="L83" s="47">
        <v>0</v>
      </c>
      <c r="M83" s="47">
        <v>0</v>
      </c>
      <c r="N83" s="47">
        <v>0</v>
      </c>
      <c r="O83" s="47">
        <v>0</v>
      </c>
      <c r="P83" s="47">
        <v>0</v>
      </c>
      <c r="Q83" s="47">
        <v>0</v>
      </c>
      <c r="R83" s="47">
        <v>0</v>
      </c>
      <c r="S83" s="47">
        <v>0</v>
      </c>
      <c r="T83" s="47">
        <v>0</v>
      </c>
      <c r="U83" s="47">
        <v>0</v>
      </c>
      <c r="V83" s="47">
        <v>0</v>
      </c>
      <c r="W83" s="47">
        <f t="shared" si="13"/>
        <v>0</v>
      </c>
      <c r="X83" s="135"/>
    </row>
    <row r="84" spans="1:24" s="63" customFormat="1" ht="11.75" customHeight="1">
      <c r="A84" s="59" t="s">
        <v>156</v>
      </c>
      <c r="B84" s="59"/>
      <c r="C84" s="64" t="s">
        <v>157</v>
      </c>
      <c r="D84" s="57"/>
      <c r="E84" s="57"/>
      <c r="F84" s="57"/>
      <c r="G84" s="57"/>
      <c r="H84" s="57"/>
      <c r="I84" s="57"/>
      <c r="J84" s="62"/>
      <c r="K84" s="47">
        <v>0</v>
      </c>
      <c r="L84" s="47">
        <v>3000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f t="shared" si="13"/>
        <v>3000</v>
      </c>
      <c r="X84" s="135"/>
    </row>
    <row r="85" spans="1:24" s="8" customFormat="1" ht="11.75" customHeight="1">
      <c r="A85" s="9" t="s">
        <v>158</v>
      </c>
      <c r="B85" s="22" t="s">
        <v>159</v>
      </c>
      <c r="C85" s="23"/>
      <c r="D85" s="23"/>
      <c r="E85" s="23"/>
      <c r="F85" s="23"/>
      <c r="G85" s="23"/>
      <c r="H85" s="23"/>
      <c r="I85" s="23"/>
      <c r="J85" s="24"/>
      <c r="K85" s="25">
        <f>SUM(K86:K96)</f>
        <v>1033682</v>
      </c>
      <c r="L85" s="25">
        <f t="shared" ref="L85:V85" si="16">SUM(L86:L96)</f>
        <v>1033682</v>
      </c>
      <c r="M85" s="25">
        <f t="shared" si="16"/>
        <v>1033682</v>
      </c>
      <c r="N85" s="25">
        <f t="shared" si="16"/>
        <v>1033682</v>
      </c>
      <c r="O85" s="25">
        <f t="shared" si="16"/>
        <v>1033682</v>
      </c>
      <c r="P85" s="25">
        <f t="shared" si="16"/>
        <v>1211732</v>
      </c>
      <c r="Q85" s="25">
        <f t="shared" si="16"/>
        <v>1072349</v>
      </c>
      <c r="R85" s="25">
        <f t="shared" si="16"/>
        <v>1072349</v>
      </c>
      <c r="S85" s="25">
        <f t="shared" si="16"/>
        <v>1072349</v>
      </c>
      <c r="T85" s="25">
        <f t="shared" si="16"/>
        <v>1072349</v>
      </c>
      <c r="U85" s="25">
        <f t="shared" si="16"/>
        <v>1072349</v>
      </c>
      <c r="V85" s="25">
        <f t="shared" si="16"/>
        <v>1072824</v>
      </c>
      <c r="W85" s="25">
        <f t="shared" si="13"/>
        <v>12814711</v>
      </c>
      <c r="X85" s="132"/>
    </row>
    <row r="86" spans="1:24" s="63" customFormat="1" ht="11.75" customHeight="1">
      <c r="A86" s="59" t="s">
        <v>160</v>
      </c>
      <c r="B86" s="60"/>
      <c r="C86" s="61" t="s">
        <v>93</v>
      </c>
      <c r="D86" s="57"/>
      <c r="E86" s="57"/>
      <c r="F86" s="57"/>
      <c r="G86" s="57"/>
      <c r="H86" s="57"/>
      <c r="I86" s="57"/>
      <c r="J86" s="62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>
        <f t="shared" si="13"/>
        <v>0</v>
      </c>
      <c r="X86" s="135"/>
    </row>
    <row r="87" spans="1:24" s="63" customFormat="1" ht="11.75" customHeight="1">
      <c r="A87" s="59" t="s">
        <v>161</v>
      </c>
      <c r="B87" s="59"/>
      <c r="C87" s="64" t="s">
        <v>162</v>
      </c>
      <c r="D87" s="57"/>
      <c r="E87" s="57"/>
      <c r="F87" s="57"/>
      <c r="G87" s="57"/>
      <c r="H87" s="57"/>
      <c r="I87" s="57"/>
      <c r="J87" s="62"/>
      <c r="K87" s="47">
        <v>618851</v>
      </c>
      <c r="L87" s="47">
        <v>618851</v>
      </c>
      <c r="M87" s="47">
        <v>618851</v>
      </c>
      <c r="N87" s="47">
        <v>618851</v>
      </c>
      <c r="O87" s="47">
        <v>618851</v>
      </c>
      <c r="P87" s="47">
        <v>765239</v>
      </c>
      <c r="Q87" s="47">
        <v>643249</v>
      </c>
      <c r="R87" s="47">
        <v>643249</v>
      </c>
      <c r="S87" s="47">
        <v>643249</v>
      </c>
      <c r="T87" s="47">
        <v>643249</v>
      </c>
      <c r="U87" s="47">
        <v>643249</v>
      </c>
      <c r="V87" s="47">
        <v>643370</v>
      </c>
      <c r="W87" s="47">
        <f t="shared" si="13"/>
        <v>7719109</v>
      </c>
      <c r="X87" s="135"/>
    </row>
    <row r="88" spans="1:24" s="63" customFormat="1" ht="11.75" customHeight="1">
      <c r="A88" s="59" t="s">
        <v>163</v>
      </c>
      <c r="B88" s="59"/>
      <c r="C88" s="64" t="s">
        <v>97</v>
      </c>
      <c r="D88" s="57"/>
      <c r="E88" s="57"/>
      <c r="F88" s="57"/>
      <c r="G88" s="57"/>
      <c r="H88" s="57"/>
      <c r="I88" s="57"/>
      <c r="J88" s="62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>
        <f t="shared" si="13"/>
        <v>0</v>
      </c>
      <c r="X88" s="135"/>
    </row>
    <row r="89" spans="1:24" s="63" customFormat="1" ht="11.75" customHeight="1">
      <c r="A89" s="59" t="s">
        <v>164</v>
      </c>
      <c r="B89" s="59"/>
      <c r="C89" s="64" t="s">
        <v>165</v>
      </c>
      <c r="D89" s="57"/>
      <c r="E89" s="57"/>
      <c r="F89" s="57"/>
      <c r="G89" s="57"/>
      <c r="H89" s="57"/>
      <c r="I89" s="57"/>
      <c r="J89" s="62"/>
      <c r="K89" s="47">
        <v>11946</v>
      </c>
      <c r="L89" s="47">
        <v>11946</v>
      </c>
      <c r="M89" s="47">
        <v>11946</v>
      </c>
      <c r="N89" s="47">
        <v>11946</v>
      </c>
      <c r="O89" s="47">
        <v>11946</v>
      </c>
      <c r="P89" s="47">
        <v>11946</v>
      </c>
      <c r="Q89" s="47">
        <v>20938</v>
      </c>
      <c r="R89" s="47">
        <v>20938</v>
      </c>
      <c r="S89" s="47">
        <v>20938</v>
      </c>
      <c r="T89" s="47">
        <v>20938</v>
      </c>
      <c r="U89" s="47">
        <v>20938</v>
      </c>
      <c r="V89" s="47">
        <v>20955</v>
      </c>
      <c r="W89" s="47">
        <f t="shared" si="13"/>
        <v>197321</v>
      </c>
      <c r="X89" s="135"/>
    </row>
    <row r="90" spans="1:24" s="63" customFormat="1" ht="11.75" customHeight="1">
      <c r="A90" s="59" t="s">
        <v>166</v>
      </c>
      <c r="B90" s="59"/>
      <c r="C90" s="64" t="s">
        <v>101</v>
      </c>
      <c r="D90" s="57"/>
      <c r="E90" s="57"/>
      <c r="F90" s="57"/>
      <c r="G90" s="57"/>
      <c r="H90" s="57"/>
      <c r="I90" s="57"/>
      <c r="J90" s="62"/>
      <c r="K90" s="47">
        <v>284209</v>
      </c>
      <c r="L90" s="47">
        <v>284209</v>
      </c>
      <c r="M90" s="47">
        <v>284209</v>
      </c>
      <c r="N90" s="47">
        <v>284209</v>
      </c>
      <c r="O90" s="47">
        <v>284209</v>
      </c>
      <c r="P90" s="47">
        <v>284209</v>
      </c>
      <c r="Q90" s="47">
        <v>284209</v>
      </c>
      <c r="R90" s="47">
        <v>284209</v>
      </c>
      <c r="S90" s="47">
        <v>284209</v>
      </c>
      <c r="T90" s="47">
        <v>284209</v>
      </c>
      <c r="U90" s="47">
        <v>284209</v>
      </c>
      <c r="V90" s="47">
        <v>284403</v>
      </c>
      <c r="W90" s="47">
        <f t="shared" si="13"/>
        <v>3410702</v>
      </c>
      <c r="X90" s="135"/>
    </row>
    <row r="91" spans="1:24" s="63" customFormat="1" ht="11.75" customHeight="1">
      <c r="A91" s="59" t="s">
        <v>167</v>
      </c>
      <c r="B91" s="59"/>
      <c r="C91" s="64" t="s">
        <v>103</v>
      </c>
      <c r="D91" s="57"/>
      <c r="E91" s="57"/>
      <c r="F91" s="57"/>
      <c r="G91" s="57"/>
      <c r="H91" s="57"/>
      <c r="I91" s="57"/>
      <c r="J91" s="62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>
        <f t="shared" si="13"/>
        <v>0</v>
      </c>
      <c r="X91" s="135"/>
    </row>
    <row r="92" spans="1:24" s="63" customFormat="1" ht="11.75" customHeight="1">
      <c r="A92" s="59" t="s">
        <v>168</v>
      </c>
      <c r="B92" s="59"/>
      <c r="C92" s="64" t="s">
        <v>169</v>
      </c>
      <c r="D92" s="57"/>
      <c r="E92" s="57"/>
      <c r="F92" s="57"/>
      <c r="G92" s="57"/>
      <c r="H92" s="57"/>
      <c r="I92" s="57"/>
      <c r="J92" s="62"/>
      <c r="K92" s="47">
        <v>118676</v>
      </c>
      <c r="L92" s="47">
        <v>118676</v>
      </c>
      <c r="M92" s="47">
        <v>118676</v>
      </c>
      <c r="N92" s="47">
        <v>118676</v>
      </c>
      <c r="O92" s="47">
        <v>118676</v>
      </c>
      <c r="P92" s="47">
        <v>150338</v>
      </c>
      <c r="Q92" s="47">
        <v>123953</v>
      </c>
      <c r="R92" s="47">
        <v>123953</v>
      </c>
      <c r="S92" s="47">
        <v>123953</v>
      </c>
      <c r="T92" s="47">
        <v>123953</v>
      </c>
      <c r="U92" s="47">
        <v>123953</v>
      </c>
      <c r="V92" s="47">
        <v>124096</v>
      </c>
      <c r="W92" s="47">
        <f t="shared" si="13"/>
        <v>1487579</v>
      </c>
      <c r="X92" s="135"/>
    </row>
    <row r="93" spans="1:24" s="63" customFormat="1" ht="11.75" customHeight="1">
      <c r="A93" s="59" t="s">
        <v>170</v>
      </c>
      <c r="B93" s="59"/>
      <c r="C93" s="64" t="s">
        <v>171</v>
      </c>
      <c r="D93" s="57"/>
      <c r="E93" s="57"/>
      <c r="F93" s="57"/>
      <c r="G93" s="57"/>
      <c r="H93" s="57"/>
      <c r="I93" s="57"/>
      <c r="J93" s="62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>
        <f t="shared" si="13"/>
        <v>0</v>
      </c>
      <c r="X93" s="135"/>
    </row>
    <row r="94" spans="1:24" s="63" customFormat="1" ht="11.75" customHeight="1">
      <c r="A94" s="59" t="s">
        <v>172</v>
      </c>
      <c r="B94" s="59"/>
      <c r="C94" s="64" t="s">
        <v>173</v>
      </c>
      <c r="D94" s="57"/>
      <c r="E94" s="57"/>
      <c r="F94" s="57"/>
      <c r="G94" s="57"/>
      <c r="H94" s="57"/>
      <c r="I94" s="57"/>
      <c r="J94" s="62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>
        <f t="shared" si="13"/>
        <v>0</v>
      </c>
      <c r="X94" s="135"/>
    </row>
    <row r="95" spans="1:24" s="63" customFormat="1" ht="11.75" customHeight="1">
      <c r="A95" s="59" t="s">
        <v>174</v>
      </c>
      <c r="B95" s="59"/>
      <c r="C95" s="64" t="s">
        <v>175</v>
      </c>
      <c r="D95" s="57"/>
      <c r="E95" s="57"/>
      <c r="F95" s="57"/>
      <c r="G95" s="57"/>
      <c r="H95" s="57"/>
      <c r="I95" s="57"/>
      <c r="J95" s="62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>
        <f t="shared" si="13"/>
        <v>0</v>
      </c>
      <c r="X95" s="135"/>
    </row>
    <row r="96" spans="1:24" s="63" customFormat="1" ht="11.75" customHeight="1" thickBot="1">
      <c r="A96" s="59" t="s">
        <v>176</v>
      </c>
      <c r="B96" s="59"/>
      <c r="C96" s="64" t="s">
        <v>177</v>
      </c>
      <c r="D96" s="57"/>
      <c r="E96" s="57"/>
      <c r="F96" s="57"/>
      <c r="G96" s="57"/>
      <c r="H96" s="57"/>
      <c r="I96" s="57"/>
      <c r="J96" s="62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>
        <f t="shared" si="13"/>
        <v>0</v>
      </c>
      <c r="X96" s="135"/>
    </row>
    <row r="97" spans="1:24" s="8" customFormat="1" ht="11.75" customHeight="1" thickTop="1" thickBot="1">
      <c r="A97" s="9" t="s">
        <v>178</v>
      </c>
      <c r="B97" s="26" t="s">
        <v>179</v>
      </c>
      <c r="C97" s="27"/>
      <c r="D97" s="27"/>
      <c r="E97" s="27"/>
      <c r="F97" s="27"/>
      <c r="G97" s="27"/>
      <c r="H97" s="27"/>
      <c r="I97" s="27"/>
      <c r="J97" s="28"/>
      <c r="K97" s="29">
        <f>K37+K19+K85</f>
        <v>6996962</v>
      </c>
      <c r="L97" s="29">
        <f t="shared" ref="L97:V97" si="17">L37+L19+L85</f>
        <v>8271739</v>
      </c>
      <c r="M97" s="29">
        <f t="shared" si="17"/>
        <v>11107279</v>
      </c>
      <c r="N97" s="29">
        <f t="shared" si="17"/>
        <v>9539605</v>
      </c>
      <c r="O97" s="29">
        <f t="shared" si="17"/>
        <v>9540559</v>
      </c>
      <c r="P97" s="29">
        <f t="shared" si="17"/>
        <v>10417051</v>
      </c>
      <c r="Q97" s="29">
        <f t="shared" si="17"/>
        <v>9410662</v>
      </c>
      <c r="R97" s="29">
        <f t="shared" si="17"/>
        <v>10158152</v>
      </c>
      <c r="S97" s="29">
        <f t="shared" si="17"/>
        <v>14797998</v>
      </c>
      <c r="T97" s="29">
        <f t="shared" si="17"/>
        <v>10218105</v>
      </c>
      <c r="U97" s="29">
        <f t="shared" si="17"/>
        <v>8745347</v>
      </c>
      <c r="V97" s="29">
        <f t="shared" si="17"/>
        <v>10499252</v>
      </c>
      <c r="W97" s="29">
        <f t="shared" si="13"/>
        <v>119702711</v>
      </c>
      <c r="X97" s="132"/>
    </row>
    <row r="98" spans="1:24" s="8" customFormat="1" ht="11.75" customHeight="1" thickBot="1">
      <c r="A98" s="9" t="s">
        <v>180</v>
      </c>
      <c r="B98" s="30" t="s">
        <v>181</v>
      </c>
      <c r="C98" s="31"/>
      <c r="D98" s="31"/>
      <c r="E98" s="31"/>
      <c r="F98" s="31"/>
      <c r="G98" s="31"/>
      <c r="H98" s="31"/>
      <c r="I98" s="31"/>
      <c r="J98" s="32"/>
      <c r="K98" s="33">
        <f>K18-K97</f>
        <v>-1108055</v>
      </c>
      <c r="L98" s="33">
        <f t="shared" ref="L98:V98" si="18">L18-L97</f>
        <v>-1182794</v>
      </c>
      <c r="M98" s="33">
        <f t="shared" si="18"/>
        <v>-2640152</v>
      </c>
      <c r="N98" s="33">
        <f t="shared" si="18"/>
        <v>-125817</v>
      </c>
      <c r="O98" s="33">
        <f t="shared" si="18"/>
        <v>-1078336</v>
      </c>
      <c r="P98" s="33">
        <f t="shared" si="18"/>
        <v>-2732769</v>
      </c>
      <c r="Q98" s="33">
        <f t="shared" si="18"/>
        <v>17626</v>
      </c>
      <c r="R98" s="33">
        <f t="shared" si="18"/>
        <v>-2508246</v>
      </c>
      <c r="S98" s="33">
        <f t="shared" si="18"/>
        <v>-1763884</v>
      </c>
      <c r="T98" s="33">
        <f t="shared" si="18"/>
        <v>-2662390.41</v>
      </c>
      <c r="U98" s="33">
        <f t="shared" si="18"/>
        <v>148753</v>
      </c>
      <c r="V98" s="33">
        <f t="shared" si="18"/>
        <v>-2170952</v>
      </c>
      <c r="W98" s="33">
        <f t="shared" si="13"/>
        <v>-17807016.41</v>
      </c>
      <c r="X98" s="132"/>
    </row>
    <row r="99" spans="1:24" s="8" customFormat="1" ht="11.75" customHeight="1">
      <c r="A99" s="9" t="s">
        <v>182</v>
      </c>
      <c r="B99" s="34" t="s">
        <v>183</v>
      </c>
      <c r="C99" s="35"/>
      <c r="D99" s="35"/>
      <c r="E99" s="35"/>
      <c r="F99" s="35"/>
      <c r="G99" s="35"/>
      <c r="H99" s="35"/>
      <c r="I99" s="35"/>
      <c r="J99" s="36"/>
      <c r="K99" s="37">
        <f>SUM(K100,K104:K106)</f>
        <v>0</v>
      </c>
      <c r="L99" s="37">
        <f t="shared" ref="L99:V99" si="19">SUM(L100,L104:L106)</f>
        <v>0</v>
      </c>
      <c r="M99" s="37">
        <f t="shared" si="19"/>
        <v>0</v>
      </c>
      <c r="N99" s="37">
        <f t="shared" si="19"/>
        <v>12091</v>
      </c>
      <c r="O99" s="37">
        <f t="shared" si="19"/>
        <v>0</v>
      </c>
      <c r="P99" s="37">
        <f t="shared" si="19"/>
        <v>0</v>
      </c>
      <c r="Q99" s="37">
        <f t="shared" si="19"/>
        <v>0</v>
      </c>
      <c r="R99" s="37">
        <f t="shared" si="19"/>
        <v>0</v>
      </c>
      <c r="S99" s="37">
        <f t="shared" si="19"/>
        <v>0</v>
      </c>
      <c r="T99" s="37">
        <f t="shared" si="19"/>
        <v>0</v>
      </c>
      <c r="U99" s="37">
        <f t="shared" si="19"/>
        <v>0</v>
      </c>
      <c r="V99" s="37">
        <f t="shared" si="19"/>
        <v>0</v>
      </c>
      <c r="W99" s="37">
        <f t="shared" si="13"/>
        <v>12091</v>
      </c>
      <c r="X99" s="132"/>
    </row>
    <row r="100" spans="1:24" s="8" customFormat="1" ht="11.75" customHeight="1">
      <c r="A100" s="9" t="s">
        <v>184</v>
      </c>
      <c r="B100" s="3"/>
      <c r="C100" s="10" t="s">
        <v>185</v>
      </c>
      <c r="D100" s="2"/>
      <c r="E100" s="2"/>
      <c r="F100" s="2"/>
      <c r="G100" s="2"/>
      <c r="H100" s="2"/>
      <c r="I100" s="2"/>
      <c r="J100" s="11"/>
      <c r="K100" s="12">
        <f>SUM(K101:K103)</f>
        <v>0</v>
      </c>
      <c r="L100" s="12">
        <f t="shared" ref="L100:V100" si="20">SUM(L101:L103)</f>
        <v>0</v>
      </c>
      <c r="M100" s="12">
        <f t="shared" si="20"/>
        <v>0</v>
      </c>
      <c r="N100" s="12">
        <f t="shared" si="20"/>
        <v>0</v>
      </c>
      <c r="O100" s="12">
        <f t="shared" si="20"/>
        <v>0</v>
      </c>
      <c r="P100" s="12">
        <f t="shared" si="20"/>
        <v>0</v>
      </c>
      <c r="Q100" s="12">
        <f t="shared" si="20"/>
        <v>0</v>
      </c>
      <c r="R100" s="12">
        <f t="shared" si="20"/>
        <v>0</v>
      </c>
      <c r="S100" s="12">
        <f t="shared" si="20"/>
        <v>0</v>
      </c>
      <c r="T100" s="12">
        <f t="shared" si="20"/>
        <v>0</v>
      </c>
      <c r="U100" s="12">
        <f t="shared" si="20"/>
        <v>0</v>
      </c>
      <c r="V100" s="12">
        <f t="shared" si="20"/>
        <v>0</v>
      </c>
      <c r="W100" s="12">
        <f t="shared" si="13"/>
        <v>0</v>
      </c>
      <c r="X100" s="132"/>
    </row>
    <row r="101" spans="1:24" s="63" customFormat="1" ht="11.75" customHeight="1">
      <c r="A101" s="59" t="s">
        <v>186</v>
      </c>
      <c r="B101" s="59"/>
      <c r="C101" s="59"/>
      <c r="D101" s="64" t="s">
        <v>187</v>
      </c>
      <c r="E101" s="57"/>
      <c r="F101" s="57"/>
      <c r="G101" s="57"/>
      <c r="H101" s="57"/>
      <c r="I101" s="57"/>
      <c r="J101" s="62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>
        <f t="shared" si="13"/>
        <v>0</v>
      </c>
      <c r="X101" s="135"/>
    </row>
    <row r="102" spans="1:24" s="63" customFormat="1" ht="11.75" customHeight="1">
      <c r="A102" s="59" t="s">
        <v>188</v>
      </c>
      <c r="B102" s="59"/>
      <c r="C102" s="59"/>
      <c r="D102" s="64" t="s">
        <v>189</v>
      </c>
      <c r="E102" s="57"/>
      <c r="F102" s="57"/>
      <c r="G102" s="57"/>
      <c r="H102" s="57"/>
      <c r="I102" s="57"/>
      <c r="J102" s="62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>
        <f t="shared" si="13"/>
        <v>0</v>
      </c>
      <c r="X102" s="135"/>
    </row>
    <row r="103" spans="1:24" s="63" customFormat="1" ht="11.75" customHeight="1">
      <c r="A103" s="59" t="s">
        <v>190</v>
      </c>
      <c r="B103" s="59"/>
      <c r="C103" s="59"/>
      <c r="D103" s="64" t="s">
        <v>191</v>
      </c>
      <c r="E103" s="57"/>
      <c r="F103" s="57"/>
      <c r="G103" s="57"/>
      <c r="H103" s="57"/>
      <c r="I103" s="57"/>
      <c r="J103" s="62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>
        <f t="shared" si="13"/>
        <v>0</v>
      </c>
      <c r="X103" s="135"/>
    </row>
    <row r="104" spans="1:24" s="63" customFormat="1" ht="11.75" customHeight="1">
      <c r="A104" s="59" t="s">
        <v>192</v>
      </c>
      <c r="B104" s="59"/>
      <c r="C104" s="64" t="s">
        <v>193</v>
      </c>
      <c r="D104" s="57"/>
      <c r="E104" s="57"/>
      <c r="F104" s="57"/>
      <c r="G104" s="57"/>
      <c r="H104" s="57"/>
      <c r="I104" s="57"/>
      <c r="J104" s="62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>
        <f t="shared" si="13"/>
        <v>0</v>
      </c>
      <c r="X104" s="135"/>
    </row>
    <row r="105" spans="1:24" s="63" customFormat="1" ht="11.75" customHeight="1">
      <c r="A105" s="59" t="s">
        <v>194</v>
      </c>
      <c r="B105" s="59"/>
      <c r="C105" s="64" t="s">
        <v>195</v>
      </c>
      <c r="D105" s="57"/>
      <c r="E105" s="57"/>
      <c r="F105" s="57"/>
      <c r="G105" s="57"/>
      <c r="H105" s="57"/>
      <c r="I105" s="57"/>
      <c r="J105" s="62"/>
      <c r="K105" s="47">
        <v>0</v>
      </c>
      <c r="L105" s="47">
        <v>0</v>
      </c>
      <c r="M105" s="47">
        <v>0</v>
      </c>
      <c r="N105" s="47">
        <v>12091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f t="shared" si="13"/>
        <v>12091</v>
      </c>
      <c r="X105" s="135"/>
    </row>
    <row r="106" spans="1:24" s="63" customFormat="1" ht="11.75" customHeight="1">
      <c r="A106" s="59" t="s">
        <v>196</v>
      </c>
      <c r="B106" s="59"/>
      <c r="C106" s="64" t="s">
        <v>191</v>
      </c>
      <c r="D106" s="57"/>
      <c r="E106" s="57"/>
      <c r="F106" s="57"/>
      <c r="G106" s="57"/>
      <c r="H106" s="57"/>
      <c r="I106" s="57"/>
      <c r="J106" s="62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>
        <f t="shared" si="13"/>
        <v>0</v>
      </c>
      <c r="X106" s="135"/>
    </row>
    <row r="107" spans="1:24" s="8" customFormat="1" ht="11.75" customHeight="1">
      <c r="A107" s="9" t="s">
        <v>197</v>
      </c>
      <c r="B107" s="38" t="s">
        <v>198</v>
      </c>
      <c r="C107" s="39"/>
      <c r="D107" s="39"/>
      <c r="E107" s="39"/>
      <c r="F107" s="39"/>
      <c r="G107" s="39"/>
      <c r="H107" s="39"/>
      <c r="I107" s="39"/>
      <c r="J107" s="40"/>
      <c r="K107" s="41">
        <f>SUM(K108:K110)</f>
        <v>0</v>
      </c>
      <c r="L107" s="41">
        <f t="shared" ref="L107:V107" si="21">SUM(L108:L110)</f>
        <v>0</v>
      </c>
      <c r="M107" s="41">
        <f t="shared" si="21"/>
        <v>0</v>
      </c>
      <c r="N107" s="41">
        <f t="shared" si="21"/>
        <v>0</v>
      </c>
      <c r="O107" s="41">
        <f t="shared" si="21"/>
        <v>400</v>
      </c>
      <c r="P107" s="41">
        <f t="shared" si="21"/>
        <v>3000</v>
      </c>
      <c r="Q107" s="41">
        <f t="shared" si="21"/>
        <v>0</v>
      </c>
      <c r="R107" s="41">
        <f t="shared" si="21"/>
        <v>0</v>
      </c>
      <c r="S107" s="41">
        <f t="shared" si="21"/>
        <v>3000</v>
      </c>
      <c r="T107" s="41">
        <f t="shared" si="21"/>
        <v>90910</v>
      </c>
      <c r="U107" s="41">
        <f t="shared" si="21"/>
        <v>0</v>
      </c>
      <c r="V107" s="41">
        <f t="shared" si="21"/>
        <v>0</v>
      </c>
      <c r="W107" s="41">
        <f t="shared" si="13"/>
        <v>97310</v>
      </c>
      <c r="X107" s="132"/>
    </row>
    <row r="108" spans="1:24" s="63" customFormat="1" ht="11.75" customHeight="1">
      <c r="A108" s="59" t="s">
        <v>199</v>
      </c>
      <c r="B108" s="60"/>
      <c r="C108" s="61" t="s">
        <v>200</v>
      </c>
      <c r="D108" s="57"/>
      <c r="E108" s="57"/>
      <c r="F108" s="57"/>
      <c r="G108" s="57"/>
      <c r="H108" s="57"/>
      <c r="I108" s="57"/>
      <c r="J108" s="62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>
        <f t="shared" si="13"/>
        <v>0</v>
      </c>
      <c r="X108" s="135"/>
    </row>
    <row r="109" spans="1:24" s="63" customFormat="1" ht="11.75" customHeight="1">
      <c r="A109" s="59" t="s">
        <v>201</v>
      </c>
      <c r="B109" s="59"/>
      <c r="C109" s="64" t="s">
        <v>202</v>
      </c>
      <c r="D109" s="57"/>
      <c r="E109" s="57"/>
      <c r="F109" s="57"/>
      <c r="G109" s="57"/>
      <c r="H109" s="57"/>
      <c r="I109" s="57"/>
      <c r="J109" s="62"/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3000</v>
      </c>
      <c r="Q109" s="47">
        <v>0</v>
      </c>
      <c r="R109" s="47">
        <v>0</v>
      </c>
      <c r="S109" s="47">
        <v>3000</v>
      </c>
      <c r="T109" s="47">
        <v>90910</v>
      </c>
      <c r="U109" s="47">
        <v>0</v>
      </c>
      <c r="V109" s="47">
        <v>0</v>
      </c>
      <c r="W109" s="47">
        <f t="shared" si="13"/>
        <v>96910</v>
      </c>
      <c r="X109" s="135"/>
    </row>
    <row r="110" spans="1:24" s="63" customFormat="1" ht="11.75" customHeight="1" thickBot="1">
      <c r="A110" s="59" t="s">
        <v>203</v>
      </c>
      <c r="B110" s="59"/>
      <c r="C110" s="64" t="s">
        <v>191</v>
      </c>
      <c r="D110" s="57"/>
      <c r="E110" s="57"/>
      <c r="F110" s="57"/>
      <c r="G110" s="57"/>
      <c r="H110" s="57"/>
      <c r="I110" s="57"/>
      <c r="J110" s="62"/>
      <c r="K110" s="47">
        <v>0</v>
      </c>
      <c r="L110" s="47">
        <v>0</v>
      </c>
      <c r="M110" s="47">
        <v>0</v>
      </c>
      <c r="N110" s="47">
        <v>0</v>
      </c>
      <c r="O110" s="47">
        <v>400</v>
      </c>
      <c r="P110" s="47">
        <v>0</v>
      </c>
      <c r="Q110" s="47">
        <v>0</v>
      </c>
      <c r="R110" s="47">
        <v>0</v>
      </c>
      <c r="S110" s="47">
        <v>0</v>
      </c>
      <c r="T110" s="47">
        <v>0</v>
      </c>
      <c r="U110" s="47">
        <v>0</v>
      </c>
      <c r="V110" s="47">
        <v>0</v>
      </c>
      <c r="W110" s="47">
        <f t="shared" si="13"/>
        <v>400</v>
      </c>
      <c r="X110" s="135"/>
    </row>
    <row r="111" spans="1:24" s="8" customFormat="1" ht="11.75" customHeight="1" thickBot="1">
      <c r="A111" s="9" t="s">
        <v>204</v>
      </c>
      <c r="B111" s="30" t="s">
        <v>205</v>
      </c>
      <c r="C111" s="31"/>
      <c r="D111" s="31"/>
      <c r="E111" s="31"/>
      <c r="F111" s="31"/>
      <c r="G111" s="31"/>
      <c r="H111" s="31"/>
      <c r="I111" s="31"/>
      <c r="J111" s="32"/>
      <c r="K111" s="33">
        <f>K98+K99-K107</f>
        <v>-1108055</v>
      </c>
      <c r="L111" s="33">
        <f t="shared" ref="L111:V111" si="22">L98+L99-L107</f>
        <v>-1182794</v>
      </c>
      <c r="M111" s="33">
        <f t="shared" si="22"/>
        <v>-2640152</v>
      </c>
      <c r="N111" s="33">
        <f t="shared" si="22"/>
        <v>-113726</v>
      </c>
      <c r="O111" s="33">
        <f t="shared" si="22"/>
        <v>-1078736</v>
      </c>
      <c r="P111" s="33">
        <f t="shared" si="22"/>
        <v>-2735769</v>
      </c>
      <c r="Q111" s="33">
        <f t="shared" si="22"/>
        <v>17626</v>
      </c>
      <c r="R111" s="33">
        <f t="shared" si="22"/>
        <v>-2508246</v>
      </c>
      <c r="S111" s="33">
        <f t="shared" si="22"/>
        <v>-1766884</v>
      </c>
      <c r="T111" s="33">
        <f t="shared" si="22"/>
        <v>-2753300.41</v>
      </c>
      <c r="U111" s="33">
        <f t="shared" si="22"/>
        <v>148753</v>
      </c>
      <c r="V111" s="33">
        <f t="shared" si="22"/>
        <v>-2170952</v>
      </c>
      <c r="W111" s="33">
        <f t="shared" si="13"/>
        <v>-17892235.41</v>
      </c>
      <c r="X111" s="132"/>
    </row>
    <row r="112" spans="1:24" s="8" customFormat="1" ht="11.75" customHeight="1">
      <c r="A112" s="9" t="s">
        <v>206</v>
      </c>
      <c r="B112" s="34" t="s">
        <v>207</v>
      </c>
      <c r="C112" s="35"/>
      <c r="D112" s="35"/>
      <c r="E112" s="35"/>
      <c r="F112" s="35"/>
      <c r="G112" s="35"/>
      <c r="H112" s="35"/>
      <c r="I112" s="35"/>
      <c r="J112" s="36"/>
      <c r="K112" s="37">
        <f>SUM(K113:K114)</f>
        <v>0</v>
      </c>
      <c r="L112" s="37">
        <f t="shared" ref="L112:V112" si="23">SUM(L113:L114)</f>
        <v>0</v>
      </c>
      <c r="M112" s="37">
        <f t="shared" si="23"/>
        <v>0</v>
      </c>
      <c r="N112" s="37">
        <f t="shared" si="23"/>
        <v>0</v>
      </c>
      <c r="O112" s="37">
        <f t="shared" si="23"/>
        <v>0</v>
      </c>
      <c r="P112" s="37">
        <f t="shared" si="23"/>
        <v>0</v>
      </c>
      <c r="Q112" s="37">
        <f t="shared" si="23"/>
        <v>0</v>
      </c>
      <c r="R112" s="37">
        <f t="shared" si="23"/>
        <v>0</v>
      </c>
      <c r="S112" s="37">
        <f t="shared" si="23"/>
        <v>0</v>
      </c>
      <c r="T112" s="37">
        <f t="shared" si="23"/>
        <v>0</v>
      </c>
      <c r="U112" s="37">
        <f t="shared" si="23"/>
        <v>0</v>
      </c>
      <c r="V112" s="37">
        <f t="shared" si="23"/>
        <v>0</v>
      </c>
      <c r="W112" s="37">
        <f t="shared" si="13"/>
        <v>0</v>
      </c>
      <c r="X112" s="132"/>
    </row>
    <row r="113" spans="1:24" s="63" customFormat="1" ht="11.75" customHeight="1">
      <c r="A113" s="59" t="s">
        <v>208</v>
      </c>
      <c r="B113" s="60"/>
      <c r="C113" s="61" t="s">
        <v>209</v>
      </c>
      <c r="D113" s="57"/>
      <c r="E113" s="57"/>
      <c r="F113" s="57"/>
      <c r="G113" s="57"/>
      <c r="H113" s="57"/>
      <c r="I113" s="57"/>
      <c r="J113" s="62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>
        <f t="shared" si="13"/>
        <v>0</v>
      </c>
      <c r="X113" s="135"/>
    </row>
    <row r="114" spans="1:24" s="63" customFormat="1" ht="11.75" customHeight="1">
      <c r="A114" s="59" t="s">
        <v>210</v>
      </c>
      <c r="B114" s="59"/>
      <c r="C114" s="64" t="s">
        <v>191</v>
      </c>
      <c r="D114" s="57"/>
      <c r="E114" s="57"/>
      <c r="F114" s="57"/>
      <c r="G114" s="57"/>
      <c r="H114" s="57"/>
      <c r="I114" s="57"/>
      <c r="J114" s="62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>
        <f t="shared" si="13"/>
        <v>0</v>
      </c>
      <c r="X114" s="135"/>
    </row>
    <row r="115" spans="1:24" s="8" customFormat="1" ht="11.75" customHeight="1">
      <c r="A115" s="9" t="s">
        <v>211</v>
      </c>
      <c r="B115" s="38" t="s">
        <v>212</v>
      </c>
      <c r="C115" s="39"/>
      <c r="D115" s="39"/>
      <c r="E115" s="39"/>
      <c r="F115" s="39"/>
      <c r="G115" s="39"/>
      <c r="H115" s="39"/>
      <c r="I115" s="39"/>
      <c r="J115" s="40"/>
      <c r="K115" s="41">
        <f>SUM(K116:K117)</f>
        <v>0</v>
      </c>
      <c r="L115" s="41">
        <f t="shared" ref="L115:V115" si="24">SUM(L116:L117)</f>
        <v>0</v>
      </c>
      <c r="M115" s="41">
        <f t="shared" si="24"/>
        <v>0</v>
      </c>
      <c r="N115" s="41">
        <f t="shared" si="24"/>
        <v>0</v>
      </c>
      <c r="O115" s="41">
        <f t="shared" si="24"/>
        <v>0</v>
      </c>
      <c r="P115" s="41">
        <f t="shared" si="24"/>
        <v>0</v>
      </c>
      <c r="Q115" s="41">
        <f t="shared" si="24"/>
        <v>0</v>
      </c>
      <c r="R115" s="41">
        <f t="shared" si="24"/>
        <v>0</v>
      </c>
      <c r="S115" s="41">
        <f t="shared" si="24"/>
        <v>0</v>
      </c>
      <c r="T115" s="41">
        <f t="shared" si="24"/>
        <v>0</v>
      </c>
      <c r="U115" s="41">
        <f t="shared" si="24"/>
        <v>0</v>
      </c>
      <c r="V115" s="41">
        <f t="shared" si="24"/>
        <v>0</v>
      </c>
      <c r="W115" s="41">
        <f t="shared" si="13"/>
        <v>0</v>
      </c>
      <c r="X115" s="132"/>
    </row>
    <row r="116" spans="1:24" s="63" customFormat="1" ht="11.75" customHeight="1">
      <c r="A116" s="59" t="s">
        <v>213</v>
      </c>
      <c r="B116" s="60"/>
      <c r="C116" s="61" t="s">
        <v>214</v>
      </c>
      <c r="D116" s="57"/>
      <c r="E116" s="57"/>
      <c r="F116" s="57"/>
      <c r="G116" s="57"/>
      <c r="H116" s="57"/>
      <c r="I116" s="57"/>
      <c r="J116" s="62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>
        <f t="shared" si="13"/>
        <v>0</v>
      </c>
      <c r="X116" s="135"/>
    </row>
    <row r="117" spans="1:24" s="63" customFormat="1" ht="11.75" customHeight="1" thickBot="1">
      <c r="A117" s="59" t="s">
        <v>215</v>
      </c>
      <c r="B117" s="59"/>
      <c r="C117" s="64" t="s">
        <v>191</v>
      </c>
      <c r="D117" s="57"/>
      <c r="E117" s="57"/>
      <c r="F117" s="57"/>
      <c r="G117" s="57"/>
      <c r="H117" s="57"/>
      <c r="I117" s="57"/>
      <c r="J117" s="62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>
        <f t="shared" si="13"/>
        <v>0</v>
      </c>
      <c r="X117" s="135"/>
    </row>
    <row r="118" spans="1:24" s="8" customFormat="1" ht="11.75" customHeight="1">
      <c r="A118" s="42" t="s">
        <v>216</v>
      </c>
      <c r="B118" s="43" t="s">
        <v>217</v>
      </c>
      <c r="C118" s="44"/>
      <c r="D118" s="44"/>
      <c r="E118" s="44"/>
      <c r="F118" s="44"/>
      <c r="G118" s="44"/>
      <c r="H118" s="44"/>
      <c r="I118" s="44"/>
      <c r="J118" s="45"/>
      <c r="K118" s="46">
        <f>K111+K112-K115</f>
        <v>-1108055</v>
      </c>
      <c r="L118" s="46">
        <f t="shared" ref="L118:V118" si="25">L111+L112-L115</f>
        <v>-1182794</v>
      </c>
      <c r="M118" s="46">
        <f t="shared" si="25"/>
        <v>-2640152</v>
      </c>
      <c r="N118" s="46">
        <f t="shared" si="25"/>
        <v>-113726</v>
      </c>
      <c r="O118" s="46">
        <f t="shared" si="25"/>
        <v>-1078736</v>
      </c>
      <c r="P118" s="46">
        <f t="shared" si="25"/>
        <v>-2735769</v>
      </c>
      <c r="Q118" s="46">
        <f t="shared" si="25"/>
        <v>17626</v>
      </c>
      <c r="R118" s="46">
        <f t="shared" si="25"/>
        <v>-2508246</v>
      </c>
      <c r="S118" s="46">
        <f t="shared" si="25"/>
        <v>-1766884</v>
      </c>
      <c r="T118" s="46">
        <f t="shared" si="25"/>
        <v>-2753300.41</v>
      </c>
      <c r="U118" s="46">
        <f t="shared" si="25"/>
        <v>148753</v>
      </c>
      <c r="V118" s="46">
        <f t="shared" si="25"/>
        <v>-2170952</v>
      </c>
      <c r="W118" s="46">
        <f t="shared" si="13"/>
        <v>-17892235.41</v>
      </c>
      <c r="X118" s="132"/>
    </row>
  </sheetData>
  <mergeCells count="2">
    <mergeCell ref="A4:A5"/>
    <mergeCell ref="B4:J5"/>
  </mergeCells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D080-EA6E-4534-B604-2814FCC0A443}">
  <sheetPr>
    <pageSetUpPr fitToPage="1"/>
  </sheetPr>
  <dimension ref="A1:X118"/>
  <sheetViews>
    <sheetView showGridLines="0" zoomScaleNormal="100" workbookViewId="0">
      <pane xSplit="10" ySplit="5" topLeftCell="K6" activePane="bottomRight" state="frozen"/>
      <selection activeCell="Q127" sqref="Q127"/>
      <selection pane="topRight" activeCell="Q127" sqref="Q127"/>
      <selection pane="bottomLeft" activeCell="Q127" sqref="Q127"/>
      <selection pane="bottomRight" activeCell="T92" sqref="T92:V92"/>
    </sheetView>
  </sheetViews>
  <sheetFormatPr baseColWidth="10" defaultColWidth="9" defaultRowHeight="18"/>
  <cols>
    <col min="1" max="1" width="5.83203125" style="49" customWidth="1"/>
    <col min="2" max="8" width="2.33203125" style="49" customWidth="1"/>
    <col min="9" max="9" width="2.1640625" style="49" customWidth="1"/>
    <col min="10" max="10" width="0" style="49" hidden="1" customWidth="1"/>
    <col min="11" max="16" width="12.1640625" style="49" bestFit="1" customWidth="1"/>
    <col min="17" max="19" width="13" style="49" bestFit="1" customWidth="1"/>
    <col min="20" max="22" width="12.1640625" style="49" bestFit="1" customWidth="1"/>
    <col min="23" max="23" width="12.1640625" style="51" bestFit="1" customWidth="1"/>
    <col min="24" max="24" width="11.6640625" style="51" bestFit="1" customWidth="1"/>
    <col min="25" max="16384" width="9" style="51"/>
  </cols>
  <sheetData>
    <row r="1" spans="1:24" ht="20" customHeight="1">
      <c r="A1" s="56" t="s">
        <v>258</v>
      </c>
      <c r="X1" s="137">
        <f>SUM(K6:P6)</f>
        <v>178218052</v>
      </c>
    </row>
    <row r="3" spans="1:24" ht="11.75" customHeight="1">
      <c r="A3" s="57" t="s">
        <v>224</v>
      </c>
    </row>
    <row r="4" spans="1:24" s="58" customFormat="1" ht="11.75" customHeight="1">
      <c r="A4" s="177" t="s">
        <v>0</v>
      </c>
      <c r="B4" s="179" t="s">
        <v>1</v>
      </c>
      <c r="C4" s="180"/>
      <c r="D4" s="180"/>
      <c r="E4" s="180"/>
      <c r="F4" s="180"/>
      <c r="G4" s="180"/>
      <c r="H4" s="180"/>
      <c r="I4" s="180"/>
      <c r="J4" s="181"/>
      <c r="K4" s="55" t="s">
        <v>226</v>
      </c>
      <c r="L4" s="55" t="s">
        <v>227</v>
      </c>
      <c r="M4" s="55" t="s">
        <v>228</v>
      </c>
      <c r="N4" s="55" t="s">
        <v>229</v>
      </c>
      <c r="O4" s="55" t="s">
        <v>230</v>
      </c>
      <c r="P4" s="55" t="s">
        <v>231</v>
      </c>
      <c r="Q4" s="55" t="s">
        <v>232</v>
      </c>
      <c r="R4" s="55" t="s">
        <v>233</v>
      </c>
      <c r="S4" s="55" t="s">
        <v>234</v>
      </c>
      <c r="T4" s="55" t="s">
        <v>235</v>
      </c>
      <c r="U4" s="55" t="s">
        <v>236</v>
      </c>
      <c r="V4" s="55" t="s">
        <v>237</v>
      </c>
      <c r="W4" s="52" t="s">
        <v>225</v>
      </c>
    </row>
    <row r="5" spans="1:24" s="58" customFormat="1" ht="25.5" customHeight="1">
      <c r="A5" s="178"/>
      <c r="B5" s="182"/>
      <c r="C5" s="183"/>
      <c r="D5" s="183"/>
      <c r="E5" s="183"/>
      <c r="F5" s="183"/>
      <c r="G5" s="183"/>
      <c r="H5" s="183"/>
      <c r="I5" s="183"/>
      <c r="J5" s="184"/>
      <c r="K5" s="50" t="s">
        <v>2</v>
      </c>
      <c r="L5" s="50" t="s">
        <v>2</v>
      </c>
      <c r="M5" s="50" t="s">
        <v>2</v>
      </c>
      <c r="N5" s="50" t="s">
        <v>2</v>
      </c>
      <c r="O5" s="50" t="s">
        <v>2</v>
      </c>
      <c r="P5" s="50" t="s">
        <v>2</v>
      </c>
      <c r="Q5" s="50" t="s">
        <v>2</v>
      </c>
      <c r="R5" s="50" t="s">
        <v>2</v>
      </c>
      <c r="S5" s="50" t="s">
        <v>2</v>
      </c>
      <c r="T5" s="50" t="s">
        <v>2</v>
      </c>
      <c r="U5" s="50" t="s">
        <v>2</v>
      </c>
      <c r="V5" s="50" t="s">
        <v>2</v>
      </c>
      <c r="W5" s="50" t="s">
        <v>2</v>
      </c>
    </row>
    <row r="6" spans="1:24" s="8" customFormat="1" ht="11.75" customHeight="1">
      <c r="A6" s="3" t="s">
        <v>3</v>
      </c>
      <c r="B6" s="4" t="s">
        <v>4</v>
      </c>
      <c r="C6" s="5"/>
      <c r="D6" s="5"/>
      <c r="E6" s="5"/>
      <c r="F6" s="5"/>
      <c r="G6" s="5"/>
      <c r="H6" s="5"/>
      <c r="I6" s="5"/>
      <c r="J6" s="6"/>
      <c r="K6" s="7">
        <f>SUM(K7:K16)</f>
        <v>490140</v>
      </c>
      <c r="L6" s="7">
        <f t="shared" ref="L6:V6" si="0">SUM(L7:L16)</f>
        <v>5103780</v>
      </c>
      <c r="M6" s="7">
        <f t="shared" si="0"/>
        <v>33102756</v>
      </c>
      <c r="N6" s="7">
        <f t="shared" si="0"/>
        <v>62949311</v>
      </c>
      <c r="O6" s="7">
        <f t="shared" si="0"/>
        <v>60811623</v>
      </c>
      <c r="P6" s="7">
        <f t="shared" si="0"/>
        <v>15760442</v>
      </c>
      <c r="Q6" s="7">
        <f t="shared" si="0"/>
        <v>397687</v>
      </c>
      <c r="R6" s="7">
        <f t="shared" si="0"/>
        <v>0</v>
      </c>
      <c r="S6" s="7">
        <f t="shared" si="0"/>
        <v>0</v>
      </c>
      <c r="T6" s="7">
        <f t="shared" si="0"/>
        <v>0</v>
      </c>
      <c r="U6" s="7">
        <f t="shared" si="0"/>
        <v>0</v>
      </c>
      <c r="V6" s="7">
        <f t="shared" si="0"/>
        <v>0</v>
      </c>
      <c r="W6" s="7">
        <f>SUM(K6:V6)</f>
        <v>178615739</v>
      </c>
    </row>
    <row r="7" spans="1:24" s="63" customFormat="1" ht="11.75" customHeight="1">
      <c r="A7" s="59" t="s">
        <v>5</v>
      </c>
      <c r="B7" s="60"/>
      <c r="C7" s="61" t="s">
        <v>6</v>
      </c>
      <c r="D7" s="57"/>
      <c r="E7" s="57"/>
      <c r="F7" s="57"/>
      <c r="G7" s="57"/>
      <c r="H7" s="57"/>
      <c r="I7" s="57"/>
      <c r="J7" s="62"/>
      <c r="K7" s="47">
        <v>490140</v>
      </c>
      <c r="L7" s="47">
        <v>5103780</v>
      </c>
      <c r="M7" s="47">
        <v>33102756</v>
      </c>
      <c r="N7" s="47">
        <v>62949311</v>
      </c>
      <c r="O7" s="47">
        <v>60811623</v>
      </c>
      <c r="P7" s="47">
        <v>15760442</v>
      </c>
      <c r="Q7" s="47">
        <v>397687</v>
      </c>
      <c r="R7" s="47"/>
      <c r="S7" s="47"/>
      <c r="T7" s="47"/>
      <c r="U7" s="47"/>
      <c r="V7" s="47"/>
      <c r="W7" s="47">
        <f t="shared" ref="W7:W70" si="1">SUM(K7:V7)</f>
        <v>178615739</v>
      </c>
    </row>
    <row r="8" spans="1:24" s="63" customFormat="1" ht="11.75" customHeight="1">
      <c r="A8" s="59" t="s">
        <v>7</v>
      </c>
      <c r="B8" s="59"/>
      <c r="C8" s="64" t="s">
        <v>8</v>
      </c>
      <c r="D8" s="57"/>
      <c r="E8" s="57"/>
      <c r="F8" s="57"/>
      <c r="G8" s="57"/>
      <c r="H8" s="57"/>
      <c r="I8" s="57"/>
      <c r="J8" s="62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>
        <f t="shared" si="1"/>
        <v>0</v>
      </c>
    </row>
    <row r="9" spans="1:24" s="63" customFormat="1" ht="11.75" customHeight="1">
      <c r="A9" s="59" t="s">
        <v>9</v>
      </c>
      <c r="B9" s="59"/>
      <c r="C9" s="64" t="s">
        <v>10</v>
      </c>
      <c r="D9" s="57"/>
      <c r="E9" s="57"/>
      <c r="F9" s="57"/>
      <c r="G9" s="57"/>
      <c r="H9" s="57"/>
      <c r="I9" s="57"/>
      <c r="J9" s="62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>
        <f t="shared" si="1"/>
        <v>0</v>
      </c>
    </row>
    <row r="10" spans="1:24" s="63" customFormat="1" ht="11.75" customHeight="1">
      <c r="A10" s="59" t="s">
        <v>11</v>
      </c>
      <c r="B10" s="59"/>
      <c r="C10" s="64" t="s">
        <v>12</v>
      </c>
      <c r="D10" s="57"/>
      <c r="E10" s="57"/>
      <c r="F10" s="57"/>
      <c r="G10" s="57"/>
      <c r="H10" s="57"/>
      <c r="I10" s="57"/>
      <c r="J10" s="62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>
        <f t="shared" si="1"/>
        <v>0</v>
      </c>
    </row>
    <row r="11" spans="1:24" s="63" customFormat="1" ht="11.75" customHeight="1">
      <c r="A11" s="59" t="s">
        <v>13</v>
      </c>
      <c r="B11" s="59"/>
      <c r="C11" s="64" t="s">
        <v>14</v>
      </c>
      <c r="D11" s="57"/>
      <c r="E11" s="57"/>
      <c r="F11" s="57"/>
      <c r="G11" s="57"/>
      <c r="H11" s="57"/>
      <c r="I11" s="57"/>
      <c r="J11" s="62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>
        <f t="shared" si="1"/>
        <v>0</v>
      </c>
    </row>
    <row r="12" spans="1:24" s="63" customFormat="1" ht="11.75" customHeight="1">
      <c r="A12" s="59" t="s">
        <v>15</v>
      </c>
      <c r="B12" s="59"/>
      <c r="C12" s="64" t="s">
        <v>16</v>
      </c>
      <c r="D12" s="57"/>
      <c r="E12" s="57"/>
      <c r="F12" s="57"/>
      <c r="G12" s="57"/>
      <c r="H12" s="57"/>
      <c r="I12" s="57"/>
      <c r="J12" s="62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>
        <f t="shared" si="1"/>
        <v>0</v>
      </c>
    </row>
    <row r="13" spans="1:24" s="63" customFormat="1" ht="11.75" customHeight="1">
      <c r="A13" s="59" t="s">
        <v>17</v>
      </c>
      <c r="B13" s="59"/>
      <c r="C13" s="64" t="s">
        <v>18</v>
      </c>
      <c r="D13" s="57"/>
      <c r="E13" s="57"/>
      <c r="F13" s="57"/>
      <c r="G13" s="57"/>
      <c r="H13" s="57"/>
      <c r="I13" s="57"/>
      <c r="J13" s="62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>
        <f t="shared" si="1"/>
        <v>0</v>
      </c>
    </row>
    <row r="14" spans="1:24" s="63" customFormat="1" ht="11.75" customHeight="1">
      <c r="A14" s="59" t="s">
        <v>19</v>
      </c>
      <c r="B14" s="59"/>
      <c r="C14" s="64" t="s">
        <v>20</v>
      </c>
      <c r="D14" s="57"/>
      <c r="E14" s="57"/>
      <c r="F14" s="57"/>
      <c r="G14" s="57"/>
      <c r="H14" s="57"/>
      <c r="I14" s="57"/>
      <c r="J14" s="62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>
        <f t="shared" si="1"/>
        <v>0</v>
      </c>
    </row>
    <row r="15" spans="1:24" s="63" customFormat="1" ht="11.75" customHeight="1">
      <c r="A15" s="59" t="s">
        <v>21</v>
      </c>
      <c r="B15" s="59"/>
      <c r="C15" s="64" t="s">
        <v>22</v>
      </c>
      <c r="D15" s="57"/>
      <c r="E15" s="57"/>
      <c r="F15" s="57"/>
      <c r="G15" s="57"/>
      <c r="H15" s="57"/>
      <c r="I15" s="57"/>
      <c r="J15" s="62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>
        <f t="shared" si="1"/>
        <v>0</v>
      </c>
    </row>
    <row r="16" spans="1:24" s="63" customFormat="1" ht="11.75" customHeight="1">
      <c r="A16" s="59" t="s">
        <v>23</v>
      </c>
      <c r="B16" s="59"/>
      <c r="C16" s="64" t="s">
        <v>24</v>
      </c>
      <c r="D16" s="57"/>
      <c r="E16" s="57"/>
      <c r="F16" s="57"/>
      <c r="G16" s="57"/>
      <c r="H16" s="57"/>
      <c r="I16" s="57"/>
      <c r="J16" s="62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>
        <f t="shared" si="1"/>
        <v>0</v>
      </c>
    </row>
    <row r="17" spans="1:24" s="63" customFormat="1" ht="11.75" customHeight="1" thickBot="1">
      <c r="A17" s="59" t="s">
        <v>25</v>
      </c>
      <c r="B17" s="65" t="s">
        <v>26</v>
      </c>
      <c r="C17" s="66"/>
      <c r="D17" s="66"/>
      <c r="E17" s="66"/>
      <c r="F17" s="66"/>
      <c r="G17" s="66"/>
      <c r="H17" s="66"/>
      <c r="I17" s="66"/>
      <c r="J17" s="67"/>
      <c r="K17" s="48">
        <v>389940</v>
      </c>
      <c r="L17" s="48">
        <v>2939245</v>
      </c>
      <c r="M17" s="48">
        <v>11592649</v>
      </c>
      <c r="N17" s="48">
        <v>21499910</v>
      </c>
      <c r="O17" s="48">
        <v>19474957</v>
      </c>
      <c r="P17" s="48">
        <v>5024380</v>
      </c>
      <c r="Q17" s="48">
        <v>3270</v>
      </c>
      <c r="R17" s="48">
        <v>0</v>
      </c>
      <c r="S17" s="48">
        <v>0</v>
      </c>
      <c r="T17" s="48">
        <v>0</v>
      </c>
      <c r="U17" s="48">
        <v>0</v>
      </c>
      <c r="V17" s="48">
        <v>0</v>
      </c>
      <c r="W17" s="48">
        <f t="shared" si="1"/>
        <v>60924351</v>
      </c>
    </row>
    <row r="18" spans="1:24" s="8" customFormat="1" ht="11.75" customHeight="1" thickTop="1">
      <c r="A18" s="9" t="s">
        <v>27</v>
      </c>
      <c r="B18" s="14" t="s">
        <v>28</v>
      </c>
      <c r="C18" s="15"/>
      <c r="D18" s="15"/>
      <c r="E18" s="15"/>
      <c r="F18" s="15"/>
      <c r="G18" s="15"/>
      <c r="H18" s="15"/>
      <c r="I18" s="15"/>
      <c r="J18" s="16"/>
      <c r="K18" s="17">
        <f>K6-K17</f>
        <v>100200</v>
      </c>
      <c r="L18" s="17">
        <f t="shared" ref="L18:V18" si="2">L6-L17</f>
        <v>2164535</v>
      </c>
      <c r="M18" s="17">
        <f t="shared" si="2"/>
        <v>21510107</v>
      </c>
      <c r="N18" s="17">
        <f t="shared" si="2"/>
        <v>41449401</v>
      </c>
      <c r="O18" s="17">
        <f t="shared" si="2"/>
        <v>41336666</v>
      </c>
      <c r="P18" s="17">
        <f t="shared" si="2"/>
        <v>10736062</v>
      </c>
      <c r="Q18" s="17">
        <f t="shared" si="2"/>
        <v>394417</v>
      </c>
      <c r="R18" s="17">
        <f t="shared" si="2"/>
        <v>0</v>
      </c>
      <c r="S18" s="17">
        <f t="shared" si="2"/>
        <v>0</v>
      </c>
      <c r="T18" s="17">
        <f t="shared" si="2"/>
        <v>0</v>
      </c>
      <c r="U18" s="17">
        <f t="shared" si="2"/>
        <v>0</v>
      </c>
      <c r="V18" s="17">
        <f t="shared" si="2"/>
        <v>0</v>
      </c>
      <c r="W18" s="17">
        <f t="shared" si="1"/>
        <v>117691388</v>
      </c>
    </row>
    <row r="19" spans="1:24" s="8" customFormat="1" ht="11.75" customHeight="1">
      <c r="A19" s="9" t="s">
        <v>29</v>
      </c>
      <c r="B19" s="18" t="s">
        <v>30</v>
      </c>
      <c r="C19" s="19"/>
      <c r="D19" s="19"/>
      <c r="E19" s="19"/>
      <c r="F19" s="19"/>
      <c r="G19" s="19"/>
      <c r="H19" s="19"/>
      <c r="I19" s="19"/>
      <c r="J19" s="20"/>
      <c r="K19" s="21">
        <f>SUM(K20:K22,K26,K29:K31,K35:K36)</f>
        <v>0</v>
      </c>
      <c r="L19" s="21">
        <f t="shared" ref="L19:V19" si="3">SUM(L20:L22,L26,L29:L31,L35:L36)</f>
        <v>0</v>
      </c>
      <c r="M19" s="21">
        <f t="shared" si="3"/>
        <v>0</v>
      </c>
      <c r="N19" s="21">
        <f t="shared" si="3"/>
        <v>1398638</v>
      </c>
      <c r="O19" s="21">
        <f t="shared" si="3"/>
        <v>2689021</v>
      </c>
      <c r="P19" s="21">
        <f t="shared" si="3"/>
        <v>3089906</v>
      </c>
      <c r="Q19" s="21">
        <f t="shared" si="3"/>
        <v>536156</v>
      </c>
      <c r="R19" s="21">
        <f t="shared" si="3"/>
        <v>0</v>
      </c>
      <c r="S19" s="21">
        <f t="shared" si="3"/>
        <v>0</v>
      </c>
      <c r="T19" s="21">
        <f t="shared" si="3"/>
        <v>0</v>
      </c>
      <c r="U19" s="21">
        <f t="shared" si="3"/>
        <v>0</v>
      </c>
      <c r="V19" s="21">
        <f t="shared" si="3"/>
        <v>0</v>
      </c>
      <c r="W19" s="21">
        <f t="shared" si="1"/>
        <v>7713721</v>
      </c>
      <c r="X19" s="8">
        <f>+ｶﾞｰﾃﾞﾝ!X19-ｶﾞｰﾃﾞﾝ!Y19</f>
        <v>0</v>
      </c>
    </row>
    <row r="20" spans="1:24" s="63" customFormat="1" ht="11.75" customHeight="1">
      <c r="A20" s="59" t="s">
        <v>31</v>
      </c>
      <c r="B20" s="59"/>
      <c r="C20" s="64" t="s">
        <v>32</v>
      </c>
      <c r="D20" s="57"/>
      <c r="E20" s="57"/>
      <c r="F20" s="57"/>
      <c r="G20" s="57"/>
      <c r="H20" s="57"/>
      <c r="I20" s="57"/>
      <c r="J20" s="62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>
        <f t="shared" si="1"/>
        <v>0</v>
      </c>
      <c r="X20" s="8">
        <f>+ｶﾞｰﾃﾞﾝ!X20-ｶﾞｰﾃﾞﾝ!Y20</f>
        <v>0</v>
      </c>
    </row>
    <row r="21" spans="1:24" s="63" customFormat="1" ht="11.75" customHeight="1">
      <c r="A21" s="59" t="s">
        <v>33</v>
      </c>
      <c r="B21" s="59"/>
      <c r="C21" s="64" t="s">
        <v>34</v>
      </c>
      <c r="D21" s="57"/>
      <c r="E21" s="57"/>
      <c r="F21" s="57"/>
      <c r="G21" s="57"/>
      <c r="H21" s="57"/>
      <c r="I21" s="57"/>
      <c r="J21" s="62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>
        <f t="shared" si="1"/>
        <v>0</v>
      </c>
      <c r="X21" s="8">
        <f>+ｶﾞｰﾃﾞﾝ!X21-ｶﾞｰﾃﾞﾝ!Y21</f>
        <v>0</v>
      </c>
    </row>
    <row r="22" spans="1:24" s="8" customFormat="1" ht="11.75" customHeight="1">
      <c r="A22" s="9" t="s">
        <v>35</v>
      </c>
      <c r="B22" s="9"/>
      <c r="C22" s="13" t="s">
        <v>36</v>
      </c>
      <c r="D22" s="2"/>
      <c r="E22" s="2"/>
      <c r="F22" s="2"/>
      <c r="G22" s="2"/>
      <c r="H22" s="2"/>
      <c r="I22" s="2"/>
      <c r="J22" s="11"/>
      <c r="K22" s="12">
        <f>SUM(K23:K25)</f>
        <v>0</v>
      </c>
      <c r="L22" s="12">
        <f t="shared" ref="L22:V22" si="4">SUM(L23:L25)</f>
        <v>0</v>
      </c>
      <c r="M22" s="12">
        <f t="shared" si="4"/>
        <v>0</v>
      </c>
      <c r="N22" s="12">
        <f t="shared" si="4"/>
        <v>1284365</v>
      </c>
      <c r="O22" s="12">
        <f t="shared" si="4"/>
        <v>2468020</v>
      </c>
      <c r="P22" s="12">
        <f t="shared" si="4"/>
        <v>2851396</v>
      </c>
      <c r="Q22" s="12">
        <f t="shared" si="4"/>
        <v>497701</v>
      </c>
      <c r="R22" s="12">
        <f t="shared" si="4"/>
        <v>0</v>
      </c>
      <c r="S22" s="12">
        <f t="shared" si="4"/>
        <v>0</v>
      </c>
      <c r="T22" s="12">
        <f t="shared" si="4"/>
        <v>0</v>
      </c>
      <c r="U22" s="12">
        <f t="shared" si="4"/>
        <v>0</v>
      </c>
      <c r="V22" s="12">
        <f t="shared" si="4"/>
        <v>0</v>
      </c>
      <c r="W22" s="12">
        <f t="shared" si="1"/>
        <v>7101482</v>
      </c>
      <c r="X22" s="8">
        <f>+ｶﾞｰﾃﾞﾝ!X22-ｶﾞｰﾃﾞﾝ!Y22</f>
        <v>0</v>
      </c>
    </row>
    <row r="23" spans="1:24" s="63" customFormat="1" ht="11.75" customHeight="1">
      <c r="A23" s="59" t="s">
        <v>37</v>
      </c>
      <c r="B23" s="59"/>
      <c r="C23" s="59"/>
      <c r="D23" s="64" t="s">
        <v>38</v>
      </c>
      <c r="E23" s="57"/>
      <c r="F23" s="57"/>
      <c r="G23" s="57"/>
      <c r="H23" s="57"/>
      <c r="I23" s="57"/>
      <c r="J23" s="62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>
        <f t="shared" si="1"/>
        <v>0</v>
      </c>
      <c r="X23" s="8">
        <f>+ｶﾞｰﾃﾞﾝ!X23-ｶﾞｰﾃﾞﾝ!Y23</f>
        <v>0</v>
      </c>
    </row>
    <row r="24" spans="1:24" s="63" customFormat="1" ht="11.75" customHeight="1">
      <c r="A24" s="59" t="s">
        <v>39</v>
      </c>
      <c r="B24" s="59"/>
      <c r="C24" s="59"/>
      <c r="D24" s="64" t="s">
        <v>40</v>
      </c>
      <c r="E24" s="57"/>
      <c r="F24" s="57"/>
      <c r="G24" s="57"/>
      <c r="H24" s="57"/>
      <c r="I24" s="57"/>
      <c r="J24" s="62"/>
      <c r="K24" s="47">
        <v>0</v>
      </c>
      <c r="L24" s="47">
        <v>0</v>
      </c>
      <c r="M24" s="47">
        <v>0</v>
      </c>
      <c r="N24" s="47">
        <v>1284365</v>
      </c>
      <c r="O24" s="47">
        <v>2468020</v>
      </c>
      <c r="P24" s="47">
        <v>2851396</v>
      </c>
      <c r="Q24" s="47">
        <v>497701</v>
      </c>
      <c r="R24" s="47">
        <v>0</v>
      </c>
      <c r="S24" s="47">
        <v>0</v>
      </c>
      <c r="T24" s="47">
        <v>0</v>
      </c>
      <c r="U24" s="47"/>
      <c r="V24" s="47"/>
      <c r="W24" s="47">
        <f t="shared" si="1"/>
        <v>7101482</v>
      </c>
      <c r="X24" s="8">
        <f>+ｶﾞｰﾃﾞﾝ!X24-ｶﾞｰﾃﾞﾝ!Y24</f>
        <v>0</v>
      </c>
    </row>
    <row r="25" spans="1:24" s="63" customFormat="1" ht="11.75" customHeight="1">
      <c r="A25" s="59" t="s">
        <v>41</v>
      </c>
      <c r="B25" s="59"/>
      <c r="C25" s="59"/>
      <c r="D25" s="64" t="s">
        <v>42</v>
      </c>
      <c r="E25" s="57"/>
      <c r="F25" s="57"/>
      <c r="G25" s="57"/>
      <c r="H25" s="57"/>
      <c r="I25" s="57"/>
      <c r="J25" s="62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>
        <f t="shared" si="1"/>
        <v>0</v>
      </c>
      <c r="X25" s="8">
        <f>+ｶﾞｰﾃﾞﾝ!X25-ｶﾞｰﾃﾞﾝ!Y25</f>
        <v>0</v>
      </c>
    </row>
    <row r="26" spans="1:24" s="8" customFormat="1" ht="11.75" customHeight="1">
      <c r="A26" s="9" t="s">
        <v>43</v>
      </c>
      <c r="B26" s="9"/>
      <c r="C26" s="13" t="s">
        <v>44</v>
      </c>
      <c r="D26" s="2"/>
      <c r="E26" s="2"/>
      <c r="F26" s="2"/>
      <c r="G26" s="2"/>
      <c r="H26" s="2"/>
      <c r="I26" s="2"/>
      <c r="J26" s="11"/>
      <c r="K26" s="12">
        <f>SUM(K27:K28)</f>
        <v>0</v>
      </c>
      <c r="L26" s="12">
        <f t="shared" ref="L26:V26" si="5">SUM(L27:L28)</f>
        <v>0</v>
      </c>
      <c r="M26" s="12">
        <f t="shared" si="5"/>
        <v>0</v>
      </c>
      <c r="N26" s="12">
        <f t="shared" si="5"/>
        <v>0</v>
      </c>
      <c r="O26" s="12">
        <f t="shared" si="5"/>
        <v>0</v>
      </c>
      <c r="P26" s="12">
        <f t="shared" si="5"/>
        <v>0</v>
      </c>
      <c r="Q26" s="12">
        <f t="shared" si="5"/>
        <v>0</v>
      </c>
      <c r="R26" s="12">
        <f t="shared" si="5"/>
        <v>0</v>
      </c>
      <c r="S26" s="12">
        <f t="shared" si="5"/>
        <v>0</v>
      </c>
      <c r="T26" s="12">
        <f t="shared" si="5"/>
        <v>0</v>
      </c>
      <c r="U26" s="12">
        <f t="shared" si="5"/>
        <v>0</v>
      </c>
      <c r="V26" s="12">
        <f t="shared" si="5"/>
        <v>0</v>
      </c>
      <c r="W26" s="12">
        <f t="shared" si="1"/>
        <v>0</v>
      </c>
      <c r="X26" s="8">
        <f>+ｶﾞｰﾃﾞﾝ!X26-ｶﾞｰﾃﾞﾝ!Y26</f>
        <v>0</v>
      </c>
    </row>
    <row r="27" spans="1:24" s="63" customFormat="1" ht="11.75" customHeight="1">
      <c r="A27" s="59" t="s">
        <v>45</v>
      </c>
      <c r="B27" s="59"/>
      <c r="C27" s="59"/>
      <c r="D27" s="64" t="s">
        <v>46</v>
      </c>
      <c r="E27" s="57"/>
      <c r="F27" s="57"/>
      <c r="G27" s="57"/>
      <c r="H27" s="57"/>
      <c r="I27" s="57"/>
      <c r="J27" s="62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>
        <f t="shared" si="1"/>
        <v>0</v>
      </c>
      <c r="X27" s="8">
        <f>+ｶﾞｰﾃﾞﾝ!X27-ｶﾞｰﾃﾞﾝ!Y27</f>
        <v>0</v>
      </c>
    </row>
    <row r="28" spans="1:24" s="63" customFormat="1" ht="11.75" customHeight="1">
      <c r="A28" s="59" t="s">
        <v>47</v>
      </c>
      <c r="B28" s="59"/>
      <c r="C28" s="59"/>
      <c r="D28" s="64" t="s">
        <v>48</v>
      </c>
      <c r="E28" s="57"/>
      <c r="F28" s="57"/>
      <c r="G28" s="57"/>
      <c r="H28" s="57"/>
      <c r="I28" s="57"/>
      <c r="J28" s="62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>
        <f t="shared" si="1"/>
        <v>0</v>
      </c>
      <c r="X28" s="8">
        <f>+ｶﾞｰﾃﾞﾝ!X28-ｶﾞｰﾃﾞﾝ!Y28</f>
        <v>0</v>
      </c>
    </row>
    <row r="29" spans="1:24" s="63" customFormat="1" ht="11.75" customHeight="1">
      <c r="A29" s="59" t="s">
        <v>49</v>
      </c>
      <c r="B29" s="59"/>
      <c r="C29" s="64" t="s">
        <v>50</v>
      </c>
      <c r="D29" s="57"/>
      <c r="E29" s="57"/>
      <c r="F29" s="57"/>
      <c r="G29" s="57"/>
      <c r="H29" s="57"/>
      <c r="I29" s="57"/>
      <c r="J29" s="62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>
        <f t="shared" si="1"/>
        <v>0</v>
      </c>
      <c r="X29" s="8">
        <f>+ｶﾞｰﾃﾞﾝ!X29-ｶﾞｰﾃﾞﾝ!Y29</f>
        <v>0</v>
      </c>
    </row>
    <row r="30" spans="1:24" s="63" customFormat="1" ht="11.75" customHeight="1">
      <c r="A30" s="59" t="s">
        <v>51</v>
      </c>
      <c r="B30" s="59"/>
      <c r="C30" s="64" t="s">
        <v>52</v>
      </c>
      <c r="D30" s="57"/>
      <c r="E30" s="57"/>
      <c r="F30" s="57"/>
      <c r="G30" s="57"/>
      <c r="H30" s="57"/>
      <c r="I30" s="57"/>
      <c r="J30" s="62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>
        <f t="shared" si="1"/>
        <v>0</v>
      </c>
      <c r="X30" s="8">
        <f>+ｶﾞｰﾃﾞﾝ!X30-ｶﾞｰﾃﾞﾝ!Y30</f>
        <v>0</v>
      </c>
    </row>
    <row r="31" spans="1:24" s="8" customFormat="1" ht="11.75" customHeight="1">
      <c r="A31" s="9" t="s">
        <v>53</v>
      </c>
      <c r="B31" s="9"/>
      <c r="C31" s="13" t="s">
        <v>54</v>
      </c>
      <c r="D31" s="2"/>
      <c r="E31" s="2"/>
      <c r="F31" s="2"/>
      <c r="G31" s="2"/>
      <c r="H31" s="2"/>
      <c r="I31" s="2"/>
      <c r="J31" s="11"/>
      <c r="K31" s="12">
        <f>SUM(K32:K34)</f>
        <v>0</v>
      </c>
      <c r="L31" s="12">
        <f t="shared" ref="L31:V31" si="6">SUM(L32:L34)</f>
        <v>0</v>
      </c>
      <c r="M31" s="12">
        <f t="shared" si="6"/>
        <v>0</v>
      </c>
      <c r="N31" s="12">
        <f t="shared" si="6"/>
        <v>0</v>
      </c>
      <c r="O31" s="12">
        <f t="shared" si="6"/>
        <v>0</v>
      </c>
      <c r="P31" s="12">
        <f t="shared" si="6"/>
        <v>0</v>
      </c>
      <c r="Q31" s="12">
        <f t="shared" si="6"/>
        <v>0</v>
      </c>
      <c r="R31" s="12">
        <f t="shared" si="6"/>
        <v>0</v>
      </c>
      <c r="S31" s="12">
        <f t="shared" si="6"/>
        <v>0</v>
      </c>
      <c r="T31" s="12">
        <f t="shared" si="6"/>
        <v>0</v>
      </c>
      <c r="U31" s="12">
        <f t="shared" si="6"/>
        <v>0</v>
      </c>
      <c r="V31" s="12">
        <f t="shared" si="6"/>
        <v>0</v>
      </c>
      <c r="W31" s="12">
        <f t="shared" si="1"/>
        <v>0</v>
      </c>
      <c r="X31" s="8">
        <f>+ｶﾞｰﾃﾞﾝ!X31-ｶﾞｰﾃﾞﾝ!Y31</f>
        <v>0</v>
      </c>
    </row>
    <row r="32" spans="1:24" s="63" customFormat="1" ht="11.75" customHeight="1">
      <c r="A32" s="59" t="s">
        <v>55</v>
      </c>
      <c r="B32" s="59"/>
      <c r="C32" s="59"/>
      <c r="D32" s="64" t="s">
        <v>54</v>
      </c>
      <c r="E32" s="57"/>
      <c r="F32" s="57"/>
      <c r="G32" s="57"/>
      <c r="H32" s="57"/>
      <c r="I32" s="57"/>
      <c r="J32" s="62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>
        <f t="shared" si="1"/>
        <v>0</v>
      </c>
      <c r="X32" s="8">
        <f>+ｶﾞｰﾃﾞﾝ!X32-ｶﾞｰﾃﾞﾝ!Y32</f>
        <v>0</v>
      </c>
    </row>
    <row r="33" spans="1:24" s="63" customFormat="1" ht="11.75" customHeight="1">
      <c r="A33" s="59" t="s">
        <v>56</v>
      </c>
      <c r="B33" s="59"/>
      <c r="C33" s="59"/>
      <c r="D33" s="64" t="s">
        <v>57</v>
      </c>
      <c r="E33" s="57"/>
      <c r="F33" s="57"/>
      <c r="G33" s="57"/>
      <c r="H33" s="57"/>
      <c r="I33" s="57"/>
      <c r="J33" s="62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>
        <f t="shared" si="1"/>
        <v>0</v>
      </c>
      <c r="X33" s="8">
        <f>+ｶﾞｰﾃﾞﾝ!X33-ｶﾞｰﾃﾞﾝ!Y33</f>
        <v>0</v>
      </c>
    </row>
    <row r="34" spans="1:24" s="63" customFormat="1" ht="11.75" customHeight="1">
      <c r="A34" s="59" t="s">
        <v>58</v>
      </c>
      <c r="B34" s="59"/>
      <c r="C34" s="59"/>
      <c r="D34" s="64" t="s">
        <v>59</v>
      </c>
      <c r="E34" s="57"/>
      <c r="F34" s="57"/>
      <c r="G34" s="57"/>
      <c r="H34" s="57"/>
      <c r="I34" s="57"/>
      <c r="J34" s="62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>
        <f t="shared" si="1"/>
        <v>0</v>
      </c>
      <c r="X34" s="8">
        <f>+ｶﾞｰﾃﾞﾝ!X34-ｶﾞｰﾃﾞﾝ!Y34</f>
        <v>0</v>
      </c>
    </row>
    <row r="35" spans="1:24" s="63" customFormat="1" ht="11.75" customHeight="1">
      <c r="A35" s="59" t="s">
        <v>60</v>
      </c>
      <c r="B35" s="59"/>
      <c r="C35" s="64" t="s">
        <v>61</v>
      </c>
      <c r="D35" s="57"/>
      <c r="E35" s="57"/>
      <c r="F35" s="57"/>
      <c r="G35" s="57"/>
      <c r="H35" s="57"/>
      <c r="I35" s="57"/>
      <c r="J35" s="62"/>
      <c r="K35" s="47">
        <v>0</v>
      </c>
      <c r="L35" s="47">
        <v>0</v>
      </c>
      <c r="M35" s="47">
        <v>0</v>
      </c>
      <c r="N35" s="47">
        <v>114273</v>
      </c>
      <c r="O35" s="47">
        <v>221001</v>
      </c>
      <c r="P35" s="47">
        <v>238510</v>
      </c>
      <c r="Q35" s="47">
        <v>38455</v>
      </c>
      <c r="R35" s="47">
        <v>0</v>
      </c>
      <c r="S35" s="47">
        <v>0</v>
      </c>
      <c r="T35" s="47">
        <v>0</v>
      </c>
      <c r="U35" s="47"/>
      <c r="V35" s="47"/>
      <c r="W35" s="47">
        <f t="shared" si="1"/>
        <v>612239</v>
      </c>
      <c r="X35" s="8">
        <f>+ｶﾞｰﾃﾞﾝ!X35-ｶﾞｰﾃﾞﾝ!Y35</f>
        <v>0</v>
      </c>
    </row>
    <row r="36" spans="1:24" s="63" customFormat="1" ht="11.75" customHeight="1">
      <c r="A36" s="59" t="s">
        <v>62</v>
      </c>
      <c r="B36" s="59"/>
      <c r="C36" s="64" t="s">
        <v>63</v>
      </c>
      <c r="D36" s="57"/>
      <c r="E36" s="57"/>
      <c r="F36" s="57"/>
      <c r="G36" s="57"/>
      <c r="H36" s="57"/>
      <c r="I36" s="57"/>
      <c r="J36" s="62"/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/>
      <c r="V36" s="47"/>
      <c r="W36" s="53">
        <f t="shared" si="1"/>
        <v>0</v>
      </c>
      <c r="X36" s="8">
        <f>+ｶﾞｰﾃﾞﾝ!X36-ｶﾞｰﾃﾞﾝ!Y36</f>
        <v>0</v>
      </c>
    </row>
    <row r="37" spans="1:24" s="8" customFormat="1" ht="11.75" customHeight="1">
      <c r="A37" s="9" t="s">
        <v>64</v>
      </c>
      <c r="B37" s="22" t="s">
        <v>65</v>
      </c>
      <c r="C37" s="23"/>
      <c r="D37" s="23"/>
      <c r="E37" s="23"/>
      <c r="F37" s="23"/>
      <c r="G37" s="23"/>
      <c r="H37" s="23"/>
      <c r="I37" s="23"/>
      <c r="J37" s="24"/>
      <c r="K37" s="25">
        <f>SUM(K38:K41,K46,K50,K57:K58,K61:K67,K70:K72,K78:K80,K83:K84)</f>
        <v>865676</v>
      </c>
      <c r="L37" s="25">
        <f t="shared" ref="L37:V37" si="7">SUM(L38:L41,L46,L50,L57:L58,L61:L67,L70:L72,L78:L80,L83:L84)</f>
        <v>900530</v>
      </c>
      <c r="M37" s="25">
        <f t="shared" si="7"/>
        <v>12114928</v>
      </c>
      <c r="N37" s="25">
        <f t="shared" si="7"/>
        <v>15831719</v>
      </c>
      <c r="O37" s="25">
        <f t="shared" si="7"/>
        <v>14934398</v>
      </c>
      <c r="P37" s="25">
        <f t="shared" si="7"/>
        <v>7826667</v>
      </c>
      <c r="Q37" s="25">
        <f t="shared" si="7"/>
        <v>15733626</v>
      </c>
      <c r="R37" s="25">
        <f t="shared" si="7"/>
        <v>3176900</v>
      </c>
      <c r="S37" s="25">
        <f t="shared" si="7"/>
        <v>32020</v>
      </c>
      <c r="T37" s="25">
        <f t="shared" si="7"/>
        <v>14000</v>
      </c>
      <c r="U37" s="25">
        <f t="shared" si="7"/>
        <v>14000</v>
      </c>
      <c r="V37" s="25">
        <f t="shared" si="7"/>
        <v>14000</v>
      </c>
      <c r="W37" s="25">
        <f t="shared" si="1"/>
        <v>71458464</v>
      </c>
    </row>
    <row r="38" spans="1:24" s="63" customFormat="1" ht="11.75" customHeight="1">
      <c r="A38" s="59" t="s">
        <v>66</v>
      </c>
      <c r="B38" s="60"/>
      <c r="C38" s="61" t="s">
        <v>67</v>
      </c>
      <c r="D38" s="57"/>
      <c r="E38" s="57"/>
      <c r="F38" s="57"/>
      <c r="G38" s="57"/>
      <c r="H38" s="57"/>
      <c r="I38" s="57"/>
      <c r="J38" s="62"/>
      <c r="K38" s="47">
        <v>480709</v>
      </c>
      <c r="L38" s="47">
        <v>632837</v>
      </c>
      <c r="M38" s="47">
        <v>933945</v>
      </c>
      <c r="N38" s="47">
        <v>2474012</v>
      </c>
      <c r="O38" s="47">
        <v>591717</v>
      </c>
      <c r="P38" s="47">
        <v>122283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f t="shared" si="1"/>
        <v>5235503</v>
      </c>
    </row>
    <row r="39" spans="1:24" s="63" customFormat="1" ht="11.75" customHeight="1">
      <c r="A39" s="59" t="s">
        <v>68</v>
      </c>
      <c r="B39" s="59"/>
      <c r="C39" s="64" t="s">
        <v>69</v>
      </c>
      <c r="D39" s="57"/>
      <c r="E39" s="57"/>
      <c r="F39" s="57"/>
      <c r="G39" s="57"/>
      <c r="H39" s="57"/>
      <c r="I39" s="57"/>
      <c r="J39" s="62"/>
      <c r="K39" s="47">
        <v>0</v>
      </c>
      <c r="L39" s="47">
        <v>0</v>
      </c>
      <c r="M39" s="47">
        <v>12994</v>
      </c>
      <c r="N39" s="47">
        <v>0</v>
      </c>
      <c r="O39" s="47">
        <v>23383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0</v>
      </c>
      <c r="V39" s="47">
        <v>0</v>
      </c>
      <c r="W39" s="47">
        <f t="shared" si="1"/>
        <v>36377</v>
      </c>
    </row>
    <row r="40" spans="1:24" s="63" customFormat="1" ht="11.75" customHeight="1">
      <c r="A40" s="59" t="s">
        <v>70</v>
      </c>
      <c r="B40" s="59"/>
      <c r="C40" s="64" t="s">
        <v>71</v>
      </c>
      <c r="D40" s="57"/>
      <c r="E40" s="57"/>
      <c r="F40" s="57"/>
      <c r="G40" s="57"/>
      <c r="H40" s="57"/>
      <c r="I40" s="57"/>
      <c r="J40" s="62"/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f t="shared" si="1"/>
        <v>0</v>
      </c>
    </row>
    <row r="41" spans="1:24" s="8" customFormat="1" ht="11.75" customHeight="1">
      <c r="A41" s="9" t="s">
        <v>72</v>
      </c>
      <c r="B41" s="9"/>
      <c r="C41" s="13" t="s">
        <v>73</v>
      </c>
      <c r="D41" s="2"/>
      <c r="E41" s="2"/>
      <c r="F41" s="2"/>
      <c r="G41" s="2"/>
      <c r="H41" s="2"/>
      <c r="I41" s="2"/>
      <c r="J41" s="11"/>
      <c r="K41" s="12">
        <f>SUM(K42:K45)</f>
        <v>350000</v>
      </c>
      <c r="L41" s="12">
        <f t="shared" ref="L41:V41" si="8">SUM(L42:L45)</f>
        <v>0</v>
      </c>
      <c r="M41" s="12">
        <f t="shared" si="8"/>
        <v>4480000</v>
      </c>
      <c r="N41" s="12">
        <f t="shared" si="8"/>
        <v>4340000</v>
      </c>
      <c r="O41" s="12">
        <f t="shared" si="8"/>
        <v>4340000</v>
      </c>
      <c r="P41" s="12">
        <f t="shared" si="8"/>
        <v>2149091</v>
      </c>
      <c r="Q41" s="12">
        <f t="shared" si="8"/>
        <v>122229</v>
      </c>
      <c r="R41" s="12">
        <f t="shared" si="8"/>
        <v>81000</v>
      </c>
      <c r="S41" s="12">
        <f t="shared" si="8"/>
        <v>0</v>
      </c>
      <c r="T41" s="12">
        <f t="shared" si="8"/>
        <v>0</v>
      </c>
      <c r="U41" s="12">
        <f t="shared" si="8"/>
        <v>0</v>
      </c>
      <c r="V41" s="12">
        <f t="shared" si="8"/>
        <v>0</v>
      </c>
      <c r="W41" s="12">
        <f t="shared" si="1"/>
        <v>15862320</v>
      </c>
    </row>
    <row r="42" spans="1:24" s="63" customFormat="1" ht="11.75" customHeight="1">
      <c r="A42" s="59" t="s">
        <v>74</v>
      </c>
      <c r="B42" s="59"/>
      <c r="C42" s="59"/>
      <c r="D42" s="64" t="s">
        <v>75</v>
      </c>
      <c r="E42" s="57"/>
      <c r="F42" s="57"/>
      <c r="G42" s="57"/>
      <c r="H42" s="57"/>
      <c r="I42" s="57"/>
      <c r="J42" s="62"/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f t="shared" si="1"/>
        <v>0</v>
      </c>
    </row>
    <row r="43" spans="1:24" s="63" customFormat="1" ht="11.75" customHeight="1">
      <c r="A43" s="59" t="s">
        <v>76</v>
      </c>
      <c r="B43" s="59"/>
      <c r="C43" s="59"/>
      <c r="D43" s="64" t="s">
        <v>77</v>
      </c>
      <c r="E43" s="57"/>
      <c r="F43" s="57"/>
      <c r="G43" s="57"/>
      <c r="H43" s="57"/>
      <c r="I43" s="57"/>
      <c r="J43" s="62"/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/>
      <c r="Q43" s="47">
        <v>0</v>
      </c>
      <c r="R43" s="47">
        <v>0</v>
      </c>
      <c r="S43" s="47">
        <v>0</v>
      </c>
      <c r="T43" s="47">
        <v>0</v>
      </c>
      <c r="U43" s="47">
        <v>0</v>
      </c>
      <c r="V43" s="47">
        <v>0</v>
      </c>
      <c r="W43" s="47">
        <f t="shared" si="1"/>
        <v>0</v>
      </c>
    </row>
    <row r="44" spans="1:24" s="63" customFormat="1" ht="11.75" customHeight="1">
      <c r="A44" s="59" t="s">
        <v>78</v>
      </c>
      <c r="B44" s="59"/>
      <c r="C44" s="59"/>
      <c r="D44" s="64" t="s">
        <v>79</v>
      </c>
      <c r="E44" s="57"/>
      <c r="F44" s="57"/>
      <c r="G44" s="57"/>
      <c r="H44" s="57"/>
      <c r="I44" s="57"/>
      <c r="J44" s="62"/>
      <c r="K44" s="47">
        <v>350000</v>
      </c>
      <c r="L44" s="47">
        <v>0</v>
      </c>
      <c r="M44" s="47">
        <v>4480000</v>
      </c>
      <c r="N44" s="47">
        <v>4340000</v>
      </c>
      <c r="O44" s="47">
        <v>4340000</v>
      </c>
      <c r="P44" s="47">
        <v>2149091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f t="shared" si="1"/>
        <v>15659091</v>
      </c>
    </row>
    <row r="45" spans="1:24" s="63" customFormat="1" ht="11.75" customHeight="1">
      <c r="A45" s="59" t="s">
        <v>80</v>
      </c>
      <c r="B45" s="59"/>
      <c r="C45" s="59"/>
      <c r="D45" s="64" t="s">
        <v>81</v>
      </c>
      <c r="E45" s="57"/>
      <c r="F45" s="57"/>
      <c r="G45" s="57"/>
      <c r="H45" s="57"/>
      <c r="I45" s="57"/>
      <c r="J45" s="62"/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122229</v>
      </c>
      <c r="R45" s="47">
        <v>81000</v>
      </c>
      <c r="S45" s="47">
        <v>0</v>
      </c>
      <c r="T45" s="47">
        <v>0</v>
      </c>
      <c r="U45" s="47">
        <v>0</v>
      </c>
      <c r="V45" s="47">
        <v>0</v>
      </c>
      <c r="W45" s="47">
        <f t="shared" si="1"/>
        <v>203229</v>
      </c>
    </row>
    <row r="46" spans="1:24" s="8" customFormat="1" ht="11.75" customHeight="1">
      <c r="A46" s="9" t="s">
        <v>82</v>
      </c>
      <c r="B46" s="9"/>
      <c r="C46" s="13" t="s">
        <v>83</v>
      </c>
      <c r="D46" s="2"/>
      <c r="E46" s="2"/>
      <c r="F46" s="2"/>
      <c r="G46" s="2"/>
      <c r="H46" s="2"/>
      <c r="I46" s="2"/>
      <c r="J46" s="11"/>
      <c r="K46" s="12">
        <f>SUM(K47:K49)</f>
        <v>2947</v>
      </c>
      <c r="L46" s="12">
        <f t="shared" ref="L46:V46" si="9">SUM(L47:L49)</f>
        <v>0</v>
      </c>
      <c r="M46" s="12">
        <f t="shared" si="9"/>
        <v>0</v>
      </c>
      <c r="N46" s="12">
        <f t="shared" si="9"/>
        <v>0</v>
      </c>
      <c r="O46" s="12">
        <f t="shared" si="9"/>
        <v>0</v>
      </c>
      <c r="P46" s="12">
        <f t="shared" si="9"/>
        <v>0</v>
      </c>
      <c r="Q46" s="12">
        <f t="shared" si="9"/>
        <v>0</v>
      </c>
      <c r="R46" s="12">
        <f t="shared" si="9"/>
        <v>0</v>
      </c>
      <c r="S46" s="12">
        <f t="shared" si="9"/>
        <v>0</v>
      </c>
      <c r="T46" s="12">
        <f t="shared" si="9"/>
        <v>0</v>
      </c>
      <c r="U46" s="12">
        <f t="shared" si="9"/>
        <v>0</v>
      </c>
      <c r="V46" s="12">
        <f t="shared" si="9"/>
        <v>0</v>
      </c>
      <c r="W46" s="12">
        <f t="shared" si="1"/>
        <v>2947</v>
      </c>
    </row>
    <row r="47" spans="1:24" s="63" customFormat="1" ht="11.75" customHeight="1">
      <c r="A47" s="59" t="s">
        <v>84</v>
      </c>
      <c r="B47" s="59"/>
      <c r="C47" s="59"/>
      <c r="D47" s="64" t="s">
        <v>85</v>
      </c>
      <c r="E47" s="57"/>
      <c r="F47" s="57"/>
      <c r="G47" s="57"/>
      <c r="H47" s="57"/>
      <c r="I47" s="57"/>
      <c r="J47" s="62"/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  <c r="Q47" s="47">
        <v>0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f t="shared" si="1"/>
        <v>0</v>
      </c>
    </row>
    <row r="48" spans="1:24" s="63" customFormat="1" ht="11.75" customHeight="1">
      <c r="A48" s="59" t="s">
        <v>86</v>
      </c>
      <c r="B48" s="59"/>
      <c r="C48" s="59"/>
      <c r="D48" s="64" t="s">
        <v>87</v>
      </c>
      <c r="E48" s="57"/>
      <c r="F48" s="57"/>
      <c r="G48" s="57"/>
      <c r="H48" s="57"/>
      <c r="I48" s="57"/>
      <c r="J48" s="62"/>
      <c r="K48" s="47">
        <v>0</v>
      </c>
      <c r="L48" s="47">
        <v>0</v>
      </c>
      <c r="M48" s="47">
        <v>0</v>
      </c>
      <c r="N48" s="47">
        <v>0</v>
      </c>
      <c r="O48" s="47">
        <v>0</v>
      </c>
      <c r="P48" s="47">
        <v>0</v>
      </c>
      <c r="Q48" s="47">
        <v>0</v>
      </c>
      <c r="R48" s="47">
        <v>0</v>
      </c>
      <c r="S48" s="47">
        <v>0</v>
      </c>
      <c r="T48" s="47">
        <v>0</v>
      </c>
      <c r="U48" s="47">
        <v>0</v>
      </c>
      <c r="V48" s="47">
        <v>0</v>
      </c>
      <c r="W48" s="47">
        <f t="shared" si="1"/>
        <v>0</v>
      </c>
    </row>
    <row r="49" spans="1:23" s="63" customFormat="1" ht="11.75" customHeight="1">
      <c r="A49" s="59" t="s">
        <v>88</v>
      </c>
      <c r="B49" s="59"/>
      <c r="C49" s="59"/>
      <c r="D49" s="64" t="s">
        <v>89</v>
      </c>
      <c r="E49" s="57"/>
      <c r="F49" s="57"/>
      <c r="G49" s="57"/>
      <c r="H49" s="57"/>
      <c r="I49" s="57"/>
      <c r="J49" s="62"/>
      <c r="K49" s="47">
        <v>2947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f t="shared" si="1"/>
        <v>2947</v>
      </c>
    </row>
    <row r="50" spans="1:23" s="8" customFormat="1" ht="11.75" customHeight="1">
      <c r="A50" s="9" t="s">
        <v>90</v>
      </c>
      <c r="B50" s="9"/>
      <c r="C50" s="13" t="s">
        <v>91</v>
      </c>
      <c r="D50" s="2"/>
      <c r="E50" s="2"/>
      <c r="F50" s="2"/>
      <c r="G50" s="2"/>
      <c r="H50" s="2"/>
      <c r="I50" s="2"/>
      <c r="J50" s="11"/>
      <c r="K50" s="12">
        <f>SUM(K51:K56)</f>
        <v>0</v>
      </c>
      <c r="L50" s="12">
        <f t="shared" ref="L50:V50" si="10">SUM(L51:L56)</f>
        <v>0</v>
      </c>
      <c r="M50" s="12">
        <f t="shared" si="10"/>
        <v>0</v>
      </c>
      <c r="N50" s="12">
        <f t="shared" si="10"/>
        <v>0</v>
      </c>
      <c r="O50" s="12">
        <f t="shared" si="10"/>
        <v>0</v>
      </c>
      <c r="P50" s="12">
        <f t="shared" si="10"/>
        <v>0</v>
      </c>
      <c r="Q50" s="12">
        <f t="shared" si="10"/>
        <v>0</v>
      </c>
      <c r="R50" s="12">
        <f t="shared" si="10"/>
        <v>0</v>
      </c>
      <c r="S50" s="12">
        <f t="shared" si="10"/>
        <v>0</v>
      </c>
      <c r="T50" s="12">
        <f t="shared" si="10"/>
        <v>0</v>
      </c>
      <c r="U50" s="12">
        <f t="shared" si="10"/>
        <v>0</v>
      </c>
      <c r="V50" s="12">
        <f t="shared" si="10"/>
        <v>0</v>
      </c>
      <c r="W50" s="12">
        <f t="shared" si="1"/>
        <v>0</v>
      </c>
    </row>
    <row r="51" spans="1:23" s="63" customFormat="1" ht="11.75" customHeight="1">
      <c r="A51" s="59" t="s">
        <v>92</v>
      </c>
      <c r="B51" s="59"/>
      <c r="C51" s="59"/>
      <c r="D51" s="64" t="s">
        <v>93</v>
      </c>
      <c r="E51" s="57"/>
      <c r="F51" s="57"/>
      <c r="G51" s="57"/>
      <c r="H51" s="57"/>
      <c r="I51" s="57"/>
      <c r="J51" s="62"/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0</v>
      </c>
      <c r="V51" s="47">
        <v>0</v>
      </c>
      <c r="W51" s="47">
        <f t="shared" si="1"/>
        <v>0</v>
      </c>
    </row>
    <row r="52" spans="1:23" s="63" customFormat="1" ht="11.75" customHeight="1">
      <c r="A52" s="59" t="s">
        <v>94</v>
      </c>
      <c r="B52" s="59"/>
      <c r="C52" s="59"/>
      <c r="D52" s="64" t="s">
        <v>95</v>
      </c>
      <c r="E52" s="57"/>
      <c r="F52" s="57"/>
      <c r="G52" s="57"/>
      <c r="H52" s="57"/>
      <c r="I52" s="57"/>
      <c r="J52" s="62"/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0</v>
      </c>
      <c r="V52" s="47">
        <v>0</v>
      </c>
      <c r="W52" s="47">
        <f t="shared" si="1"/>
        <v>0</v>
      </c>
    </row>
    <row r="53" spans="1:23" s="63" customFormat="1" ht="11.75" customHeight="1">
      <c r="A53" s="59" t="s">
        <v>96</v>
      </c>
      <c r="B53" s="59"/>
      <c r="C53" s="59"/>
      <c r="D53" s="64" t="s">
        <v>97</v>
      </c>
      <c r="E53" s="57"/>
      <c r="F53" s="57"/>
      <c r="G53" s="57"/>
      <c r="H53" s="57"/>
      <c r="I53" s="57"/>
      <c r="J53" s="62"/>
      <c r="K53" s="47">
        <v>0</v>
      </c>
      <c r="L53" s="47">
        <v>0</v>
      </c>
      <c r="M53" s="47">
        <v>0</v>
      </c>
      <c r="N53" s="47">
        <v>0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0</v>
      </c>
      <c r="V53" s="47">
        <v>0</v>
      </c>
      <c r="W53" s="47">
        <f t="shared" si="1"/>
        <v>0</v>
      </c>
    </row>
    <row r="54" spans="1:23" s="63" customFormat="1" ht="11.75" customHeight="1">
      <c r="A54" s="59" t="s">
        <v>98</v>
      </c>
      <c r="B54" s="59"/>
      <c r="C54" s="59"/>
      <c r="D54" s="64" t="s">
        <v>99</v>
      </c>
      <c r="E54" s="57"/>
      <c r="F54" s="57"/>
      <c r="G54" s="57"/>
      <c r="H54" s="57"/>
      <c r="I54" s="57"/>
      <c r="J54" s="62"/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0</v>
      </c>
      <c r="W54" s="47">
        <f t="shared" si="1"/>
        <v>0</v>
      </c>
    </row>
    <row r="55" spans="1:23" s="63" customFormat="1" ht="11.75" customHeight="1">
      <c r="A55" s="59" t="s">
        <v>100</v>
      </c>
      <c r="B55" s="59"/>
      <c r="C55" s="59"/>
      <c r="D55" s="64" t="s">
        <v>101</v>
      </c>
      <c r="E55" s="57"/>
      <c r="F55" s="57"/>
      <c r="G55" s="57"/>
      <c r="H55" s="57"/>
      <c r="I55" s="57"/>
      <c r="J55" s="62"/>
      <c r="K55" s="47"/>
      <c r="L55" s="47"/>
      <c r="M55" s="47"/>
      <c r="N55" s="47"/>
      <c r="O55" s="47"/>
      <c r="P55" s="47"/>
      <c r="Q55" s="47"/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f t="shared" si="1"/>
        <v>0</v>
      </c>
    </row>
    <row r="56" spans="1:23" s="63" customFormat="1" ht="11.75" customHeight="1">
      <c r="A56" s="59" t="s">
        <v>102</v>
      </c>
      <c r="B56" s="59"/>
      <c r="C56" s="59"/>
      <c r="D56" s="64" t="s">
        <v>103</v>
      </c>
      <c r="E56" s="57"/>
      <c r="F56" s="57"/>
      <c r="G56" s="57"/>
      <c r="H56" s="57"/>
      <c r="I56" s="57"/>
      <c r="J56" s="62"/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</v>
      </c>
      <c r="V56" s="47">
        <v>0</v>
      </c>
      <c r="W56" s="47">
        <f t="shared" si="1"/>
        <v>0</v>
      </c>
    </row>
    <row r="57" spans="1:23" s="63" customFormat="1" ht="11.75" customHeight="1">
      <c r="A57" s="59" t="s">
        <v>104</v>
      </c>
      <c r="B57" s="59"/>
      <c r="C57" s="64" t="s">
        <v>105</v>
      </c>
      <c r="D57" s="57"/>
      <c r="E57" s="57"/>
      <c r="F57" s="57"/>
      <c r="G57" s="57"/>
      <c r="H57" s="57"/>
      <c r="I57" s="57"/>
      <c r="J57" s="62"/>
      <c r="K57" s="47">
        <v>0</v>
      </c>
      <c r="L57" s="47">
        <v>0</v>
      </c>
      <c r="M57" s="47">
        <v>0</v>
      </c>
      <c r="N57" s="47">
        <v>0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f t="shared" si="1"/>
        <v>0</v>
      </c>
    </row>
    <row r="58" spans="1:23" s="8" customFormat="1" ht="11.75" customHeight="1">
      <c r="A58" s="9" t="s">
        <v>106</v>
      </c>
      <c r="B58" s="9"/>
      <c r="C58" s="13" t="s">
        <v>107</v>
      </c>
      <c r="D58" s="2"/>
      <c r="E58" s="2"/>
      <c r="F58" s="2"/>
      <c r="G58" s="2"/>
      <c r="H58" s="2"/>
      <c r="I58" s="2"/>
      <c r="J58" s="11"/>
      <c r="K58" s="12">
        <f>SUM(K59:K60)</f>
        <v>0</v>
      </c>
      <c r="L58" s="12">
        <f t="shared" ref="L58:V58" si="11">SUM(L59:L60)</f>
        <v>0</v>
      </c>
      <c r="M58" s="12">
        <f t="shared" si="11"/>
        <v>0</v>
      </c>
      <c r="N58" s="12">
        <f t="shared" si="11"/>
        <v>87000</v>
      </c>
      <c r="O58" s="12">
        <f t="shared" si="11"/>
        <v>0</v>
      </c>
      <c r="P58" s="12">
        <f t="shared" si="11"/>
        <v>87000</v>
      </c>
      <c r="Q58" s="12">
        <f t="shared" si="11"/>
        <v>0</v>
      </c>
      <c r="R58" s="12">
        <f t="shared" si="11"/>
        <v>0</v>
      </c>
      <c r="S58" s="12">
        <f t="shared" si="11"/>
        <v>0</v>
      </c>
      <c r="T58" s="12">
        <f t="shared" si="11"/>
        <v>0</v>
      </c>
      <c r="U58" s="12">
        <f t="shared" si="11"/>
        <v>0</v>
      </c>
      <c r="V58" s="12">
        <f t="shared" si="11"/>
        <v>0</v>
      </c>
      <c r="W58" s="12">
        <f t="shared" si="1"/>
        <v>174000</v>
      </c>
    </row>
    <row r="59" spans="1:23" s="63" customFormat="1" ht="11.75" customHeight="1">
      <c r="A59" s="59" t="s">
        <v>108</v>
      </c>
      <c r="B59" s="59"/>
      <c r="C59" s="59"/>
      <c r="D59" s="64" t="s">
        <v>107</v>
      </c>
      <c r="E59" s="57"/>
      <c r="F59" s="57"/>
      <c r="G59" s="57"/>
      <c r="H59" s="57"/>
      <c r="I59" s="57"/>
      <c r="J59" s="62"/>
      <c r="K59" s="47">
        <v>0</v>
      </c>
      <c r="L59" s="47">
        <v>0</v>
      </c>
      <c r="M59" s="47">
        <v>0</v>
      </c>
      <c r="N59" s="47">
        <v>87000</v>
      </c>
      <c r="O59" s="47">
        <v>0</v>
      </c>
      <c r="P59" s="47">
        <v>87000</v>
      </c>
      <c r="Q59" s="47">
        <v>0</v>
      </c>
      <c r="R59" s="47">
        <v>0</v>
      </c>
      <c r="S59" s="47">
        <v>0</v>
      </c>
      <c r="T59" s="47">
        <v>0</v>
      </c>
      <c r="U59" s="47">
        <v>0</v>
      </c>
      <c r="V59" s="47">
        <v>0</v>
      </c>
      <c r="W59" s="47">
        <f t="shared" si="1"/>
        <v>174000</v>
      </c>
    </row>
    <row r="60" spans="1:23" s="63" customFormat="1" ht="11.75" customHeight="1">
      <c r="A60" s="59" t="s">
        <v>109</v>
      </c>
      <c r="B60" s="59"/>
      <c r="C60" s="59"/>
      <c r="D60" s="64" t="s">
        <v>110</v>
      </c>
      <c r="E60" s="57"/>
      <c r="F60" s="57"/>
      <c r="G60" s="57"/>
      <c r="H60" s="57"/>
      <c r="I60" s="57"/>
      <c r="J60" s="62"/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0</v>
      </c>
      <c r="V60" s="47">
        <v>0</v>
      </c>
      <c r="W60" s="47">
        <f t="shared" si="1"/>
        <v>0</v>
      </c>
    </row>
    <row r="61" spans="1:23" s="63" customFormat="1" ht="11.75" customHeight="1">
      <c r="A61" s="59" t="s">
        <v>111</v>
      </c>
      <c r="B61" s="59"/>
      <c r="C61" s="64" t="s">
        <v>112</v>
      </c>
      <c r="D61" s="57"/>
      <c r="E61" s="57"/>
      <c r="F61" s="57"/>
      <c r="G61" s="57"/>
      <c r="H61" s="57"/>
      <c r="I61" s="57"/>
      <c r="J61" s="62"/>
      <c r="K61" s="47">
        <v>0</v>
      </c>
      <c r="L61" s="47">
        <v>51215</v>
      </c>
      <c r="M61" s="47">
        <v>27472</v>
      </c>
      <c r="N61" s="47">
        <v>165340</v>
      </c>
      <c r="O61" s="47">
        <v>255711</v>
      </c>
      <c r="P61" s="47">
        <v>217356</v>
      </c>
      <c r="Q61" s="47">
        <v>93558</v>
      </c>
      <c r="R61" s="47">
        <v>0</v>
      </c>
      <c r="S61" s="47">
        <v>0</v>
      </c>
      <c r="T61" s="47">
        <v>0</v>
      </c>
      <c r="U61" s="47">
        <v>0</v>
      </c>
      <c r="V61" s="47">
        <v>0</v>
      </c>
      <c r="W61" s="47">
        <f t="shared" si="1"/>
        <v>810652</v>
      </c>
    </row>
    <row r="62" spans="1:23" s="63" customFormat="1" ht="11.75" customHeight="1">
      <c r="A62" s="59" t="s">
        <v>113</v>
      </c>
      <c r="B62" s="59"/>
      <c r="C62" s="64" t="s">
        <v>114</v>
      </c>
      <c r="D62" s="57"/>
      <c r="E62" s="57"/>
      <c r="F62" s="57"/>
      <c r="G62" s="57"/>
      <c r="H62" s="57"/>
      <c r="I62" s="57"/>
      <c r="J62" s="62"/>
      <c r="K62" s="47">
        <v>0</v>
      </c>
      <c r="L62" s="47">
        <v>0</v>
      </c>
      <c r="M62" s="47">
        <v>0</v>
      </c>
      <c r="N62" s="47">
        <v>0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  <c r="W62" s="47">
        <f t="shared" si="1"/>
        <v>0</v>
      </c>
    </row>
    <row r="63" spans="1:23" s="63" customFormat="1" ht="11.75" customHeight="1">
      <c r="A63" s="59" t="s">
        <v>115</v>
      </c>
      <c r="B63" s="59"/>
      <c r="C63" s="64" t="s">
        <v>116</v>
      </c>
      <c r="D63" s="57"/>
      <c r="E63" s="57"/>
      <c r="F63" s="57"/>
      <c r="G63" s="57"/>
      <c r="H63" s="57"/>
      <c r="I63" s="57"/>
      <c r="J63" s="62"/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0</v>
      </c>
      <c r="V63" s="47">
        <v>0</v>
      </c>
      <c r="W63" s="47">
        <f t="shared" si="1"/>
        <v>0</v>
      </c>
    </row>
    <row r="64" spans="1:23" s="63" customFormat="1" ht="11.75" customHeight="1">
      <c r="A64" s="59" t="s">
        <v>117</v>
      </c>
      <c r="B64" s="59"/>
      <c r="C64" s="64" t="s">
        <v>118</v>
      </c>
      <c r="D64" s="57"/>
      <c r="E64" s="57"/>
      <c r="F64" s="57"/>
      <c r="G64" s="57"/>
      <c r="H64" s="57"/>
      <c r="I64" s="57"/>
      <c r="J64" s="62"/>
      <c r="K64" s="47">
        <v>0</v>
      </c>
      <c r="L64" s="47">
        <v>0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f t="shared" si="1"/>
        <v>0</v>
      </c>
    </row>
    <row r="65" spans="1:23" s="63" customFormat="1" ht="11.75" customHeight="1">
      <c r="A65" s="59" t="s">
        <v>119</v>
      </c>
      <c r="B65" s="59"/>
      <c r="C65" s="64" t="s">
        <v>120</v>
      </c>
      <c r="D65" s="57"/>
      <c r="E65" s="57"/>
      <c r="F65" s="57"/>
      <c r="G65" s="57"/>
      <c r="H65" s="57"/>
      <c r="I65" s="57"/>
      <c r="J65" s="62"/>
      <c r="K65" s="47">
        <v>29000</v>
      </c>
      <c r="L65" s="47">
        <v>171500</v>
      </c>
      <c r="M65" s="47">
        <v>6379807</v>
      </c>
      <c r="N65" s="47">
        <v>7639963</v>
      </c>
      <c r="O65" s="47">
        <v>8423291</v>
      </c>
      <c r="P65" s="47">
        <v>4467012</v>
      </c>
      <c r="Q65" s="47">
        <v>15394634</v>
      </c>
      <c r="R65" s="47">
        <v>3092880</v>
      </c>
      <c r="S65" s="47">
        <v>29000</v>
      </c>
      <c r="T65" s="47">
        <v>14000</v>
      </c>
      <c r="U65" s="47">
        <v>14000</v>
      </c>
      <c r="V65" s="47">
        <v>14000</v>
      </c>
      <c r="W65" s="47">
        <f t="shared" si="1"/>
        <v>45669087</v>
      </c>
    </row>
    <row r="66" spans="1:23" s="63" customFormat="1" ht="11.75" customHeight="1">
      <c r="A66" s="59" t="s">
        <v>121</v>
      </c>
      <c r="B66" s="59"/>
      <c r="C66" s="64" t="s">
        <v>122</v>
      </c>
      <c r="D66" s="57"/>
      <c r="E66" s="57"/>
      <c r="F66" s="57"/>
      <c r="G66" s="57"/>
      <c r="H66" s="57"/>
      <c r="I66" s="57"/>
      <c r="J66" s="62"/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f t="shared" si="1"/>
        <v>0</v>
      </c>
    </row>
    <row r="67" spans="1:23" s="8" customFormat="1" ht="11.75" customHeight="1">
      <c r="A67" s="9" t="s">
        <v>123</v>
      </c>
      <c r="B67" s="9"/>
      <c r="C67" s="13" t="s">
        <v>124</v>
      </c>
      <c r="D67" s="2"/>
      <c r="E67" s="2"/>
      <c r="F67" s="2"/>
      <c r="G67" s="2"/>
      <c r="H67" s="2"/>
      <c r="I67" s="2"/>
      <c r="J67" s="11"/>
      <c r="K67" s="12">
        <f>SUM(K68:K69)</f>
        <v>0</v>
      </c>
      <c r="L67" s="12">
        <f t="shared" ref="L67:V67" si="12">SUM(L68:L69)</f>
        <v>26048</v>
      </c>
      <c r="M67" s="12">
        <f t="shared" si="12"/>
        <v>243356</v>
      </c>
      <c r="N67" s="12">
        <f t="shared" si="12"/>
        <v>848446</v>
      </c>
      <c r="O67" s="12">
        <f t="shared" si="12"/>
        <v>980886</v>
      </c>
      <c r="P67" s="12">
        <f t="shared" si="12"/>
        <v>535133</v>
      </c>
      <c r="Q67" s="12">
        <f t="shared" si="12"/>
        <v>16484</v>
      </c>
      <c r="R67" s="12">
        <f t="shared" si="12"/>
        <v>0</v>
      </c>
      <c r="S67" s="12">
        <f t="shared" si="12"/>
        <v>0</v>
      </c>
      <c r="T67" s="12">
        <f t="shared" si="12"/>
        <v>0</v>
      </c>
      <c r="U67" s="12">
        <f t="shared" si="12"/>
        <v>0</v>
      </c>
      <c r="V67" s="12">
        <f t="shared" si="12"/>
        <v>0</v>
      </c>
      <c r="W67" s="12">
        <f t="shared" si="1"/>
        <v>2650353</v>
      </c>
    </row>
    <row r="68" spans="1:23" s="63" customFormat="1" ht="11.75" customHeight="1">
      <c r="A68" s="59" t="s">
        <v>125</v>
      </c>
      <c r="B68" s="59"/>
      <c r="C68" s="59"/>
      <c r="D68" s="64" t="s">
        <v>124</v>
      </c>
      <c r="E68" s="57"/>
      <c r="F68" s="57"/>
      <c r="G68" s="57"/>
      <c r="H68" s="57"/>
      <c r="I68" s="57"/>
      <c r="J68" s="62"/>
      <c r="K68" s="47">
        <v>0</v>
      </c>
      <c r="L68" s="47">
        <v>26048</v>
      </c>
      <c r="M68" s="47">
        <v>243356</v>
      </c>
      <c r="N68" s="47">
        <v>848446</v>
      </c>
      <c r="O68" s="47">
        <v>980886</v>
      </c>
      <c r="P68" s="47">
        <v>535133</v>
      </c>
      <c r="Q68" s="47">
        <v>16484</v>
      </c>
      <c r="R68" s="47">
        <v>0</v>
      </c>
      <c r="S68" s="47">
        <v>0</v>
      </c>
      <c r="T68" s="47">
        <v>0</v>
      </c>
      <c r="U68" s="47">
        <v>0</v>
      </c>
      <c r="V68" s="47">
        <v>0</v>
      </c>
      <c r="W68" s="47">
        <f t="shared" si="1"/>
        <v>2650353</v>
      </c>
    </row>
    <row r="69" spans="1:23" s="63" customFormat="1" ht="11.75" customHeight="1">
      <c r="A69" s="59" t="s">
        <v>126</v>
      </c>
      <c r="B69" s="59"/>
      <c r="C69" s="59"/>
      <c r="D69" s="64" t="s">
        <v>127</v>
      </c>
      <c r="E69" s="57"/>
      <c r="F69" s="57"/>
      <c r="G69" s="57"/>
      <c r="H69" s="57"/>
      <c r="I69" s="57"/>
      <c r="J69" s="62"/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f t="shared" si="1"/>
        <v>0</v>
      </c>
    </row>
    <row r="70" spans="1:23" s="63" customFormat="1" ht="11.75" customHeight="1">
      <c r="A70" s="59" t="s">
        <v>128</v>
      </c>
      <c r="B70" s="59"/>
      <c r="C70" s="64" t="s">
        <v>129</v>
      </c>
      <c r="D70" s="57"/>
      <c r="E70" s="57"/>
      <c r="F70" s="57"/>
      <c r="G70" s="57"/>
      <c r="H70" s="57"/>
      <c r="I70" s="57"/>
      <c r="J70" s="62"/>
      <c r="K70" s="47">
        <v>0</v>
      </c>
      <c r="L70" s="47">
        <v>0</v>
      </c>
      <c r="M70" s="47">
        <v>0</v>
      </c>
      <c r="N70" s="47">
        <v>0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0</v>
      </c>
      <c r="V70" s="47">
        <v>0</v>
      </c>
      <c r="W70" s="47">
        <f t="shared" si="1"/>
        <v>0</v>
      </c>
    </row>
    <row r="71" spans="1:23" s="63" customFormat="1" ht="11.75" customHeight="1">
      <c r="A71" s="59" t="s">
        <v>130</v>
      </c>
      <c r="B71" s="59"/>
      <c r="C71" s="64" t="s">
        <v>131</v>
      </c>
      <c r="D71" s="57"/>
      <c r="E71" s="57"/>
      <c r="F71" s="57"/>
      <c r="G71" s="57"/>
      <c r="H71" s="57"/>
      <c r="I71" s="57"/>
      <c r="J71" s="62"/>
      <c r="K71" s="47">
        <v>3020</v>
      </c>
      <c r="L71" s="47">
        <v>3020</v>
      </c>
      <c r="M71" s="47">
        <v>20775</v>
      </c>
      <c r="N71" s="47">
        <v>11392</v>
      </c>
      <c r="O71" s="47">
        <v>18139</v>
      </c>
      <c r="P71" s="47">
        <v>15459</v>
      </c>
      <c r="Q71" s="47">
        <v>5690</v>
      </c>
      <c r="R71" s="47">
        <v>3020</v>
      </c>
      <c r="S71" s="47">
        <v>3020</v>
      </c>
      <c r="T71" s="47">
        <v>0</v>
      </c>
      <c r="U71" s="47">
        <v>0</v>
      </c>
      <c r="V71" s="47">
        <v>0</v>
      </c>
      <c r="W71" s="47">
        <f t="shared" ref="W71:W118" si="13">SUM(K71:V71)</f>
        <v>83535</v>
      </c>
    </row>
    <row r="72" spans="1:23" s="8" customFormat="1" ht="11.75" customHeight="1">
      <c r="A72" s="9" t="s">
        <v>132</v>
      </c>
      <c r="B72" s="9"/>
      <c r="C72" s="13" t="s">
        <v>133</v>
      </c>
      <c r="D72" s="2"/>
      <c r="E72" s="2"/>
      <c r="F72" s="2"/>
      <c r="G72" s="2"/>
      <c r="H72" s="2"/>
      <c r="I72" s="2"/>
      <c r="J72" s="11"/>
      <c r="K72" s="12">
        <f>SUM(K73:K77)</f>
        <v>0</v>
      </c>
      <c r="L72" s="12">
        <f t="shared" ref="L72:V72" si="14">SUM(L73:L77)</f>
        <v>0</v>
      </c>
      <c r="M72" s="12">
        <f t="shared" si="14"/>
        <v>16379</v>
      </c>
      <c r="N72" s="12">
        <f t="shared" si="14"/>
        <v>165566</v>
      </c>
      <c r="O72" s="12">
        <f t="shared" si="14"/>
        <v>256271</v>
      </c>
      <c r="P72" s="12">
        <f t="shared" si="14"/>
        <v>233333</v>
      </c>
      <c r="Q72" s="12">
        <f t="shared" si="14"/>
        <v>101031</v>
      </c>
      <c r="R72" s="12">
        <f t="shared" si="14"/>
        <v>0</v>
      </c>
      <c r="S72" s="12">
        <f t="shared" si="14"/>
        <v>0</v>
      </c>
      <c r="T72" s="12">
        <f t="shared" si="14"/>
        <v>0</v>
      </c>
      <c r="U72" s="12">
        <f t="shared" si="14"/>
        <v>0</v>
      </c>
      <c r="V72" s="12">
        <f t="shared" si="14"/>
        <v>0</v>
      </c>
      <c r="W72" s="12">
        <f t="shared" si="13"/>
        <v>772580</v>
      </c>
    </row>
    <row r="73" spans="1:23" s="63" customFormat="1" ht="11.75" customHeight="1">
      <c r="A73" s="59" t="s">
        <v>134</v>
      </c>
      <c r="B73" s="59"/>
      <c r="C73" s="59"/>
      <c r="D73" s="64" t="s">
        <v>135</v>
      </c>
      <c r="E73" s="57"/>
      <c r="F73" s="57"/>
      <c r="G73" s="57"/>
      <c r="H73" s="57"/>
      <c r="I73" s="57"/>
      <c r="J73" s="62"/>
      <c r="K73" s="47">
        <v>0</v>
      </c>
      <c r="L73" s="47">
        <v>0</v>
      </c>
      <c r="M73" s="47">
        <v>9603</v>
      </c>
      <c r="N73" s="47">
        <v>114576</v>
      </c>
      <c r="O73" s="47">
        <v>176781</v>
      </c>
      <c r="P73" s="47">
        <v>162393</v>
      </c>
      <c r="Q73" s="47">
        <v>79630</v>
      </c>
      <c r="R73" s="47">
        <v>0</v>
      </c>
      <c r="S73" s="47">
        <v>0</v>
      </c>
      <c r="T73" s="47">
        <v>0</v>
      </c>
      <c r="U73" s="47">
        <v>0</v>
      </c>
      <c r="V73" s="47">
        <v>0</v>
      </c>
      <c r="W73" s="47">
        <f t="shared" si="13"/>
        <v>542983</v>
      </c>
    </row>
    <row r="74" spans="1:23" s="63" customFormat="1" ht="11.75" customHeight="1">
      <c r="A74" s="59" t="s">
        <v>136</v>
      </c>
      <c r="B74" s="59"/>
      <c r="C74" s="59"/>
      <c r="D74" s="64" t="s">
        <v>137</v>
      </c>
      <c r="E74" s="57"/>
      <c r="F74" s="57"/>
      <c r="G74" s="57"/>
      <c r="H74" s="57"/>
      <c r="I74" s="57"/>
      <c r="J74" s="62"/>
      <c r="K74" s="47">
        <v>0</v>
      </c>
      <c r="L74" s="47">
        <v>0</v>
      </c>
      <c r="M74" s="47">
        <v>6776</v>
      </c>
      <c r="N74" s="47">
        <v>50990</v>
      </c>
      <c r="O74" s="47">
        <v>79490</v>
      </c>
      <c r="P74" s="47">
        <v>70940</v>
      </c>
      <c r="Q74" s="47">
        <v>21401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f t="shared" si="13"/>
        <v>229597</v>
      </c>
    </row>
    <row r="75" spans="1:23" s="63" customFormat="1" ht="11.75" customHeight="1">
      <c r="A75" s="59" t="s">
        <v>138</v>
      </c>
      <c r="B75" s="59"/>
      <c r="C75" s="59"/>
      <c r="D75" s="64" t="s">
        <v>139</v>
      </c>
      <c r="E75" s="57"/>
      <c r="F75" s="57"/>
      <c r="G75" s="57"/>
      <c r="H75" s="57"/>
      <c r="I75" s="57"/>
      <c r="J75" s="62"/>
      <c r="K75" s="47"/>
      <c r="L75" s="47"/>
      <c r="M75" s="47"/>
      <c r="N75" s="47"/>
      <c r="O75" s="47"/>
      <c r="P75" s="47"/>
      <c r="Q75" s="47"/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f t="shared" si="13"/>
        <v>0</v>
      </c>
    </row>
    <row r="76" spans="1:23" s="63" customFormat="1" ht="11.75" customHeight="1">
      <c r="A76" s="59" t="s">
        <v>140</v>
      </c>
      <c r="B76" s="59"/>
      <c r="C76" s="59"/>
      <c r="D76" s="64" t="s">
        <v>141</v>
      </c>
      <c r="E76" s="57"/>
      <c r="F76" s="57"/>
      <c r="G76" s="57"/>
      <c r="H76" s="57"/>
      <c r="I76" s="57"/>
      <c r="J76" s="62"/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f t="shared" si="13"/>
        <v>0</v>
      </c>
    </row>
    <row r="77" spans="1:23" s="63" customFormat="1" ht="11.75" customHeight="1">
      <c r="A77" s="59" t="s">
        <v>142</v>
      </c>
      <c r="B77" s="59"/>
      <c r="C77" s="59"/>
      <c r="D77" s="64" t="s">
        <v>143</v>
      </c>
      <c r="E77" s="57"/>
      <c r="F77" s="57"/>
      <c r="G77" s="57"/>
      <c r="H77" s="57"/>
      <c r="I77" s="57"/>
      <c r="J77" s="62"/>
      <c r="K77" s="47">
        <v>0</v>
      </c>
      <c r="L77" s="47">
        <v>0</v>
      </c>
      <c r="M77" s="47">
        <v>0</v>
      </c>
      <c r="N77" s="47">
        <v>0</v>
      </c>
      <c r="O77" s="47">
        <v>0</v>
      </c>
      <c r="P77" s="47">
        <v>0</v>
      </c>
      <c r="Q77" s="47">
        <v>0</v>
      </c>
      <c r="R77" s="47">
        <v>0</v>
      </c>
      <c r="S77" s="47">
        <v>0</v>
      </c>
      <c r="T77" s="47">
        <v>0</v>
      </c>
      <c r="U77" s="47">
        <v>0</v>
      </c>
      <c r="V77" s="47">
        <v>0</v>
      </c>
      <c r="W77" s="47">
        <f t="shared" si="13"/>
        <v>0</v>
      </c>
    </row>
    <row r="78" spans="1:23" s="63" customFormat="1" ht="11.75" customHeight="1">
      <c r="A78" s="59" t="s">
        <v>144</v>
      </c>
      <c r="B78" s="59"/>
      <c r="C78" s="64" t="s">
        <v>145</v>
      </c>
      <c r="D78" s="57"/>
      <c r="E78" s="57"/>
      <c r="F78" s="57"/>
      <c r="G78" s="57"/>
      <c r="H78" s="57"/>
      <c r="I78" s="57"/>
      <c r="J78" s="62"/>
      <c r="K78" s="47">
        <v>0</v>
      </c>
      <c r="L78" s="47">
        <v>15910</v>
      </c>
      <c r="M78" s="47">
        <v>200</v>
      </c>
      <c r="N78" s="47">
        <v>0</v>
      </c>
      <c r="O78" s="47">
        <v>0</v>
      </c>
      <c r="P78" s="47">
        <v>0</v>
      </c>
      <c r="Q78" s="47">
        <v>0</v>
      </c>
      <c r="R78" s="47">
        <v>0</v>
      </c>
      <c r="S78" s="47">
        <v>0</v>
      </c>
      <c r="T78" s="47">
        <v>0</v>
      </c>
      <c r="U78" s="47">
        <v>0</v>
      </c>
      <c r="V78" s="47">
        <v>0</v>
      </c>
      <c r="W78" s="47">
        <f t="shared" si="13"/>
        <v>16110</v>
      </c>
    </row>
    <row r="79" spans="1:23" s="63" customFormat="1" ht="11.75" customHeight="1">
      <c r="A79" s="59" t="s">
        <v>146</v>
      </c>
      <c r="B79" s="59"/>
      <c r="C79" s="64" t="s">
        <v>147</v>
      </c>
      <c r="D79" s="57"/>
      <c r="E79" s="57"/>
      <c r="F79" s="57"/>
      <c r="G79" s="57"/>
      <c r="H79" s="57"/>
      <c r="I79" s="57"/>
      <c r="J79" s="62"/>
      <c r="K79" s="47">
        <v>0</v>
      </c>
      <c r="L79" s="47">
        <v>0</v>
      </c>
      <c r="M79" s="47">
        <v>0</v>
      </c>
      <c r="N79" s="47">
        <v>100000</v>
      </c>
      <c r="O79" s="47">
        <v>45000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0</v>
      </c>
      <c r="V79" s="47">
        <v>0</v>
      </c>
      <c r="W79" s="47">
        <f t="shared" si="13"/>
        <v>145000</v>
      </c>
    </row>
    <row r="80" spans="1:23" s="8" customFormat="1" ht="11.75" customHeight="1">
      <c r="A80" s="9" t="s">
        <v>148</v>
      </c>
      <c r="B80" s="9"/>
      <c r="C80" s="13" t="s">
        <v>149</v>
      </c>
      <c r="D80" s="2"/>
      <c r="E80" s="2"/>
      <c r="F80" s="2"/>
      <c r="G80" s="2"/>
      <c r="H80" s="2"/>
      <c r="I80" s="2"/>
      <c r="J80" s="11"/>
      <c r="K80" s="12">
        <f>SUM(K81:K82)</f>
        <v>0</v>
      </c>
      <c r="L80" s="12">
        <f t="shared" ref="L80:V80" si="15">SUM(L81:L82)</f>
        <v>0</v>
      </c>
      <c r="M80" s="12">
        <f t="shared" si="15"/>
        <v>0</v>
      </c>
      <c r="N80" s="12">
        <f t="shared" si="15"/>
        <v>0</v>
      </c>
      <c r="O80" s="12">
        <f t="shared" si="15"/>
        <v>0</v>
      </c>
      <c r="P80" s="12">
        <f t="shared" si="15"/>
        <v>0</v>
      </c>
      <c r="Q80" s="12">
        <f t="shared" si="15"/>
        <v>0</v>
      </c>
      <c r="R80" s="12">
        <f t="shared" si="15"/>
        <v>0</v>
      </c>
      <c r="S80" s="12">
        <f t="shared" si="15"/>
        <v>0</v>
      </c>
      <c r="T80" s="12">
        <f t="shared" si="15"/>
        <v>0</v>
      </c>
      <c r="U80" s="12">
        <f t="shared" si="15"/>
        <v>0</v>
      </c>
      <c r="V80" s="12">
        <f t="shared" si="15"/>
        <v>0</v>
      </c>
      <c r="W80" s="12">
        <f t="shared" si="13"/>
        <v>0</v>
      </c>
    </row>
    <row r="81" spans="1:23" s="63" customFormat="1" ht="11.75" customHeight="1">
      <c r="A81" s="59" t="s">
        <v>150</v>
      </c>
      <c r="B81" s="59"/>
      <c r="C81" s="59"/>
      <c r="D81" s="64" t="s">
        <v>151</v>
      </c>
      <c r="E81" s="57"/>
      <c r="F81" s="57"/>
      <c r="G81" s="57"/>
      <c r="H81" s="57"/>
      <c r="I81" s="57"/>
      <c r="J81" s="62"/>
      <c r="K81" s="47">
        <v>0</v>
      </c>
      <c r="L81" s="47">
        <v>0</v>
      </c>
      <c r="M81" s="47">
        <v>0</v>
      </c>
      <c r="N81" s="47">
        <v>0</v>
      </c>
      <c r="O81" s="47">
        <v>0</v>
      </c>
      <c r="P81" s="47">
        <v>0</v>
      </c>
      <c r="Q81" s="47">
        <v>0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f t="shared" si="13"/>
        <v>0</v>
      </c>
    </row>
    <row r="82" spans="1:23" s="63" customFormat="1" ht="11.75" customHeight="1">
      <c r="A82" s="59" t="s">
        <v>152</v>
      </c>
      <c r="B82" s="59"/>
      <c r="C82" s="59"/>
      <c r="D82" s="64" t="s">
        <v>153</v>
      </c>
      <c r="E82" s="57"/>
      <c r="F82" s="57"/>
      <c r="G82" s="57"/>
      <c r="H82" s="57"/>
      <c r="I82" s="57"/>
      <c r="J82" s="62"/>
      <c r="K82" s="47">
        <v>0</v>
      </c>
      <c r="L82" s="47">
        <v>0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f t="shared" si="13"/>
        <v>0</v>
      </c>
    </row>
    <row r="83" spans="1:23" s="63" customFormat="1" ht="11.75" customHeight="1">
      <c r="A83" s="59" t="s">
        <v>154</v>
      </c>
      <c r="B83" s="59"/>
      <c r="C83" s="64" t="s">
        <v>155</v>
      </c>
      <c r="D83" s="57"/>
      <c r="E83" s="57"/>
      <c r="F83" s="57"/>
      <c r="G83" s="57"/>
      <c r="H83" s="57"/>
      <c r="I83" s="57"/>
      <c r="J83" s="62"/>
      <c r="K83" s="47">
        <v>0</v>
      </c>
      <c r="L83" s="47">
        <v>0</v>
      </c>
      <c r="M83" s="47">
        <v>0</v>
      </c>
      <c r="N83" s="47">
        <v>0</v>
      </c>
      <c r="O83" s="47">
        <v>0</v>
      </c>
      <c r="P83" s="47">
        <v>0</v>
      </c>
      <c r="Q83" s="47">
        <v>0</v>
      </c>
      <c r="R83" s="47">
        <v>0</v>
      </c>
      <c r="S83" s="47">
        <v>0</v>
      </c>
      <c r="T83" s="47">
        <v>0</v>
      </c>
      <c r="U83" s="47">
        <v>0</v>
      </c>
      <c r="V83" s="47">
        <v>0</v>
      </c>
      <c r="W83" s="47">
        <f t="shared" si="13"/>
        <v>0</v>
      </c>
    </row>
    <row r="84" spans="1:23" s="63" customFormat="1" ht="11.75" customHeight="1">
      <c r="A84" s="59" t="s">
        <v>156</v>
      </c>
      <c r="B84" s="59"/>
      <c r="C84" s="64" t="s">
        <v>157</v>
      </c>
      <c r="D84" s="57"/>
      <c r="E84" s="57"/>
      <c r="F84" s="57"/>
      <c r="G84" s="57"/>
      <c r="H84" s="57"/>
      <c r="I84" s="57"/>
      <c r="J84" s="62"/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f t="shared" si="13"/>
        <v>0</v>
      </c>
    </row>
    <row r="85" spans="1:23" s="8" customFormat="1" ht="11.75" customHeight="1">
      <c r="A85" s="9" t="s">
        <v>158</v>
      </c>
      <c r="B85" s="22" t="s">
        <v>159</v>
      </c>
      <c r="C85" s="23"/>
      <c r="D85" s="23"/>
      <c r="E85" s="23"/>
      <c r="F85" s="23"/>
      <c r="G85" s="23"/>
      <c r="H85" s="23"/>
      <c r="I85" s="23"/>
      <c r="J85" s="24"/>
      <c r="K85" s="25">
        <f>SUM(K86:K96)</f>
        <v>32014</v>
      </c>
      <c r="L85" s="25">
        <f t="shared" ref="L85:V85" si="16">SUM(L86:L96)</f>
        <v>32014</v>
      </c>
      <c r="M85" s="25">
        <f t="shared" si="16"/>
        <v>32014</v>
      </c>
      <c r="N85" s="25">
        <f t="shared" si="16"/>
        <v>182212</v>
      </c>
      <c r="O85" s="25">
        <f t="shared" si="16"/>
        <v>107113</v>
      </c>
      <c r="P85" s="25">
        <f t="shared" si="16"/>
        <v>107113</v>
      </c>
      <c r="Q85" s="25">
        <f t="shared" si="16"/>
        <v>107113</v>
      </c>
      <c r="R85" s="25">
        <f t="shared" si="16"/>
        <v>107113</v>
      </c>
      <c r="S85" s="25">
        <f t="shared" si="16"/>
        <v>107113</v>
      </c>
      <c r="T85" s="25">
        <f t="shared" si="16"/>
        <v>107113</v>
      </c>
      <c r="U85" s="25">
        <f t="shared" si="16"/>
        <v>107113</v>
      </c>
      <c r="V85" s="25">
        <f t="shared" si="16"/>
        <v>107176</v>
      </c>
      <c r="W85" s="25">
        <f t="shared" si="13"/>
        <v>1135221</v>
      </c>
    </row>
    <row r="86" spans="1:23" s="63" customFormat="1" ht="11.75" customHeight="1">
      <c r="A86" s="59" t="s">
        <v>160</v>
      </c>
      <c r="B86" s="60"/>
      <c r="C86" s="61" t="s">
        <v>93</v>
      </c>
      <c r="D86" s="57"/>
      <c r="E86" s="57"/>
      <c r="F86" s="57"/>
      <c r="G86" s="57"/>
      <c r="H86" s="57"/>
      <c r="I86" s="57"/>
      <c r="J86" s="62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>
        <f t="shared" si="13"/>
        <v>0</v>
      </c>
    </row>
    <row r="87" spans="1:23" s="63" customFormat="1" ht="11.75" customHeight="1">
      <c r="A87" s="59" t="s">
        <v>161</v>
      </c>
      <c r="B87" s="59"/>
      <c r="C87" s="64" t="s">
        <v>162</v>
      </c>
      <c r="D87" s="57"/>
      <c r="E87" s="57"/>
      <c r="F87" s="57"/>
      <c r="G87" s="57"/>
      <c r="H87" s="57"/>
      <c r="I87" s="57"/>
      <c r="J87" s="62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>
        <f t="shared" si="13"/>
        <v>0</v>
      </c>
    </row>
    <row r="88" spans="1:23" s="63" customFormat="1" ht="11.75" customHeight="1">
      <c r="A88" s="59" t="s">
        <v>163</v>
      </c>
      <c r="B88" s="59"/>
      <c r="C88" s="64" t="s">
        <v>97</v>
      </c>
      <c r="D88" s="57"/>
      <c r="E88" s="57"/>
      <c r="F88" s="57"/>
      <c r="G88" s="57"/>
      <c r="H88" s="57"/>
      <c r="I88" s="57"/>
      <c r="J88" s="62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>
        <f t="shared" si="13"/>
        <v>0</v>
      </c>
    </row>
    <row r="89" spans="1:23" s="63" customFormat="1" ht="11.75" customHeight="1">
      <c r="A89" s="59" t="s">
        <v>164</v>
      </c>
      <c r="B89" s="59"/>
      <c r="C89" s="64" t="s">
        <v>165</v>
      </c>
      <c r="D89" s="57"/>
      <c r="E89" s="57"/>
      <c r="F89" s="57"/>
      <c r="G89" s="57"/>
      <c r="H89" s="57"/>
      <c r="I89" s="57"/>
      <c r="J89" s="62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>
        <f t="shared" si="13"/>
        <v>0</v>
      </c>
    </row>
    <row r="90" spans="1:23" s="63" customFormat="1" ht="11.75" customHeight="1">
      <c r="A90" s="59" t="s">
        <v>166</v>
      </c>
      <c r="B90" s="59"/>
      <c r="C90" s="64" t="s">
        <v>101</v>
      </c>
      <c r="D90" s="57"/>
      <c r="E90" s="57"/>
      <c r="F90" s="57"/>
      <c r="G90" s="57"/>
      <c r="H90" s="57"/>
      <c r="I90" s="57"/>
      <c r="J90" s="62"/>
      <c r="K90" s="47">
        <v>10070</v>
      </c>
      <c r="L90" s="47">
        <v>10070</v>
      </c>
      <c r="M90" s="47">
        <v>10070</v>
      </c>
      <c r="N90" s="47">
        <v>140492</v>
      </c>
      <c r="O90" s="47">
        <v>75281</v>
      </c>
      <c r="P90" s="47">
        <v>75281</v>
      </c>
      <c r="Q90" s="47">
        <v>75281</v>
      </c>
      <c r="R90" s="47">
        <v>75281</v>
      </c>
      <c r="S90" s="47">
        <v>75281</v>
      </c>
      <c r="T90" s="47">
        <v>75281</v>
      </c>
      <c r="U90" s="47">
        <v>75281</v>
      </c>
      <c r="V90" s="47">
        <v>75323</v>
      </c>
      <c r="W90" s="47">
        <f t="shared" si="13"/>
        <v>772992</v>
      </c>
    </row>
    <row r="91" spans="1:23" s="63" customFormat="1" ht="11.75" customHeight="1">
      <c r="A91" s="59" t="s">
        <v>167</v>
      </c>
      <c r="B91" s="59"/>
      <c r="C91" s="64" t="s">
        <v>103</v>
      </c>
      <c r="D91" s="57"/>
      <c r="E91" s="57"/>
      <c r="F91" s="57"/>
      <c r="G91" s="57"/>
      <c r="H91" s="57"/>
      <c r="I91" s="57"/>
      <c r="J91" s="62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>
        <f t="shared" si="13"/>
        <v>0</v>
      </c>
    </row>
    <row r="92" spans="1:23" s="63" customFormat="1" ht="11.75" customHeight="1">
      <c r="A92" s="59" t="s">
        <v>168</v>
      </c>
      <c r="B92" s="59"/>
      <c r="C92" s="64" t="s">
        <v>169</v>
      </c>
      <c r="D92" s="57"/>
      <c r="E92" s="57"/>
      <c r="F92" s="57"/>
      <c r="G92" s="57"/>
      <c r="H92" s="57"/>
      <c r="I92" s="57"/>
      <c r="J92" s="62"/>
      <c r="K92" s="47">
        <v>21944</v>
      </c>
      <c r="L92" s="47">
        <v>21944</v>
      </c>
      <c r="M92" s="47">
        <v>21944</v>
      </c>
      <c r="N92" s="47">
        <v>41720</v>
      </c>
      <c r="O92" s="47">
        <v>31832</v>
      </c>
      <c r="P92" s="47">
        <v>31832</v>
      </c>
      <c r="Q92" s="47">
        <v>31832</v>
      </c>
      <c r="R92" s="47">
        <v>31832</v>
      </c>
      <c r="S92" s="47">
        <v>31832</v>
      </c>
      <c r="T92" s="47">
        <v>31832</v>
      </c>
      <c r="U92" s="47">
        <v>31832</v>
      </c>
      <c r="V92" s="47">
        <v>31853</v>
      </c>
      <c r="W92" s="47">
        <f t="shared" si="13"/>
        <v>362229</v>
      </c>
    </row>
    <row r="93" spans="1:23" s="63" customFormat="1" ht="11.75" customHeight="1">
      <c r="A93" s="59" t="s">
        <v>170</v>
      </c>
      <c r="B93" s="59"/>
      <c r="C93" s="64" t="s">
        <v>171</v>
      </c>
      <c r="D93" s="57"/>
      <c r="E93" s="57"/>
      <c r="F93" s="57"/>
      <c r="G93" s="57"/>
      <c r="H93" s="57"/>
      <c r="I93" s="57"/>
      <c r="J93" s="62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>
        <f t="shared" si="13"/>
        <v>0</v>
      </c>
    </row>
    <row r="94" spans="1:23" s="63" customFormat="1" ht="11.75" customHeight="1">
      <c r="A94" s="59" t="s">
        <v>172</v>
      </c>
      <c r="B94" s="59"/>
      <c r="C94" s="64" t="s">
        <v>173</v>
      </c>
      <c r="D94" s="57"/>
      <c r="E94" s="57"/>
      <c r="F94" s="57"/>
      <c r="G94" s="57"/>
      <c r="H94" s="57"/>
      <c r="I94" s="57"/>
      <c r="J94" s="62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>
        <f t="shared" si="13"/>
        <v>0</v>
      </c>
    </row>
    <row r="95" spans="1:23" s="63" customFormat="1" ht="11.75" customHeight="1">
      <c r="A95" s="59" t="s">
        <v>174</v>
      </c>
      <c r="B95" s="59"/>
      <c r="C95" s="64" t="s">
        <v>175</v>
      </c>
      <c r="D95" s="57"/>
      <c r="E95" s="57"/>
      <c r="F95" s="57"/>
      <c r="G95" s="57"/>
      <c r="H95" s="57"/>
      <c r="I95" s="57"/>
      <c r="J95" s="62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>
        <f t="shared" si="13"/>
        <v>0</v>
      </c>
    </row>
    <row r="96" spans="1:23" s="63" customFormat="1" ht="11.75" customHeight="1" thickBot="1">
      <c r="A96" s="59" t="s">
        <v>176</v>
      </c>
      <c r="B96" s="59"/>
      <c r="C96" s="64" t="s">
        <v>177</v>
      </c>
      <c r="D96" s="57"/>
      <c r="E96" s="57"/>
      <c r="F96" s="57"/>
      <c r="G96" s="57"/>
      <c r="H96" s="57"/>
      <c r="I96" s="57"/>
      <c r="J96" s="62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>
        <f t="shared" si="13"/>
        <v>0</v>
      </c>
    </row>
    <row r="97" spans="1:23" s="8" customFormat="1" ht="11.75" customHeight="1" thickTop="1" thickBot="1">
      <c r="A97" s="9" t="s">
        <v>178</v>
      </c>
      <c r="B97" s="26" t="s">
        <v>179</v>
      </c>
      <c r="C97" s="27"/>
      <c r="D97" s="27"/>
      <c r="E97" s="27"/>
      <c r="F97" s="27"/>
      <c r="G97" s="27"/>
      <c r="H97" s="27"/>
      <c r="I97" s="27"/>
      <c r="J97" s="28"/>
      <c r="K97" s="29">
        <f>K37+K19+K85</f>
        <v>897690</v>
      </c>
      <c r="L97" s="29">
        <f t="shared" ref="L97:V97" si="17">L37+L19+L85</f>
        <v>932544</v>
      </c>
      <c r="M97" s="29">
        <f t="shared" si="17"/>
        <v>12146942</v>
      </c>
      <c r="N97" s="29">
        <f t="shared" si="17"/>
        <v>17412569</v>
      </c>
      <c r="O97" s="29">
        <f t="shared" si="17"/>
        <v>17730532</v>
      </c>
      <c r="P97" s="29">
        <f t="shared" si="17"/>
        <v>11023686</v>
      </c>
      <c r="Q97" s="29">
        <f t="shared" si="17"/>
        <v>16376895</v>
      </c>
      <c r="R97" s="29">
        <f t="shared" si="17"/>
        <v>3284013</v>
      </c>
      <c r="S97" s="29">
        <f t="shared" si="17"/>
        <v>139133</v>
      </c>
      <c r="T97" s="29">
        <f t="shared" si="17"/>
        <v>121113</v>
      </c>
      <c r="U97" s="29">
        <f t="shared" si="17"/>
        <v>121113</v>
      </c>
      <c r="V97" s="29">
        <f t="shared" si="17"/>
        <v>121176</v>
      </c>
      <c r="W97" s="29">
        <f t="shared" si="13"/>
        <v>80307406</v>
      </c>
    </row>
    <row r="98" spans="1:23" s="8" customFormat="1" ht="11.75" customHeight="1" thickBot="1">
      <c r="A98" s="9" t="s">
        <v>180</v>
      </c>
      <c r="B98" s="30" t="s">
        <v>181</v>
      </c>
      <c r="C98" s="31"/>
      <c r="D98" s="31"/>
      <c r="E98" s="31"/>
      <c r="F98" s="31"/>
      <c r="G98" s="31"/>
      <c r="H98" s="31"/>
      <c r="I98" s="31"/>
      <c r="J98" s="32"/>
      <c r="K98" s="33">
        <f>K18-K97</f>
        <v>-797490</v>
      </c>
      <c r="L98" s="33">
        <f t="shared" ref="L98:V98" si="18">L18-L97</f>
        <v>1231991</v>
      </c>
      <c r="M98" s="33">
        <f t="shared" si="18"/>
        <v>9363165</v>
      </c>
      <c r="N98" s="33">
        <f t="shared" si="18"/>
        <v>24036832</v>
      </c>
      <c r="O98" s="33">
        <f t="shared" si="18"/>
        <v>23606134</v>
      </c>
      <c r="P98" s="33">
        <f t="shared" si="18"/>
        <v>-287624</v>
      </c>
      <c r="Q98" s="33">
        <f t="shared" si="18"/>
        <v>-15982478</v>
      </c>
      <c r="R98" s="33">
        <f t="shared" si="18"/>
        <v>-3284013</v>
      </c>
      <c r="S98" s="33">
        <f t="shared" si="18"/>
        <v>-139133</v>
      </c>
      <c r="T98" s="33">
        <f t="shared" si="18"/>
        <v>-121113</v>
      </c>
      <c r="U98" s="33">
        <f t="shared" si="18"/>
        <v>-121113</v>
      </c>
      <c r="V98" s="33">
        <f t="shared" si="18"/>
        <v>-121176</v>
      </c>
      <c r="W98" s="33">
        <f t="shared" si="13"/>
        <v>37383982</v>
      </c>
    </row>
    <row r="99" spans="1:23" s="8" customFormat="1" ht="11.75" customHeight="1">
      <c r="A99" s="9" t="s">
        <v>182</v>
      </c>
      <c r="B99" s="34" t="s">
        <v>183</v>
      </c>
      <c r="C99" s="35"/>
      <c r="D99" s="35"/>
      <c r="E99" s="35"/>
      <c r="F99" s="35"/>
      <c r="G99" s="35"/>
      <c r="H99" s="35"/>
      <c r="I99" s="35"/>
      <c r="J99" s="36"/>
      <c r="K99" s="37">
        <f>SUM(K100,K104:K106)</f>
        <v>0</v>
      </c>
      <c r="L99" s="37">
        <f t="shared" ref="L99:V99" si="19">SUM(L100,L104:L106)</f>
        <v>0</v>
      </c>
      <c r="M99" s="37">
        <f t="shared" si="19"/>
        <v>0</v>
      </c>
      <c r="N99" s="37">
        <f t="shared" si="19"/>
        <v>0</v>
      </c>
      <c r="O99" s="37">
        <f t="shared" si="19"/>
        <v>0</v>
      </c>
      <c r="P99" s="37">
        <f t="shared" si="19"/>
        <v>0</v>
      </c>
      <c r="Q99" s="37">
        <f t="shared" si="19"/>
        <v>0</v>
      </c>
      <c r="R99" s="37">
        <f t="shared" si="19"/>
        <v>200000</v>
      </c>
      <c r="S99" s="37">
        <f t="shared" si="19"/>
        <v>0</v>
      </c>
      <c r="T99" s="37">
        <f t="shared" si="19"/>
        <v>0</v>
      </c>
      <c r="U99" s="37">
        <f t="shared" si="19"/>
        <v>0</v>
      </c>
      <c r="V99" s="37">
        <f t="shared" si="19"/>
        <v>0</v>
      </c>
      <c r="W99" s="37">
        <f t="shared" si="13"/>
        <v>200000</v>
      </c>
    </row>
    <row r="100" spans="1:23" s="8" customFormat="1" ht="11.75" customHeight="1">
      <c r="A100" s="9" t="s">
        <v>184</v>
      </c>
      <c r="B100" s="3"/>
      <c r="C100" s="10" t="s">
        <v>185</v>
      </c>
      <c r="D100" s="2"/>
      <c r="E100" s="2"/>
      <c r="F100" s="2"/>
      <c r="G100" s="2"/>
      <c r="H100" s="2"/>
      <c r="I100" s="2"/>
      <c r="J100" s="11"/>
      <c r="K100" s="12">
        <f>SUM(K101:K103)</f>
        <v>0</v>
      </c>
      <c r="L100" s="12">
        <f t="shared" ref="L100:V100" si="20">SUM(L101:L103)</f>
        <v>0</v>
      </c>
      <c r="M100" s="12">
        <f t="shared" si="20"/>
        <v>0</v>
      </c>
      <c r="N100" s="12">
        <f t="shared" si="20"/>
        <v>0</v>
      </c>
      <c r="O100" s="12">
        <f t="shared" si="20"/>
        <v>0</v>
      </c>
      <c r="P100" s="12">
        <f t="shared" si="20"/>
        <v>0</v>
      </c>
      <c r="Q100" s="12">
        <f t="shared" si="20"/>
        <v>0</v>
      </c>
      <c r="R100" s="12">
        <f t="shared" si="20"/>
        <v>0</v>
      </c>
      <c r="S100" s="12">
        <f t="shared" si="20"/>
        <v>0</v>
      </c>
      <c r="T100" s="12">
        <f t="shared" si="20"/>
        <v>0</v>
      </c>
      <c r="U100" s="12">
        <f t="shared" si="20"/>
        <v>0</v>
      </c>
      <c r="V100" s="12">
        <f t="shared" si="20"/>
        <v>0</v>
      </c>
      <c r="W100" s="12">
        <f t="shared" si="13"/>
        <v>0</v>
      </c>
    </row>
    <row r="101" spans="1:23" s="63" customFormat="1" ht="11.75" customHeight="1">
      <c r="A101" s="59" t="s">
        <v>186</v>
      </c>
      <c r="B101" s="59"/>
      <c r="C101" s="59"/>
      <c r="D101" s="64" t="s">
        <v>187</v>
      </c>
      <c r="E101" s="57"/>
      <c r="F101" s="57"/>
      <c r="G101" s="57"/>
      <c r="H101" s="57"/>
      <c r="I101" s="57"/>
      <c r="J101" s="62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>
        <f t="shared" si="13"/>
        <v>0</v>
      </c>
    </row>
    <row r="102" spans="1:23" s="63" customFormat="1" ht="11.75" customHeight="1">
      <c r="A102" s="59" t="s">
        <v>188</v>
      </c>
      <c r="B102" s="59"/>
      <c r="C102" s="59"/>
      <c r="D102" s="64" t="s">
        <v>189</v>
      </c>
      <c r="E102" s="57"/>
      <c r="F102" s="57"/>
      <c r="G102" s="57"/>
      <c r="H102" s="57"/>
      <c r="I102" s="57"/>
      <c r="J102" s="62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>
        <f t="shared" si="13"/>
        <v>0</v>
      </c>
    </row>
    <row r="103" spans="1:23" s="63" customFormat="1" ht="11.75" customHeight="1">
      <c r="A103" s="59" t="s">
        <v>190</v>
      </c>
      <c r="B103" s="59"/>
      <c r="C103" s="59"/>
      <c r="D103" s="64" t="s">
        <v>191</v>
      </c>
      <c r="E103" s="57"/>
      <c r="F103" s="57"/>
      <c r="G103" s="57"/>
      <c r="H103" s="57"/>
      <c r="I103" s="57"/>
      <c r="J103" s="62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>
        <f t="shared" si="13"/>
        <v>0</v>
      </c>
    </row>
    <row r="104" spans="1:23" s="63" customFormat="1" ht="11.75" customHeight="1">
      <c r="A104" s="59" t="s">
        <v>192</v>
      </c>
      <c r="B104" s="59"/>
      <c r="C104" s="64" t="s">
        <v>193</v>
      </c>
      <c r="D104" s="57"/>
      <c r="E104" s="57"/>
      <c r="F104" s="57"/>
      <c r="G104" s="57"/>
      <c r="H104" s="57"/>
      <c r="I104" s="57"/>
      <c r="J104" s="62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>
        <f t="shared" si="13"/>
        <v>0</v>
      </c>
    </row>
    <row r="105" spans="1:23" s="63" customFormat="1" ht="11.75" customHeight="1">
      <c r="A105" s="59" t="s">
        <v>194</v>
      </c>
      <c r="B105" s="59"/>
      <c r="C105" s="64" t="s">
        <v>195</v>
      </c>
      <c r="D105" s="57"/>
      <c r="E105" s="57"/>
      <c r="F105" s="57"/>
      <c r="G105" s="57"/>
      <c r="H105" s="57"/>
      <c r="I105" s="57"/>
      <c r="J105" s="62"/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200000</v>
      </c>
      <c r="S105" s="47">
        <v>0</v>
      </c>
      <c r="T105" s="47">
        <v>0</v>
      </c>
      <c r="U105" s="47">
        <v>0</v>
      </c>
      <c r="V105" s="47">
        <v>0</v>
      </c>
      <c r="W105" s="47">
        <f t="shared" si="13"/>
        <v>200000</v>
      </c>
    </row>
    <row r="106" spans="1:23" s="63" customFormat="1" ht="11.75" customHeight="1">
      <c r="A106" s="59" t="s">
        <v>196</v>
      </c>
      <c r="B106" s="59"/>
      <c r="C106" s="64" t="s">
        <v>191</v>
      </c>
      <c r="D106" s="57"/>
      <c r="E106" s="57"/>
      <c r="F106" s="57"/>
      <c r="G106" s="57"/>
      <c r="H106" s="57"/>
      <c r="I106" s="57"/>
      <c r="J106" s="62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>
        <f t="shared" si="13"/>
        <v>0</v>
      </c>
    </row>
    <row r="107" spans="1:23" s="8" customFormat="1" ht="11.75" customHeight="1">
      <c r="A107" s="9" t="s">
        <v>197</v>
      </c>
      <c r="B107" s="38" t="s">
        <v>198</v>
      </c>
      <c r="C107" s="39"/>
      <c r="D107" s="39"/>
      <c r="E107" s="39"/>
      <c r="F107" s="39"/>
      <c r="G107" s="39"/>
      <c r="H107" s="39"/>
      <c r="I107" s="39"/>
      <c r="J107" s="40"/>
      <c r="K107" s="41">
        <f>SUM(K108:K110)</f>
        <v>0</v>
      </c>
      <c r="L107" s="41">
        <f t="shared" ref="L107:V107" si="21">SUM(L108:L110)</f>
        <v>0</v>
      </c>
      <c r="M107" s="41">
        <f t="shared" si="21"/>
        <v>0</v>
      </c>
      <c r="N107" s="41">
        <f t="shared" si="21"/>
        <v>0</v>
      </c>
      <c r="O107" s="41">
        <f t="shared" si="21"/>
        <v>20100</v>
      </c>
      <c r="P107" s="41">
        <f t="shared" si="21"/>
        <v>10700</v>
      </c>
      <c r="Q107" s="41">
        <f t="shared" si="21"/>
        <v>0</v>
      </c>
      <c r="R107" s="41">
        <f t="shared" si="21"/>
        <v>0</v>
      </c>
      <c r="S107" s="41">
        <f t="shared" si="21"/>
        <v>0</v>
      </c>
      <c r="T107" s="41">
        <f t="shared" si="21"/>
        <v>0</v>
      </c>
      <c r="U107" s="41">
        <f t="shared" si="21"/>
        <v>0</v>
      </c>
      <c r="V107" s="41">
        <f t="shared" si="21"/>
        <v>0</v>
      </c>
      <c r="W107" s="41">
        <f t="shared" si="13"/>
        <v>30800</v>
      </c>
    </row>
    <row r="108" spans="1:23" s="63" customFormat="1" ht="11.75" customHeight="1">
      <c r="A108" s="59" t="s">
        <v>199</v>
      </c>
      <c r="B108" s="60"/>
      <c r="C108" s="61" t="s">
        <v>200</v>
      </c>
      <c r="D108" s="57"/>
      <c r="E108" s="57"/>
      <c r="F108" s="57"/>
      <c r="G108" s="57"/>
      <c r="H108" s="57"/>
      <c r="I108" s="57"/>
      <c r="J108" s="62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>
        <f t="shared" si="13"/>
        <v>0</v>
      </c>
    </row>
    <row r="109" spans="1:23" s="63" customFormat="1" ht="11.75" customHeight="1">
      <c r="A109" s="59" t="s">
        <v>201</v>
      </c>
      <c r="B109" s="59"/>
      <c r="C109" s="64" t="s">
        <v>202</v>
      </c>
      <c r="D109" s="57"/>
      <c r="E109" s="57"/>
      <c r="F109" s="57"/>
      <c r="G109" s="57"/>
      <c r="H109" s="57"/>
      <c r="I109" s="57"/>
      <c r="J109" s="62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>
        <f t="shared" si="13"/>
        <v>0</v>
      </c>
    </row>
    <row r="110" spans="1:23" s="63" customFormat="1" ht="11.75" customHeight="1" thickBot="1">
      <c r="A110" s="59" t="s">
        <v>203</v>
      </c>
      <c r="B110" s="59"/>
      <c r="C110" s="64" t="s">
        <v>191</v>
      </c>
      <c r="D110" s="57"/>
      <c r="E110" s="57"/>
      <c r="F110" s="57"/>
      <c r="G110" s="57"/>
      <c r="H110" s="57"/>
      <c r="I110" s="57"/>
      <c r="J110" s="62"/>
      <c r="K110" s="47">
        <v>0</v>
      </c>
      <c r="L110" s="47">
        <v>0</v>
      </c>
      <c r="M110" s="47">
        <v>0</v>
      </c>
      <c r="N110" s="47">
        <v>0</v>
      </c>
      <c r="O110" s="47">
        <v>20100</v>
      </c>
      <c r="P110" s="47">
        <v>10700</v>
      </c>
      <c r="Q110" s="47">
        <v>0</v>
      </c>
      <c r="R110" s="47">
        <v>0</v>
      </c>
      <c r="S110" s="47">
        <v>0</v>
      </c>
      <c r="T110" s="47">
        <v>0</v>
      </c>
      <c r="U110" s="47">
        <v>0</v>
      </c>
      <c r="V110" s="47">
        <v>0</v>
      </c>
      <c r="W110" s="47">
        <f t="shared" si="13"/>
        <v>30800</v>
      </c>
    </row>
    <row r="111" spans="1:23" s="8" customFormat="1" ht="11.75" customHeight="1" thickBot="1">
      <c r="A111" s="9" t="s">
        <v>204</v>
      </c>
      <c r="B111" s="30" t="s">
        <v>205</v>
      </c>
      <c r="C111" s="31"/>
      <c r="D111" s="31"/>
      <c r="E111" s="31"/>
      <c r="F111" s="31"/>
      <c r="G111" s="31"/>
      <c r="H111" s="31"/>
      <c r="I111" s="31"/>
      <c r="J111" s="32"/>
      <c r="K111" s="33">
        <f>K98+K99-K107</f>
        <v>-797490</v>
      </c>
      <c r="L111" s="33">
        <f t="shared" ref="L111:V111" si="22">L98+L99-L107</f>
        <v>1231991</v>
      </c>
      <c r="M111" s="33">
        <f t="shared" si="22"/>
        <v>9363165</v>
      </c>
      <c r="N111" s="33">
        <f t="shared" si="22"/>
        <v>24036832</v>
      </c>
      <c r="O111" s="33">
        <f t="shared" si="22"/>
        <v>23586034</v>
      </c>
      <c r="P111" s="33">
        <f t="shared" si="22"/>
        <v>-298324</v>
      </c>
      <c r="Q111" s="33">
        <f t="shared" si="22"/>
        <v>-15982478</v>
      </c>
      <c r="R111" s="33">
        <f t="shared" si="22"/>
        <v>-3084013</v>
      </c>
      <c r="S111" s="33">
        <f t="shared" si="22"/>
        <v>-139133</v>
      </c>
      <c r="T111" s="33">
        <f t="shared" si="22"/>
        <v>-121113</v>
      </c>
      <c r="U111" s="33">
        <f t="shared" si="22"/>
        <v>-121113</v>
      </c>
      <c r="V111" s="33">
        <f t="shared" si="22"/>
        <v>-121176</v>
      </c>
      <c r="W111" s="33">
        <f t="shared" si="13"/>
        <v>37553182</v>
      </c>
    </row>
    <row r="112" spans="1:23" s="8" customFormat="1" ht="11.75" customHeight="1">
      <c r="A112" s="9" t="s">
        <v>206</v>
      </c>
      <c r="B112" s="34" t="s">
        <v>207</v>
      </c>
      <c r="C112" s="35"/>
      <c r="D112" s="35"/>
      <c r="E112" s="35"/>
      <c r="F112" s="35"/>
      <c r="G112" s="35"/>
      <c r="H112" s="35"/>
      <c r="I112" s="35"/>
      <c r="J112" s="36"/>
      <c r="K112" s="37">
        <f>SUM(K113:K114)</f>
        <v>0</v>
      </c>
      <c r="L112" s="37">
        <f t="shared" ref="L112:V112" si="23">SUM(L113:L114)</f>
        <v>0</v>
      </c>
      <c r="M112" s="37">
        <f t="shared" si="23"/>
        <v>0</v>
      </c>
      <c r="N112" s="37">
        <f t="shared" si="23"/>
        <v>0</v>
      </c>
      <c r="O112" s="37">
        <f t="shared" si="23"/>
        <v>0</v>
      </c>
      <c r="P112" s="37">
        <f t="shared" si="23"/>
        <v>0</v>
      </c>
      <c r="Q112" s="37">
        <f t="shared" si="23"/>
        <v>0</v>
      </c>
      <c r="R112" s="37">
        <f t="shared" si="23"/>
        <v>0</v>
      </c>
      <c r="S112" s="37">
        <f t="shared" si="23"/>
        <v>0</v>
      </c>
      <c r="T112" s="37">
        <f t="shared" si="23"/>
        <v>0</v>
      </c>
      <c r="U112" s="37">
        <f t="shared" si="23"/>
        <v>0</v>
      </c>
      <c r="V112" s="37">
        <f t="shared" si="23"/>
        <v>0</v>
      </c>
      <c r="W112" s="37">
        <f t="shared" si="13"/>
        <v>0</v>
      </c>
    </row>
    <row r="113" spans="1:23" s="63" customFormat="1" ht="11.75" customHeight="1">
      <c r="A113" s="59" t="s">
        <v>208</v>
      </c>
      <c r="B113" s="60"/>
      <c r="C113" s="61" t="s">
        <v>209</v>
      </c>
      <c r="D113" s="57"/>
      <c r="E113" s="57"/>
      <c r="F113" s="57"/>
      <c r="G113" s="57"/>
      <c r="H113" s="57"/>
      <c r="I113" s="57"/>
      <c r="J113" s="62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>
        <f t="shared" si="13"/>
        <v>0</v>
      </c>
    </row>
    <row r="114" spans="1:23" s="63" customFormat="1" ht="11.75" customHeight="1">
      <c r="A114" s="59" t="s">
        <v>210</v>
      </c>
      <c r="B114" s="59"/>
      <c r="C114" s="64" t="s">
        <v>191</v>
      </c>
      <c r="D114" s="57"/>
      <c r="E114" s="57"/>
      <c r="F114" s="57"/>
      <c r="G114" s="57"/>
      <c r="H114" s="57"/>
      <c r="I114" s="57"/>
      <c r="J114" s="62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>
        <f t="shared" si="13"/>
        <v>0</v>
      </c>
    </row>
    <row r="115" spans="1:23" s="8" customFormat="1" ht="11.75" customHeight="1">
      <c r="A115" s="9" t="s">
        <v>211</v>
      </c>
      <c r="B115" s="38" t="s">
        <v>212</v>
      </c>
      <c r="C115" s="39"/>
      <c r="D115" s="39"/>
      <c r="E115" s="39"/>
      <c r="F115" s="39"/>
      <c r="G115" s="39"/>
      <c r="H115" s="39"/>
      <c r="I115" s="39"/>
      <c r="J115" s="40"/>
      <c r="K115" s="41">
        <f>SUM(K116:K117)</f>
        <v>0</v>
      </c>
      <c r="L115" s="41">
        <f t="shared" ref="L115:V115" si="24">SUM(L116:L117)</f>
        <v>0</v>
      </c>
      <c r="M115" s="41">
        <f t="shared" si="24"/>
        <v>0</v>
      </c>
      <c r="N115" s="41">
        <f t="shared" si="24"/>
        <v>0</v>
      </c>
      <c r="O115" s="41">
        <f t="shared" si="24"/>
        <v>0</v>
      </c>
      <c r="P115" s="41">
        <f t="shared" si="24"/>
        <v>0</v>
      </c>
      <c r="Q115" s="41">
        <f t="shared" si="24"/>
        <v>0</v>
      </c>
      <c r="R115" s="41">
        <f t="shared" si="24"/>
        <v>0</v>
      </c>
      <c r="S115" s="41">
        <f t="shared" si="24"/>
        <v>0</v>
      </c>
      <c r="T115" s="41">
        <f t="shared" si="24"/>
        <v>0</v>
      </c>
      <c r="U115" s="41">
        <f t="shared" si="24"/>
        <v>0</v>
      </c>
      <c r="V115" s="41">
        <f t="shared" si="24"/>
        <v>0</v>
      </c>
      <c r="W115" s="41">
        <f t="shared" si="13"/>
        <v>0</v>
      </c>
    </row>
    <row r="116" spans="1:23" s="63" customFormat="1" ht="11.75" customHeight="1">
      <c r="A116" s="59" t="s">
        <v>213</v>
      </c>
      <c r="B116" s="60"/>
      <c r="C116" s="61" t="s">
        <v>214</v>
      </c>
      <c r="D116" s="57"/>
      <c r="E116" s="57"/>
      <c r="F116" s="57"/>
      <c r="G116" s="57"/>
      <c r="H116" s="57"/>
      <c r="I116" s="57"/>
      <c r="J116" s="62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>
        <f t="shared" si="13"/>
        <v>0</v>
      </c>
    </row>
    <row r="117" spans="1:23" s="63" customFormat="1" ht="11.75" customHeight="1" thickBot="1">
      <c r="A117" s="59" t="s">
        <v>215</v>
      </c>
      <c r="B117" s="59"/>
      <c r="C117" s="64" t="s">
        <v>191</v>
      </c>
      <c r="D117" s="57"/>
      <c r="E117" s="57"/>
      <c r="F117" s="57"/>
      <c r="G117" s="57"/>
      <c r="H117" s="57"/>
      <c r="I117" s="57"/>
      <c r="J117" s="62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>
        <f t="shared" si="13"/>
        <v>0</v>
      </c>
    </row>
    <row r="118" spans="1:23" s="8" customFormat="1" ht="11.75" customHeight="1">
      <c r="A118" s="42" t="s">
        <v>216</v>
      </c>
      <c r="B118" s="43" t="s">
        <v>217</v>
      </c>
      <c r="C118" s="44"/>
      <c r="D118" s="44"/>
      <c r="E118" s="44"/>
      <c r="F118" s="44"/>
      <c r="G118" s="44"/>
      <c r="H118" s="44"/>
      <c r="I118" s="44"/>
      <c r="J118" s="45"/>
      <c r="K118" s="46">
        <f>K111+K112-K115</f>
        <v>-797490</v>
      </c>
      <c r="L118" s="46">
        <f t="shared" ref="L118:V118" si="25">L111+L112-L115</f>
        <v>1231991</v>
      </c>
      <c r="M118" s="46">
        <f t="shared" si="25"/>
        <v>9363165</v>
      </c>
      <c r="N118" s="46">
        <f t="shared" si="25"/>
        <v>24036832</v>
      </c>
      <c r="O118" s="46">
        <f t="shared" si="25"/>
        <v>23586034</v>
      </c>
      <c r="P118" s="46">
        <f t="shared" si="25"/>
        <v>-298324</v>
      </c>
      <c r="Q118" s="46">
        <f t="shared" si="25"/>
        <v>-15982478</v>
      </c>
      <c r="R118" s="46">
        <f t="shared" si="25"/>
        <v>-3084013</v>
      </c>
      <c r="S118" s="46">
        <f t="shared" si="25"/>
        <v>-139133</v>
      </c>
      <c r="T118" s="46">
        <f t="shared" si="25"/>
        <v>-121113</v>
      </c>
      <c r="U118" s="46">
        <f t="shared" si="25"/>
        <v>-121113</v>
      </c>
      <c r="V118" s="46">
        <f t="shared" si="25"/>
        <v>-121176</v>
      </c>
      <c r="W118" s="46">
        <f t="shared" si="13"/>
        <v>37553182</v>
      </c>
    </row>
  </sheetData>
  <mergeCells count="2">
    <mergeCell ref="A4:A5"/>
    <mergeCell ref="B4:J5"/>
  </mergeCells>
  <phoneticPr fontId="2"/>
  <pageMargins left="0.7" right="0.7" top="0.75" bottom="0.75" header="0.3" footer="0.3"/>
  <pageSetup paperSize="8" scale="5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F2359-F624-4E2D-82CF-174C732C6530}">
  <dimension ref="A1:AB118"/>
  <sheetViews>
    <sheetView showGridLines="0" zoomScaleNormal="100" workbookViewId="0">
      <pane xSplit="10" ySplit="5" topLeftCell="K6" activePane="bottomRight" state="frozen"/>
      <selection activeCell="Q127" sqref="Q127"/>
      <selection pane="topRight" activeCell="Q127" sqref="Q127"/>
      <selection pane="bottomLeft" activeCell="Q127" sqref="Q127"/>
      <selection pane="bottomRight" activeCell="O17" sqref="O17"/>
    </sheetView>
  </sheetViews>
  <sheetFormatPr baseColWidth="10" defaultColWidth="9" defaultRowHeight="18"/>
  <cols>
    <col min="1" max="1" width="5.83203125" style="49" customWidth="1"/>
    <col min="2" max="8" width="2.33203125" style="49" customWidth="1"/>
    <col min="9" max="9" width="2.1640625" style="49" customWidth="1"/>
    <col min="10" max="10" width="0" style="49" hidden="1" customWidth="1"/>
    <col min="11" max="16" width="12.1640625" style="49" bestFit="1" customWidth="1"/>
    <col min="17" max="19" width="13" style="49" bestFit="1" customWidth="1"/>
    <col min="20" max="22" width="12.1640625" style="49" bestFit="1" customWidth="1"/>
    <col min="23" max="23" width="12.1640625" style="51" bestFit="1" customWidth="1"/>
    <col min="24" max="24" width="12.1640625" style="51" customWidth="1"/>
    <col min="25" max="25" width="10.5" style="51" bestFit="1" customWidth="1"/>
    <col min="26" max="16384" width="9" style="51"/>
  </cols>
  <sheetData>
    <row r="1" spans="1:24" ht="20" customHeight="1">
      <c r="A1" s="56" t="s">
        <v>258</v>
      </c>
      <c r="X1" s="137"/>
    </row>
    <row r="3" spans="1:24" ht="11.75" customHeight="1">
      <c r="A3" s="57" t="s">
        <v>256</v>
      </c>
    </row>
    <row r="4" spans="1:24" s="58" customFormat="1" ht="11.75" customHeight="1">
      <c r="A4" s="177" t="s">
        <v>0</v>
      </c>
      <c r="B4" s="179" t="s">
        <v>1</v>
      </c>
      <c r="C4" s="180"/>
      <c r="D4" s="180"/>
      <c r="E4" s="180"/>
      <c r="F4" s="180"/>
      <c r="G4" s="180"/>
      <c r="H4" s="180"/>
      <c r="I4" s="180"/>
      <c r="J4" s="181"/>
      <c r="K4" s="55" t="s">
        <v>226</v>
      </c>
      <c r="L4" s="55" t="s">
        <v>227</v>
      </c>
      <c r="M4" s="55" t="s">
        <v>228</v>
      </c>
      <c r="N4" s="55" t="s">
        <v>229</v>
      </c>
      <c r="O4" s="55" t="s">
        <v>230</v>
      </c>
      <c r="P4" s="55" t="s">
        <v>231</v>
      </c>
      <c r="Q4" s="55" t="s">
        <v>232</v>
      </c>
      <c r="R4" s="55" t="s">
        <v>233</v>
      </c>
      <c r="S4" s="55" t="s">
        <v>234</v>
      </c>
      <c r="T4" s="55" t="s">
        <v>235</v>
      </c>
      <c r="U4" s="55" t="s">
        <v>236</v>
      </c>
      <c r="V4" s="55" t="s">
        <v>237</v>
      </c>
      <c r="W4" s="52" t="s">
        <v>225</v>
      </c>
      <c r="X4" s="133"/>
    </row>
    <row r="5" spans="1:24" s="58" customFormat="1" ht="25.5" customHeight="1">
      <c r="A5" s="178"/>
      <c r="B5" s="182"/>
      <c r="C5" s="183"/>
      <c r="D5" s="183"/>
      <c r="E5" s="183"/>
      <c r="F5" s="183"/>
      <c r="G5" s="183"/>
      <c r="H5" s="183"/>
      <c r="I5" s="183"/>
      <c r="J5" s="184"/>
      <c r="K5" s="50" t="s">
        <v>2</v>
      </c>
      <c r="L5" s="50" t="s">
        <v>2</v>
      </c>
      <c r="M5" s="50" t="s">
        <v>2</v>
      </c>
      <c r="N5" s="50" t="s">
        <v>2</v>
      </c>
      <c r="O5" s="50" t="s">
        <v>2</v>
      </c>
      <c r="P5" s="50" t="s">
        <v>2</v>
      </c>
      <c r="Q5" s="50" t="s">
        <v>2</v>
      </c>
      <c r="R5" s="50" t="s">
        <v>2</v>
      </c>
      <c r="S5" s="50" t="s">
        <v>2</v>
      </c>
      <c r="T5" s="50" t="s">
        <v>2</v>
      </c>
      <c r="U5" s="50" t="s">
        <v>2</v>
      </c>
      <c r="V5" s="50" t="s">
        <v>2</v>
      </c>
      <c r="W5" s="50" t="s">
        <v>2</v>
      </c>
      <c r="X5" s="134"/>
    </row>
    <row r="6" spans="1:24" s="8" customFormat="1" ht="11.75" customHeight="1">
      <c r="A6" s="3" t="s">
        <v>3</v>
      </c>
      <c r="B6" s="4" t="s">
        <v>4</v>
      </c>
      <c r="C6" s="5"/>
      <c r="D6" s="5"/>
      <c r="E6" s="5"/>
      <c r="F6" s="5"/>
      <c r="G6" s="5"/>
      <c r="H6" s="5"/>
      <c r="I6" s="5"/>
      <c r="J6" s="6"/>
      <c r="K6" s="7">
        <f>SUM(K7:K16)</f>
        <v>0</v>
      </c>
      <c r="L6" s="7">
        <f t="shared" ref="L6:V6" si="0">SUM(L7:L16)</f>
        <v>0</v>
      </c>
      <c r="M6" s="7">
        <f t="shared" si="0"/>
        <v>3803419</v>
      </c>
      <c r="N6" s="7">
        <f t="shared" si="0"/>
        <v>6319168</v>
      </c>
      <c r="O6" s="7">
        <f t="shared" si="0"/>
        <v>7179461</v>
      </c>
      <c r="P6" s="7">
        <f t="shared" si="0"/>
        <v>5290274</v>
      </c>
      <c r="Q6" s="7">
        <f t="shared" si="0"/>
        <v>4793677</v>
      </c>
      <c r="R6" s="7">
        <f t="shared" si="0"/>
        <v>6203537</v>
      </c>
      <c r="S6" s="7">
        <f t="shared" si="0"/>
        <v>11138218</v>
      </c>
      <c r="T6" s="7">
        <f t="shared" si="0"/>
        <v>4770192</v>
      </c>
      <c r="U6" s="7">
        <f t="shared" si="0"/>
        <v>5568958</v>
      </c>
      <c r="V6" s="7">
        <f t="shared" si="0"/>
        <v>6303831</v>
      </c>
      <c r="W6" s="7">
        <f>SUM(K6:V6)</f>
        <v>61370735</v>
      </c>
      <c r="X6" s="132"/>
    </row>
    <row r="7" spans="1:24" s="63" customFormat="1" ht="11.75" customHeight="1">
      <c r="A7" s="59" t="s">
        <v>5</v>
      </c>
      <c r="B7" s="60"/>
      <c r="C7" s="61" t="s">
        <v>6</v>
      </c>
      <c r="D7" s="57"/>
      <c r="E7" s="57"/>
      <c r="F7" s="57"/>
      <c r="G7" s="57"/>
      <c r="H7" s="57"/>
      <c r="I7" s="57"/>
      <c r="J7" s="62"/>
      <c r="K7" s="47">
        <v>0</v>
      </c>
      <c r="L7" s="47">
        <v>0</v>
      </c>
      <c r="M7" s="47">
        <v>3803419</v>
      </c>
      <c r="N7" s="47">
        <v>6319168</v>
      </c>
      <c r="O7" s="47">
        <v>7179461</v>
      </c>
      <c r="P7" s="47">
        <v>5290274</v>
      </c>
      <c r="Q7" s="47">
        <v>4793677</v>
      </c>
      <c r="R7" s="47">
        <v>6203537</v>
      </c>
      <c r="S7" s="47">
        <v>11138218</v>
      </c>
      <c r="T7" s="47">
        <v>4770192</v>
      </c>
      <c r="U7" s="47">
        <v>5568958</v>
      </c>
      <c r="V7" s="47">
        <v>6303831</v>
      </c>
      <c r="W7" s="47">
        <f t="shared" ref="W7:W70" si="1">SUM(K7:V7)</f>
        <v>61370735</v>
      </c>
      <c r="X7" s="135"/>
    </row>
    <row r="8" spans="1:24" s="63" customFormat="1" ht="11.75" customHeight="1">
      <c r="A8" s="59" t="s">
        <v>7</v>
      </c>
      <c r="B8" s="59"/>
      <c r="C8" s="64" t="s">
        <v>8</v>
      </c>
      <c r="D8" s="57"/>
      <c r="E8" s="57"/>
      <c r="F8" s="57"/>
      <c r="G8" s="57"/>
      <c r="H8" s="57"/>
      <c r="I8" s="57"/>
      <c r="J8" s="62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>
        <f t="shared" si="1"/>
        <v>0</v>
      </c>
      <c r="X8" s="135"/>
    </row>
    <row r="9" spans="1:24" s="63" customFormat="1" ht="11.75" customHeight="1">
      <c r="A9" s="59" t="s">
        <v>9</v>
      </c>
      <c r="B9" s="59"/>
      <c r="C9" s="64" t="s">
        <v>10</v>
      </c>
      <c r="D9" s="57"/>
      <c r="E9" s="57"/>
      <c r="F9" s="57"/>
      <c r="G9" s="57"/>
      <c r="H9" s="57"/>
      <c r="I9" s="57"/>
      <c r="J9" s="62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>
        <f t="shared" si="1"/>
        <v>0</v>
      </c>
      <c r="X9" s="135"/>
    </row>
    <row r="10" spans="1:24" s="63" customFormat="1" ht="11.75" customHeight="1">
      <c r="A10" s="59" t="s">
        <v>11</v>
      </c>
      <c r="B10" s="59"/>
      <c r="C10" s="64" t="s">
        <v>12</v>
      </c>
      <c r="D10" s="57"/>
      <c r="E10" s="57"/>
      <c r="F10" s="57"/>
      <c r="G10" s="57"/>
      <c r="H10" s="57"/>
      <c r="I10" s="57"/>
      <c r="J10" s="62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>
        <f t="shared" si="1"/>
        <v>0</v>
      </c>
      <c r="X10" s="135"/>
    </row>
    <row r="11" spans="1:24" s="63" customFormat="1" ht="11.75" customHeight="1">
      <c r="A11" s="59" t="s">
        <v>13</v>
      </c>
      <c r="B11" s="59"/>
      <c r="C11" s="64" t="s">
        <v>14</v>
      </c>
      <c r="D11" s="57"/>
      <c r="E11" s="57"/>
      <c r="F11" s="57"/>
      <c r="G11" s="57"/>
      <c r="H11" s="57"/>
      <c r="I11" s="57"/>
      <c r="J11" s="62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>
        <f t="shared" si="1"/>
        <v>0</v>
      </c>
      <c r="X11" s="135"/>
    </row>
    <row r="12" spans="1:24" s="63" customFormat="1" ht="11.75" customHeight="1">
      <c r="A12" s="59" t="s">
        <v>15</v>
      </c>
      <c r="B12" s="59"/>
      <c r="C12" s="64" t="s">
        <v>16</v>
      </c>
      <c r="D12" s="57"/>
      <c r="E12" s="57"/>
      <c r="F12" s="57"/>
      <c r="G12" s="57"/>
      <c r="H12" s="57"/>
      <c r="I12" s="57"/>
      <c r="J12" s="62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>
        <f t="shared" si="1"/>
        <v>0</v>
      </c>
      <c r="X12" s="135"/>
    </row>
    <row r="13" spans="1:24" s="63" customFormat="1" ht="11.75" customHeight="1">
      <c r="A13" s="59" t="s">
        <v>17</v>
      </c>
      <c r="B13" s="59"/>
      <c r="C13" s="64" t="s">
        <v>18</v>
      </c>
      <c r="D13" s="57"/>
      <c r="E13" s="57"/>
      <c r="F13" s="57"/>
      <c r="G13" s="57"/>
      <c r="H13" s="57"/>
      <c r="I13" s="57"/>
      <c r="J13" s="62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>
        <f t="shared" si="1"/>
        <v>0</v>
      </c>
      <c r="X13" s="135"/>
    </row>
    <row r="14" spans="1:24" s="63" customFormat="1" ht="11.75" customHeight="1">
      <c r="A14" s="59" t="s">
        <v>19</v>
      </c>
      <c r="B14" s="59"/>
      <c r="C14" s="64" t="s">
        <v>20</v>
      </c>
      <c r="D14" s="57"/>
      <c r="E14" s="57"/>
      <c r="F14" s="57"/>
      <c r="G14" s="57"/>
      <c r="H14" s="57"/>
      <c r="I14" s="57"/>
      <c r="J14" s="62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>
        <f t="shared" si="1"/>
        <v>0</v>
      </c>
      <c r="X14" s="135"/>
    </row>
    <row r="15" spans="1:24" s="63" customFormat="1" ht="11.75" customHeight="1">
      <c r="A15" s="59" t="s">
        <v>21</v>
      </c>
      <c r="B15" s="59"/>
      <c r="C15" s="64" t="s">
        <v>22</v>
      </c>
      <c r="D15" s="57"/>
      <c r="E15" s="57"/>
      <c r="F15" s="57"/>
      <c r="G15" s="57"/>
      <c r="H15" s="57"/>
      <c r="I15" s="57"/>
      <c r="J15" s="62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>
        <f t="shared" si="1"/>
        <v>0</v>
      </c>
      <c r="X15" s="135"/>
    </row>
    <row r="16" spans="1:24" s="63" customFormat="1" ht="11.75" customHeight="1">
      <c r="A16" s="59" t="s">
        <v>23</v>
      </c>
      <c r="B16" s="59"/>
      <c r="C16" s="64" t="s">
        <v>24</v>
      </c>
      <c r="D16" s="57"/>
      <c r="E16" s="57"/>
      <c r="F16" s="57"/>
      <c r="G16" s="57"/>
      <c r="H16" s="57"/>
      <c r="I16" s="57"/>
      <c r="J16" s="62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>
        <f t="shared" si="1"/>
        <v>0</v>
      </c>
      <c r="X16" s="135"/>
    </row>
    <row r="17" spans="1:28" s="63" customFormat="1" ht="11.75" customHeight="1" thickBot="1">
      <c r="A17" s="59" t="s">
        <v>25</v>
      </c>
      <c r="B17" s="65" t="s">
        <v>26</v>
      </c>
      <c r="C17" s="66"/>
      <c r="D17" s="66"/>
      <c r="E17" s="66"/>
      <c r="F17" s="66"/>
      <c r="G17" s="66"/>
      <c r="H17" s="66"/>
      <c r="I17" s="66"/>
      <c r="J17" s="67"/>
      <c r="K17" s="48">
        <v>0</v>
      </c>
      <c r="L17" s="48">
        <v>0</v>
      </c>
      <c r="M17" s="48">
        <v>5016949</v>
      </c>
      <c r="N17" s="48">
        <v>1978007</v>
      </c>
      <c r="O17" s="48">
        <v>2387869</v>
      </c>
      <c r="P17" s="48">
        <v>1758238</v>
      </c>
      <c r="Q17" s="48">
        <v>2033845</v>
      </c>
      <c r="R17" s="48">
        <v>2102172</v>
      </c>
      <c r="S17" s="48">
        <v>3727018</v>
      </c>
      <c r="T17" s="48">
        <f t="shared" ref="T17:U17" si="2">T7*0.31</f>
        <v>1478759.52</v>
      </c>
      <c r="U17" s="48">
        <f t="shared" si="2"/>
        <v>1726376.98</v>
      </c>
      <c r="V17" s="48">
        <f>V7*0.31</f>
        <v>1954187.6099999999</v>
      </c>
      <c r="W17" s="48">
        <f t="shared" si="1"/>
        <v>24163422.109999999</v>
      </c>
      <c r="X17" s="135"/>
      <c r="Y17" s="131"/>
    </row>
    <row r="18" spans="1:28" s="8" customFormat="1" ht="11.75" customHeight="1" thickTop="1">
      <c r="A18" s="9" t="s">
        <v>27</v>
      </c>
      <c r="B18" s="14" t="s">
        <v>28</v>
      </c>
      <c r="C18" s="15"/>
      <c r="D18" s="15"/>
      <c r="E18" s="15"/>
      <c r="F18" s="15"/>
      <c r="G18" s="15"/>
      <c r="H18" s="15"/>
      <c r="I18" s="15"/>
      <c r="J18" s="16"/>
      <c r="K18" s="17">
        <f>K6-K17</f>
        <v>0</v>
      </c>
      <c r="L18" s="17">
        <f t="shared" ref="L18:V18" si="3">L6-L17</f>
        <v>0</v>
      </c>
      <c r="M18" s="17">
        <f t="shared" si="3"/>
        <v>-1213530</v>
      </c>
      <c r="N18" s="17">
        <f t="shared" si="3"/>
        <v>4341161</v>
      </c>
      <c r="O18" s="17">
        <f t="shared" si="3"/>
        <v>4791592</v>
      </c>
      <c r="P18" s="17">
        <f t="shared" si="3"/>
        <v>3532036</v>
      </c>
      <c r="Q18" s="17">
        <f t="shared" si="3"/>
        <v>2759832</v>
      </c>
      <c r="R18" s="17">
        <f t="shared" si="3"/>
        <v>4101365</v>
      </c>
      <c r="S18" s="17">
        <f t="shared" si="3"/>
        <v>7411200</v>
      </c>
      <c r="T18" s="17">
        <f t="shared" si="3"/>
        <v>3291432.48</v>
      </c>
      <c r="U18" s="17">
        <f t="shared" si="3"/>
        <v>3842581.02</v>
      </c>
      <c r="V18" s="17">
        <f t="shared" si="3"/>
        <v>4349643.3900000006</v>
      </c>
      <c r="W18" s="17">
        <f t="shared" si="1"/>
        <v>37207312.890000001</v>
      </c>
      <c r="X18" s="132"/>
      <c r="Y18" s="139"/>
      <c r="Z18" s="136"/>
      <c r="AA18" s="136"/>
      <c r="AB18" s="136"/>
    </row>
    <row r="19" spans="1:28" s="8" customFormat="1" ht="11.75" customHeight="1">
      <c r="A19" s="9" t="s">
        <v>29</v>
      </c>
      <c r="B19" s="18" t="s">
        <v>30</v>
      </c>
      <c r="C19" s="19"/>
      <c r="D19" s="19"/>
      <c r="E19" s="19"/>
      <c r="F19" s="19"/>
      <c r="G19" s="19"/>
      <c r="H19" s="19"/>
      <c r="I19" s="19"/>
      <c r="J19" s="20"/>
      <c r="K19" s="21">
        <f>SUM(K20:K22,K26,K29:K31,K35:K36)</f>
        <v>0</v>
      </c>
      <c r="L19" s="21">
        <f t="shared" ref="L19:V19" si="4">SUM(L20:L22,L26,L29:L31,L35:L36)</f>
        <v>1339798</v>
      </c>
      <c r="M19" s="21">
        <f t="shared" si="4"/>
        <v>4906929</v>
      </c>
      <c r="N19" s="21">
        <f t="shared" si="4"/>
        <v>3617834</v>
      </c>
      <c r="O19" s="21">
        <f t="shared" si="4"/>
        <v>3198951</v>
      </c>
      <c r="P19" s="21">
        <f t="shared" si="4"/>
        <v>3837036</v>
      </c>
      <c r="Q19" s="21">
        <f t="shared" si="4"/>
        <v>3703867</v>
      </c>
      <c r="R19" s="21">
        <f t="shared" si="4"/>
        <v>3209284</v>
      </c>
      <c r="S19" s="21">
        <f t="shared" si="4"/>
        <v>7489987</v>
      </c>
      <c r="T19" s="21">
        <f t="shared" si="4"/>
        <v>3991796</v>
      </c>
      <c r="U19" s="21">
        <f t="shared" si="4"/>
        <v>3516453</v>
      </c>
      <c r="V19" s="21">
        <f t="shared" si="4"/>
        <v>4046848</v>
      </c>
      <c r="W19" s="21">
        <f t="shared" si="1"/>
        <v>42858783</v>
      </c>
      <c r="X19" s="132"/>
      <c r="Y19" s="132"/>
    </row>
    <row r="20" spans="1:28" s="63" customFormat="1" ht="11.75" customHeight="1">
      <c r="A20" s="59" t="s">
        <v>31</v>
      </c>
      <c r="B20" s="59"/>
      <c r="C20" s="64" t="s">
        <v>32</v>
      </c>
      <c r="D20" s="57"/>
      <c r="E20" s="57"/>
      <c r="F20" s="57"/>
      <c r="G20" s="57"/>
      <c r="H20" s="57"/>
      <c r="I20" s="57"/>
      <c r="J20" s="62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>
        <f t="shared" si="1"/>
        <v>0</v>
      </c>
      <c r="X20" s="132"/>
    </row>
    <row r="21" spans="1:28" s="63" customFormat="1" ht="11.75" customHeight="1">
      <c r="A21" s="59" t="s">
        <v>33</v>
      </c>
      <c r="B21" s="59"/>
      <c r="C21" s="64" t="s">
        <v>34</v>
      </c>
      <c r="D21" s="57"/>
      <c r="E21" s="57"/>
      <c r="F21" s="57"/>
      <c r="G21" s="57"/>
      <c r="H21" s="57"/>
      <c r="I21" s="57"/>
      <c r="J21" s="62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>
        <f t="shared" si="1"/>
        <v>0</v>
      </c>
      <c r="X21" s="132"/>
    </row>
    <row r="22" spans="1:28" s="8" customFormat="1" ht="11.75" customHeight="1">
      <c r="A22" s="9" t="s">
        <v>35</v>
      </c>
      <c r="B22" s="9"/>
      <c r="C22" s="13" t="s">
        <v>36</v>
      </c>
      <c r="D22" s="2"/>
      <c r="E22" s="2"/>
      <c r="F22" s="2"/>
      <c r="G22" s="2"/>
      <c r="H22" s="2"/>
      <c r="I22" s="2"/>
      <c r="J22" s="11"/>
      <c r="K22" s="12">
        <f>SUM(K23:K25)</f>
        <v>0</v>
      </c>
      <c r="L22" s="12">
        <f t="shared" ref="L22:V22" si="5">SUM(L23:L25)</f>
        <v>1303661</v>
      </c>
      <c r="M22" s="12">
        <f t="shared" si="5"/>
        <v>3954728</v>
      </c>
      <c r="N22" s="12">
        <f t="shared" si="5"/>
        <v>2957961</v>
      </c>
      <c r="O22" s="12">
        <f t="shared" si="5"/>
        <v>3086995</v>
      </c>
      <c r="P22" s="12">
        <f t="shared" si="5"/>
        <v>3146004</v>
      </c>
      <c r="Q22" s="12">
        <f t="shared" si="5"/>
        <v>3214237</v>
      </c>
      <c r="R22" s="12">
        <f t="shared" si="5"/>
        <v>3095946</v>
      </c>
      <c r="S22" s="12">
        <f t="shared" si="5"/>
        <v>6938983</v>
      </c>
      <c r="T22" s="12">
        <f t="shared" si="5"/>
        <v>3477831</v>
      </c>
      <c r="U22" s="12">
        <f t="shared" si="5"/>
        <v>2963277</v>
      </c>
      <c r="V22" s="12">
        <f t="shared" si="5"/>
        <v>3065043</v>
      </c>
      <c r="W22" s="12">
        <f t="shared" si="1"/>
        <v>37204666</v>
      </c>
      <c r="X22" s="132"/>
      <c r="Y22" s="132"/>
    </row>
    <row r="23" spans="1:28" s="63" customFormat="1" ht="11.75" customHeight="1">
      <c r="A23" s="59" t="s">
        <v>37</v>
      </c>
      <c r="B23" s="59"/>
      <c r="C23" s="59"/>
      <c r="D23" s="64" t="s">
        <v>38</v>
      </c>
      <c r="E23" s="57"/>
      <c r="F23" s="57"/>
      <c r="G23" s="57"/>
      <c r="H23" s="57"/>
      <c r="I23" s="57"/>
      <c r="J23" s="62"/>
      <c r="K23" s="47">
        <v>0</v>
      </c>
      <c r="L23" s="47">
        <v>1288511</v>
      </c>
      <c r="M23" s="47">
        <v>3954728</v>
      </c>
      <c r="N23" s="47">
        <v>2735761</v>
      </c>
      <c r="O23" s="47">
        <v>2920363</v>
      </c>
      <c r="P23" s="47">
        <v>3058554</v>
      </c>
      <c r="Q23" s="47">
        <v>3141362</v>
      </c>
      <c r="R23" s="47">
        <v>2981546</v>
      </c>
      <c r="S23" s="47">
        <v>6841083</v>
      </c>
      <c r="T23" s="47">
        <v>3363631</v>
      </c>
      <c r="U23" s="47">
        <v>2861511</v>
      </c>
      <c r="V23" s="47">
        <v>2861511</v>
      </c>
      <c r="W23" s="47">
        <f t="shared" si="1"/>
        <v>36008561</v>
      </c>
      <c r="X23" s="132"/>
      <c r="Y23" s="8"/>
    </row>
    <row r="24" spans="1:28" s="63" customFormat="1" ht="11.75" customHeight="1">
      <c r="A24" s="59" t="s">
        <v>39</v>
      </c>
      <c r="B24" s="59"/>
      <c r="C24" s="59"/>
      <c r="D24" s="64" t="s">
        <v>40</v>
      </c>
      <c r="E24" s="57"/>
      <c r="F24" s="57"/>
      <c r="G24" s="57"/>
      <c r="H24" s="57"/>
      <c r="I24" s="57"/>
      <c r="J24" s="62"/>
      <c r="K24" s="47">
        <v>0</v>
      </c>
      <c r="L24" s="47">
        <v>15150</v>
      </c>
      <c r="M24" s="47">
        <v>0</v>
      </c>
      <c r="N24" s="47">
        <v>0</v>
      </c>
      <c r="O24" s="47">
        <v>15657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/>
      <c r="V24" s="47"/>
      <c r="W24" s="47">
        <f t="shared" si="1"/>
        <v>30807</v>
      </c>
      <c r="X24" s="132"/>
      <c r="Y24" s="8"/>
    </row>
    <row r="25" spans="1:28" s="63" customFormat="1" ht="11.75" customHeight="1">
      <c r="A25" s="59" t="s">
        <v>41</v>
      </c>
      <c r="B25" s="59"/>
      <c r="C25" s="59"/>
      <c r="D25" s="64" t="s">
        <v>42</v>
      </c>
      <c r="E25" s="57"/>
      <c r="F25" s="57"/>
      <c r="G25" s="57"/>
      <c r="H25" s="57"/>
      <c r="I25" s="57"/>
      <c r="J25" s="62"/>
      <c r="K25" s="47">
        <v>0</v>
      </c>
      <c r="L25" s="47">
        <v>0</v>
      </c>
      <c r="M25" s="47">
        <v>0</v>
      </c>
      <c r="N25" s="47">
        <v>222200</v>
      </c>
      <c r="O25" s="47">
        <v>150975</v>
      </c>
      <c r="P25" s="47">
        <v>87450</v>
      </c>
      <c r="Q25" s="47">
        <v>72875</v>
      </c>
      <c r="R25" s="47">
        <v>114400</v>
      </c>
      <c r="S25" s="47">
        <v>97900</v>
      </c>
      <c r="T25" s="47">
        <v>114200</v>
      </c>
      <c r="U25" s="47">
        <v>101766</v>
      </c>
      <c r="V25" s="47">
        <f>101766*2</f>
        <v>203532</v>
      </c>
      <c r="W25" s="47">
        <f t="shared" si="1"/>
        <v>1165298</v>
      </c>
      <c r="X25" s="132"/>
      <c r="Y25" s="8"/>
    </row>
    <row r="26" spans="1:28" s="8" customFormat="1" ht="11.75" customHeight="1">
      <c r="A26" s="9" t="s">
        <v>43</v>
      </c>
      <c r="B26" s="9"/>
      <c r="C26" s="13" t="s">
        <v>44</v>
      </c>
      <c r="D26" s="2"/>
      <c r="E26" s="2"/>
      <c r="F26" s="2"/>
      <c r="G26" s="2"/>
      <c r="H26" s="2"/>
      <c r="I26" s="2"/>
      <c r="J26" s="11"/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f t="shared" si="1"/>
        <v>0</v>
      </c>
      <c r="X26" s="132"/>
    </row>
    <row r="27" spans="1:28" s="63" customFormat="1" ht="11.75" customHeight="1">
      <c r="A27" s="59" t="s">
        <v>45</v>
      </c>
      <c r="B27" s="59"/>
      <c r="C27" s="59"/>
      <c r="D27" s="64" t="s">
        <v>46</v>
      </c>
      <c r="E27" s="57"/>
      <c r="F27" s="57"/>
      <c r="G27" s="57"/>
      <c r="H27" s="57"/>
      <c r="I27" s="57"/>
      <c r="J27" s="62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>
        <f t="shared" si="1"/>
        <v>0</v>
      </c>
      <c r="X27" s="132"/>
      <c r="Y27" s="8"/>
    </row>
    <row r="28" spans="1:28" s="63" customFormat="1" ht="11.75" customHeight="1">
      <c r="A28" s="59" t="s">
        <v>47</v>
      </c>
      <c r="B28" s="59"/>
      <c r="C28" s="59"/>
      <c r="D28" s="64" t="s">
        <v>48</v>
      </c>
      <c r="E28" s="57"/>
      <c r="F28" s="57"/>
      <c r="G28" s="57"/>
      <c r="H28" s="57"/>
      <c r="I28" s="57"/>
      <c r="J28" s="62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>
        <f t="shared" si="1"/>
        <v>0</v>
      </c>
      <c r="X28" s="132"/>
      <c r="Y28" s="8"/>
    </row>
    <row r="29" spans="1:28" s="63" customFormat="1" ht="11.75" customHeight="1">
      <c r="A29" s="59" t="s">
        <v>49</v>
      </c>
      <c r="B29" s="59"/>
      <c r="C29" s="64" t="s">
        <v>50</v>
      </c>
      <c r="D29" s="57"/>
      <c r="E29" s="57"/>
      <c r="F29" s="57"/>
      <c r="G29" s="57"/>
      <c r="H29" s="57"/>
      <c r="I29" s="57"/>
      <c r="J29" s="62"/>
      <c r="K29" s="47">
        <v>0</v>
      </c>
      <c r="L29" s="47">
        <v>0</v>
      </c>
      <c r="M29" s="47">
        <v>392580</v>
      </c>
      <c r="N29" s="47">
        <v>533480</v>
      </c>
      <c r="O29" s="47">
        <v>0</v>
      </c>
      <c r="P29" s="47">
        <v>582694</v>
      </c>
      <c r="Q29" s="47">
        <v>382201</v>
      </c>
      <c r="R29" s="47">
        <v>0</v>
      </c>
      <c r="S29" s="47">
        <v>406371</v>
      </c>
      <c r="T29" s="47">
        <v>389418</v>
      </c>
      <c r="U29" s="47">
        <v>428629</v>
      </c>
      <c r="V29" s="47">
        <f>428629*2</f>
        <v>857258</v>
      </c>
      <c r="W29" s="47">
        <f t="shared" si="1"/>
        <v>3972631</v>
      </c>
      <c r="X29" s="132"/>
      <c r="Y29" s="8"/>
    </row>
    <row r="30" spans="1:28" s="63" customFormat="1" ht="11.75" customHeight="1">
      <c r="A30" s="59" t="s">
        <v>51</v>
      </c>
      <c r="B30" s="59"/>
      <c r="C30" s="64" t="s">
        <v>52</v>
      </c>
      <c r="D30" s="57"/>
      <c r="E30" s="57"/>
      <c r="F30" s="57"/>
      <c r="G30" s="57"/>
      <c r="H30" s="57"/>
      <c r="I30" s="57"/>
      <c r="J30" s="62"/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2800</v>
      </c>
      <c r="Q30" s="47">
        <v>2800</v>
      </c>
      <c r="R30" s="47">
        <v>2800</v>
      </c>
      <c r="S30" s="47">
        <v>3200</v>
      </c>
      <c r="T30" s="47">
        <v>4200</v>
      </c>
      <c r="U30" s="47">
        <v>4200</v>
      </c>
      <c r="V30" s="47">
        <v>4200</v>
      </c>
      <c r="W30" s="47">
        <f t="shared" si="1"/>
        <v>24200</v>
      </c>
      <c r="X30" s="132"/>
      <c r="Y30" s="8"/>
    </row>
    <row r="31" spans="1:28" s="8" customFormat="1" ht="11.75" customHeight="1">
      <c r="A31" s="9" t="s">
        <v>53</v>
      </c>
      <c r="B31" s="9"/>
      <c r="C31" s="13" t="s">
        <v>54</v>
      </c>
      <c r="D31" s="2"/>
      <c r="E31" s="2"/>
      <c r="F31" s="2"/>
      <c r="G31" s="2"/>
      <c r="H31" s="2"/>
      <c r="I31" s="2"/>
      <c r="J31" s="11"/>
      <c r="K31" s="12">
        <f>SUM(K32:K34)</f>
        <v>0</v>
      </c>
      <c r="L31" s="12">
        <f t="shared" ref="L31:V31" si="6">SUM(L32:L34)</f>
        <v>0</v>
      </c>
      <c r="M31" s="12">
        <f t="shared" si="6"/>
        <v>471275</v>
      </c>
      <c r="N31" s="12">
        <f t="shared" si="6"/>
        <v>18728</v>
      </c>
      <c r="O31" s="12">
        <f t="shared" si="6"/>
        <v>6364</v>
      </c>
      <c r="P31" s="12">
        <f t="shared" si="6"/>
        <v>4200</v>
      </c>
      <c r="Q31" s="12">
        <f t="shared" si="6"/>
        <v>4200</v>
      </c>
      <c r="R31" s="12">
        <f t="shared" si="6"/>
        <v>4200</v>
      </c>
      <c r="S31" s="12">
        <f t="shared" si="6"/>
        <v>46660</v>
      </c>
      <c r="T31" s="12">
        <f t="shared" si="6"/>
        <v>4800</v>
      </c>
      <c r="U31" s="12">
        <f t="shared" si="6"/>
        <v>4800</v>
      </c>
      <c r="V31" s="12">
        <f t="shared" si="6"/>
        <v>4800</v>
      </c>
      <c r="W31" s="12">
        <f t="shared" si="1"/>
        <v>570027</v>
      </c>
      <c r="X31" s="132"/>
    </row>
    <row r="32" spans="1:28" s="63" customFormat="1" ht="11.75" customHeight="1">
      <c r="A32" s="59" t="s">
        <v>55</v>
      </c>
      <c r="B32" s="59"/>
      <c r="C32" s="59"/>
      <c r="D32" s="64" t="s">
        <v>54</v>
      </c>
      <c r="E32" s="57"/>
      <c r="F32" s="57"/>
      <c r="G32" s="57"/>
      <c r="H32" s="57"/>
      <c r="I32" s="57"/>
      <c r="J32" s="62"/>
      <c r="K32" s="47">
        <v>0</v>
      </c>
      <c r="L32" s="47">
        <v>0</v>
      </c>
      <c r="M32" s="47">
        <v>0</v>
      </c>
      <c r="N32" s="47">
        <v>18728</v>
      </c>
      <c r="O32" s="47">
        <v>6364</v>
      </c>
      <c r="P32" s="47">
        <v>4200</v>
      </c>
      <c r="Q32" s="47">
        <v>4200</v>
      </c>
      <c r="R32" s="47">
        <v>4200</v>
      </c>
      <c r="S32" s="47">
        <v>4800</v>
      </c>
      <c r="T32" s="47">
        <v>4800</v>
      </c>
      <c r="U32" s="47">
        <v>4800</v>
      </c>
      <c r="V32" s="47">
        <v>4800</v>
      </c>
      <c r="W32" s="47">
        <f t="shared" si="1"/>
        <v>56892</v>
      </c>
      <c r="X32" s="132"/>
      <c r="Y32" s="8"/>
    </row>
    <row r="33" spans="1:25" s="63" customFormat="1" ht="11.75" customHeight="1">
      <c r="A33" s="59" t="s">
        <v>56</v>
      </c>
      <c r="B33" s="59"/>
      <c r="C33" s="59"/>
      <c r="D33" s="64" t="s">
        <v>57</v>
      </c>
      <c r="E33" s="57"/>
      <c r="F33" s="57"/>
      <c r="G33" s="57"/>
      <c r="H33" s="57"/>
      <c r="I33" s="57"/>
      <c r="J33" s="62"/>
      <c r="K33" s="47">
        <v>0</v>
      </c>
      <c r="L33" s="47">
        <v>0</v>
      </c>
      <c r="M33" s="47">
        <v>471275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41860</v>
      </c>
      <c r="T33" s="47">
        <v>0</v>
      </c>
      <c r="U33" s="47"/>
      <c r="V33" s="47"/>
      <c r="W33" s="47">
        <f t="shared" si="1"/>
        <v>513135</v>
      </c>
      <c r="X33" s="132"/>
      <c r="Y33" s="8"/>
    </row>
    <row r="34" spans="1:25" s="63" customFormat="1" ht="11.75" customHeight="1">
      <c r="A34" s="59" t="s">
        <v>58</v>
      </c>
      <c r="B34" s="59"/>
      <c r="C34" s="59"/>
      <c r="D34" s="64" t="s">
        <v>59</v>
      </c>
      <c r="E34" s="57"/>
      <c r="F34" s="57"/>
      <c r="G34" s="57"/>
      <c r="H34" s="57"/>
      <c r="I34" s="57"/>
      <c r="J34" s="62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>
        <f t="shared" si="1"/>
        <v>0</v>
      </c>
      <c r="X34" s="132"/>
      <c r="Y34" s="8"/>
    </row>
    <row r="35" spans="1:25" s="63" customFormat="1" ht="11.75" customHeight="1">
      <c r="A35" s="59" t="s">
        <v>60</v>
      </c>
      <c r="B35" s="59"/>
      <c r="C35" s="64" t="s">
        <v>61</v>
      </c>
      <c r="D35" s="57"/>
      <c r="E35" s="57"/>
      <c r="F35" s="57"/>
      <c r="G35" s="57"/>
      <c r="H35" s="57"/>
      <c r="I35" s="57"/>
      <c r="J35" s="62"/>
      <c r="K35" s="47">
        <v>0</v>
      </c>
      <c r="L35" s="47">
        <v>36137</v>
      </c>
      <c r="M35" s="47">
        <v>88346</v>
      </c>
      <c r="N35" s="47">
        <v>107665</v>
      </c>
      <c r="O35" s="47">
        <v>105592</v>
      </c>
      <c r="P35" s="47">
        <v>101338</v>
      </c>
      <c r="Q35" s="47">
        <v>100429</v>
      </c>
      <c r="R35" s="47">
        <v>106338</v>
      </c>
      <c r="S35" s="47">
        <v>94773</v>
      </c>
      <c r="T35" s="47">
        <v>115547</v>
      </c>
      <c r="U35" s="47">
        <v>115547</v>
      </c>
      <c r="V35" s="47">
        <v>115547</v>
      </c>
      <c r="W35" s="47">
        <f t="shared" si="1"/>
        <v>1087259</v>
      </c>
      <c r="X35" s="132"/>
      <c r="Y35" s="8"/>
    </row>
    <row r="36" spans="1:25" s="63" customFormat="1" ht="11.75" customHeight="1">
      <c r="A36" s="59" t="s">
        <v>62</v>
      </c>
      <c r="B36" s="59"/>
      <c r="C36" s="64" t="s">
        <v>63</v>
      </c>
      <c r="D36" s="57"/>
      <c r="E36" s="57"/>
      <c r="F36" s="57"/>
      <c r="G36" s="57"/>
      <c r="H36" s="57"/>
      <c r="I36" s="57"/>
      <c r="J36" s="62"/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/>
      <c r="V36" s="47"/>
      <c r="W36" s="53">
        <f t="shared" si="1"/>
        <v>0</v>
      </c>
      <c r="X36" s="132"/>
      <c r="Y36" s="8"/>
    </row>
    <row r="37" spans="1:25" s="8" customFormat="1" ht="11.75" customHeight="1">
      <c r="A37" s="9" t="s">
        <v>64</v>
      </c>
      <c r="B37" s="22" t="s">
        <v>65</v>
      </c>
      <c r="C37" s="23"/>
      <c r="D37" s="23"/>
      <c r="E37" s="23"/>
      <c r="F37" s="23"/>
      <c r="G37" s="23"/>
      <c r="H37" s="23"/>
      <c r="I37" s="23"/>
      <c r="J37" s="24"/>
      <c r="K37" s="25">
        <f>SUM(K38:K41,K46,K50,K57:K58,K61:K67,K70:K72,K78:K80,K83:K84)</f>
        <v>2947</v>
      </c>
      <c r="L37" s="25">
        <f t="shared" ref="L37:V37" si="7">SUM(L38:L41,L46,L50,L57:L58,L61:L67,L70:L72,L78:L80,L83:L84)</f>
        <v>734302</v>
      </c>
      <c r="M37" s="25">
        <f t="shared" si="7"/>
        <v>7704626</v>
      </c>
      <c r="N37" s="25">
        <f t="shared" si="7"/>
        <v>3576160</v>
      </c>
      <c r="O37" s="25">
        <f t="shared" si="7"/>
        <v>2732893</v>
      </c>
      <c r="P37" s="25">
        <f t="shared" si="7"/>
        <v>3518069</v>
      </c>
      <c r="Q37" s="25">
        <f t="shared" si="7"/>
        <v>2082287</v>
      </c>
      <c r="R37" s="25">
        <f t="shared" si="7"/>
        <v>1875239</v>
      </c>
      <c r="S37" s="25">
        <f t="shared" si="7"/>
        <v>2071893</v>
      </c>
      <c r="T37" s="25">
        <f t="shared" si="7"/>
        <v>1749946</v>
      </c>
      <c r="U37" s="25">
        <f t="shared" si="7"/>
        <v>2201186</v>
      </c>
      <c r="V37" s="25">
        <f t="shared" si="7"/>
        <v>1903186</v>
      </c>
      <c r="W37" s="25">
        <f t="shared" si="1"/>
        <v>30152734</v>
      </c>
      <c r="X37" s="132"/>
    </row>
    <row r="38" spans="1:25" s="63" customFormat="1" ht="11.75" customHeight="1">
      <c r="A38" s="59" t="s">
        <v>66</v>
      </c>
      <c r="B38" s="60"/>
      <c r="C38" s="61" t="s">
        <v>67</v>
      </c>
      <c r="D38" s="57"/>
      <c r="E38" s="57"/>
      <c r="F38" s="57"/>
      <c r="G38" s="57"/>
      <c r="H38" s="57"/>
      <c r="I38" s="57"/>
      <c r="J38" s="62"/>
      <c r="K38" s="47">
        <v>0</v>
      </c>
      <c r="L38" s="47">
        <v>26052</v>
      </c>
      <c r="M38" s="47">
        <v>4567198</v>
      </c>
      <c r="N38" s="47">
        <v>485974</v>
      </c>
      <c r="O38" s="47">
        <v>678732</v>
      </c>
      <c r="P38" s="47">
        <v>259066</v>
      </c>
      <c r="Q38" s="47">
        <v>125072</v>
      </c>
      <c r="R38" s="47">
        <v>151692</v>
      </c>
      <c r="S38" s="47">
        <v>113355</v>
      </c>
      <c r="T38" s="47">
        <v>70000</v>
      </c>
      <c r="U38" s="47">
        <v>560000</v>
      </c>
      <c r="V38" s="47">
        <v>260000</v>
      </c>
      <c r="W38" s="47">
        <f t="shared" si="1"/>
        <v>7297141</v>
      </c>
      <c r="X38" s="135"/>
    </row>
    <row r="39" spans="1:25" s="63" customFormat="1" ht="11.75" customHeight="1">
      <c r="A39" s="59" t="s">
        <v>68</v>
      </c>
      <c r="B39" s="59"/>
      <c r="C39" s="64" t="s">
        <v>69</v>
      </c>
      <c r="D39" s="57"/>
      <c r="E39" s="57"/>
      <c r="F39" s="57"/>
      <c r="G39" s="57"/>
      <c r="H39" s="57"/>
      <c r="I39" s="57"/>
      <c r="J39" s="62"/>
      <c r="K39" s="47">
        <v>0</v>
      </c>
      <c r="L39" s="47">
        <v>0</v>
      </c>
      <c r="M39" s="47">
        <v>4470</v>
      </c>
      <c r="N39" s="47">
        <v>16124</v>
      </c>
      <c r="O39" s="47">
        <v>6337</v>
      </c>
      <c r="P39" s="47">
        <v>1830</v>
      </c>
      <c r="Q39" s="47">
        <v>1949</v>
      </c>
      <c r="R39" s="47">
        <v>3159</v>
      </c>
      <c r="S39" s="47">
        <v>2659</v>
      </c>
      <c r="T39" s="47">
        <v>3000</v>
      </c>
      <c r="U39" s="47">
        <v>0</v>
      </c>
      <c r="V39" s="47">
        <v>3000</v>
      </c>
      <c r="W39" s="47">
        <f t="shared" si="1"/>
        <v>42528</v>
      </c>
      <c r="X39" s="135"/>
    </row>
    <row r="40" spans="1:25" s="63" customFormat="1" ht="11.75" customHeight="1">
      <c r="A40" s="59" t="s">
        <v>70</v>
      </c>
      <c r="B40" s="59"/>
      <c r="C40" s="64" t="s">
        <v>71</v>
      </c>
      <c r="D40" s="57"/>
      <c r="E40" s="57"/>
      <c r="F40" s="57"/>
      <c r="G40" s="57"/>
      <c r="H40" s="57"/>
      <c r="I40" s="57"/>
      <c r="J40" s="62"/>
      <c r="K40" s="47">
        <v>0</v>
      </c>
      <c r="L40" s="47">
        <v>0</v>
      </c>
      <c r="M40" s="47">
        <v>7505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f t="shared" si="1"/>
        <v>7505</v>
      </c>
      <c r="X40" s="135"/>
    </row>
    <row r="41" spans="1:25" s="8" customFormat="1" ht="11.75" customHeight="1">
      <c r="A41" s="9" t="s">
        <v>72</v>
      </c>
      <c r="B41" s="9"/>
      <c r="C41" s="13" t="s">
        <v>73</v>
      </c>
      <c r="D41" s="2"/>
      <c r="E41" s="2"/>
      <c r="F41" s="2"/>
      <c r="G41" s="2"/>
      <c r="H41" s="2"/>
      <c r="I41" s="2"/>
      <c r="J41" s="11"/>
      <c r="K41" s="12">
        <f>SUM(K42:K45)</f>
        <v>0</v>
      </c>
      <c r="L41" s="12">
        <f t="shared" ref="L41:V41" si="8">SUM(L42:L45)</f>
        <v>648371</v>
      </c>
      <c r="M41" s="12">
        <f t="shared" si="8"/>
        <v>1451945</v>
      </c>
      <c r="N41" s="12">
        <f t="shared" si="8"/>
        <v>678634</v>
      </c>
      <c r="O41" s="12">
        <f t="shared" si="8"/>
        <v>707055</v>
      </c>
      <c r="P41" s="12">
        <f t="shared" si="8"/>
        <v>807567</v>
      </c>
      <c r="Q41" s="12">
        <f t="shared" si="8"/>
        <v>674226</v>
      </c>
      <c r="R41" s="12">
        <f t="shared" si="8"/>
        <v>674076</v>
      </c>
      <c r="S41" s="12">
        <f t="shared" si="8"/>
        <v>877781</v>
      </c>
      <c r="T41" s="12">
        <f t="shared" si="8"/>
        <v>674186</v>
      </c>
      <c r="U41" s="12">
        <f t="shared" si="8"/>
        <v>674186</v>
      </c>
      <c r="V41" s="12">
        <f t="shared" si="8"/>
        <v>674186</v>
      </c>
      <c r="W41" s="12">
        <f t="shared" si="1"/>
        <v>8542213</v>
      </c>
      <c r="X41" s="132"/>
    </row>
    <row r="42" spans="1:25" s="63" customFormat="1" ht="11.75" customHeight="1">
      <c r="A42" s="59" t="s">
        <v>74</v>
      </c>
      <c r="B42" s="59"/>
      <c r="C42" s="59"/>
      <c r="D42" s="64" t="s">
        <v>75</v>
      </c>
      <c r="E42" s="57"/>
      <c r="F42" s="57"/>
      <c r="G42" s="57"/>
      <c r="H42" s="57"/>
      <c r="I42" s="57"/>
      <c r="J42" s="62"/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f t="shared" si="1"/>
        <v>0</v>
      </c>
      <c r="X42" s="135"/>
    </row>
    <row r="43" spans="1:25" s="63" customFormat="1" ht="11.75" customHeight="1">
      <c r="A43" s="59" t="s">
        <v>76</v>
      </c>
      <c r="B43" s="59"/>
      <c r="C43" s="59"/>
      <c r="D43" s="64" t="s">
        <v>77</v>
      </c>
      <c r="E43" s="57"/>
      <c r="F43" s="57"/>
      <c r="G43" s="57"/>
      <c r="H43" s="57"/>
      <c r="I43" s="57"/>
      <c r="J43" s="62"/>
      <c r="K43" s="47">
        <v>0</v>
      </c>
      <c r="L43" s="47">
        <v>648371</v>
      </c>
      <c r="M43" s="47">
        <v>1429802</v>
      </c>
      <c r="N43" s="47">
        <v>654371</v>
      </c>
      <c r="O43" s="47">
        <v>696402</v>
      </c>
      <c r="P43" s="47">
        <v>789727</v>
      </c>
      <c r="Q43" s="47">
        <v>656371</v>
      </c>
      <c r="R43" s="47">
        <v>656371</v>
      </c>
      <c r="S43" s="47">
        <v>682171</v>
      </c>
      <c r="T43" s="47">
        <v>656371</v>
      </c>
      <c r="U43" s="47">
        <v>656371</v>
      </c>
      <c r="V43" s="47">
        <v>656371</v>
      </c>
      <c r="W43" s="47">
        <f t="shared" si="1"/>
        <v>8182699</v>
      </c>
      <c r="X43" s="135"/>
    </row>
    <row r="44" spans="1:25" s="63" customFormat="1" ht="11.75" customHeight="1">
      <c r="A44" s="59" t="s">
        <v>78</v>
      </c>
      <c r="B44" s="59"/>
      <c r="C44" s="59"/>
      <c r="D44" s="64" t="s">
        <v>79</v>
      </c>
      <c r="E44" s="57"/>
      <c r="F44" s="57"/>
      <c r="G44" s="57"/>
      <c r="H44" s="57"/>
      <c r="I44" s="57"/>
      <c r="J44" s="62"/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f t="shared" si="1"/>
        <v>0</v>
      </c>
      <c r="X44" s="135"/>
    </row>
    <row r="45" spans="1:25" s="63" customFormat="1" ht="11.75" customHeight="1">
      <c r="A45" s="59" t="s">
        <v>80</v>
      </c>
      <c r="B45" s="59"/>
      <c r="C45" s="59"/>
      <c r="D45" s="64" t="s">
        <v>81</v>
      </c>
      <c r="E45" s="57"/>
      <c r="F45" s="57"/>
      <c r="G45" s="57"/>
      <c r="H45" s="57"/>
      <c r="I45" s="57"/>
      <c r="J45" s="62"/>
      <c r="K45" s="47">
        <v>0</v>
      </c>
      <c r="L45" s="47">
        <v>0</v>
      </c>
      <c r="M45" s="47">
        <v>22143</v>
      </c>
      <c r="N45" s="47">
        <v>24263</v>
      </c>
      <c r="O45" s="47">
        <v>10653</v>
      </c>
      <c r="P45" s="47">
        <v>17840</v>
      </c>
      <c r="Q45" s="47">
        <v>17855</v>
      </c>
      <c r="R45" s="47">
        <v>17705</v>
      </c>
      <c r="S45" s="47">
        <v>195610</v>
      </c>
      <c r="T45" s="47">
        <v>17815</v>
      </c>
      <c r="U45" s="47">
        <v>17815</v>
      </c>
      <c r="V45" s="47">
        <v>17815</v>
      </c>
      <c r="W45" s="47">
        <f t="shared" si="1"/>
        <v>359514</v>
      </c>
      <c r="X45" s="135"/>
    </row>
    <row r="46" spans="1:25" s="8" customFormat="1" ht="11.75" customHeight="1">
      <c r="A46" s="9" t="s">
        <v>82</v>
      </c>
      <c r="B46" s="9"/>
      <c r="C46" s="13" t="s">
        <v>83</v>
      </c>
      <c r="D46" s="2"/>
      <c r="E46" s="2"/>
      <c r="F46" s="2"/>
      <c r="G46" s="2"/>
      <c r="H46" s="2"/>
      <c r="I46" s="2"/>
      <c r="J46" s="11"/>
      <c r="K46" s="12">
        <f>SUM(K47:K49)</f>
        <v>2947</v>
      </c>
      <c r="L46" s="12">
        <f t="shared" ref="L46:V46" si="9">SUM(L47:L49)</f>
        <v>0</v>
      </c>
      <c r="M46" s="12">
        <f t="shared" si="9"/>
        <v>0</v>
      </c>
      <c r="N46" s="12">
        <f t="shared" si="9"/>
        <v>0</v>
      </c>
      <c r="O46" s="12">
        <f t="shared" si="9"/>
        <v>0</v>
      </c>
      <c r="P46" s="12">
        <f t="shared" si="9"/>
        <v>0</v>
      </c>
      <c r="Q46" s="12">
        <f t="shared" si="9"/>
        <v>0</v>
      </c>
      <c r="R46" s="12">
        <f t="shared" si="9"/>
        <v>0</v>
      </c>
      <c r="S46" s="12">
        <f t="shared" si="9"/>
        <v>0</v>
      </c>
      <c r="T46" s="12">
        <f t="shared" si="9"/>
        <v>0</v>
      </c>
      <c r="U46" s="12">
        <f t="shared" si="9"/>
        <v>0</v>
      </c>
      <c r="V46" s="12">
        <f t="shared" si="9"/>
        <v>0</v>
      </c>
      <c r="W46" s="12">
        <f t="shared" si="1"/>
        <v>2947</v>
      </c>
      <c r="X46" s="132"/>
    </row>
    <row r="47" spans="1:25" s="63" customFormat="1" ht="11.75" customHeight="1">
      <c r="A47" s="59" t="s">
        <v>84</v>
      </c>
      <c r="B47" s="59"/>
      <c r="C47" s="59"/>
      <c r="D47" s="64" t="s">
        <v>85</v>
      </c>
      <c r="E47" s="57"/>
      <c r="F47" s="57"/>
      <c r="G47" s="57"/>
      <c r="H47" s="57"/>
      <c r="I47" s="57"/>
      <c r="J47" s="62"/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  <c r="Q47" s="47">
        <v>0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f t="shared" si="1"/>
        <v>0</v>
      </c>
      <c r="X47" s="135"/>
    </row>
    <row r="48" spans="1:25" s="63" customFormat="1" ht="11.75" customHeight="1">
      <c r="A48" s="59" t="s">
        <v>86</v>
      </c>
      <c r="B48" s="59"/>
      <c r="C48" s="59"/>
      <c r="D48" s="64" t="s">
        <v>87</v>
      </c>
      <c r="E48" s="57"/>
      <c r="F48" s="57"/>
      <c r="G48" s="57"/>
      <c r="H48" s="57"/>
      <c r="I48" s="57"/>
      <c r="J48" s="62"/>
      <c r="K48" s="47">
        <v>0</v>
      </c>
      <c r="L48" s="47">
        <v>0</v>
      </c>
      <c r="M48" s="47">
        <v>0</v>
      </c>
      <c r="N48" s="47">
        <v>0</v>
      </c>
      <c r="O48" s="47">
        <v>0</v>
      </c>
      <c r="P48" s="47">
        <v>0</v>
      </c>
      <c r="Q48" s="47">
        <v>0</v>
      </c>
      <c r="R48" s="47">
        <v>0</v>
      </c>
      <c r="S48" s="47">
        <v>0</v>
      </c>
      <c r="T48" s="47">
        <v>0</v>
      </c>
      <c r="U48" s="47">
        <v>0</v>
      </c>
      <c r="V48" s="47">
        <v>0</v>
      </c>
      <c r="W48" s="47">
        <f t="shared" si="1"/>
        <v>0</v>
      </c>
      <c r="X48" s="135"/>
    </row>
    <row r="49" spans="1:24" s="63" customFormat="1" ht="11.75" customHeight="1">
      <c r="A49" s="59" t="s">
        <v>88</v>
      </c>
      <c r="B49" s="59"/>
      <c r="C49" s="59"/>
      <c r="D49" s="64" t="s">
        <v>89</v>
      </c>
      <c r="E49" s="57"/>
      <c r="F49" s="57"/>
      <c r="G49" s="57"/>
      <c r="H49" s="57"/>
      <c r="I49" s="57"/>
      <c r="J49" s="62"/>
      <c r="K49" s="47">
        <v>2947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f t="shared" si="1"/>
        <v>2947</v>
      </c>
      <c r="X49" s="135"/>
    </row>
    <row r="50" spans="1:24" s="8" customFormat="1" ht="11.75" customHeight="1">
      <c r="A50" s="9" t="s">
        <v>90</v>
      </c>
      <c r="B50" s="9"/>
      <c r="C50" s="13" t="s">
        <v>91</v>
      </c>
      <c r="D50" s="2"/>
      <c r="E50" s="2"/>
      <c r="F50" s="2"/>
      <c r="G50" s="2"/>
      <c r="H50" s="2"/>
      <c r="I50" s="2"/>
      <c r="J50" s="11"/>
      <c r="K50" s="12">
        <f>SUM(K51:K56)</f>
        <v>0</v>
      </c>
      <c r="L50" s="12">
        <f t="shared" ref="L50:V50" si="10">SUM(L51:L56)</f>
        <v>0</v>
      </c>
      <c r="M50" s="12">
        <f t="shared" si="10"/>
        <v>0</v>
      </c>
      <c r="N50" s="12">
        <f t="shared" si="10"/>
        <v>0</v>
      </c>
      <c r="O50" s="12">
        <f t="shared" si="10"/>
        <v>0</v>
      </c>
      <c r="P50" s="12">
        <f t="shared" si="10"/>
        <v>0</v>
      </c>
      <c r="Q50" s="12">
        <f t="shared" si="10"/>
        <v>0</v>
      </c>
      <c r="R50" s="12">
        <f t="shared" si="10"/>
        <v>240000</v>
      </c>
      <c r="S50" s="12">
        <f t="shared" si="10"/>
        <v>0</v>
      </c>
      <c r="T50" s="12">
        <f t="shared" si="10"/>
        <v>0</v>
      </c>
      <c r="U50" s="12">
        <f t="shared" si="10"/>
        <v>0</v>
      </c>
      <c r="V50" s="12">
        <f t="shared" si="10"/>
        <v>0</v>
      </c>
      <c r="W50" s="12">
        <f t="shared" si="1"/>
        <v>240000</v>
      </c>
      <c r="X50" s="132"/>
    </row>
    <row r="51" spans="1:24" s="63" customFormat="1" ht="11.75" customHeight="1">
      <c r="A51" s="59" t="s">
        <v>92</v>
      </c>
      <c r="B51" s="59"/>
      <c r="C51" s="59"/>
      <c r="D51" s="64" t="s">
        <v>93</v>
      </c>
      <c r="E51" s="57"/>
      <c r="F51" s="57"/>
      <c r="G51" s="57"/>
      <c r="H51" s="57"/>
      <c r="I51" s="57"/>
      <c r="J51" s="62"/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0</v>
      </c>
      <c r="V51" s="47">
        <v>0</v>
      </c>
      <c r="W51" s="47">
        <f t="shared" si="1"/>
        <v>0</v>
      </c>
      <c r="X51" s="135"/>
    </row>
    <row r="52" spans="1:24" s="63" customFormat="1" ht="11.75" customHeight="1">
      <c r="A52" s="59" t="s">
        <v>94</v>
      </c>
      <c r="B52" s="59"/>
      <c r="C52" s="59"/>
      <c r="D52" s="64" t="s">
        <v>95</v>
      </c>
      <c r="E52" s="57"/>
      <c r="F52" s="57"/>
      <c r="G52" s="57"/>
      <c r="H52" s="57"/>
      <c r="I52" s="57"/>
      <c r="J52" s="62"/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240000</v>
      </c>
      <c r="S52" s="47">
        <v>0</v>
      </c>
      <c r="T52" s="47">
        <v>0</v>
      </c>
      <c r="U52" s="47">
        <v>0</v>
      </c>
      <c r="V52" s="47">
        <v>0</v>
      </c>
      <c r="W52" s="47">
        <f t="shared" si="1"/>
        <v>240000</v>
      </c>
      <c r="X52" s="135"/>
    </row>
    <row r="53" spans="1:24" s="63" customFormat="1" ht="11.75" customHeight="1">
      <c r="A53" s="59" t="s">
        <v>96</v>
      </c>
      <c r="B53" s="59"/>
      <c r="C53" s="59"/>
      <c r="D53" s="64" t="s">
        <v>97</v>
      </c>
      <c r="E53" s="57"/>
      <c r="F53" s="57"/>
      <c r="G53" s="57"/>
      <c r="H53" s="57"/>
      <c r="I53" s="57"/>
      <c r="J53" s="62"/>
      <c r="K53" s="47">
        <v>0</v>
      </c>
      <c r="L53" s="47">
        <v>0</v>
      </c>
      <c r="M53" s="47">
        <v>0</v>
      </c>
      <c r="N53" s="47">
        <v>0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0</v>
      </c>
      <c r="V53" s="47">
        <v>0</v>
      </c>
      <c r="W53" s="47">
        <f t="shared" si="1"/>
        <v>0</v>
      </c>
      <c r="X53" s="135"/>
    </row>
    <row r="54" spans="1:24" s="63" customFormat="1" ht="11.75" customHeight="1">
      <c r="A54" s="59" t="s">
        <v>98</v>
      </c>
      <c r="B54" s="59"/>
      <c r="C54" s="59"/>
      <c r="D54" s="64" t="s">
        <v>99</v>
      </c>
      <c r="E54" s="57"/>
      <c r="F54" s="57"/>
      <c r="G54" s="57"/>
      <c r="H54" s="57"/>
      <c r="I54" s="57"/>
      <c r="J54" s="62"/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0</v>
      </c>
      <c r="W54" s="47">
        <f t="shared" si="1"/>
        <v>0</v>
      </c>
      <c r="X54" s="135"/>
    </row>
    <row r="55" spans="1:24" s="63" customFormat="1" ht="11.75" customHeight="1">
      <c r="A55" s="59" t="s">
        <v>100</v>
      </c>
      <c r="B55" s="59"/>
      <c r="C55" s="59"/>
      <c r="D55" s="64" t="s">
        <v>101</v>
      </c>
      <c r="E55" s="57"/>
      <c r="F55" s="57"/>
      <c r="G55" s="57"/>
      <c r="H55" s="57"/>
      <c r="I55" s="57"/>
      <c r="J55" s="62"/>
      <c r="K55" s="47">
        <v>0</v>
      </c>
      <c r="L55" s="47">
        <v>0</v>
      </c>
      <c r="M55" s="47">
        <v>0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f t="shared" si="1"/>
        <v>0</v>
      </c>
      <c r="X55" s="135"/>
    </row>
    <row r="56" spans="1:24" s="63" customFormat="1" ht="11.75" customHeight="1">
      <c r="A56" s="59" t="s">
        <v>102</v>
      </c>
      <c r="B56" s="59"/>
      <c r="C56" s="59"/>
      <c r="D56" s="64" t="s">
        <v>103</v>
      </c>
      <c r="E56" s="57"/>
      <c r="F56" s="57"/>
      <c r="G56" s="57"/>
      <c r="H56" s="57"/>
      <c r="I56" s="57"/>
      <c r="J56" s="62"/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</v>
      </c>
      <c r="V56" s="47">
        <v>0</v>
      </c>
      <c r="W56" s="47">
        <f t="shared" si="1"/>
        <v>0</v>
      </c>
      <c r="X56" s="135"/>
    </row>
    <row r="57" spans="1:24" s="63" customFormat="1" ht="11.75" customHeight="1">
      <c r="A57" s="59" t="s">
        <v>104</v>
      </c>
      <c r="B57" s="59"/>
      <c r="C57" s="64" t="s">
        <v>105</v>
      </c>
      <c r="D57" s="57"/>
      <c r="E57" s="57"/>
      <c r="F57" s="57"/>
      <c r="G57" s="57"/>
      <c r="H57" s="57"/>
      <c r="I57" s="57"/>
      <c r="J57" s="62"/>
      <c r="K57" s="47">
        <v>0</v>
      </c>
      <c r="L57" s="47">
        <v>0</v>
      </c>
      <c r="M57" s="47">
        <v>0</v>
      </c>
      <c r="N57" s="47">
        <v>0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f t="shared" si="1"/>
        <v>0</v>
      </c>
      <c r="X57" s="135"/>
    </row>
    <row r="58" spans="1:24" s="8" customFormat="1" ht="11.75" customHeight="1">
      <c r="A58" s="9" t="s">
        <v>106</v>
      </c>
      <c r="B58" s="9"/>
      <c r="C58" s="13" t="s">
        <v>107</v>
      </c>
      <c r="D58" s="2"/>
      <c r="E58" s="2"/>
      <c r="F58" s="2"/>
      <c r="G58" s="2"/>
      <c r="H58" s="2"/>
      <c r="I58" s="2"/>
      <c r="J58" s="11"/>
      <c r="K58" s="12">
        <f>SUM(K59:K60)</f>
        <v>0</v>
      </c>
      <c r="L58" s="12">
        <f t="shared" ref="L58:V58" si="11">SUM(L59:L60)</f>
        <v>0</v>
      </c>
      <c r="M58" s="12">
        <f t="shared" si="11"/>
        <v>134700</v>
      </c>
      <c r="N58" s="12">
        <f t="shared" si="11"/>
        <v>0</v>
      </c>
      <c r="O58" s="12">
        <f t="shared" si="11"/>
        <v>16520</v>
      </c>
      <c r="P58" s="12">
        <f t="shared" si="11"/>
        <v>0</v>
      </c>
      <c r="Q58" s="12">
        <f t="shared" si="11"/>
        <v>5000</v>
      </c>
      <c r="R58" s="12">
        <f t="shared" si="11"/>
        <v>0</v>
      </c>
      <c r="S58" s="12">
        <f t="shared" si="11"/>
        <v>5000</v>
      </c>
      <c r="T58" s="12">
        <f t="shared" si="11"/>
        <v>5760</v>
      </c>
      <c r="U58" s="12">
        <f t="shared" si="11"/>
        <v>0</v>
      </c>
      <c r="V58" s="12">
        <f t="shared" si="11"/>
        <v>12000</v>
      </c>
      <c r="W58" s="12">
        <f t="shared" si="1"/>
        <v>178980</v>
      </c>
      <c r="X58" s="132"/>
    </row>
    <row r="59" spans="1:24" s="63" customFormat="1" ht="11.75" customHeight="1">
      <c r="A59" s="59" t="s">
        <v>108</v>
      </c>
      <c r="B59" s="59"/>
      <c r="C59" s="59"/>
      <c r="D59" s="64" t="s">
        <v>107</v>
      </c>
      <c r="E59" s="57"/>
      <c r="F59" s="57"/>
      <c r="G59" s="57"/>
      <c r="H59" s="57"/>
      <c r="I59" s="57"/>
      <c r="J59" s="62"/>
      <c r="K59" s="47">
        <v>0</v>
      </c>
      <c r="L59" s="47">
        <v>0</v>
      </c>
      <c r="M59" s="47">
        <v>134700</v>
      </c>
      <c r="N59" s="47">
        <v>0</v>
      </c>
      <c r="O59" s="47">
        <v>16520</v>
      </c>
      <c r="P59" s="47">
        <v>0</v>
      </c>
      <c r="Q59" s="47">
        <v>5000</v>
      </c>
      <c r="R59" s="47">
        <v>0</v>
      </c>
      <c r="S59" s="47">
        <v>5000</v>
      </c>
      <c r="T59" s="47">
        <v>5760</v>
      </c>
      <c r="U59" s="47">
        <v>0</v>
      </c>
      <c r="V59" s="47">
        <v>12000</v>
      </c>
      <c r="W59" s="47">
        <f t="shared" si="1"/>
        <v>178980</v>
      </c>
      <c r="X59" s="135"/>
    </row>
    <row r="60" spans="1:24" s="63" customFormat="1" ht="11.75" customHeight="1">
      <c r="A60" s="59" t="s">
        <v>109</v>
      </c>
      <c r="B60" s="59"/>
      <c r="C60" s="59"/>
      <c r="D60" s="64" t="s">
        <v>110</v>
      </c>
      <c r="E60" s="57"/>
      <c r="F60" s="57"/>
      <c r="G60" s="57"/>
      <c r="H60" s="57"/>
      <c r="I60" s="57"/>
      <c r="J60" s="62"/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0</v>
      </c>
      <c r="V60" s="47">
        <v>0</v>
      </c>
      <c r="W60" s="47">
        <f t="shared" si="1"/>
        <v>0</v>
      </c>
      <c r="X60" s="135"/>
    </row>
    <row r="61" spans="1:24" s="63" customFormat="1" ht="11.75" customHeight="1">
      <c r="A61" s="59" t="s">
        <v>111</v>
      </c>
      <c r="B61" s="59"/>
      <c r="C61" s="64" t="s">
        <v>112</v>
      </c>
      <c r="D61" s="57"/>
      <c r="E61" s="57"/>
      <c r="F61" s="57"/>
      <c r="G61" s="57"/>
      <c r="H61" s="57"/>
      <c r="I61" s="57"/>
      <c r="J61" s="62"/>
      <c r="K61" s="47">
        <v>0</v>
      </c>
      <c r="L61" s="47">
        <v>0</v>
      </c>
      <c r="M61" s="47">
        <v>147940</v>
      </c>
      <c r="N61" s="47">
        <v>21470</v>
      </c>
      <c r="O61" s="47">
        <v>6434</v>
      </c>
      <c r="P61" s="47">
        <v>9108</v>
      </c>
      <c r="Q61" s="47">
        <v>4883</v>
      </c>
      <c r="R61" s="47">
        <v>8975</v>
      </c>
      <c r="S61" s="47">
        <v>8115</v>
      </c>
      <c r="T61" s="47">
        <v>9000</v>
      </c>
      <c r="U61" s="47">
        <v>9000</v>
      </c>
      <c r="V61" s="47">
        <v>9000</v>
      </c>
      <c r="W61" s="47">
        <f t="shared" si="1"/>
        <v>233925</v>
      </c>
      <c r="X61" s="135"/>
    </row>
    <row r="62" spans="1:24" s="63" customFormat="1" ht="11.75" customHeight="1">
      <c r="A62" s="59" t="s">
        <v>113</v>
      </c>
      <c r="B62" s="59"/>
      <c r="C62" s="64" t="s">
        <v>114</v>
      </c>
      <c r="D62" s="57"/>
      <c r="E62" s="57"/>
      <c r="F62" s="57"/>
      <c r="G62" s="57"/>
      <c r="H62" s="57"/>
      <c r="I62" s="57"/>
      <c r="J62" s="62"/>
      <c r="K62" s="47">
        <v>0</v>
      </c>
      <c r="L62" s="47">
        <v>0</v>
      </c>
      <c r="M62" s="47">
        <v>0</v>
      </c>
      <c r="N62" s="47">
        <v>0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  <c r="W62" s="47">
        <f t="shared" si="1"/>
        <v>0</v>
      </c>
      <c r="X62" s="135"/>
    </row>
    <row r="63" spans="1:24" s="63" customFormat="1" ht="11.75" customHeight="1">
      <c r="A63" s="59" t="s">
        <v>115</v>
      </c>
      <c r="B63" s="59"/>
      <c r="C63" s="64" t="s">
        <v>116</v>
      </c>
      <c r="D63" s="57"/>
      <c r="E63" s="57"/>
      <c r="F63" s="57"/>
      <c r="G63" s="57"/>
      <c r="H63" s="57"/>
      <c r="I63" s="57"/>
      <c r="J63" s="62"/>
      <c r="K63" s="47">
        <v>0</v>
      </c>
      <c r="L63" s="47">
        <v>0</v>
      </c>
      <c r="M63" s="47">
        <v>0</v>
      </c>
      <c r="N63" s="47">
        <v>4050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0</v>
      </c>
      <c r="V63" s="47">
        <v>0</v>
      </c>
      <c r="W63" s="47">
        <f t="shared" si="1"/>
        <v>4050</v>
      </c>
      <c r="X63" s="135"/>
    </row>
    <row r="64" spans="1:24" s="63" customFormat="1" ht="11.75" customHeight="1">
      <c r="A64" s="59" t="s">
        <v>117</v>
      </c>
      <c r="B64" s="59"/>
      <c r="C64" s="64" t="s">
        <v>118</v>
      </c>
      <c r="D64" s="57"/>
      <c r="E64" s="57"/>
      <c r="F64" s="57"/>
      <c r="G64" s="57"/>
      <c r="H64" s="57"/>
      <c r="I64" s="57"/>
      <c r="J64" s="62"/>
      <c r="K64" s="47">
        <v>0</v>
      </c>
      <c r="L64" s="47">
        <v>0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15000</v>
      </c>
      <c r="T64" s="47">
        <v>0</v>
      </c>
      <c r="U64" s="47">
        <v>0</v>
      </c>
      <c r="V64" s="47">
        <v>0</v>
      </c>
      <c r="W64" s="47">
        <f t="shared" si="1"/>
        <v>15000</v>
      </c>
      <c r="X64" s="135"/>
    </row>
    <row r="65" spans="1:24" s="63" customFormat="1" ht="11.75" customHeight="1">
      <c r="A65" s="59" t="s">
        <v>119</v>
      </c>
      <c r="B65" s="59"/>
      <c r="C65" s="64" t="s">
        <v>120</v>
      </c>
      <c r="D65" s="57"/>
      <c r="E65" s="57"/>
      <c r="F65" s="57"/>
      <c r="G65" s="57"/>
      <c r="H65" s="57"/>
      <c r="I65" s="57"/>
      <c r="J65" s="62"/>
      <c r="K65" s="47">
        <v>0</v>
      </c>
      <c r="L65" s="47">
        <v>5447</v>
      </c>
      <c r="M65" s="47">
        <v>524286</v>
      </c>
      <c r="N65" s="47">
        <v>629482</v>
      </c>
      <c r="O65" s="47">
        <v>418062</v>
      </c>
      <c r="P65" s="47">
        <v>447813</v>
      </c>
      <c r="Q65" s="47">
        <v>607078</v>
      </c>
      <c r="R65" s="47">
        <v>203300</v>
      </c>
      <c r="S65" s="47">
        <v>302486</v>
      </c>
      <c r="T65" s="47">
        <v>400000</v>
      </c>
      <c r="U65" s="47">
        <v>400000</v>
      </c>
      <c r="V65" s="47">
        <v>400000</v>
      </c>
      <c r="W65" s="47">
        <f t="shared" si="1"/>
        <v>4337954</v>
      </c>
      <c r="X65" s="135"/>
    </row>
    <row r="66" spans="1:24" s="63" customFormat="1" ht="11.75" customHeight="1">
      <c r="A66" s="59" t="s">
        <v>121</v>
      </c>
      <c r="B66" s="59"/>
      <c r="C66" s="64" t="s">
        <v>122</v>
      </c>
      <c r="D66" s="57"/>
      <c r="E66" s="57"/>
      <c r="F66" s="57"/>
      <c r="G66" s="57"/>
      <c r="H66" s="57"/>
      <c r="I66" s="57"/>
      <c r="J66" s="62"/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f t="shared" si="1"/>
        <v>0</v>
      </c>
      <c r="X66" s="135"/>
    </row>
    <row r="67" spans="1:24" s="8" customFormat="1" ht="11.75" customHeight="1">
      <c r="A67" s="9" t="s">
        <v>123</v>
      </c>
      <c r="B67" s="9"/>
      <c r="C67" s="13" t="s">
        <v>124</v>
      </c>
      <c r="D67" s="2"/>
      <c r="E67" s="2"/>
      <c r="F67" s="2"/>
      <c r="G67" s="2"/>
      <c r="H67" s="2"/>
      <c r="I67" s="2"/>
      <c r="J67" s="11"/>
      <c r="K67" s="12">
        <f>SUM(K68:K69)</f>
        <v>0</v>
      </c>
      <c r="L67" s="12">
        <f t="shared" ref="L67:V67" si="12">SUM(L68:L69)</f>
        <v>0</v>
      </c>
      <c r="M67" s="12">
        <f t="shared" si="12"/>
        <v>61463</v>
      </c>
      <c r="N67" s="12">
        <f t="shared" si="12"/>
        <v>412448</v>
      </c>
      <c r="O67" s="12">
        <f t="shared" si="12"/>
        <v>303409</v>
      </c>
      <c r="P67" s="12">
        <f t="shared" si="12"/>
        <v>281327</v>
      </c>
      <c r="Q67" s="12">
        <f t="shared" si="12"/>
        <v>245626</v>
      </c>
      <c r="R67" s="12">
        <f t="shared" si="12"/>
        <v>204213</v>
      </c>
      <c r="S67" s="12">
        <f t="shared" si="12"/>
        <v>354921</v>
      </c>
      <c r="T67" s="12">
        <f t="shared" si="12"/>
        <v>268000</v>
      </c>
      <c r="U67" s="12">
        <f t="shared" si="12"/>
        <v>238000</v>
      </c>
      <c r="V67" s="12">
        <f t="shared" si="12"/>
        <v>225000</v>
      </c>
      <c r="W67" s="12">
        <f t="shared" si="1"/>
        <v>2594407</v>
      </c>
      <c r="X67" s="132"/>
    </row>
    <row r="68" spans="1:24" s="63" customFormat="1" ht="11.75" customHeight="1">
      <c r="A68" s="59" t="s">
        <v>125</v>
      </c>
      <c r="B68" s="59"/>
      <c r="C68" s="59"/>
      <c r="D68" s="64" t="s">
        <v>124</v>
      </c>
      <c r="E68" s="57"/>
      <c r="F68" s="57"/>
      <c r="G68" s="57"/>
      <c r="H68" s="57"/>
      <c r="I68" s="57"/>
      <c r="J68" s="62"/>
      <c r="K68" s="47">
        <v>0</v>
      </c>
      <c r="L68" s="47">
        <v>0</v>
      </c>
      <c r="M68" s="47">
        <v>61463</v>
      </c>
      <c r="N68" s="47">
        <v>412448</v>
      </c>
      <c r="O68" s="47">
        <v>303409</v>
      </c>
      <c r="P68" s="47">
        <v>281327</v>
      </c>
      <c r="Q68" s="47">
        <v>245626</v>
      </c>
      <c r="R68" s="47">
        <v>204213</v>
      </c>
      <c r="S68" s="47">
        <v>354921</v>
      </c>
      <c r="T68" s="47">
        <v>268000</v>
      </c>
      <c r="U68" s="47">
        <v>238000</v>
      </c>
      <c r="V68" s="47">
        <v>225000</v>
      </c>
      <c r="W68" s="47">
        <f t="shared" si="1"/>
        <v>2594407</v>
      </c>
      <c r="X68" s="135"/>
    </row>
    <row r="69" spans="1:24" s="63" customFormat="1" ht="11.75" customHeight="1">
      <c r="A69" s="59" t="s">
        <v>126</v>
      </c>
      <c r="B69" s="59"/>
      <c r="C69" s="59"/>
      <c r="D69" s="64" t="s">
        <v>127</v>
      </c>
      <c r="E69" s="57"/>
      <c r="F69" s="57"/>
      <c r="G69" s="57"/>
      <c r="H69" s="57"/>
      <c r="I69" s="57"/>
      <c r="J69" s="62"/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f t="shared" si="1"/>
        <v>0</v>
      </c>
      <c r="X69" s="135"/>
    </row>
    <row r="70" spans="1:24" s="63" customFormat="1" ht="11.75" customHeight="1">
      <c r="A70" s="59" t="s">
        <v>128</v>
      </c>
      <c r="B70" s="59"/>
      <c r="C70" s="64" t="s">
        <v>129</v>
      </c>
      <c r="D70" s="57"/>
      <c r="E70" s="57"/>
      <c r="F70" s="57"/>
      <c r="G70" s="57"/>
      <c r="H70" s="57"/>
      <c r="I70" s="57"/>
      <c r="J70" s="62"/>
      <c r="K70" s="47">
        <v>0</v>
      </c>
      <c r="L70" s="47">
        <v>0</v>
      </c>
      <c r="M70" s="47">
        <v>6765</v>
      </c>
      <c r="N70" s="47">
        <v>0</v>
      </c>
      <c r="O70" s="47">
        <v>1864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0</v>
      </c>
      <c r="V70" s="47">
        <v>0</v>
      </c>
      <c r="W70" s="47">
        <f t="shared" si="1"/>
        <v>8629</v>
      </c>
      <c r="X70" s="135"/>
    </row>
    <row r="71" spans="1:24" s="63" customFormat="1" ht="11.75" customHeight="1">
      <c r="A71" s="59" t="s">
        <v>130</v>
      </c>
      <c r="B71" s="59"/>
      <c r="C71" s="64" t="s">
        <v>131</v>
      </c>
      <c r="D71" s="57"/>
      <c r="E71" s="57"/>
      <c r="F71" s="57"/>
      <c r="G71" s="57"/>
      <c r="H71" s="57"/>
      <c r="I71" s="57"/>
      <c r="J71" s="62"/>
      <c r="K71" s="47">
        <v>0</v>
      </c>
      <c r="L71" s="47">
        <v>6682</v>
      </c>
      <c r="M71" s="47">
        <v>33722</v>
      </c>
      <c r="N71" s="47">
        <v>36145</v>
      </c>
      <c r="O71" s="47">
        <v>22645</v>
      </c>
      <c r="P71" s="47">
        <v>50242</v>
      </c>
      <c r="Q71" s="47">
        <v>56488</v>
      </c>
      <c r="R71" s="47">
        <v>28484</v>
      </c>
      <c r="S71" s="47">
        <v>92756</v>
      </c>
      <c r="T71" s="47">
        <v>45000</v>
      </c>
      <c r="U71" s="47">
        <v>45000</v>
      </c>
      <c r="V71" s="47">
        <v>45000</v>
      </c>
      <c r="W71" s="47">
        <f t="shared" ref="W71:W118" si="13">SUM(K71:V71)</f>
        <v>462164</v>
      </c>
      <c r="X71" s="135"/>
    </row>
    <row r="72" spans="1:24" s="8" customFormat="1" ht="11.75" customHeight="1">
      <c r="A72" s="9" t="s">
        <v>132</v>
      </c>
      <c r="B72" s="9"/>
      <c r="C72" s="13" t="s">
        <v>133</v>
      </c>
      <c r="D72" s="2"/>
      <c r="E72" s="2"/>
      <c r="F72" s="2"/>
      <c r="G72" s="2"/>
      <c r="H72" s="2"/>
      <c r="I72" s="2"/>
      <c r="J72" s="11"/>
      <c r="K72" s="12">
        <f>SUM(K73:K77)</f>
        <v>0</v>
      </c>
      <c r="L72" s="12">
        <f t="shared" ref="L72:V72" si="14">SUM(L73:L77)</f>
        <v>47750</v>
      </c>
      <c r="M72" s="12">
        <f t="shared" si="14"/>
        <v>50632</v>
      </c>
      <c r="N72" s="12">
        <f t="shared" si="14"/>
        <v>225633</v>
      </c>
      <c r="O72" s="12">
        <f t="shared" si="14"/>
        <v>349966</v>
      </c>
      <c r="P72" s="12">
        <f t="shared" si="14"/>
        <v>349395</v>
      </c>
      <c r="Q72" s="12">
        <f t="shared" si="14"/>
        <v>333462</v>
      </c>
      <c r="R72" s="12">
        <f t="shared" si="14"/>
        <v>333761</v>
      </c>
      <c r="S72" s="12">
        <f t="shared" si="14"/>
        <v>272120</v>
      </c>
      <c r="T72" s="12">
        <f t="shared" si="14"/>
        <v>272000</v>
      </c>
      <c r="U72" s="12">
        <f t="shared" si="14"/>
        <v>272000</v>
      </c>
      <c r="V72" s="12">
        <f t="shared" si="14"/>
        <v>272000</v>
      </c>
      <c r="W72" s="12">
        <f t="shared" si="13"/>
        <v>2778719</v>
      </c>
      <c r="X72" s="132"/>
    </row>
    <row r="73" spans="1:24" s="63" customFormat="1" ht="11.75" customHeight="1">
      <c r="A73" s="59" t="s">
        <v>134</v>
      </c>
      <c r="B73" s="59"/>
      <c r="C73" s="59"/>
      <c r="D73" s="64" t="s">
        <v>135</v>
      </c>
      <c r="E73" s="57"/>
      <c r="F73" s="57"/>
      <c r="G73" s="57"/>
      <c r="H73" s="57"/>
      <c r="I73" s="57"/>
      <c r="J73" s="62"/>
      <c r="K73" s="47">
        <v>0</v>
      </c>
      <c r="L73" s="47">
        <v>0</v>
      </c>
      <c r="M73" s="47">
        <v>2882</v>
      </c>
      <c r="N73" s="47">
        <v>35937</v>
      </c>
      <c r="O73" s="47">
        <v>61380</v>
      </c>
      <c r="P73" s="47">
        <v>59109</v>
      </c>
      <c r="Q73" s="47">
        <v>52542</v>
      </c>
      <c r="R73" s="47">
        <v>52074</v>
      </c>
      <c r="S73" s="47">
        <v>52571</v>
      </c>
      <c r="T73" s="47">
        <v>55000</v>
      </c>
      <c r="U73" s="47">
        <v>55000</v>
      </c>
      <c r="V73" s="47">
        <v>55000</v>
      </c>
      <c r="W73" s="47">
        <f t="shared" si="13"/>
        <v>481495</v>
      </c>
      <c r="X73" s="135"/>
    </row>
    <row r="74" spans="1:24" s="63" customFormat="1" ht="11.75" customHeight="1">
      <c r="A74" s="59" t="s">
        <v>136</v>
      </c>
      <c r="B74" s="59"/>
      <c r="C74" s="59"/>
      <c r="D74" s="64" t="s">
        <v>137</v>
      </c>
      <c r="E74" s="57"/>
      <c r="F74" s="57"/>
      <c r="G74" s="57"/>
      <c r="H74" s="57"/>
      <c r="I74" s="57"/>
      <c r="J74" s="62"/>
      <c r="K74" s="47">
        <v>0</v>
      </c>
      <c r="L74" s="47">
        <v>0</v>
      </c>
      <c r="M74" s="47">
        <v>0</v>
      </c>
      <c r="N74" s="47">
        <v>13600</v>
      </c>
      <c r="O74" s="47">
        <v>29600</v>
      </c>
      <c r="P74" s="47">
        <v>32800</v>
      </c>
      <c r="Q74" s="47">
        <v>31200</v>
      </c>
      <c r="R74" s="47">
        <v>31200</v>
      </c>
      <c r="S74" s="47">
        <v>33600</v>
      </c>
      <c r="T74" s="47">
        <v>32000</v>
      </c>
      <c r="U74" s="47">
        <v>32000</v>
      </c>
      <c r="V74" s="47">
        <v>32000</v>
      </c>
      <c r="W74" s="47">
        <f t="shared" si="13"/>
        <v>268000</v>
      </c>
      <c r="X74" s="135"/>
    </row>
    <row r="75" spans="1:24" s="63" customFormat="1" ht="11.75" customHeight="1">
      <c r="A75" s="59" t="s">
        <v>138</v>
      </c>
      <c r="B75" s="59"/>
      <c r="C75" s="59"/>
      <c r="D75" s="64" t="s">
        <v>139</v>
      </c>
      <c r="E75" s="57"/>
      <c r="F75" s="57"/>
      <c r="G75" s="57"/>
      <c r="H75" s="57"/>
      <c r="I75" s="57"/>
      <c r="J75" s="62"/>
      <c r="K75" s="47">
        <v>0</v>
      </c>
      <c r="L75" s="47">
        <v>0</v>
      </c>
      <c r="M75" s="47">
        <v>0</v>
      </c>
      <c r="N75" s="47">
        <v>57070</v>
      </c>
      <c r="O75" s="47">
        <v>64416</v>
      </c>
      <c r="P75" s="47">
        <v>63218</v>
      </c>
      <c r="Q75" s="47">
        <v>57892</v>
      </c>
      <c r="R75" s="47">
        <v>74553</v>
      </c>
      <c r="S75" s="47">
        <v>64749</v>
      </c>
      <c r="T75" s="47">
        <v>65000</v>
      </c>
      <c r="U75" s="47">
        <v>65000</v>
      </c>
      <c r="V75" s="47">
        <v>65000</v>
      </c>
      <c r="W75" s="47">
        <f t="shared" si="13"/>
        <v>576898</v>
      </c>
      <c r="X75" s="135"/>
    </row>
    <row r="76" spans="1:24" s="63" customFormat="1" ht="11.75" customHeight="1">
      <c r="A76" s="59" t="s">
        <v>140</v>
      </c>
      <c r="B76" s="59"/>
      <c r="C76" s="59"/>
      <c r="D76" s="64" t="s">
        <v>141</v>
      </c>
      <c r="E76" s="57"/>
      <c r="F76" s="57"/>
      <c r="G76" s="57"/>
      <c r="H76" s="57"/>
      <c r="I76" s="57"/>
      <c r="J76" s="62"/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f t="shared" si="13"/>
        <v>0</v>
      </c>
      <c r="X76" s="135"/>
    </row>
    <row r="77" spans="1:24" s="63" customFormat="1" ht="11.75" customHeight="1">
      <c r="A77" s="59" t="s">
        <v>142</v>
      </c>
      <c r="B77" s="59"/>
      <c r="C77" s="59"/>
      <c r="D77" s="64" t="s">
        <v>143</v>
      </c>
      <c r="E77" s="57"/>
      <c r="F77" s="57"/>
      <c r="G77" s="57"/>
      <c r="H77" s="57"/>
      <c r="I77" s="57"/>
      <c r="J77" s="62"/>
      <c r="K77" s="47">
        <v>0</v>
      </c>
      <c r="L77" s="47">
        <v>47750</v>
      </c>
      <c r="M77" s="47">
        <v>47750</v>
      </c>
      <c r="N77" s="47">
        <v>119026</v>
      </c>
      <c r="O77" s="47">
        <v>194570</v>
      </c>
      <c r="P77" s="47">
        <v>194268</v>
      </c>
      <c r="Q77" s="47">
        <v>191828</v>
      </c>
      <c r="R77" s="47">
        <v>175934</v>
      </c>
      <c r="S77" s="47">
        <v>121200</v>
      </c>
      <c r="T77" s="47">
        <v>120000</v>
      </c>
      <c r="U77" s="47">
        <v>120000</v>
      </c>
      <c r="V77" s="47">
        <v>120000</v>
      </c>
      <c r="W77" s="47">
        <f t="shared" si="13"/>
        <v>1452326</v>
      </c>
      <c r="X77" s="135"/>
    </row>
    <row r="78" spans="1:24" s="63" customFormat="1" ht="11.75" customHeight="1">
      <c r="A78" s="59" t="s">
        <v>144</v>
      </c>
      <c r="B78" s="59"/>
      <c r="C78" s="64" t="s">
        <v>145</v>
      </c>
      <c r="D78" s="57"/>
      <c r="E78" s="57"/>
      <c r="F78" s="57"/>
      <c r="G78" s="57"/>
      <c r="H78" s="57"/>
      <c r="I78" s="57"/>
      <c r="J78" s="62"/>
      <c r="K78" s="47">
        <v>0</v>
      </c>
      <c r="L78" s="47">
        <v>0</v>
      </c>
      <c r="M78" s="47">
        <v>225000</v>
      </c>
      <c r="N78" s="47">
        <v>601200</v>
      </c>
      <c r="O78" s="47">
        <v>1869</v>
      </c>
      <c r="P78" s="47">
        <v>3721</v>
      </c>
      <c r="Q78" s="47">
        <v>3503</v>
      </c>
      <c r="R78" s="47">
        <v>2579</v>
      </c>
      <c r="S78" s="47">
        <v>2700</v>
      </c>
      <c r="T78" s="47">
        <v>3000</v>
      </c>
      <c r="U78" s="47">
        <v>3000</v>
      </c>
      <c r="V78" s="47">
        <v>3000</v>
      </c>
      <c r="W78" s="47">
        <f t="shared" si="13"/>
        <v>849572</v>
      </c>
      <c r="X78" s="135"/>
    </row>
    <row r="79" spans="1:24" s="63" customFormat="1" ht="11.75" customHeight="1">
      <c r="A79" s="59" t="s">
        <v>146</v>
      </c>
      <c r="B79" s="59"/>
      <c r="C79" s="64" t="s">
        <v>147</v>
      </c>
      <c r="D79" s="57"/>
      <c r="E79" s="57"/>
      <c r="F79" s="57"/>
      <c r="G79" s="57"/>
      <c r="H79" s="57"/>
      <c r="I79" s="57"/>
      <c r="J79" s="62"/>
      <c r="K79" s="47">
        <v>0</v>
      </c>
      <c r="L79" s="47">
        <v>0</v>
      </c>
      <c r="M79" s="47">
        <v>489000</v>
      </c>
      <c r="N79" s="47">
        <v>465000</v>
      </c>
      <c r="O79" s="47">
        <v>220000</v>
      </c>
      <c r="P79" s="47">
        <v>1308000</v>
      </c>
      <c r="Q79" s="47">
        <v>25000</v>
      </c>
      <c r="R79" s="47">
        <v>25000</v>
      </c>
      <c r="S79" s="47">
        <v>25000</v>
      </c>
      <c r="T79" s="47">
        <v>0</v>
      </c>
      <c r="U79" s="47">
        <v>0</v>
      </c>
      <c r="V79" s="47">
        <v>0</v>
      </c>
      <c r="W79" s="47">
        <f t="shared" si="13"/>
        <v>2557000</v>
      </c>
      <c r="X79" s="135"/>
    </row>
    <row r="80" spans="1:24" s="8" customFormat="1" ht="11.75" customHeight="1">
      <c r="A80" s="9" t="s">
        <v>148</v>
      </c>
      <c r="B80" s="9"/>
      <c r="C80" s="13" t="s">
        <v>149</v>
      </c>
      <c r="D80" s="2"/>
      <c r="E80" s="2"/>
      <c r="F80" s="2"/>
      <c r="G80" s="2"/>
      <c r="H80" s="2"/>
      <c r="I80" s="2"/>
      <c r="J80" s="11"/>
      <c r="K80" s="12">
        <f>SUM(K81:K82)</f>
        <v>0</v>
      </c>
      <c r="L80" s="12">
        <f t="shared" ref="L80:V80" si="15">SUM(L81:L82)</f>
        <v>0</v>
      </c>
      <c r="M80" s="12">
        <f t="shared" si="15"/>
        <v>0</v>
      </c>
      <c r="N80" s="12">
        <f t="shared" si="15"/>
        <v>0</v>
      </c>
      <c r="O80" s="12">
        <f t="shared" si="15"/>
        <v>0</v>
      </c>
      <c r="P80" s="12">
        <f t="shared" si="15"/>
        <v>0</v>
      </c>
      <c r="Q80" s="12">
        <f t="shared" si="15"/>
        <v>0</v>
      </c>
      <c r="R80" s="12">
        <f t="shared" si="15"/>
        <v>0</v>
      </c>
      <c r="S80" s="12">
        <f t="shared" si="15"/>
        <v>0</v>
      </c>
      <c r="T80" s="12">
        <f t="shared" si="15"/>
        <v>0</v>
      </c>
      <c r="U80" s="12">
        <f t="shared" si="15"/>
        <v>0</v>
      </c>
      <c r="V80" s="12">
        <f t="shared" si="15"/>
        <v>0</v>
      </c>
      <c r="W80" s="12">
        <f t="shared" si="13"/>
        <v>0</v>
      </c>
      <c r="X80" s="132"/>
    </row>
    <row r="81" spans="1:24" s="63" customFormat="1" ht="11.75" customHeight="1">
      <c r="A81" s="59" t="s">
        <v>150</v>
      </c>
      <c r="B81" s="59"/>
      <c r="C81" s="59"/>
      <c r="D81" s="64" t="s">
        <v>151</v>
      </c>
      <c r="E81" s="57"/>
      <c r="F81" s="57"/>
      <c r="G81" s="57"/>
      <c r="H81" s="57"/>
      <c r="I81" s="57"/>
      <c r="J81" s="62"/>
      <c r="K81" s="47">
        <v>0</v>
      </c>
      <c r="L81" s="47">
        <v>0</v>
      </c>
      <c r="M81" s="47">
        <v>0</v>
      </c>
      <c r="N81" s="47">
        <v>0</v>
      </c>
      <c r="O81" s="47">
        <v>0</v>
      </c>
      <c r="P81" s="47">
        <v>0</v>
      </c>
      <c r="Q81" s="47">
        <v>0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f t="shared" si="13"/>
        <v>0</v>
      </c>
      <c r="X81" s="135"/>
    </row>
    <row r="82" spans="1:24" s="63" customFormat="1" ht="11.75" customHeight="1">
      <c r="A82" s="59" t="s">
        <v>152</v>
      </c>
      <c r="B82" s="59"/>
      <c r="C82" s="59"/>
      <c r="D82" s="64" t="s">
        <v>153</v>
      </c>
      <c r="E82" s="57"/>
      <c r="F82" s="57"/>
      <c r="G82" s="57"/>
      <c r="H82" s="57"/>
      <c r="I82" s="57"/>
      <c r="J82" s="62"/>
      <c r="K82" s="47">
        <v>0</v>
      </c>
      <c r="L82" s="47">
        <v>0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f t="shared" si="13"/>
        <v>0</v>
      </c>
      <c r="X82" s="135"/>
    </row>
    <row r="83" spans="1:24" s="63" customFormat="1" ht="11.75" customHeight="1">
      <c r="A83" s="59" t="s">
        <v>154</v>
      </c>
      <c r="B83" s="59"/>
      <c r="C83" s="64" t="s">
        <v>155</v>
      </c>
      <c r="D83" s="57"/>
      <c r="E83" s="57"/>
      <c r="F83" s="57"/>
      <c r="G83" s="57"/>
      <c r="H83" s="57"/>
      <c r="I83" s="57"/>
      <c r="J83" s="62"/>
      <c r="K83" s="47">
        <v>0</v>
      </c>
      <c r="L83" s="47">
        <v>0</v>
      </c>
      <c r="M83" s="47">
        <v>0</v>
      </c>
      <c r="N83" s="47">
        <v>0</v>
      </c>
      <c r="O83" s="47">
        <v>0</v>
      </c>
      <c r="P83" s="47">
        <v>0</v>
      </c>
      <c r="Q83" s="47">
        <v>0</v>
      </c>
      <c r="R83" s="47">
        <v>0</v>
      </c>
      <c r="S83" s="47">
        <v>0</v>
      </c>
      <c r="T83" s="47">
        <v>0</v>
      </c>
      <c r="U83" s="47">
        <v>0</v>
      </c>
      <c r="V83" s="47">
        <v>0</v>
      </c>
      <c r="W83" s="47">
        <f t="shared" si="13"/>
        <v>0</v>
      </c>
      <c r="X83" s="135"/>
    </row>
    <row r="84" spans="1:24" s="63" customFormat="1" ht="11.75" customHeight="1">
      <c r="A84" s="59" t="s">
        <v>156</v>
      </c>
      <c r="B84" s="59"/>
      <c r="C84" s="64" t="s">
        <v>157</v>
      </c>
      <c r="D84" s="57"/>
      <c r="E84" s="57"/>
      <c r="F84" s="57"/>
      <c r="G84" s="57"/>
      <c r="H84" s="57"/>
      <c r="I84" s="57"/>
      <c r="J84" s="62"/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f t="shared" si="13"/>
        <v>0</v>
      </c>
      <c r="X84" s="135"/>
    </row>
    <row r="85" spans="1:24" s="8" customFormat="1" ht="11.75" customHeight="1">
      <c r="A85" s="9" t="s">
        <v>158</v>
      </c>
      <c r="B85" s="22" t="s">
        <v>159</v>
      </c>
      <c r="C85" s="23"/>
      <c r="D85" s="23"/>
      <c r="E85" s="23"/>
      <c r="F85" s="23"/>
      <c r="G85" s="23"/>
      <c r="H85" s="23"/>
      <c r="I85" s="23"/>
      <c r="J85" s="24"/>
      <c r="K85" s="25">
        <f>SUM(K86:K96)</f>
        <v>0</v>
      </c>
      <c r="L85" s="25">
        <f t="shared" ref="L85:V85" si="16">SUM(L86:L96)</f>
        <v>0</v>
      </c>
      <c r="M85" s="25">
        <f t="shared" si="16"/>
        <v>195884</v>
      </c>
      <c r="N85" s="25">
        <f t="shared" si="16"/>
        <v>195884</v>
      </c>
      <c r="O85" s="25">
        <f t="shared" si="16"/>
        <v>359020</v>
      </c>
      <c r="P85" s="25">
        <f t="shared" si="16"/>
        <v>661766</v>
      </c>
      <c r="Q85" s="25">
        <f t="shared" si="16"/>
        <v>390323</v>
      </c>
      <c r="R85" s="25">
        <f t="shared" si="16"/>
        <v>404289</v>
      </c>
      <c r="S85" s="25">
        <f t="shared" si="16"/>
        <v>404289</v>
      </c>
      <c r="T85" s="25">
        <f t="shared" si="16"/>
        <v>404289</v>
      </c>
      <c r="U85" s="25">
        <f t="shared" si="16"/>
        <v>404289</v>
      </c>
      <c r="V85" s="25">
        <f t="shared" si="16"/>
        <v>404371</v>
      </c>
      <c r="W85" s="25">
        <f t="shared" si="13"/>
        <v>3824404</v>
      </c>
      <c r="X85" s="132"/>
    </row>
    <row r="86" spans="1:24" s="63" customFormat="1" ht="11.75" customHeight="1">
      <c r="A86" s="59" t="s">
        <v>160</v>
      </c>
      <c r="B86" s="60"/>
      <c r="C86" s="61" t="s">
        <v>93</v>
      </c>
      <c r="D86" s="57"/>
      <c r="E86" s="57"/>
      <c r="F86" s="57"/>
      <c r="G86" s="57"/>
      <c r="H86" s="57"/>
      <c r="I86" s="57"/>
      <c r="J86" s="62"/>
      <c r="K86" s="47">
        <v>0</v>
      </c>
      <c r="L86" s="47">
        <v>0</v>
      </c>
      <c r="M86" s="47">
        <v>0</v>
      </c>
      <c r="N86" s="47">
        <v>0</v>
      </c>
      <c r="O86" s="47">
        <v>0</v>
      </c>
      <c r="P86" s="47">
        <v>260668</v>
      </c>
      <c r="Q86" s="47">
        <v>65167</v>
      </c>
      <c r="R86" s="47">
        <v>65167</v>
      </c>
      <c r="S86" s="47">
        <v>65167</v>
      </c>
      <c r="T86" s="47">
        <v>65167</v>
      </c>
      <c r="U86" s="47">
        <v>65167</v>
      </c>
      <c r="V86" s="47">
        <v>65171</v>
      </c>
      <c r="W86" s="47">
        <f t="shared" si="13"/>
        <v>651674</v>
      </c>
      <c r="X86" s="135"/>
    </row>
    <row r="87" spans="1:24" s="63" customFormat="1" ht="11.75" customHeight="1">
      <c r="A87" s="59" t="s">
        <v>161</v>
      </c>
      <c r="B87" s="59"/>
      <c r="C87" s="64" t="s">
        <v>162</v>
      </c>
      <c r="D87" s="57"/>
      <c r="E87" s="57"/>
      <c r="F87" s="57"/>
      <c r="G87" s="57"/>
      <c r="H87" s="57"/>
      <c r="I87" s="57"/>
      <c r="J87" s="62"/>
      <c r="K87" s="47">
        <v>0</v>
      </c>
      <c r="L87" s="47">
        <v>0</v>
      </c>
      <c r="M87" s="47">
        <v>195884</v>
      </c>
      <c r="N87" s="47">
        <v>195884</v>
      </c>
      <c r="O87" s="47">
        <v>214946</v>
      </c>
      <c r="P87" s="47">
        <v>255606</v>
      </c>
      <c r="Q87" s="47">
        <v>215580</v>
      </c>
      <c r="R87" s="47">
        <v>225580</v>
      </c>
      <c r="S87" s="47">
        <v>225580</v>
      </c>
      <c r="T87" s="47">
        <v>225580</v>
      </c>
      <c r="U87" s="47">
        <v>225580</v>
      </c>
      <c r="V87" s="47">
        <v>225613</v>
      </c>
      <c r="W87" s="47">
        <f t="shared" si="13"/>
        <v>2205833</v>
      </c>
      <c r="X87" s="135"/>
    </row>
    <row r="88" spans="1:24" s="63" customFormat="1" ht="11.75" customHeight="1">
      <c r="A88" s="59" t="s">
        <v>163</v>
      </c>
      <c r="B88" s="59"/>
      <c r="C88" s="64" t="s">
        <v>97</v>
      </c>
      <c r="D88" s="57"/>
      <c r="E88" s="57"/>
      <c r="F88" s="57"/>
      <c r="G88" s="57"/>
      <c r="H88" s="57"/>
      <c r="I88" s="57"/>
      <c r="J88" s="62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>
        <f t="shared" si="13"/>
        <v>0</v>
      </c>
      <c r="X88" s="135"/>
    </row>
    <row r="89" spans="1:24" s="63" customFormat="1" ht="11.75" customHeight="1">
      <c r="A89" s="59" t="s">
        <v>164</v>
      </c>
      <c r="B89" s="59"/>
      <c r="C89" s="64" t="s">
        <v>165</v>
      </c>
      <c r="D89" s="57"/>
      <c r="E89" s="57"/>
      <c r="F89" s="57"/>
      <c r="G89" s="57"/>
      <c r="H89" s="57"/>
      <c r="I89" s="57"/>
      <c r="J89" s="62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>
        <f t="shared" si="13"/>
        <v>0</v>
      </c>
      <c r="X89" s="135"/>
    </row>
    <row r="90" spans="1:24" s="63" customFormat="1" ht="11.75" customHeight="1">
      <c r="A90" s="59" t="s">
        <v>166</v>
      </c>
      <c r="B90" s="59"/>
      <c r="C90" s="64" t="s">
        <v>101</v>
      </c>
      <c r="D90" s="57"/>
      <c r="E90" s="57"/>
      <c r="F90" s="57"/>
      <c r="G90" s="57"/>
      <c r="H90" s="57"/>
      <c r="I90" s="57"/>
      <c r="J90" s="62"/>
      <c r="K90" s="47">
        <v>0</v>
      </c>
      <c r="L90" s="47">
        <v>0</v>
      </c>
      <c r="M90" s="47">
        <v>0</v>
      </c>
      <c r="N90" s="47">
        <v>0</v>
      </c>
      <c r="O90" s="47">
        <v>123158</v>
      </c>
      <c r="P90" s="47">
        <v>76688</v>
      </c>
      <c r="Q90" s="47">
        <v>76688</v>
      </c>
      <c r="R90" s="47">
        <v>80654</v>
      </c>
      <c r="S90" s="47">
        <v>80654</v>
      </c>
      <c r="T90" s="47">
        <v>80654</v>
      </c>
      <c r="U90" s="47">
        <v>80654</v>
      </c>
      <c r="V90" s="47">
        <v>80672</v>
      </c>
      <c r="W90" s="47">
        <f t="shared" si="13"/>
        <v>679822</v>
      </c>
      <c r="X90" s="135"/>
    </row>
    <row r="91" spans="1:24" s="63" customFormat="1" ht="11.75" customHeight="1">
      <c r="A91" s="59" t="s">
        <v>167</v>
      </c>
      <c r="B91" s="59"/>
      <c r="C91" s="64" t="s">
        <v>103</v>
      </c>
      <c r="D91" s="57"/>
      <c r="E91" s="57"/>
      <c r="F91" s="57"/>
      <c r="G91" s="57"/>
      <c r="H91" s="57"/>
      <c r="I91" s="57"/>
      <c r="J91" s="62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>
        <f t="shared" si="13"/>
        <v>0</v>
      </c>
      <c r="X91" s="135"/>
    </row>
    <row r="92" spans="1:24" s="63" customFormat="1" ht="11.75" customHeight="1">
      <c r="A92" s="59" t="s">
        <v>168</v>
      </c>
      <c r="B92" s="59"/>
      <c r="C92" s="64" t="s">
        <v>169</v>
      </c>
      <c r="D92" s="57"/>
      <c r="E92" s="57"/>
      <c r="F92" s="57"/>
      <c r="G92" s="57"/>
      <c r="H92" s="57"/>
      <c r="I92" s="57"/>
      <c r="J92" s="62"/>
      <c r="K92" s="47">
        <v>0</v>
      </c>
      <c r="L92" s="47">
        <v>0</v>
      </c>
      <c r="M92" s="47">
        <v>0</v>
      </c>
      <c r="N92" s="47">
        <v>0</v>
      </c>
      <c r="O92" s="47">
        <v>20916</v>
      </c>
      <c r="P92" s="47">
        <v>68804</v>
      </c>
      <c r="Q92" s="47">
        <v>32888</v>
      </c>
      <c r="R92" s="47">
        <v>32888</v>
      </c>
      <c r="S92" s="47">
        <v>32888</v>
      </c>
      <c r="T92" s="47">
        <v>32888</v>
      </c>
      <c r="U92" s="47">
        <v>32888</v>
      </c>
      <c r="V92" s="47">
        <v>32915</v>
      </c>
      <c r="W92" s="47">
        <f t="shared" si="13"/>
        <v>287075</v>
      </c>
      <c r="X92" s="135"/>
    </row>
    <row r="93" spans="1:24" s="63" customFormat="1" ht="11.75" customHeight="1">
      <c r="A93" s="59" t="s">
        <v>170</v>
      </c>
      <c r="B93" s="59"/>
      <c r="C93" s="64" t="s">
        <v>171</v>
      </c>
      <c r="D93" s="57"/>
      <c r="E93" s="57"/>
      <c r="F93" s="57"/>
      <c r="G93" s="57"/>
      <c r="H93" s="57"/>
      <c r="I93" s="57"/>
      <c r="J93" s="62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>
        <f t="shared" si="13"/>
        <v>0</v>
      </c>
      <c r="X93" s="135"/>
    </row>
    <row r="94" spans="1:24" s="63" customFormat="1" ht="11.75" customHeight="1">
      <c r="A94" s="59" t="s">
        <v>172</v>
      </c>
      <c r="B94" s="59"/>
      <c r="C94" s="64" t="s">
        <v>173</v>
      </c>
      <c r="D94" s="57"/>
      <c r="E94" s="57"/>
      <c r="F94" s="57"/>
      <c r="G94" s="57"/>
      <c r="H94" s="57"/>
      <c r="I94" s="57"/>
      <c r="J94" s="62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>
        <f t="shared" si="13"/>
        <v>0</v>
      </c>
      <c r="X94" s="135"/>
    </row>
    <row r="95" spans="1:24" s="63" customFormat="1" ht="11.75" customHeight="1">
      <c r="A95" s="59" t="s">
        <v>174</v>
      </c>
      <c r="B95" s="59"/>
      <c r="C95" s="64" t="s">
        <v>175</v>
      </c>
      <c r="D95" s="57"/>
      <c r="E95" s="57"/>
      <c r="F95" s="57"/>
      <c r="G95" s="57"/>
      <c r="H95" s="57"/>
      <c r="I95" s="57"/>
      <c r="J95" s="62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>
        <f t="shared" si="13"/>
        <v>0</v>
      </c>
      <c r="X95" s="135"/>
    </row>
    <row r="96" spans="1:24" s="63" customFormat="1" ht="11.75" customHeight="1" thickBot="1">
      <c r="A96" s="59" t="s">
        <v>176</v>
      </c>
      <c r="B96" s="59"/>
      <c r="C96" s="64" t="s">
        <v>177</v>
      </c>
      <c r="D96" s="57"/>
      <c r="E96" s="57"/>
      <c r="F96" s="57"/>
      <c r="G96" s="57"/>
      <c r="H96" s="57"/>
      <c r="I96" s="57"/>
      <c r="J96" s="62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>
        <f t="shared" si="13"/>
        <v>0</v>
      </c>
      <c r="X96" s="135"/>
    </row>
    <row r="97" spans="1:24" s="8" customFormat="1" ht="11.75" customHeight="1" thickTop="1" thickBot="1">
      <c r="A97" s="9" t="s">
        <v>178</v>
      </c>
      <c r="B97" s="26" t="s">
        <v>179</v>
      </c>
      <c r="C97" s="27"/>
      <c r="D97" s="27"/>
      <c r="E97" s="27"/>
      <c r="F97" s="27"/>
      <c r="G97" s="27"/>
      <c r="H97" s="27"/>
      <c r="I97" s="27"/>
      <c r="J97" s="28"/>
      <c r="K97" s="29">
        <f>K37+K19+K85</f>
        <v>2947</v>
      </c>
      <c r="L97" s="29">
        <f t="shared" ref="L97:V97" si="17">L37+L19+L85</f>
        <v>2074100</v>
      </c>
      <c r="M97" s="29">
        <f t="shared" si="17"/>
        <v>12807439</v>
      </c>
      <c r="N97" s="29">
        <f t="shared" si="17"/>
        <v>7389878</v>
      </c>
      <c r="O97" s="29">
        <f t="shared" si="17"/>
        <v>6290864</v>
      </c>
      <c r="P97" s="29">
        <f t="shared" si="17"/>
        <v>8016871</v>
      </c>
      <c r="Q97" s="29">
        <f t="shared" si="17"/>
        <v>6176477</v>
      </c>
      <c r="R97" s="29">
        <f t="shared" si="17"/>
        <v>5488812</v>
      </c>
      <c r="S97" s="29">
        <f t="shared" si="17"/>
        <v>9966169</v>
      </c>
      <c r="T97" s="29">
        <f t="shared" si="17"/>
        <v>6146031</v>
      </c>
      <c r="U97" s="29">
        <f t="shared" si="17"/>
        <v>6121928</v>
      </c>
      <c r="V97" s="29">
        <f t="shared" si="17"/>
        <v>6354405</v>
      </c>
      <c r="W97" s="29">
        <f t="shared" si="13"/>
        <v>76835921</v>
      </c>
      <c r="X97" s="132"/>
    </row>
    <row r="98" spans="1:24" s="8" customFormat="1" ht="11.75" customHeight="1" thickBot="1">
      <c r="A98" s="9" t="s">
        <v>180</v>
      </c>
      <c r="B98" s="30" t="s">
        <v>181</v>
      </c>
      <c r="C98" s="31"/>
      <c r="D98" s="31"/>
      <c r="E98" s="31"/>
      <c r="F98" s="31"/>
      <c r="G98" s="31"/>
      <c r="H98" s="31"/>
      <c r="I98" s="31"/>
      <c r="J98" s="32"/>
      <c r="K98" s="33">
        <f>K18-K97</f>
        <v>-2947</v>
      </c>
      <c r="L98" s="33">
        <f t="shared" ref="L98:V98" si="18">L18-L97</f>
        <v>-2074100</v>
      </c>
      <c r="M98" s="33">
        <f t="shared" si="18"/>
        <v>-14020969</v>
      </c>
      <c r="N98" s="33">
        <f t="shared" si="18"/>
        <v>-3048717</v>
      </c>
      <c r="O98" s="33">
        <f t="shared" si="18"/>
        <v>-1499272</v>
      </c>
      <c r="P98" s="33">
        <f t="shared" si="18"/>
        <v>-4484835</v>
      </c>
      <c r="Q98" s="33">
        <f t="shared" si="18"/>
        <v>-3416645</v>
      </c>
      <c r="R98" s="33">
        <f t="shared" si="18"/>
        <v>-1387447</v>
      </c>
      <c r="S98" s="33">
        <f t="shared" si="18"/>
        <v>-2554969</v>
      </c>
      <c r="T98" s="33">
        <f t="shared" si="18"/>
        <v>-2854598.52</v>
      </c>
      <c r="U98" s="33">
        <f t="shared" si="18"/>
        <v>-2279346.98</v>
      </c>
      <c r="V98" s="33">
        <f t="shared" si="18"/>
        <v>-2004761.6099999994</v>
      </c>
      <c r="W98" s="33">
        <f t="shared" si="13"/>
        <v>-39628608.109999999</v>
      </c>
      <c r="X98" s="132"/>
    </row>
    <row r="99" spans="1:24" s="8" customFormat="1" ht="11.75" customHeight="1">
      <c r="A99" s="9" t="s">
        <v>182</v>
      </c>
      <c r="B99" s="34" t="s">
        <v>183</v>
      </c>
      <c r="C99" s="35"/>
      <c r="D99" s="35"/>
      <c r="E99" s="35"/>
      <c r="F99" s="35"/>
      <c r="G99" s="35"/>
      <c r="H99" s="35"/>
      <c r="I99" s="35"/>
      <c r="J99" s="36"/>
      <c r="K99" s="37">
        <f>SUM(K100,K104:K106)</f>
        <v>0</v>
      </c>
      <c r="L99" s="37">
        <f t="shared" ref="L99:V99" si="19">SUM(L100,L104:L106)</f>
        <v>0</v>
      </c>
      <c r="M99" s="37">
        <f t="shared" si="19"/>
        <v>0</v>
      </c>
      <c r="N99" s="37">
        <f t="shared" si="19"/>
        <v>0</v>
      </c>
      <c r="O99" s="37">
        <f t="shared" si="19"/>
        <v>0</v>
      </c>
      <c r="P99" s="37">
        <f t="shared" si="19"/>
        <v>0</v>
      </c>
      <c r="Q99" s="37">
        <f t="shared" si="19"/>
        <v>0</v>
      </c>
      <c r="R99" s="37">
        <f t="shared" si="19"/>
        <v>0</v>
      </c>
      <c r="S99" s="37">
        <f t="shared" si="19"/>
        <v>0</v>
      </c>
      <c r="T99" s="37">
        <f t="shared" si="19"/>
        <v>0</v>
      </c>
      <c r="U99" s="37">
        <f t="shared" si="19"/>
        <v>0</v>
      </c>
      <c r="V99" s="37">
        <f t="shared" si="19"/>
        <v>0</v>
      </c>
      <c r="W99" s="37">
        <f t="shared" si="13"/>
        <v>0</v>
      </c>
      <c r="X99" s="132"/>
    </row>
    <row r="100" spans="1:24" s="8" customFormat="1" ht="11.75" customHeight="1">
      <c r="A100" s="9" t="s">
        <v>184</v>
      </c>
      <c r="B100" s="3"/>
      <c r="C100" s="10" t="s">
        <v>185</v>
      </c>
      <c r="D100" s="2"/>
      <c r="E100" s="2"/>
      <c r="F100" s="2"/>
      <c r="G100" s="2"/>
      <c r="H100" s="2"/>
      <c r="I100" s="2"/>
      <c r="J100" s="11"/>
      <c r="K100" s="12">
        <f>SUM(K101:K103)</f>
        <v>0</v>
      </c>
      <c r="L100" s="12">
        <f t="shared" ref="L100:V100" si="20">SUM(L101:L103)</f>
        <v>0</v>
      </c>
      <c r="M100" s="12">
        <f t="shared" si="20"/>
        <v>0</v>
      </c>
      <c r="N100" s="12">
        <f t="shared" si="20"/>
        <v>0</v>
      </c>
      <c r="O100" s="12">
        <f t="shared" si="20"/>
        <v>0</v>
      </c>
      <c r="P100" s="12">
        <f t="shared" si="20"/>
        <v>0</v>
      </c>
      <c r="Q100" s="12">
        <f t="shared" si="20"/>
        <v>0</v>
      </c>
      <c r="R100" s="12">
        <f t="shared" si="20"/>
        <v>0</v>
      </c>
      <c r="S100" s="12">
        <f t="shared" si="20"/>
        <v>0</v>
      </c>
      <c r="T100" s="12">
        <f t="shared" si="20"/>
        <v>0</v>
      </c>
      <c r="U100" s="12">
        <f t="shared" si="20"/>
        <v>0</v>
      </c>
      <c r="V100" s="12">
        <f t="shared" si="20"/>
        <v>0</v>
      </c>
      <c r="W100" s="12">
        <f t="shared" si="13"/>
        <v>0</v>
      </c>
      <c r="X100" s="132"/>
    </row>
    <row r="101" spans="1:24" s="63" customFormat="1" ht="11.75" customHeight="1">
      <c r="A101" s="59" t="s">
        <v>186</v>
      </c>
      <c r="B101" s="59"/>
      <c r="C101" s="59"/>
      <c r="D101" s="64" t="s">
        <v>187</v>
      </c>
      <c r="E101" s="57"/>
      <c r="F101" s="57"/>
      <c r="G101" s="57"/>
      <c r="H101" s="57"/>
      <c r="I101" s="57"/>
      <c r="J101" s="62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>
        <f t="shared" si="13"/>
        <v>0</v>
      </c>
      <c r="X101" s="135"/>
    </row>
    <row r="102" spans="1:24" s="63" customFormat="1" ht="11.75" customHeight="1">
      <c r="A102" s="59" t="s">
        <v>188</v>
      </c>
      <c r="B102" s="59"/>
      <c r="C102" s="59"/>
      <c r="D102" s="64" t="s">
        <v>189</v>
      </c>
      <c r="E102" s="57"/>
      <c r="F102" s="57"/>
      <c r="G102" s="57"/>
      <c r="H102" s="57"/>
      <c r="I102" s="57"/>
      <c r="J102" s="62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>
        <f t="shared" si="13"/>
        <v>0</v>
      </c>
      <c r="X102" s="135"/>
    </row>
    <row r="103" spans="1:24" s="63" customFormat="1" ht="11.75" customHeight="1">
      <c r="A103" s="59" t="s">
        <v>190</v>
      </c>
      <c r="B103" s="59"/>
      <c r="C103" s="59"/>
      <c r="D103" s="64" t="s">
        <v>191</v>
      </c>
      <c r="E103" s="57"/>
      <c r="F103" s="57"/>
      <c r="G103" s="57"/>
      <c r="H103" s="57"/>
      <c r="I103" s="57"/>
      <c r="J103" s="62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>
        <f t="shared" si="13"/>
        <v>0</v>
      </c>
      <c r="X103" s="135"/>
    </row>
    <row r="104" spans="1:24" s="63" customFormat="1" ht="11.75" customHeight="1">
      <c r="A104" s="59" t="s">
        <v>192</v>
      </c>
      <c r="B104" s="59"/>
      <c r="C104" s="64" t="s">
        <v>193</v>
      </c>
      <c r="D104" s="57"/>
      <c r="E104" s="57"/>
      <c r="F104" s="57"/>
      <c r="G104" s="57"/>
      <c r="H104" s="57"/>
      <c r="I104" s="57"/>
      <c r="J104" s="62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>
        <f t="shared" si="13"/>
        <v>0</v>
      </c>
      <c r="X104" s="135"/>
    </row>
    <row r="105" spans="1:24" s="63" customFormat="1" ht="11.75" customHeight="1">
      <c r="A105" s="59" t="s">
        <v>194</v>
      </c>
      <c r="B105" s="59"/>
      <c r="C105" s="64" t="s">
        <v>195</v>
      </c>
      <c r="D105" s="57"/>
      <c r="E105" s="57"/>
      <c r="F105" s="57"/>
      <c r="G105" s="57"/>
      <c r="H105" s="57"/>
      <c r="I105" s="57"/>
      <c r="J105" s="62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>
        <f t="shared" si="13"/>
        <v>0</v>
      </c>
      <c r="X105" s="135"/>
    </row>
    <row r="106" spans="1:24" s="63" customFormat="1" ht="11.75" customHeight="1">
      <c r="A106" s="59" t="s">
        <v>196</v>
      </c>
      <c r="B106" s="59"/>
      <c r="C106" s="64" t="s">
        <v>191</v>
      </c>
      <c r="D106" s="57"/>
      <c r="E106" s="57"/>
      <c r="F106" s="57"/>
      <c r="G106" s="57"/>
      <c r="H106" s="57"/>
      <c r="I106" s="57"/>
      <c r="J106" s="62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>
        <f t="shared" si="13"/>
        <v>0</v>
      </c>
      <c r="X106" s="135"/>
    </row>
    <row r="107" spans="1:24" s="8" customFormat="1" ht="11.75" customHeight="1">
      <c r="A107" s="9" t="s">
        <v>197</v>
      </c>
      <c r="B107" s="38" t="s">
        <v>198</v>
      </c>
      <c r="C107" s="39"/>
      <c r="D107" s="39"/>
      <c r="E107" s="39"/>
      <c r="F107" s="39"/>
      <c r="G107" s="39"/>
      <c r="H107" s="39"/>
      <c r="I107" s="39"/>
      <c r="J107" s="40"/>
      <c r="K107" s="41">
        <f>SUM(K108:K110)</f>
        <v>0</v>
      </c>
      <c r="L107" s="41">
        <f t="shared" ref="L107:V107" si="21">SUM(L108:L110)</f>
        <v>0</v>
      </c>
      <c r="M107" s="41">
        <f t="shared" si="21"/>
        <v>0</v>
      </c>
      <c r="N107" s="41">
        <f t="shared" si="21"/>
        <v>0</v>
      </c>
      <c r="O107" s="41">
        <f t="shared" si="21"/>
        <v>0</v>
      </c>
      <c r="P107" s="41">
        <f t="shared" si="21"/>
        <v>0</v>
      </c>
      <c r="Q107" s="41">
        <f t="shared" si="21"/>
        <v>0</v>
      </c>
      <c r="R107" s="41">
        <f t="shared" si="21"/>
        <v>0</v>
      </c>
      <c r="S107" s="41">
        <f t="shared" si="21"/>
        <v>0</v>
      </c>
      <c r="T107" s="41">
        <f t="shared" si="21"/>
        <v>0</v>
      </c>
      <c r="U107" s="41">
        <f t="shared" si="21"/>
        <v>0</v>
      </c>
      <c r="V107" s="41">
        <f t="shared" si="21"/>
        <v>0</v>
      </c>
      <c r="W107" s="41">
        <f t="shared" si="13"/>
        <v>0</v>
      </c>
      <c r="X107" s="132"/>
    </row>
    <row r="108" spans="1:24" s="63" customFormat="1" ht="11.75" customHeight="1">
      <c r="A108" s="59" t="s">
        <v>199</v>
      </c>
      <c r="B108" s="60"/>
      <c r="C108" s="61" t="s">
        <v>200</v>
      </c>
      <c r="D108" s="57"/>
      <c r="E108" s="57"/>
      <c r="F108" s="57"/>
      <c r="G108" s="57"/>
      <c r="H108" s="57"/>
      <c r="I108" s="57"/>
      <c r="J108" s="62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>
        <f t="shared" si="13"/>
        <v>0</v>
      </c>
      <c r="X108" s="135"/>
    </row>
    <row r="109" spans="1:24" s="63" customFormat="1" ht="11.75" customHeight="1">
      <c r="A109" s="59" t="s">
        <v>201</v>
      </c>
      <c r="B109" s="59"/>
      <c r="C109" s="64" t="s">
        <v>202</v>
      </c>
      <c r="D109" s="57"/>
      <c r="E109" s="57"/>
      <c r="F109" s="57"/>
      <c r="G109" s="57"/>
      <c r="H109" s="57"/>
      <c r="I109" s="57"/>
      <c r="J109" s="62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>
        <f t="shared" si="13"/>
        <v>0</v>
      </c>
      <c r="X109" s="135"/>
    </row>
    <row r="110" spans="1:24" s="63" customFormat="1" ht="11.75" customHeight="1" thickBot="1">
      <c r="A110" s="59" t="s">
        <v>203</v>
      </c>
      <c r="B110" s="59"/>
      <c r="C110" s="64" t="s">
        <v>191</v>
      </c>
      <c r="D110" s="57"/>
      <c r="E110" s="57"/>
      <c r="F110" s="57"/>
      <c r="G110" s="57"/>
      <c r="H110" s="57"/>
      <c r="I110" s="57"/>
      <c r="J110" s="62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>
        <f t="shared" si="13"/>
        <v>0</v>
      </c>
      <c r="X110" s="135"/>
    </row>
    <row r="111" spans="1:24" s="8" customFormat="1" ht="11.75" customHeight="1" thickBot="1">
      <c r="A111" s="9" t="s">
        <v>204</v>
      </c>
      <c r="B111" s="30" t="s">
        <v>205</v>
      </c>
      <c r="C111" s="31"/>
      <c r="D111" s="31"/>
      <c r="E111" s="31"/>
      <c r="F111" s="31"/>
      <c r="G111" s="31"/>
      <c r="H111" s="31"/>
      <c r="I111" s="31"/>
      <c r="J111" s="32"/>
      <c r="K111" s="33">
        <f>K98+K99-K107</f>
        <v>-2947</v>
      </c>
      <c r="L111" s="33">
        <f t="shared" ref="L111:V111" si="22">L98+L99-L107</f>
        <v>-2074100</v>
      </c>
      <c r="M111" s="33">
        <f t="shared" si="22"/>
        <v>-14020969</v>
      </c>
      <c r="N111" s="33">
        <f t="shared" si="22"/>
        <v>-3048717</v>
      </c>
      <c r="O111" s="33">
        <f t="shared" si="22"/>
        <v>-1499272</v>
      </c>
      <c r="P111" s="33">
        <f t="shared" si="22"/>
        <v>-4484835</v>
      </c>
      <c r="Q111" s="33">
        <f t="shared" si="22"/>
        <v>-3416645</v>
      </c>
      <c r="R111" s="33">
        <f t="shared" si="22"/>
        <v>-1387447</v>
      </c>
      <c r="S111" s="33">
        <f t="shared" si="22"/>
        <v>-2554969</v>
      </c>
      <c r="T111" s="33">
        <f t="shared" si="22"/>
        <v>-2854598.52</v>
      </c>
      <c r="U111" s="33">
        <f t="shared" si="22"/>
        <v>-2279346.98</v>
      </c>
      <c r="V111" s="33">
        <f t="shared" si="22"/>
        <v>-2004761.6099999994</v>
      </c>
      <c r="W111" s="33">
        <f t="shared" si="13"/>
        <v>-39628608.109999999</v>
      </c>
      <c r="X111" s="132"/>
    </row>
    <row r="112" spans="1:24" s="8" customFormat="1" ht="11.75" customHeight="1">
      <c r="A112" s="9" t="s">
        <v>206</v>
      </c>
      <c r="B112" s="34" t="s">
        <v>207</v>
      </c>
      <c r="C112" s="35"/>
      <c r="D112" s="35"/>
      <c r="E112" s="35"/>
      <c r="F112" s="35"/>
      <c r="G112" s="35"/>
      <c r="H112" s="35"/>
      <c r="I112" s="35"/>
      <c r="J112" s="36"/>
      <c r="K112" s="37">
        <f>SUM(K113:K114)</f>
        <v>0</v>
      </c>
      <c r="L112" s="37">
        <f t="shared" ref="L112:V112" si="23">SUM(L113:L114)</f>
        <v>0</v>
      </c>
      <c r="M112" s="37">
        <f t="shared" si="23"/>
        <v>0</v>
      </c>
      <c r="N112" s="37">
        <f t="shared" si="23"/>
        <v>0</v>
      </c>
      <c r="O112" s="37">
        <f t="shared" si="23"/>
        <v>0</v>
      </c>
      <c r="P112" s="37">
        <f t="shared" si="23"/>
        <v>0</v>
      </c>
      <c r="Q112" s="37">
        <f t="shared" si="23"/>
        <v>0</v>
      </c>
      <c r="R112" s="37">
        <f t="shared" si="23"/>
        <v>0</v>
      </c>
      <c r="S112" s="37">
        <f t="shared" si="23"/>
        <v>0</v>
      </c>
      <c r="T112" s="37">
        <f t="shared" si="23"/>
        <v>0</v>
      </c>
      <c r="U112" s="37">
        <f t="shared" si="23"/>
        <v>0</v>
      </c>
      <c r="V112" s="37">
        <f t="shared" si="23"/>
        <v>0</v>
      </c>
      <c r="W112" s="37">
        <f t="shared" si="13"/>
        <v>0</v>
      </c>
      <c r="X112" s="132"/>
    </row>
    <row r="113" spans="1:24" s="63" customFormat="1" ht="11.75" customHeight="1">
      <c r="A113" s="59" t="s">
        <v>208</v>
      </c>
      <c r="B113" s="60"/>
      <c r="C113" s="61" t="s">
        <v>209</v>
      </c>
      <c r="D113" s="57"/>
      <c r="E113" s="57"/>
      <c r="F113" s="57"/>
      <c r="G113" s="57"/>
      <c r="H113" s="57"/>
      <c r="I113" s="57"/>
      <c r="J113" s="62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>
        <f t="shared" si="13"/>
        <v>0</v>
      </c>
      <c r="X113" s="135"/>
    </row>
    <row r="114" spans="1:24" s="63" customFormat="1" ht="11.75" customHeight="1">
      <c r="A114" s="59" t="s">
        <v>210</v>
      </c>
      <c r="B114" s="59"/>
      <c r="C114" s="64" t="s">
        <v>191</v>
      </c>
      <c r="D114" s="57"/>
      <c r="E114" s="57"/>
      <c r="F114" s="57"/>
      <c r="G114" s="57"/>
      <c r="H114" s="57"/>
      <c r="I114" s="57"/>
      <c r="J114" s="62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>
        <f t="shared" si="13"/>
        <v>0</v>
      </c>
      <c r="X114" s="135"/>
    </row>
    <row r="115" spans="1:24" s="8" customFormat="1" ht="11.75" customHeight="1">
      <c r="A115" s="9" t="s">
        <v>211</v>
      </c>
      <c r="B115" s="38" t="s">
        <v>212</v>
      </c>
      <c r="C115" s="39"/>
      <c r="D115" s="39"/>
      <c r="E115" s="39"/>
      <c r="F115" s="39"/>
      <c r="G115" s="39"/>
      <c r="H115" s="39"/>
      <c r="I115" s="39"/>
      <c r="J115" s="40"/>
      <c r="K115" s="41">
        <f>SUM(K116:K117)</f>
        <v>0</v>
      </c>
      <c r="L115" s="41">
        <f t="shared" ref="L115:V115" si="24">SUM(L116:L117)</f>
        <v>0</v>
      </c>
      <c r="M115" s="41">
        <f t="shared" si="24"/>
        <v>0</v>
      </c>
      <c r="N115" s="41">
        <f t="shared" si="24"/>
        <v>0</v>
      </c>
      <c r="O115" s="41">
        <f t="shared" si="24"/>
        <v>0</v>
      </c>
      <c r="P115" s="41">
        <f t="shared" si="24"/>
        <v>0</v>
      </c>
      <c r="Q115" s="41">
        <f t="shared" si="24"/>
        <v>0</v>
      </c>
      <c r="R115" s="41">
        <f t="shared" si="24"/>
        <v>0</v>
      </c>
      <c r="S115" s="41">
        <f t="shared" si="24"/>
        <v>0</v>
      </c>
      <c r="T115" s="41">
        <f t="shared" si="24"/>
        <v>0</v>
      </c>
      <c r="U115" s="41">
        <f t="shared" si="24"/>
        <v>0</v>
      </c>
      <c r="V115" s="41">
        <f t="shared" si="24"/>
        <v>0</v>
      </c>
      <c r="W115" s="41">
        <f t="shared" si="13"/>
        <v>0</v>
      </c>
      <c r="X115" s="132"/>
    </row>
    <row r="116" spans="1:24" s="63" customFormat="1" ht="11.75" customHeight="1">
      <c r="A116" s="59" t="s">
        <v>213</v>
      </c>
      <c r="B116" s="60"/>
      <c r="C116" s="61" t="s">
        <v>214</v>
      </c>
      <c r="D116" s="57"/>
      <c r="E116" s="57"/>
      <c r="F116" s="57"/>
      <c r="G116" s="57"/>
      <c r="H116" s="57"/>
      <c r="I116" s="57"/>
      <c r="J116" s="62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>
        <f t="shared" si="13"/>
        <v>0</v>
      </c>
      <c r="X116" s="135"/>
    </row>
    <row r="117" spans="1:24" s="63" customFormat="1" ht="11.75" customHeight="1" thickBot="1">
      <c r="A117" s="59" t="s">
        <v>215</v>
      </c>
      <c r="B117" s="59"/>
      <c r="C117" s="64" t="s">
        <v>191</v>
      </c>
      <c r="D117" s="57"/>
      <c r="E117" s="57"/>
      <c r="F117" s="57"/>
      <c r="G117" s="57"/>
      <c r="H117" s="57"/>
      <c r="I117" s="57"/>
      <c r="J117" s="62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>
        <f t="shared" si="13"/>
        <v>0</v>
      </c>
      <c r="X117" s="135"/>
    </row>
    <row r="118" spans="1:24" s="8" customFormat="1" ht="11.75" customHeight="1">
      <c r="A118" s="42" t="s">
        <v>216</v>
      </c>
      <c r="B118" s="43" t="s">
        <v>217</v>
      </c>
      <c r="C118" s="44"/>
      <c r="D118" s="44"/>
      <c r="E118" s="44"/>
      <c r="F118" s="44"/>
      <c r="G118" s="44"/>
      <c r="H118" s="44"/>
      <c r="I118" s="44"/>
      <c r="J118" s="45"/>
      <c r="K118" s="46">
        <f>K111+K112-K115</f>
        <v>-2947</v>
      </c>
      <c r="L118" s="46">
        <f t="shared" ref="L118:V118" si="25">L111+L112-L115</f>
        <v>-2074100</v>
      </c>
      <c r="M118" s="46">
        <f t="shared" si="25"/>
        <v>-14020969</v>
      </c>
      <c r="N118" s="46">
        <f t="shared" si="25"/>
        <v>-3048717</v>
      </c>
      <c r="O118" s="46">
        <f t="shared" si="25"/>
        <v>-1499272</v>
      </c>
      <c r="P118" s="46">
        <f t="shared" si="25"/>
        <v>-4484835</v>
      </c>
      <c r="Q118" s="46">
        <f t="shared" si="25"/>
        <v>-3416645</v>
      </c>
      <c r="R118" s="46">
        <f t="shared" si="25"/>
        <v>-1387447</v>
      </c>
      <c r="S118" s="46">
        <f t="shared" si="25"/>
        <v>-2554969</v>
      </c>
      <c r="T118" s="46">
        <f t="shared" si="25"/>
        <v>-2854598.52</v>
      </c>
      <c r="U118" s="46">
        <f t="shared" si="25"/>
        <v>-2279346.98</v>
      </c>
      <c r="V118" s="46">
        <f t="shared" si="25"/>
        <v>-2004761.6099999994</v>
      </c>
      <c r="W118" s="46">
        <f t="shared" si="13"/>
        <v>-39628608.109999999</v>
      </c>
      <c r="X118" s="132"/>
    </row>
  </sheetData>
  <mergeCells count="2">
    <mergeCell ref="A4:A5"/>
    <mergeCell ref="B4:J5"/>
  </mergeCells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72E69-6ECC-4218-9496-0B40E980D564}">
  <dimension ref="A1:AB118"/>
  <sheetViews>
    <sheetView showGridLines="0" zoomScaleNormal="100" workbookViewId="0">
      <pane xSplit="10" ySplit="5" topLeftCell="K6" activePane="bottomRight" state="frozen"/>
      <selection activeCell="Q127" sqref="Q127"/>
      <selection pane="topRight" activeCell="Q127" sqref="Q127"/>
      <selection pane="bottomLeft" activeCell="Q127" sqref="Q127"/>
      <selection pane="bottomRight" activeCell="V35" sqref="V35"/>
    </sheetView>
  </sheetViews>
  <sheetFormatPr baseColWidth="10" defaultColWidth="9" defaultRowHeight="18"/>
  <cols>
    <col min="1" max="1" width="5.83203125" style="49" customWidth="1"/>
    <col min="2" max="8" width="2.33203125" style="49" customWidth="1"/>
    <col min="9" max="9" width="2.1640625" style="49" customWidth="1"/>
    <col min="10" max="10" width="0" style="49" hidden="1" customWidth="1"/>
    <col min="11" max="16" width="12.1640625" style="49" bestFit="1" customWidth="1"/>
    <col min="17" max="19" width="13" style="49" bestFit="1" customWidth="1"/>
    <col min="20" max="22" width="12.1640625" style="49" bestFit="1" customWidth="1"/>
    <col min="23" max="23" width="12.1640625" style="51" bestFit="1" customWidth="1"/>
    <col min="24" max="24" width="12.1640625" style="51" customWidth="1"/>
    <col min="25" max="25" width="10.5" style="51" bestFit="1" customWidth="1"/>
    <col min="26" max="16384" width="9" style="51"/>
  </cols>
  <sheetData>
    <row r="1" spans="1:24" ht="20" customHeight="1">
      <c r="A1" s="56" t="s">
        <v>258</v>
      </c>
      <c r="X1" s="137"/>
    </row>
    <row r="3" spans="1:24" ht="11.75" customHeight="1">
      <c r="A3" s="57" t="s">
        <v>257</v>
      </c>
    </row>
    <row r="4" spans="1:24" s="58" customFormat="1" ht="11.75" customHeight="1">
      <c r="A4" s="177" t="s">
        <v>0</v>
      </c>
      <c r="B4" s="179" t="s">
        <v>1</v>
      </c>
      <c r="C4" s="180"/>
      <c r="D4" s="180"/>
      <c r="E4" s="180"/>
      <c r="F4" s="180"/>
      <c r="G4" s="180"/>
      <c r="H4" s="180"/>
      <c r="I4" s="180"/>
      <c r="J4" s="181"/>
      <c r="K4" s="55" t="s">
        <v>226</v>
      </c>
      <c r="L4" s="55" t="s">
        <v>227</v>
      </c>
      <c r="M4" s="55" t="s">
        <v>228</v>
      </c>
      <c r="N4" s="55" t="s">
        <v>229</v>
      </c>
      <c r="O4" s="55" t="s">
        <v>230</v>
      </c>
      <c r="P4" s="55" t="s">
        <v>231</v>
      </c>
      <c r="Q4" s="55" t="s">
        <v>232</v>
      </c>
      <c r="R4" s="55" t="s">
        <v>233</v>
      </c>
      <c r="S4" s="55" t="s">
        <v>234</v>
      </c>
      <c r="T4" s="55" t="s">
        <v>235</v>
      </c>
      <c r="U4" s="55" t="s">
        <v>236</v>
      </c>
      <c r="V4" s="55" t="s">
        <v>237</v>
      </c>
      <c r="W4" s="52" t="s">
        <v>225</v>
      </c>
      <c r="X4" s="133"/>
    </row>
    <row r="5" spans="1:24" s="58" customFormat="1" ht="25.5" customHeight="1">
      <c r="A5" s="178"/>
      <c r="B5" s="182"/>
      <c r="C5" s="183"/>
      <c r="D5" s="183"/>
      <c r="E5" s="183"/>
      <c r="F5" s="183"/>
      <c r="G5" s="183"/>
      <c r="H5" s="183"/>
      <c r="I5" s="183"/>
      <c r="J5" s="184"/>
      <c r="K5" s="50" t="s">
        <v>2</v>
      </c>
      <c r="L5" s="50" t="s">
        <v>2</v>
      </c>
      <c r="M5" s="50" t="s">
        <v>2</v>
      </c>
      <c r="N5" s="50" t="s">
        <v>2</v>
      </c>
      <c r="O5" s="50" t="s">
        <v>2</v>
      </c>
      <c r="P5" s="50" t="s">
        <v>2</v>
      </c>
      <c r="Q5" s="50" t="s">
        <v>2</v>
      </c>
      <c r="R5" s="50" t="s">
        <v>2</v>
      </c>
      <c r="S5" s="50" t="s">
        <v>2</v>
      </c>
      <c r="T5" s="50" t="s">
        <v>2</v>
      </c>
      <c r="U5" s="50" t="s">
        <v>2</v>
      </c>
      <c r="V5" s="50" t="s">
        <v>2</v>
      </c>
      <c r="W5" s="50" t="s">
        <v>2</v>
      </c>
      <c r="X5" s="134"/>
    </row>
    <row r="6" spans="1:24" s="8" customFormat="1" ht="11.75" customHeight="1">
      <c r="A6" s="3" t="s">
        <v>3</v>
      </c>
      <c r="B6" s="4" t="s">
        <v>4</v>
      </c>
      <c r="C6" s="5"/>
      <c r="D6" s="5"/>
      <c r="E6" s="5"/>
      <c r="F6" s="5"/>
      <c r="G6" s="5"/>
      <c r="H6" s="5"/>
      <c r="I6" s="5"/>
      <c r="J6" s="6"/>
      <c r="K6" s="7">
        <f>SUM(K7:K16)</f>
        <v>0</v>
      </c>
      <c r="L6" s="7">
        <f t="shared" ref="L6:V6" si="0">SUM(L7:L16)</f>
        <v>1918628</v>
      </c>
      <c r="M6" s="7">
        <f t="shared" si="0"/>
        <v>3016955</v>
      </c>
      <c r="N6" s="7">
        <f t="shared" si="0"/>
        <v>3433261</v>
      </c>
      <c r="O6" s="7">
        <f t="shared" si="0"/>
        <v>3488090</v>
      </c>
      <c r="P6" s="7">
        <f t="shared" si="0"/>
        <v>2430298</v>
      </c>
      <c r="Q6" s="7">
        <f t="shared" si="0"/>
        <v>3117644</v>
      </c>
      <c r="R6" s="7">
        <f t="shared" si="0"/>
        <v>2873691</v>
      </c>
      <c r="S6" s="7">
        <f t="shared" si="0"/>
        <v>3467927</v>
      </c>
      <c r="T6" s="7">
        <f t="shared" si="0"/>
        <v>3789198</v>
      </c>
      <c r="U6" s="7">
        <f t="shared" si="0"/>
        <v>3650818</v>
      </c>
      <c r="V6" s="7">
        <f t="shared" si="0"/>
        <v>3324590</v>
      </c>
      <c r="W6" s="7">
        <f>SUM(K6:V6)</f>
        <v>34511100</v>
      </c>
      <c r="X6" s="132"/>
    </row>
    <row r="7" spans="1:24" s="63" customFormat="1" ht="11.75" customHeight="1">
      <c r="A7" s="59" t="s">
        <v>5</v>
      </c>
      <c r="B7" s="60"/>
      <c r="C7" s="61" t="s">
        <v>6</v>
      </c>
      <c r="D7" s="57"/>
      <c r="E7" s="57"/>
      <c r="F7" s="57"/>
      <c r="G7" s="57"/>
      <c r="H7" s="57"/>
      <c r="I7" s="57"/>
      <c r="J7" s="62"/>
      <c r="K7" s="47">
        <v>0</v>
      </c>
      <c r="L7" s="47">
        <v>1918628</v>
      </c>
      <c r="M7" s="47">
        <v>3016955</v>
      </c>
      <c r="N7" s="47">
        <v>3433261</v>
      </c>
      <c r="O7" s="47">
        <v>3488090</v>
      </c>
      <c r="P7" s="47">
        <v>2430298</v>
      </c>
      <c r="Q7" s="47">
        <v>3117644</v>
      </c>
      <c r="R7" s="47">
        <v>2873691</v>
      </c>
      <c r="S7" s="47">
        <v>3467927</v>
      </c>
      <c r="T7" s="47">
        <v>3789198</v>
      </c>
      <c r="U7" s="47">
        <v>3650818</v>
      </c>
      <c r="V7" s="47">
        <v>3324590</v>
      </c>
      <c r="W7" s="47">
        <f t="shared" ref="W7:W70" si="1">SUM(K7:V7)</f>
        <v>34511100</v>
      </c>
      <c r="X7" s="135"/>
    </row>
    <row r="8" spans="1:24" s="63" customFormat="1" ht="11.75" customHeight="1">
      <c r="A8" s="59" t="s">
        <v>7</v>
      </c>
      <c r="B8" s="59"/>
      <c r="C8" s="64" t="s">
        <v>8</v>
      </c>
      <c r="D8" s="57"/>
      <c r="E8" s="57"/>
      <c r="F8" s="57"/>
      <c r="G8" s="57"/>
      <c r="H8" s="57"/>
      <c r="I8" s="57"/>
      <c r="J8" s="62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>
        <f t="shared" si="1"/>
        <v>0</v>
      </c>
      <c r="X8" s="135"/>
    </row>
    <row r="9" spans="1:24" s="63" customFormat="1" ht="11.75" customHeight="1">
      <c r="A9" s="59" t="s">
        <v>9</v>
      </c>
      <c r="B9" s="59"/>
      <c r="C9" s="64" t="s">
        <v>10</v>
      </c>
      <c r="D9" s="57"/>
      <c r="E9" s="57"/>
      <c r="F9" s="57"/>
      <c r="G9" s="57"/>
      <c r="H9" s="57"/>
      <c r="I9" s="57"/>
      <c r="J9" s="62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>
        <f t="shared" si="1"/>
        <v>0</v>
      </c>
      <c r="X9" s="135"/>
    </row>
    <row r="10" spans="1:24" s="63" customFormat="1" ht="11.75" customHeight="1">
      <c r="A10" s="59" t="s">
        <v>11</v>
      </c>
      <c r="B10" s="59"/>
      <c r="C10" s="64" t="s">
        <v>12</v>
      </c>
      <c r="D10" s="57"/>
      <c r="E10" s="57"/>
      <c r="F10" s="57"/>
      <c r="G10" s="57"/>
      <c r="H10" s="57"/>
      <c r="I10" s="57"/>
      <c r="J10" s="62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>
        <f t="shared" si="1"/>
        <v>0</v>
      </c>
      <c r="X10" s="135"/>
    </row>
    <row r="11" spans="1:24" s="63" customFormat="1" ht="11.75" customHeight="1">
      <c r="A11" s="59" t="s">
        <v>13</v>
      </c>
      <c r="B11" s="59"/>
      <c r="C11" s="64" t="s">
        <v>14</v>
      </c>
      <c r="D11" s="57"/>
      <c r="E11" s="57"/>
      <c r="F11" s="57"/>
      <c r="G11" s="57"/>
      <c r="H11" s="57"/>
      <c r="I11" s="57"/>
      <c r="J11" s="62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>
        <f t="shared" si="1"/>
        <v>0</v>
      </c>
      <c r="X11" s="135"/>
    </row>
    <row r="12" spans="1:24" s="63" customFormat="1" ht="11.75" customHeight="1">
      <c r="A12" s="59" t="s">
        <v>15</v>
      </c>
      <c r="B12" s="59"/>
      <c r="C12" s="64" t="s">
        <v>16</v>
      </c>
      <c r="D12" s="57"/>
      <c r="E12" s="57"/>
      <c r="F12" s="57"/>
      <c r="G12" s="57"/>
      <c r="H12" s="57"/>
      <c r="I12" s="57"/>
      <c r="J12" s="62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>
        <f t="shared" si="1"/>
        <v>0</v>
      </c>
      <c r="X12" s="135"/>
    </row>
    <row r="13" spans="1:24" s="63" customFormat="1" ht="11.75" customHeight="1">
      <c r="A13" s="59" t="s">
        <v>17</v>
      </c>
      <c r="B13" s="59"/>
      <c r="C13" s="64" t="s">
        <v>18</v>
      </c>
      <c r="D13" s="57"/>
      <c r="E13" s="57"/>
      <c r="F13" s="57"/>
      <c r="G13" s="57"/>
      <c r="H13" s="57"/>
      <c r="I13" s="57"/>
      <c r="J13" s="62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>
        <f t="shared" si="1"/>
        <v>0</v>
      </c>
      <c r="X13" s="135"/>
    </row>
    <row r="14" spans="1:24" s="63" customFormat="1" ht="11.75" customHeight="1">
      <c r="A14" s="59" t="s">
        <v>19</v>
      </c>
      <c r="B14" s="59"/>
      <c r="C14" s="64" t="s">
        <v>20</v>
      </c>
      <c r="D14" s="57"/>
      <c r="E14" s="57"/>
      <c r="F14" s="57"/>
      <c r="G14" s="57"/>
      <c r="H14" s="57"/>
      <c r="I14" s="57"/>
      <c r="J14" s="62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>
        <f t="shared" si="1"/>
        <v>0</v>
      </c>
      <c r="X14" s="135"/>
    </row>
    <row r="15" spans="1:24" s="63" customFormat="1" ht="11.75" customHeight="1">
      <c r="A15" s="59" t="s">
        <v>21</v>
      </c>
      <c r="B15" s="59"/>
      <c r="C15" s="64" t="s">
        <v>22</v>
      </c>
      <c r="D15" s="57"/>
      <c r="E15" s="57"/>
      <c r="F15" s="57"/>
      <c r="G15" s="57"/>
      <c r="H15" s="57"/>
      <c r="I15" s="57"/>
      <c r="J15" s="62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>
        <f t="shared" si="1"/>
        <v>0</v>
      </c>
      <c r="X15" s="135"/>
    </row>
    <row r="16" spans="1:24" s="63" customFormat="1" ht="11.75" customHeight="1">
      <c r="A16" s="59" t="s">
        <v>23</v>
      </c>
      <c r="B16" s="59"/>
      <c r="C16" s="64" t="s">
        <v>24</v>
      </c>
      <c r="D16" s="57"/>
      <c r="E16" s="57"/>
      <c r="F16" s="57"/>
      <c r="G16" s="57"/>
      <c r="H16" s="57"/>
      <c r="I16" s="57"/>
      <c r="J16" s="62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>
        <f t="shared" si="1"/>
        <v>0</v>
      </c>
      <c r="X16" s="135"/>
    </row>
    <row r="17" spans="1:28" s="63" customFormat="1" ht="11.75" customHeight="1" thickBot="1">
      <c r="A17" s="59" t="s">
        <v>25</v>
      </c>
      <c r="B17" s="65" t="s">
        <v>26</v>
      </c>
      <c r="C17" s="66"/>
      <c r="D17" s="66"/>
      <c r="E17" s="66"/>
      <c r="F17" s="66"/>
      <c r="G17" s="66"/>
      <c r="H17" s="66"/>
      <c r="I17" s="66"/>
      <c r="J17" s="67"/>
      <c r="K17" s="48">
        <v>0</v>
      </c>
      <c r="L17" s="48">
        <v>1286010</v>
      </c>
      <c r="M17" s="48">
        <v>1155514</v>
      </c>
      <c r="N17" s="48">
        <v>1177900</v>
      </c>
      <c r="O17" s="48">
        <v>1164247</v>
      </c>
      <c r="P17" s="48">
        <v>857022</v>
      </c>
      <c r="Q17" s="48">
        <v>1205922</v>
      </c>
      <c r="R17" s="48">
        <v>1062466</v>
      </c>
      <c r="S17" s="48">
        <v>1607984</v>
      </c>
      <c r="T17" s="48">
        <f t="shared" ref="T17:U17" si="2">T7*0.31</f>
        <v>1174651.3799999999</v>
      </c>
      <c r="U17" s="48">
        <f t="shared" si="2"/>
        <v>1131753.58</v>
      </c>
      <c r="V17" s="48">
        <f>V7*0.31</f>
        <v>1030622.9</v>
      </c>
      <c r="W17" s="48">
        <f t="shared" si="1"/>
        <v>12854092.859999999</v>
      </c>
      <c r="X17" s="135"/>
      <c r="Y17" s="131"/>
    </row>
    <row r="18" spans="1:28" s="8" customFormat="1" ht="11.75" customHeight="1" thickTop="1">
      <c r="A18" s="9" t="s">
        <v>27</v>
      </c>
      <c r="B18" s="14" t="s">
        <v>28</v>
      </c>
      <c r="C18" s="15"/>
      <c r="D18" s="15"/>
      <c r="E18" s="15"/>
      <c r="F18" s="15"/>
      <c r="G18" s="15"/>
      <c r="H18" s="15"/>
      <c r="I18" s="15"/>
      <c r="J18" s="16"/>
      <c r="K18" s="17">
        <f>K6-K17</f>
        <v>0</v>
      </c>
      <c r="L18" s="17">
        <f t="shared" ref="L18:V18" si="3">L6-L17</f>
        <v>632618</v>
      </c>
      <c r="M18" s="17">
        <f t="shared" si="3"/>
        <v>1861441</v>
      </c>
      <c r="N18" s="17">
        <f t="shared" si="3"/>
        <v>2255361</v>
      </c>
      <c r="O18" s="17">
        <f t="shared" si="3"/>
        <v>2323843</v>
      </c>
      <c r="P18" s="17">
        <f t="shared" si="3"/>
        <v>1573276</v>
      </c>
      <c r="Q18" s="17">
        <f t="shared" si="3"/>
        <v>1911722</v>
      </c>
      <c r="R18" s="17">
        <f t="shared" si="3"/>
        <v>1811225</v>
      </c>
      <c r="S18" s="17">
        <f t="shared" si="3"/>
        <v>1859943</v>
      </c>
      <c r="T18" s="17">
        <f t="shared" si="3"/>
        <v>2614546.62</v>
      </c>
      <c r="U18" s="17">
        <f t="shared" si="3"/>
        <v>2519064.42</v>
      </c>
      <c r="V18" s="17">
        <f t="shared" si="3"/>
        <v>2293967.1</v>
      </c>
      <c r="W18" s="17">
        <f t="shared" si="1"/>
        <v>21657007.140000001</v>
      </c>
      <c r="X18" s="132"/>
      <c r="Y18" s="139"/>
      <c r="Z18" s="136"/>
      <c r="AA18" s="136"/>
      <c r="AB18" s="136"/>
    </row>
    <row r="19" spans="1:28" s="8" customFormat="1" ht="11.75" customHeight="1">
      <c r="A19" s="9" t="s">
        <v>29</v>
      </c>
      <c r="B19" s="18" t="s">
        <v>30</v>
      </c>
      <c r="C19" s="19"/>
      <c r="D19" s="19"/>
      <c r="E19" s="19"/>
      <c r="F19" s="19"/>
      <c r="G19" s="19"/>
      <c r="H19" s="19"/>
      <c r="I19" s="19"/>
      <c r="J19" s="20"/>
      <c r="K19" s="21">
        <f>SUM(K20:K22,K26,K29:K31,K35:K36)</f>
        <v>0</v>
      </c>
      <c r="L19" s="21">
        <f t="shared" ref="L19:V19" si="4">SUM(L20:L22,L26,L29:L31,L35:L36)</f>
        <v>368150</v>
      </c>
      <c r="M19" s="21">
        <f t="shared" si="4"/>
        <v>204001</v>
      </c>
      <c r="N19" s="21">
        <f t="shared" si="4"/>
        <v>373099</v>
      </c>
      <c r="O19" s="21">
        <f t="shared" si="4"/>
        <v>710633</v>
      </c>
      <c r="P19" s="21">
        <f t="shared" si="4"/>
        <v>762664</v>
      </c>
      <c r="Q19" s="21">
        <f t="shared" si="4"/>
        <v>476041</v>
      </c>
      <c r="R19" s="21">
        <f t="shared" si="4"/>
        <v>477948</v>
      </c>
      <c r="S19" s="21">
        <f t="shared" si="4"/>
        <v>803791</v>
      </c>
      <c r="T19" s="21">
        <f t="shared" si="4"/>
        <v>1299326</v>
      </c>
      <c r="U19" s="21">
        <f t="shared" si="4"/>
        <v>1074505</v>
      </c>
      <c r="V19" s="21">
        <f t="shared" si="4"/>
        <v>1547910</v>
      </c>
      <c r="W19" s="21">
        <f t="shared" si="1"/>
        <v>8098068</v>
      </c>
      <c r="X19" s="132"/>
      <c r="Y19" s="132"/>
    </row>
    <row r="20" spans="1:28" s="63" customFormat="1" ht="11.75" customHeight="1">
      <c r="A20" s="59" t="s">
        <v>31</v>
      </c>
      <c r="B20" s="59"/>
      <c r="C20" s="64" t="s">
        <v>32</v>
      </c>
      <c r="D20" s="57"/>
      <c r="E20" s="57"/>
      <c r="F20" s="57"/>
      <c r="G20" s="57"/>
      <c r="H20" s="57"/>
      <c r="I20" s="57"/>
      <c r="J20" s="62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>
        <f t="shared" si="1"/>
        <v>0</v>
      </c>
      <c r="X20" s="132"/>
    </row>
    <row r="21" spans="1:28" s="63" customFormat="1" ht="11.75" customHeight="1">
      <c r="A21" s="59" t="s">
        <v>33</v>
      </c>
      <c r="B21" s="59"/>
      <c r="C21" s="64" t="s">
        <v>34</v>
      </c>
      <c r="D21" s="57"/>
      <c r="E21" s="57"/>
      <c r="F21" s="57"/>
      <c r="G21" s="57"/>
      <c r="H21" s="57"/>
      <c r="I21" s="57"/>
      <c r="J21" s="62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>
        <f t="shared" si="1"/>
        <v>0</v>
      </c>
      <c r="X21" s="132"/>
    </row>
    <row r="22" spans="1:28" s="8" customFormat="1" ht="11.75" customHeight="1">
      <c r="A22" s="9" t="s">
        <v>35</v>
      </c>
      <c r="B22" s="9"/>
      <c r="C22" s="13" t="s">
        <v>36</v>
      </c>
      <c r="D22" s="2"/>
      <c r="E22" s="2"/>
      <c r="F22" s="2"/>
      <c r="G22" s="2"/>
      <c r="H22" s="2"/>
      <c r="I22" s="2"/>
      <c r="J22" s="11"/>
      <c r="K22" s="12">
        <f>SUM(K23:K25)</f>
        <v>0</v>
      </c>
      <c r="L22" s="12">
        <f t="shared" ref="L22:V22" si="5">SUM(L23:L25)</f>
        <v>0</v>
      </c>
      <c r="M22" s="12">
        <f t="shared" si="5"/>
        <v>176400</v>
      </c>
      <c r="N22" s="12">
        <f t="shared" si="5"/>
        <v>333244</v>
      </c>
      <c r="O22" s="12">
        <f t="shared" si="5"/>
        <v>647792</v>
      </c>
      <c r="P22" s="12">
        <f t="shared" si="5"/>
        <v>637387</v>
      </c>
      <c r="Q22" s="12">
        <f t="shared" si="5"/>
        <v>386830</v>
      </c>
      <c r="R22" s="12">
        <f t="shared" si="5"/>
        <v>335650</v>
      </c>
      <c r="S22" s="12">
        <f t="shared" si="5"/>
        <v>742954</v>
      </c>
      <c r="T22" s="12">
        <f t="shared" si="5"/>
        <v>1177132</v>
      </c>
      <c r="U22" s="12">
        <f t="shared" si="5"/>
        <v>948384</v>
      </c>
      <c r="V22" s="12">
        <f t="shared" si="5"/>
        <v>1380669</v>
      </c>
      <c r="W22" s="12">
        <f t="shared" si="1"/>
        <v>6766442</v>
      </c>
      <c r="X22" s="132"/>
      <c r="Y22" s="132"/>
    </row>
    <row r="23" spans="1:28" s="63" customFormat="1" ht="11.75" customHeight="1">
      <c r="A23" s="59" t="s">
        <v>37</v>
      </c>
      <c r="B23" s="59"/>
      <c r="C23" s="59"/>
      <c r="D23" s="64" t="s">
        <v>38</v>
      </c>
      <c r="E23" s="57"/>
      <c r="F23" s="57"/>
      <c r="G23" s="57"/>
      <c r="H23" s="57"/>
      <c r="I23" s="57"/>
      <c r="J23" s="62"/>
      <c r="K23" s="47">
        <v>0</v>
      </c>
      <c r="L23" s="47">
        <v>0</v>
      </c>
      <c r="M23" s="47">
        <v>0</v>
      </c>
      <c r="N23" s="47">
        <v>0</v>
      </c>
      <c r="O23" s="47">
        <v>307392</v>
      </c>
      <c r="P23" s="47">
        <v>282312</v>
      </c>
      <c r="Q23" s="47">
        <v>66880</v>
      </c>
      <c r="R23" s="47">
        <v>0</v>
      </c>
      <c r="S23" s="47">
        <v>290154</v>
      </c>
      <c r="T23" s="47">
        <v>726332</v>
      </c>
      <c r="U23" s="47">
        <v>516099</v>
      </c>
      <c r="V23" s="47">
        <v>516099</v>
      </c>
      <c r="W23" s="47">
        <f t="shared" si="1"/>
        <v>2705268</v>
      </c>
      <c r="X23" s="132"/>
      <c r="Y23" s="8"/>
    </row>
    <row r="24" spans="1:28" s="63" customFormat="1" ht="11.75" customHeight="1">
      <c r="A24" s="59" t="s">
        <v>39</v>
      </c>
      <c r="B24" s="59"/>
      <c r="C24" s="59"/>
      <c r="D24" s="64" t="s">
        <v>40</v>
      </c>
      <c r="E24" s="57"/>
      <c r="F24" s="57"/>
      <c r="G24" s="57"/>
      <c r="H24" s="57"/>
      <c r="I24" s="57"/>
      <c r="J24" s="62"/>
      <c r="K24" s="47">
        <v>0</v>
      </c>
      <c r="L24" s="47">
        <v>0</v>
      </c>
      <c r="M24" s="47">
        <v>32025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/>
      <c r="V24" s="47"/>
      <c r="W24" s="47">
        <f t="shared" si="1"/>
        <v>32025</v>
      </c>
      <c r="X24" s="132"/>
      <c r="Y24" s="8"/>
    </row>
    <row r="25" spans="1:28" s="63" customFormat="1" ht="11.75" customHeight="1">
      <c r="A25" s="59" t="s">
        <v>41</v>
      </c>
      <c r="B25" s="59"/>
      <c r="C25" s="59"/>
      <c r="D25" s="64" t="s">
        <v>42</v>
      </c>
      <c r="E25" s="57"/>
      <c r="F25" s="57"/>
      <c r="G25" s="57"/>
      <c r="H25" s="57"/>
      <c r="I25" s="57"/>
      <c r="J25" s="62"/>
      <c r="K25" s="47">
        <v>0</v>
      </c>
      <c r="L25" s="47">
        <v>0</v>
      </c>
      <c r="M25" s="47">
        <v>144375</v>
      </c>
      <c r="N25" s="47">
        <v>333244</v>
      </c>
      <c r="O25" s="47">
        <v>340400</v>
      </c>
      <c r="P25" s="47">
        <v>355075</v>
      </c>
      <c r="Q25" s="47">
        <v>319950</v>
      </c>
      <c r="R25" s="47">
        <v>335650</v>
      </c>
      <c r="S25" s="47">
        <v>452800</v>
      </c>
      <c r="T25" s="47">
        <v>450800</v>
      </c>
      <c r="U25" s="47">
        <v>432285</v>
      </c>
      <c r="V25" s="47">
        <f>432285*2</f>
        <v>864570</v>
      </c>
      <c r="W25" s="47">
        <f t="shared" si="1"/>
        <v>4029149</v>
      </c>
      <c r="X25" s="132"/>
      <c r="Y25" s="8"/>
    </row>
    <row r="26" spans="1:28" s="8" customFormat="1" ht="11.75" customHeight="1">
      <c r="A26" s="9" t="s">
        <v>43</v>
      </c>
      <c r="B26" s="9"/>
      <c r="C26" s="13" t="s">
        <v>44</v>
      </c>
      <c r="D26" s="2"/>
      <c r="E26" s="2"/>
      <c r="F26" s="2"/>
      <c r="G26" s="2"/>
      <c r="H26" s="2"/>
      <c r="I26" s="2"/>
      <c r="J26" s="11"/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f t="shared" si="1"/>
        <v>0</v>
      </c>
      <c r="X26" s="132"/>
    </row>
    <row r="27" spans="1:28" s="63" customFormat="1" ht="11.75" customHeight="1">
      <c r="A27" s="59" t="s">
        <v>45</v>
      </c>
      <c r="B27" s="59"/>
      <c r="C27" s="59"/>
      <c r="D27" s="64" t="s">
        <v>46</v>
      </c>
      <c r="E27" s="57"/>
      <c r="F27" s="57"/>
      <c r="G27" s="57"/>
      <c r="H27" s="57"/>
      <c r="I27" s="57"/>
      <c r="J27" s="62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>
        <f t="shared" si="1"/>
        <v>0</v>
      </c>
      <c r="X27" s="132"/>
      <c r="Y27" s="8"/>
    </row>
    <row r="28" spans="1:28" s="63" customFormat="1" ht="11.75" customHeight="1">
      <c r="A28" s="59" t="s">
        <v>47</v>
      </c>
      <c r="B28" s="59"/>
      <c r="C28" s="59"/>
      <c r="D28" s="64" t="s">
        <v>48</v>
      </c>
      <c r="E28" s="57"/>
      <c r="F28" s="57"/>
      <c r="G28" s="57"/>
      <c r="H28" s="57"/>
      <c r="I28" s="57"/>
      <c r="J28" s="62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>
        <f t="shared" si="1"/>
        <v>0</v>
      </c>
      <c r="X28" s="132"/>
      <c r="Y28" s="8"/>
    </row>
    <row r="29" spans="1:28" s="63" customFormat="1" ht="11.75" customHeight="1">
      <c r="A29" s="59" t="s">
        <v>49</v>
      </c>
      <c r="B29" s="59"/>
      <c r="C29" s="64" t="s">
        <v>50</v>
      </c>
      <c r="D29" s="57"/>
      <c r="E29" s="57"/>
      <c r="F29" s="57"/>
      <c r="G29" s="57"/>
      <c r="H29" s="57"/>
      <c r="I29" s="57"/>
      <c r="J29" s="62"/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66440</v>
      </c>
      <c r="Q29" s="47">
        <v>48320</v>
      </c>
      <c r="R29" s="47">
        <v>0</v>
      </c>
      <c r="S29" s="47">
        <v>0</v>
      </c>
      <c r="T29" s="47">
        <v>37193</v>
      </c>
      <c r="U29" s="47">
        <v>41120</v>
      </c>
      <c r="V29" s="47">
        <f>41120*2</f>
        <v>82240</v>
      </c>
      <c r="W29" s="47">
        <f t="shared" si="1"/>
        <v>275313</v>
      </c>
      <c r="X29" s="132"/>
      <c r="Y29" s="8"/>
    </row>
    <row r="30" spans="1:28" s="63" customFormat="1" ht="11.75" customHeight="1">
      <c r="A30" s="59" t="s">
        <v>51</v>
      </c>
      <c r="B30" s="59"/>
      <c r="C30" s="64" t="s">
        <v>52</v>
      </c>
      <c r="D30" s="57"/>
      <c r="E30" s="57"/>
      <c r="F30" s="57"/>
      <c r="G30" s="57"/>
      <c r="H30" s="57"/>
      <c r="I30" s="57"/>
      <c r="J30" s="62"/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-800</v>
      </c>
      <c r="S30" s="47">
        <v>0</v>
      </c>
      <c r="T30" s="47">
        <v>0</v>
      </c>
      <c r="U30" s="47"/>
      <c r="V30" s="47"/>
      <c r="W30" s="47">
        <f t="shared" si="1"/>
        <v>-800</v>
      </c>
      <c r="X30" s="132"/>
      <c r="Y30" s="8"/>
    </row>
    <row r="31" spans="1:28" s="8" customFormat="1" ht="11.75" customHeight="1">
      <c r="A31" s="9" t="s">
        <v>53</v>
      </c>
      <c r="B31" s="9"/>
      <c r="C31" s="13" t="s">
        <v>54</v>
      </c>
      <c r="D31" s="2"/>
      <c r="E31" s="2"/>
      <c r="F31" s="2"/>
      <c r="G31" s="2"/>
      <c r="H31" s="2"/>
      <c r="I31" s="2"/>
      <c r="J31" s="11"/>
      <c r="K31" s="12">
        <f>SUM(K32:K34)</f>
        <v>0</v>
      </c>
      <c r="L31" s="12">
        <f t="shared" ref="L31:V31" si="6">SUM(L32:L34)</f>
        <v>368150</v>
      </c>
      <c r="M31" s="12">
        <f t="shared" si="6"/>
        <v>0</v>
      </c>
      <c r="N31" s="12">
        <f t="shared" si="6"/>
        <v>0</v>
      </c>
      <c r="O31" s="12">
        <f t="shared" si="6"/>
        <v>10550</v>
      </c>
      <c r="P31" s="12">
        <f t="shared" si="6"/>
        <v>0</v>
      </c>
      <c r="Q31" s="12">
        <f t="shared" si="6"/>
        <v>0</v>
      </c>
      <c r="R31" s="12">
        <f t="shared" si="6"/>
        <v>102261</v>
      </c>
      <c r="S31" s="12">
        <f t="shared" si="6"/>
        <v>0</v>
      </c>
      <c r="T31" s="12">
        <f t="shared" si="6"/>
        <v>0</v>
      </c>
      <c r="U31" s="12">
        <f t="shared" si="6"/>
        <v>0</v>
      </c>
      <c r="V31" s="12">
        <f t="shared" si="6"/>
        <v>0</v>
      </c>
      <c r="W31" s="12">
        <f t="shared" si="1"/>
        <v>480961</v>
      </c>
      <c r="X31" s="132"/>
    </row>
    <row r="32" spans="1:28" s="63" customFormat="1" ht="11.75" customHeight="1">
      <c r="A32" s="59" t="s">
        <v>55</v>
      </c>
      <c r="B32" s="59"/>
      <c r="C32" s="59"/>
      <c r="D32" s="64" t="s">
        <v>54</v>
      </c>
      <c r="E32" s="57"/>
      <c r="F32" s="57"/>
      <c r="G32" s="57"/>
      <c r="H32" s="57"/>
      <c r="I32" s="57"/>
      <c r="J32" s="62"/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-600</v>
      </c>
      <c r="S32" s="47">
        <v>0</v>
      </c>
      <c r="T32" s="47">
        <v>0</v>
      </c>
      <c r="U32" s="47"/>
      <c r="V32" s="47"/>
      <c r="W32" s="47">
        <f t="shared" si="1"/>
        <v>-600</v>
      </c>
      <c r="X32" s="132"/>
      <c r="Y32" s="8"/>
    </row>
    <row r="33" spans="1:25" s="63" customFormat="1" ht="11.75" customHeight="1">
      <c r="A33" s="59" t="s">
        <v>56</v>
      </c>
      <c r="B33" s="59"/>
      <c r="C33" s="59"/>
      <c r="D33" s="64" t="s">
        <v>57</v>
      </c>
      <c r="E33" s="57"/>
      <c r="F33" s="57"/>
      <c r="G33" s="57"/>
      <c r="H33" s="57"/>
      <c r="I33" s="57"/>
      <c r="J33" s="62"/>
      <c r="K33" s="47">
        <v>0</v>
      </c>
      <c r="L33" s="47">
        <v>368150</v>
      </c>
      <c r="M33" s="47">
        <v>0</v>
      </c>
      <c r="N33" s="47">
        <v>0</v>
      </c>
      <c r="O33" s="47">
        <v>10550</v>
      </c>
      <c r="P33" s="47">
        <v>0</v>
      </c>
      <c r="Q33" s="47">
        <v>0</v>
      </c>
      <c r="R33" s="47">
        <v>93770</v>
      </c>
      <c r="S33" s="47">
        <v>0</v>
      </c>
      <c r="T33" s="47">
        <v>0</v>
      </c>
      <c r="U33" s="47"/>
      <c r="V33" s="47"/>
      <c r="W33" s="47">
        <f t="shared" si="1"/>
        <v>472470</v>
      </c>
      <c r="X33" s="132"/>
      <c r="Y33" s="8"/>
    </row>
    <row r="34" spans="1:25" s="63" customFormat="1" ht="11.75" customHeight="1">
      <c r="A34" s="59" t="s">
        <v>58</v>
      </c>
      <c r="B34" s="59"/>
      <c r="C34" s="59"/>
      <c r="D34" s="64" t="s">
        <v>59</v>
      </c>
      <c r="E34" s="57"/>
      <c r="F34" s="57"/>
      <c r="G34" s="57"/>
      <c r="H34" s="57"/>
      <c r="I34" s="57"/>
      <c r="J34" s="62"/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9091</v>
      </c>
      <c r="S34" s="47">
        <v>0</v>
      </c>
      <c r="T34" s="47">
        <v>0</v>
      </c>
      <c r="U34" s="47"/>
      <c r="V34" s="47"/>
      <c r="W34" s="47">
        <f t="shared" si="1"/>
        <v>9091</v>
      </c>
      <c r="X34" s="132"/>
      <c r="Y34" s="8"/>
    </row>
    <row r="35" spans="1:25" s="63" customFormat="1" ht="11.75" customHeight="1">
      <c r="A35" s="59" t="s">
        <v>60</v>
      </c>
      <c r="B35" s="59"/>
      <c r="C35" s="64" t="s">
        <v>61</v>
      </c>
      <c r="D35" s="57"/>
      <c r="E35" s="57"/>
      <c r="F35" s="57"/>
      <c r="G35" s="57"/>
      <c r="H35" s="57"/>
      <c r="I35" s="57"/>
      <c r="J35" s="62"/>
      <c r="K35" s="47">
        <v>0</v>
      </c>
      <c r="L35" s="47">
        <v>0</v>
      </c>
      <c r="M35" s="47">
        <v>27601</v>
      </c>
      <c r="N35" s="47">
        <v>39855</v>
      </c>
      <c r="O35" s="47">
        <v>52291</v>
      </c>
      <c r="P35" s="47">
        <v>58837</v>
      </c>
      <c r="Q35" s="47">
        <v>40891</v>
      </c>
      <c r="R35" s="47">
        <v>40837</v>
      </c>
      <c r="S35" s="47">
        <v>60837</v>
      </c>
      <c r="T35" s="47">
        <v>85001</v>
      </c>
      <c r="U35" s="47">
        <v>85001</v>
      </c>
      <c r="V35" s="47">
        <v>85001</v>
      </c>
      <c r="W35" s="47">
        <f t="shared" si="1"/>
        <v>576152</v>
      </c>
      <c r="X35" s="132"/>
      <c r="Y35" s="8"/>
    </row>
    <row r="36" spans="1:25" s="63" customFormat="1" ht="11.75" customHeight="1">
      <c r="A36" s="59" t="s">
        <v>62</v>
      </c>
      <c r="B36" s="59"/>
      <c r="C36" s="64" t="s">
        <v>63</v>
      </c>
      <c r="D36" s="57"/>
      <c r="E36" s="57"/>
      <c r="F36" s="57"/>
      <c r="G36" s="57"/>
      <c r="H36" s="57"/>
      <c r="I36" s="57"/>
      <c r="J36" s="62"/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/>
      <c r="V36" s="47"/>
      <c r="W36" s="53">
        <f t="shared" si="1"/>
        <v>0</v>
      </c>
      <c r="X36" s="132"/>
      <c r="Y36" s="8"/>
    </row>
    <row r="37" spans="1:25" s="8" customFormat="1" ht="11.75" customHeight="1">
      <c r="A37" s="9" t="s">
        <v>64</v>
      </c>
      <c r="B37" s="22" t="s">
        <v>65</v>
      </c>
      <c r="C37" s="23"/>
      <c r="D37" s="23"/>
      <c r="E37" s="23"/>
      <c r="F37" s="23"/>
      <c r="G37" s="23"/>
      <c r="H37" s="23"/>
      <c r="I37" s="23"/>
      <c r="J37" s="24"/>
      <c r="K37" s="25">
        <f>SUM(K38:K41,K46,K50,K57:K58,K61:K67,K70:K72,K78:K80,K83:K84)</f>
        <v>2947</v>
      </c>
      <c r="L37" s="25">
        <f t="shared" ref="L37:V37" si="7">SUM(L38:L41,L46,L50,L57:L58,L61:L67,L70:L72,L78:L80,L83:L84)</f>
        <v>714874</v>
      </c>
      <c r="M37" s="25">
        <f t="shared" si="7"/>
        <v>2089185</v>
      </c>
      <c r="N37" s="25">
        <f t="shared" si="7"/>
        <v>1593028</v>
      </c>
      <c r="O37" s="25">
        <f t="shared" si="7"/>
        <v>472025</v>
      </c>
      <c r="P37" s="25">
        <f t="shared" si="7"/>
        <v>871431</v>
      </c>
      <c r="Q37" s="25">
        <f t="shared" si="7"/>
        <v>922088</v>
      </c>
      <c r="R37" s="25">
        <f t="shared" si="7"/>
        <v>1596321</v>
      </c>
      <c r="S37" s="25">
        <f t="shared" si="7"/>
        <v>1335154</v>
      </c>
      <c r="T37" s="25">
        <f t="shared" si="7"/>
        <v>989822</v>
      </c>
      <c r="U37" s="25">
        <f t="shared" si="7"/>
        <v>1033152</v>
      </c>
      <c r="V37" s="25">
        <f t="shared" si="7"/>
        <v>959152</v>
      </c>
      <c r="W37" s="25">
        <f t="shared" si="1"/>
        <v>12579179</v>
      </c>
      <c r="X37" s="132"/>
    </row>
    <row r="38" spans="1:25" s="63" customFormat="1" ht="11.75" customHeight="1">
      <c r="A38" s="59" t="s">
        <v>66</v>
      </c>
      <c r="B38" s="60"/>
      <c r="C38" s="61" t="s">
        <v>67</v>
      </c>
      <c r="D38" s="57"/>
      <c r="E38" s="57"/>
      <c r="F38" s="57"/>
      <c r="G38" s="57"/>
      <c r="H38" s="57"/>
      <c r="I38" s="57"/>
      <c r="J38" s="62"/>
      <c r="K38" s="47">
        <v>0</v>
      </c>
      <c r="L38" s="47">
        <v>134175</v>
      </c>
      <c r="M38" s="47">
        <v>238456</v>
      </c>
      <c r="N38" s="47">
        <v>68910</v>
      </c>
      <c r="O38" s="47">
        <v>76778</v>
      </c>
      <c r="P38" s="47">
        <v>29632</v>
      </c>
      <c r="Q38" s="47">
        <v>154817</v>
      </c>
      <c r="R38" s="47">
        <v>319502</v>
      </c>
      <c r="S38" s="47">
        <v>99366</v>
      </c>
      <c r="T38" s="47">
        <v>71600</v>
      </c>
      <c r="U38" s="47">
        <v>101600</v>
      </c>
      <c r="V38" s="47">
        <v>51600</v>
      </c>
      <c r="W38" s="47">
        <f t="shared" si="1"/>
        <v>1346436</v>
      </c>
      <c r="X38" s="135"/>
    </row>
    <row r="39" spans="1:25" s="63" customFormat="1" ht="11.75" customHeight="1">
      <c r="A39" s="59" t="s">
        <v>68</v>
      </c>
      <c r="B39" s="59"/>
      <c r="C39" s="64" t="s">
        <v>69</v>
      </c>
      <c r="D39" s="57"/>
      <c r="E39" s="57"/>
      <c r="F39" s="57"/>
      <c r="G39" s="57"/>
      <c r="H39" s="57"/>
      <c r="I39" s="57"/>
      <c r="J39" s="62"/>
      <c r="K39" s="47">
        <v>0</v>
      </c>
      <c r="L39" s="47">
        <v>0</v>
      </c>
      <c r="M39" s="47">
        <v>7770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10000</v>
      </c>
      <c r="U39" s="47">
        <v>0</v>
      </c>
      <c r="V39" s="47">
        <v>0</v>
      </c>
      <c r="W39" s="47">
        <f t="shared" si="1"/>
        <v>17770</v>
      </c>
      <c r="X39" s="135"/>
    </row>
    <row r="40" spans="1:25" s="63" customFormat="1" ht="11.75" customHeight="1">
      <c r="A40" s="59" t="s">
        <v>70</v>
      </c>
      <c r="B40" s="59"/>
      <c r="C40" s="64" t="s">
        <v>71</v>
      </c>
      <c r="D40" s="57"/>
      <c r="E40" s="57"/>
      <c r="F40" s="57"/>
      <c r="G40" s="57"/>
      <c r="H40" s="57"/>
      <c r="I40" s="57"/>
      <c r="J40" s="62"/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f t="shared" si="1"/>
        <v>0</v>
      </c>
      <c r="X40" s="135"/>
    </row>
    <row r="41" spans="1:25" s="8" customFormat="1" ht="11.75" customHeight="1">
      <c r="A41" s="9" t="s">
        <v>72</v>
      </c>
      <c r="B41" s="9"/>
      <c r="C41" s="13" t="s">
        <v>73</v>
      </c>
      <c r="D41" s="2"/>
      <c r="E41" s="2"/>
      <c r="F41" s="2"/>
      <c r="G41" s="2"/>
      <c r="H41" s="2"/>
      <c r="I41" s="2"/>
      <c r="J41" s="11"/>
      <c r="K41" s="12">
        <f>SUM(K42:K45)</f>
        <v>0</v>
      </c>
      <c r="L41" s="12">
        <f t="shared" ref="L41:V41" si="8">SUM(L42:L45)</f>
        <v>473018</v>
      </c>
      <c r="M41" s="12">
        <f t="shared" si="8"/>
        <v>479017</v>
      </c>
      <c r="N41" s="12">
        <f t="shared" si="8"/>
        <v>479017</v>
      </c>
      <c r="O41" s="12">
        <f t="shared" si="8"/>
        <v>479017</v>
      </c>
      <c r="P41" s="12">
        <f t="shared" si="8"/>
        <v>479017</v>
      </c>
      <c r="Q41" s="12">
        <f t="shared" si="8"/>
        <v>479017</v>
      </c>
      <c r="R41" s="12">
        <f t="shared" si="8"/>
        <v>479017</v>
      </c>
      <c r="S41" s="12">
        <f t="shared" si="8"/>
        <v>479017</v>
      </c>
      <c r="T41" s="12">
        <f t="shared" si="8"/>
        <v>479017</v>
      </c>
      <c r="U41" s="12">
        <f t="shared" si="8"/>
        <v>479017</v>
      </c>
      <c r="V41" s="12">
        <f t="shared" si="8"/>
        <v>479017</v>
      </c>
      <c r="W41" s="12">
        <f t="shared" si="1"/>
        <v>5263188</v>
      </c>
      <c r="X41" s="132"/>
    </row>
    <row r="42" spans="1:25" s="63" customFormat="1" ht="11.75" customHeight="1">
      <c r="A42" s="59" t="s">
        <v>74</v>
      </c>
      <c r="B42" s="59"/>
      <c r="C42" s="59"/>
      <c r="D42" s="64" t="s">
        <v>75</v>
      </c>
      <c r="E42" s="57"/>
      <c r="F42" s="57"/>
      <c r="G42" s="57"/>
      <c r="H42" s="57"/>
      <c r="I42" s="57"/>
      <c r="J42" s="62"/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f t="shared" si="1"/>
        <v>0</v>
      </c>
      <c r="X42" s="135"/>
    </row>
    <row r="43" spans="1:25" s="63" customFormat="1" ht="11.75" customHeight="1">
      <c r="A43" s="59" t="s">
        <v>76</v>
      </c>
      <c r="B43" s="59"/>
      <c r="C43" s="59"/>
      <c r="D43" s="64" t="s">
        <v>77</v>
      </c>
      <c r="E43" s="57"/>
      <c r="F43" s="57"/>
      <c r="G43" s="57"/>
      <c r="H43" s="57"/>
      <c r="I43" s="57"/>
      <c r="J43" s="62"/>
      <c r="K43" s="47">
        <v>0</v>
      </c>
      <c r="L43" s="47">
        <v>473018</v>
      </c>
      <c r="M43" s="47">
        <v>479017</v>
      </c>
      <c r="N43" s="47">
        <v>479017</v>
      </c>
      <c r="O43" s="47">
        <v>479017</v>
      </c>
      <c r="P43" s="47">
        <v>479017</v>
      </c>
      <c r="Q43" s="47">
        <v>479017</v>
      </c>
      <c r="R43" s="47">
        <v>479017</v>
      </c>
      <c r="S43" s="47">
        <v>479017</v>
      </c>
      <c r="T43" s="47">
        <v>479017</v>
      </c>
      <c r="U43" s="47">
        <v>479017</v>
      </c>
      <c r="V43" s="47">
        <v>479017</v>
      </c>
      <c r="W43" s="47">
        <f t="shared" si="1"/>
        <v>5263188</v>
      </c>
      <c r="X43" s="135"/>
    </row>
    <row r="44" spans="1:25" s="63" customFormat="1" ht="11.75" customHeight="1">
      <c r="A44" s="59" t="s">
        <v>78</v>
      </c>
      <c r="B44" s="59"/>
      <c r="C44" s="59"/>
      <c r="D44" s="64" t="s">
        <v>79</v>
      </c>
      <c r="E44" s="57"/>
      <c r="F44" s="57"/>
      <c r="G44" s="57"/>
      <c r="H44" s="57"/>
      <c r="I44" s="57"/>
      <c r="J44" s="62"/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f t="shared" si="1"/>
        <v>0</v>
      </c>
      <c r="X44" s="135"/>
    </row>
    <row r="45" spans="1:25" s="63" customFormat="1" ht="11.75" customHeight="1">
      <c r="A45" s="59" t="s">
        <v>80</v>
      </c>
      <c r="B45" s="59"/>
      <c r="C45" s="59"/>
      <c r="D45" s="64" t="s">
        <v>81</v>
      </c>
      <c r="E45" s="57"/>
      <c r="F45" s="57"/>
      <c r="G45" s="57"/>
      <c r="H45" s="57"/>
      <c r="I45" s="57"/>
      <c r="J45" s="62"/>
      <c r="K45" s="47"/>
      <c r="L45" s="47"/>
      <c r="M45" s="47"/>
      <c r="N45" s="47"/>
      <c r="O45" s="47"/>
      <c r="P45" s="47"/>
      <c r="Q45" s="47"/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f t="shared" si="1"/>
        <v>0</v>
      </c>
      <c r="X45" s="135"/>
    </row>
    <row r="46" spans="1:25" s="8" customFormat="1" ht="11.75" customHeight="1">
      <c r="A46" s="9" t="s">
        <v>82</v>
      </c>
      <c r="B46" s="9"/>
      <c r="C46" s="13" t="s">
        <v>83</v>
      </c>
      <c r="D46" s="2"/>
      <c r="E46" s="2"/>
      <c r="F46" s="2"/>
      <c r="G46" s="2"/>
      <c r="H46" s="2"/>
      <c r="I46" s="2"/>
      <c r="J46" s="11"/>
      <c r="K46" s="12">
        <f>SUM(K47:K49)</f>
        <v>2947</v>
      </c>
      <c r="L46" s="12">
        <f t="shared" ref="L46:V46" si="9">SUM(L47:L49)</f>
        <v>0</v>
      </c>
      <c r="M46" s="12">
        <f t="shared" si="9"/>
        <v>0</v>
      </c>
      <c r="N46" s="12">
        <f t="shared" si="9"/>
        <v>0</v>
      </c>
      <c r="O46" s="12">
        <f t="shared" si="9"/>
        <v>0</v>
      </c>
      <c r="P46" s="12">
        <f t="shared" si="9"/>
        <v>0</v>
      </c>
      <c r="Q46" s="12">
        <f t="shared" si="9"/>
        <v>0</v>
      </c>
      <c r="R46" s="12">
        <f t="shared" si="9"/>
        <v>0</v>
      </c>
      <c r="S46" s="12">
        <f t="shared" si="9"/>
        <v>0</v>
      </c>
      <c r="T46" s="12">
        <f t="shared" si="9"/>
        <v>1519</v>
      </c>
      <c r="U46" s="12">
        <f t="shared" si="9"/>
        <v>1519</v>
      </c>
      <c r="V46" s="12">
        <f t="shared" si="9"/>
        <v>1519</v>
      </c>
      <c r="W46" s="12">
        <f t="shared" si="1"/>
        <v>7504</v>
      </c>
      <c r="X46" s="132"/>
    </row>
    <row r="47" spans="1:25" s="63" customFormat="1" ht="11.75" customHeight="1">
      <c r="A47" s="59" t="s">
        <v>84</v>
      </c>
      <c r="B47" s="59"/>
      <c r="C47" s="59"/>
      <c r="D47" s="64" t="s">
        <v>85</v>
      </c>
      <c r="E47" s="57"/>
      <c r="F47" s="57"/>
      <c r="G47" s="57"/>
      <c r="H47" s="57"/>
      <c r="I47" s="57"/>
      <c r="J47" s="62"/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  <c r="Q47" s="47">
        <v>0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f t="shared" si="1"/>
        <v>0</v>
      </c>
      <c r="X47" s="135"/>
    </row>
    <row r="48" spans="1:25" s="63" customFormat="1" ht="11.75" customHeight="1">
      <c r="A48" s="59" t="s">
        <v>86</v>
      </c>
      <c r="B48" s="59"/>
      <c r="C48" s="59"/>
      <c r="D48" s="64" t="s">
        <v>87</v>
      </c>
      <c r="E48" s="57"/>
      <c r="F48" s="57"/>
      <c r="G48" s="57"/>
      <c r="H48" s="57"/>
      <c r="I48" s="57"/>
      <c r="J48" s="62"/>
      <c r="K48" s="47">
        <v>0</v>
      </c>
      <c r="L48" s="47">
        <v>0</v>
      </c>
      <c r="M48" s="47">
        <v>0</v>
      </c>
      <c r="N48" s="47">
        <v>0</v>
      </c>
      <c r="O48" s="47">
        <v>0</v>
      </c>
      <c r="P48" s="47">
        <v>0</v>
      </c>
      <c r="Q48" s="47">
        <v>0</v>
      </c>
      <c r="R48" s="47">
        <v>0</v>
      </c>
      <c r="S48" s="47">
        <v>0</v>
      </c>
      <c r="T48" s="47">
        <v>0</v>
      </c>
      <c r="U48" s="47">
        <v>0</v>
      </c>
      <c r="V48" s="47">
        <v>0</v>
      </c>
      <c r="W48" s="47">
        <f t="shared" si="1"/>
        <v>0</v>
      </c>
      <c r="X48" s="135"/>
    </row>
    <row r="49" spans="1:24" s="63" customFormat="1" ht="11.75" customHeight="1">
      <c r="A49" s="59" t="s">
        <v>88</v>
      </c>
      <c r="B49" s="59"/>
      <c r="C49" s="59"/>
      <c r="D49" s="64" t="s">
        <v>89</v>
      </c>
      <c r="E49" s="57"/>
      <c r="F49" s="57"/>
      <c r="G49" s="57"/>
      <c r="H49" s="57"/>
      <c r="I49" s="57"/>
      <c r="J49" s="62"/>
      <c r="K49" s="47">
        <v>2947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1519</v>
      </c>
      <c r="U49" s="47">
        <v>1519</v>
      </c>
      <c r="V49" s="47">
        <v>1519</v>
      </c>
      <c r="W49" s="47">
        <f t="shared" si="1"/>
        <v>7504</v>
      </c>
      <c r="X49" s="135"/>
    </row>
    <row r="50" spans="1:24" s="8" customFormat="1" ht="11.75" customHeight="1">
      <c r="A50" s="9" t="s">
        <v>90</v>
      </c>
      <c r="B50" s="9"/>
      <c r="C50" s="13" t="s">
        <v>91</v>
      </c>
      <c r="D50" s="2"/>
      <c r="E50" s="2"/>
      <c r="F50" s="2"/>
      <c r="G50" s="2"/>
      <c r="H50" s="2"/>
      <c r="I50" s="2"/>
      <c r="J50" s="11"/>
      <c r="K50" s="12">
        <f>SUM(K51:K56)</f>
        <v>0</v>
      </c>
      <c r="L50" s="12">
        <f t="shared" ref="L50:V50" si="10">SUM(L51:L56)</f>
        <v>0</v>
      </c>
      <c r="M50" s="12">
        <f t="shared" si="10"/>
        <v>0</v>
      </c>
      <c r="N50" s="12">
        <f t="shared" si="10"/>
        <v>420000</v>
      </c>
      <c r="O50" s="12">
        <f t="shared" si="10"/>
        <v>-420000</v>
      </c>
      <c r="P50" s="12">
        <f t="shared" si="10"/>
        <v>0</v>
      </c>
      <c r="Q50" s="12">
        <f t="shared" si="10"/>
        <v>0</v>
      </c>
      <c r="R50" s="12">
        <f t="shared" si="10"/>
        <v>460000</v>
      </c>
      <c r="S50" s="12">
        <f t="shared" si="10"/>
        <v>0</v>
      </c>
      <c r="T50" s="12">
        <f t="shared" si="10"/>
        <v>0</v>
      </c>
      <c r="U50" s="12">
        <f t="shared" si="10"/>
        <v>0</v>
      </c>
      <c r="V50" s="12">
        <f t="shared" si="10"/>
        <v>0</v>
      </c>
      <c r="W50" s="12">
        <f t="shared" si="1"/>
        <v>460000</v>
      </c>
      <c r="X50" s="132"/>
    </row>
    <row r="51" spans="1:24" s="63" customFormat="1" ht="11.75" customHeight="1">
      <c r="A51" s="59" t="s">
        <v>92</v>
      </c>
      <c r="B51" s="59"/>
      <c r="C51" s="59"/>
      <c r="D51" s="64" t="s">
        <v>93</v>
      </c>
      <c r="E51" s="57"/>
      <c r="F51" s="57"/>
      <c r="G51" s="57"/>
      <c r="H51" s="57"/>
      <c r="I51" s="57"/>
      <c r="J51" s="62"/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0</v>
      </c>
      <c r="V51" s="47">
        <v>0</v>
      </c>
      <c r="W51" s="47">
        <f t="shared" si="1"/>
        <v>0</v>
      </c>
      <c r="X51" s="135"/>
    </row>
    <row r="52" spans="1:24" s="63" customFormat="1" ht="11.75" customHeight="1">
      <c r="A52" s="59" t="s">
        <v>94</v>
      </c>
      <c r="B52" s="59"/>
      <c r="C52" s="59"/>
      <c r="D52" s="64" t="s">
        <v>95</v>
      </c>
      <c r="E52" s="57"/>
      <c r="F52" s="57"/>
      <c r="G52" s="57"/>
      <c r="H52" s="57"/>
      <c r="I52" s="57"/>
      <c r="J52" s="62"/>
      <c r="K52" s="47">
        <v>0</v>
      </c>
      <c r="L52" s="47">
        <v>0</v>
      </c>
      <c r="M52" s="47">
        <v>0</v>
      </c>
      <c r="N52" s="47">
        <v>420000</v>
      </c>
      <c r="O52" s="47">
        <v>-420000</v>
      </c>
      <c r="P52" s="47">
        <v>0</v>
      </c>
      <c r="Q52" s="47">
        <v>0</v>
      </c>
      <c r="R52" s="47">
        <v>460000</v>
      </c>
      <c r="S52" s="47">
        <v>0</v>
      </c>
      <c r="T52" s="47">
        <v>0</v>
      </c>
      <c r="U52" s="47">
        <v>0</v>
      </c>
      <c r="V52" s="47">
        <v>0</v>
      </c>
      <c r="W52" s="47">
        <f t="shared" si="1"/>
        <v>460000</v>
      </c>
      <c r="X52" s="135"/>
    </row>
    <row r="53" spans="1:24" s="63" customFormat="1" ht="11.75" customHeight="1">
      <c r="A53" s="59" t="s">
        <v>96</v>
      </c>
      <c r="B53" s="59"/>
      <c r="C53" s="59"/>
      <c r="D53" s="64" t="s">
        <v>97</v>
      </c>
      <c r="E53" s="57"/>
      <c r="F53" s="57"/>
      <c r="G53" s="57"/>
      <c r="H53" s="57"/>
      <c r="I53" s="57"/>
      <c r="J53" s="62"/>
      <c r="K53" s="47">
        <v>0</v>
      </c>
      <c r="L53" s="47">
        <v>0</v>
      </c>
      <c r="M53" s="47">
        <v>0</v>
      </c>
      <c r="N53" s="47">
        <v>0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0</v>
      </c>
      <c r="V53" s="47">
        <v>0</v>
      </c>
      <c r="W53" s="47">
        <f t="shared" si="1"/>
        <v>0</v>
      </c>
      <c r="X53" s="135"/>
    </row>
    <row r="54" spans="1:24" s="63" customFormat="1" ht="11.75" customHeight="1">
      <c r="A54" s="59" t="s">
        <v>98</v>
      </c>
      <c r="B54" s="59"/>
      <c r="C54" s="59"/>
      <c r="D54" s="64" t="s">
        <v>99</v>
      </c>
      <c r="E54" s="57"/>
      <c r="F54" s="57"/>
      <c r="G54" s="57"/>
      <c r="H54" s="57"/>
      <c r="I54" s="57"/>
      <c r="J54" s="62"/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0</v>
      </c>
      <c r="W54" s="47">
        <f t="shared" si="1"/>
        <v>0</v>
      </c>
      <c r="X54" s="135"/>
    </row>
    <row r="55" spans="1:24" s="63" customFormat="1" ht="11.75" customHeight="1">
      <c r="A55" s="59" t="s">
        <v>100</v>
      </c>
      <c r="B55" s="59"/>
      <c r="C55" s="59"/>
      <c r="D55" s="64" t="s">
        <v>101</v>
      </c>
      <c r="E55" s="57"/>
      <c r="F55" s="57"/>
      <c r="G55" s="57"/>
      <c r="H55" s="57"/>
      <c r="I55" s="57"/>
      <c r="J55" s="62"/>
      <c r="K55" s="47">
        <v>0</v>
      </c>
      <c r="L55" s="47">
        <v>0</v>
      </c>
      <c r="M55" s="47">
        <v>0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f t="shared" si="1"/>
        <v>0</v>
      </c>
      <c r="X55" s="135"/>
    </row>
    <row r="56" spans="1:24" s="63" customFormat="1" ht="11.75" customHeight="1">
      <c r="A56" s="59" t="s">
        <v>102</v>
      </c>
      <c r="B56" s="59"/>
      <c r="C56" s="59"/>
      <c r="D56" s="64" t="s">
        <v>103</v>
      </c>
      <c r="E56" s="57"/>
      <c r="F56" s="57"/>
      <c r="G56" s="57"/>
      <c r="H56" s="57"/>
      <c r="I56" s="57"/>
      <c r="J56" s="62"/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</v>
      </c>
      <c r="V56" s="47">
        <v>0</v>
      </c>
      <c r="W56" s="47">
        <f t="shared" si="1"/>
        <v>0</v>
      </c>
      <c r="X56" s="135"/>
    </row>
    <row r="57" spans="1:24" s="63" customFormat="1" ht="11.75" customHeight="1">
      <c r="A57" s="59" t="s">
        <v>104</v>
      </c>
      <c r="B57" s="59"/>
      <c r="C57" s="64" t="s">
        <v>105</v>
      </c>
      <c r="D57" s="57"/>
      <c r="E57" s="57"/>
      <c r="F57" s="57"/>
      <c r="G57" s="57"/>
      <c r="H57" s="57"/>
      <c r="I57" s="57"/>
      <c r="J57" s="62"/>
      <c r="K57" s="47">
        <v>0</v>
      </c>
      <c r="L57" s="47">
        <v>0</v>
      </c>
      <c r="M57" s="47">
        <v>0</v>
      </c>
      <c r="N57" s="47">
        <v>0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f t="shared" si="1"/>
        <v>0</v>
      </c>
      <c r="X57" s="135"/>
    </row>
    <row r="58" spans="1:24" s="8" customFormat="1" ht="11.75" customHeight="1">
      <c r="A58" s="9" t="s">
        <v>106</v>
      </c>
      <c r="B58" s="9"/>
      <c r="C58" s="13" t="s">
        <v>107</v>
      </c>
      <c r="D58" s="2"/>
      <c r="E58" s="2"/>
      <c r="F58" s="2"/>
      <c r="G58" s="2"/>
      <c r="H58" s="2"/>
      <c r="I58" s="2"/>
      <c r="J58" s="11"/>
      <c r="K58" s="12">
        <f>SUM(K59:K60)</f>
        <v>0</v>
      </c>
      <c r="L58" s="12">
        <f t="shared" ref="L58:V58" si="11">SUM(L59:L60)</f>
        <v>0</v>
      </c>
      <c r="M58" s="12">
        <f t="shared" si="11"/>
        <v>0</v>
      </c>
      <c r="N58" s="12">
        <f t="shared" si="11"/>
        <v>0</v>
      </c>
      <c r="O58" s="12">
        <f t="shared" si="11"/>
        <v>0</v>
      </c>
      <c r="P58" s="12">
        <f t="shared" si="11"/>
        <v>0</v>
      </c>
      <c r="Q58" s="12">
        <f t="shared" si="11"/>
        <v>0</v>
      </c>
      <c r="R58" s="12">
        <f t="shared" si="11"/>
        <v>0</v>
      </c>
      <c r="S58" s="12">
        <f t="shared" si="11"/>
        <v>0</v>
      </c>
      <c r="T58" s="12">
        <f t="shared" si="11"/>
        <v>0</v>
      </c>
      <c r="U58" s="12">
        <f t="shared" si="11"/>
        <v>0</v>
      </c>
      <c r="V58" s="12">
        <f t="shared" si="11"/>
        <v>0</v>
      </c>
      <c r="W58" s="12">
        <f t="shared" si="1"/>
        <v>0</v>
      </c>
      <c r="X58" s="132"/>
    </row>
    <row r="59" spans="1:24" s="63" customFormat="1" ht="11.75" customHeight="1">
      <c r="A59" s="59" t="s">
        <v>108</v>
      </c>
      <c r="B59" s="59"/>
      <c r="C59" s="59"/>
      <c r="D59" s="64" t="s">
        <v>107</v>
      </c>
      <c r="E59" s="57"/>
      <c r="F59" s="57"/>
      <c r="G59" s="57"/>
      <c r="H59" s="57"/>
      <c r="I59" s="57"/>
      <c r="J59" s="62"/>
      <c r="K59" s="47">
        <v>0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0</v>
      </c>
      <c r="V59" s="47">
        <v>0</v>
      </c>
      <c r="W59" s="47">
        <f t="shared" si="1"/>
        <v>0</v>
      </c>
      <c r="X59" s="135"/>
    </row>
    <row r="60" spans="1:24" s="63" customFormat="1" ht="11.75" customHeight="1">
      <c r="A60" s="59" t="s">
        <v>109</v>
      </c>
      <c r="B60" s="59"/>
      <c r="C60" s="59"/>
      <c r="D60" s="64" t="s">
        <v>110</v>
      </c>
      <c r="E60" s="57"/>
      <c r="F60" s="57"/>
      <c r="G60" s="57"/>
      <c r="H60" s="57"/>
      <c r="I60" s="57"/>
      <c r="J60" s="62"/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0</v>
      </c>
      <c r="V60" s="47">
        <v>0</v>
      </c>
      <c r="W60" s="47">
        <f t="shared" si="1"/>
        <v>0</v>
      </c>
      <c r="X60" s="135"/>
    </row>
    <row r="61" spans="1:24" s="63" customFormat="1" ht="11.75" customHeight="1">
      <c r="A61" s="59" t="s">
        <v>111</v>
      </c>
      <c r="B61" s="59"/>
      <c r="C61" s="64" t="s">
        <v>112</v>
      </c>
      <c r="D61" s="57"/>
      <c r="E61" s="57"/>
      <c r="F61" s="57"/>
      <c r="G61" s="57"/>
      <c r="H61" s="57"/>
      <c r="I61" s="57"/>
      <c r="J61" s="62"/>
      <c r="K61" s="47">
        <v>0</v>
      </c>
      <c r="L61" s="47">
        <v>0</v>
      </c>
      <c r="M61" s="47">
        <v>4060</v>
      </c>
      <c r="N61" s="47">
        <v>0</v>
      </c>
      <c r="O61" s="47">
        <v>4266</v>
      </c>
      <c r="P61" s="47">
        <v>2030</v>
      </c>
      <c r="Q61" s="47">
        <v>12540</v>
      </c>
      <c r="R61" s="47">
        <v>2030</v>
      </c>
      <c r="S61" s="47">
        <v>5670</v>
      </c>
      <c r="T61" s="47">
        <v>5670</v>
      </c>
      <c r="U61" s="47">
        <v>10000</v>
      </c>
      <c r="V61" s="47">
        <v>5000</v>
      </c>
      <c r="W61" s="47">
        <f t="shared" si="1"/>
        <v>51266</v>
      </c>
      <c r="X61" s="135"/>
    </row>
    <row r="62" spans="1:24" s="63" customFormat="1" ht="11.75" customHeight="1">
      <c r="A62" s="59" t="s">
        <v>113</v>
      </c>
      <c r="B62" s="59"/>
      <c r="C62" s="64" t="s">
        <v>114</v>
      </c>
      <c r="D62" s="57"/>
      <c r="E62" s="57"/>
      <c r="F62" s="57"/>
      <c r="G62" s="57"/>
      <c r="H62" s="57"/>
      <c r="I62" s="57"/>
      <c r="J62" s="62"/>
      <c r="K62" s="47">
        <v>0</v>
      </c>
      <c r="L62" s="47">
        <v>0</v>
      </c>
      <c r="M62" s="47">
        <v>0</v>
      </c>
      <c r="N62" s="47">
        <v>0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  <c r="W62" s="47">
        <f t="shared" si="1"/>
        <v>0</v>
      </c>
      <c r="X62" s="135"/>
    </row>
    <row r="63" spans="1:24" s="63" customFormat="1" ht="11.75" customHeight="1">
      <c r="A63" s="59" t="s">
        <v>115</v>
      </c>
      <c r="B63" s="59"/>
      <c r="C63" s="64" t="s">
        <v>116</v>
      </c>
      <c r="D63" s="57"/>
      <c r="E63" s="57"/>
      <c r="F63" s="57"/>
      <c r="G63" s="57"/>
      <c r="H63" s="57"/>
      <c r="I63" s="57"/>
      <c r="J63" s="62"/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0</v>
      </c>
      <c r="V63" s="47">
        <v>0</v>
      </c>
      <c r="W63" s="47">
        <f t="shared" si="1"/>
        <v>0</v>
      </c>
      <c r="X63" s="135"/>
    </row>
    <row r="64" spans="1:24" s="63" customFormat="1" ht="11.75" customHeight="1">
      <c r="A64" s="59" t="s">
        <v>117</v>
      </c>
      <c r="B64" s="59"/>
      <c r="C64" s="64" t="s">
        <v>118</v>
      </c>
      <c r="D64" s="57"/>
      <c r="E64" s="57"/>
      <c r="F64" s="57"/>
      <c r="G64" s="57"/>
      <c r="H64" s="57"/>
      <c r="I64" s="57"/>
      <c r="J64" s="62"/>
      <c r="K64" s="47">
        <v>0</v>
      </c>
      <c r="L64" s="47">
        <v>0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f t="shared" si="1"/>
        <v>0</v>
      </c>
      <c r="X64" s="135"/>
    </row>
    <row r="65" spans="1:24" s="63" customFormat="1" ht="11.75" customHeight="1">
      <c r="A65" s="59" t="s">
        <v>119</v>
      </c>
      <c r="B65" s="59"/>
      <c r="C65" s="64" t="s">
        <v>120</v>
      </c>
      <c r="D65" s="57"/>
      <c r="E65" s="57"/>
      <c r="F65" s="57"/>
      <c r="G65" s="57"/>
      <c r="H65" s="57"/>
      <c r="I65" s="57"/>
      <c r="J65" s="62"/>
      <c r="K65" s="47">
        <v>0</v>
      </c>
      <c r="L65" s="47">
        <v>19650</v>
      </c>
      <c r="M65" s="47">
        <v>466325</v>
      </c>
      <c r="N65" s="47">
        <v>112276</v>
      </c>
      <c r="O65" s="47">
        <v>96402</v>
      </c>
      <c r="P65" s="47">
        <v>70186</v>
      </c>
      <c r="Q65" s="47">
        <v>68051</v>
      </c>
      <c r="R65" s="47">
        <v>113799</v>
      </c>
      <c r="S65" s="47">
        <v>136326</v>
      </c>
      <c r="T65" s="47">
        <v>70516</v>
      </c>
      <c r="U65" s="47">
        <v>89516</v>
      </c>
      <c r="V65" s="47">
        <v>70516</v>
      </c>
      <c r="W65" s="47">
        <f t="shared" si="1"/>
        <v>1313563</v>
      </c>
      <c r="X65" s="135"/>
    </row>
    <row r="66" spans="1:24" s="63" customFormat="1" ht="11.75" customHeight="1">
      <c r="A66" s="59" t="s">
        <v>121</v>
      </c>
      <c r="B66" s="59"/>
      <c r="C66" s="64" t="s">
        <v>122</v>
      </c>
      <c r="D66" s="57"/>
      <c r="E66" s="57"/>
      <c r="F66" s="57"/>
      <c r="G66" s="57"/>
      <c r="H66" s="57"/>
      <c r="I66" s="57"/>
      <c r="J66" s="62"/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f t="shared" si="1"/>
        <v>0</v>
      </c>
      <c r="X66" s="135"/>
    </row>
    <row r="67" spans="1:24" s="8" customFormat="1" ht="11.75" customHeight="1">
      <c r="A67" s="9" t="s">
        <v>123</v>
      </c>
      <c r="B67" s="9"/>
      <c r="C67" s="13" t="s">
        <v>124</v>
      </c>
      <c r="D67" s="2"/>
      <c r="E67" s="2"/>
      <c r="F67" s="2"/>
      <c r="G67" s="2"/>
      <c r="H67" s="2"/>
      <c r="I67" s="2"/>
      <c r="J67" s="11"/>
      <c r="K67" s="12">
        <f>SUM(K68:K69)</f>
        <v>0</v>
      </c>
      <c r="L67" s="12">
        <f t="shared" ref="L67:V67" si="12">SUM(L68:L69)</f>
        <v>8911</v>
      </c>
      <c r="M67" s="12">
        <f t="shared" si="12"/>
        <v>93331</v>
      </c>
      <c r="N67" s="12">
        <f t="shared" si="12"/>
        <v>92155</v>
      </c>
      <c r="O67" s="12">
        <f t="shared" si="12"/>
        <v>99151</v>
      </c>
      <c r="P67" s="12">
        <f t="shared" si="12"/>
        <v>91561</v>
      </c>
      <c r="Q67" s="12">
        <f t="shared" si="12"/>
        <v>73185</v>
      </c>
      <c r="R67" s="12">
        <f t="shared" si="12"/>
        <v>89501</v>
      </c>
      <c r="S67" s="12">
        <f t="shared" si="12"/>
        <v>89558</v>
      </c>
      <c r="T67" s="12">
        <f t="shared" si="12"/>
        <v>95000</v>
      </c>
      <c r="U67" s="12">
        <f t="shared" si="12"/>
        <v>95000</v>
      </c>
      <c r="V67" s="12">
        <f t="shared" si="12"/>
        <v>95000</v>
      </c>
      <c r="W67" s="12">
        <f t="shared" si="1"/>
        <v>922353</v>
      </c>
      <c r="X67" s="132"/>
    </row>
    <row r="68" spans="1:24" s="63" customFormat="1" ht="11.75" customHeight="1">
      <c r="A68" s="59" t="s">
        <v>125</v>
      </c>
      <c r="B68" s="59"/>
      <c r="C68" s="59"/>
      <c r="D68" s="64" t="s">
        <v>124</v>
      </c>
      <c r="E68" s="57"/>
      <c r="F68" s="57"/>
      <c r="G68" s="57"/>
      <c r="H68" s="57"/>
      <c r="I68" s="57"/>
      <c r="J68" s="62"/>
      <c r="K68" s="47">
        <v>0</v>
      </c>
      <c r="L68" s="47">
        <v>8911</v>
      </c>
      <c r="M68" s="47">
        <v>93331</v>
      </c>
      <c r="N68" s="47">
        <v>92155</v>
      </c>
      <c r="O68" s="47">
        <v>99151</v>
      </c>
      <c r="P68" s="47">
        <v>91561</v>
      </c>
      <c r="Q68" s="47">
        <v>73185</v>
      </c>
      <c r="R68" s="47">
        <v>89501</v>
      </c>
      <c r="S68" s="47">
        <v>89558</v>
      </c>
      <c r="T68" s="47">
        <v>95000</v>
      </c>
      <c r="U68" s="47">
        <v>95000</v>
      </c>
      <c r="V68" s="47">
        <v>95000</v>
      </c>
      <c r="W68" s="47">
        <f t="shared" si="1"/>
        <v>922353</v>
      </c>
      <c r="X68" s="135"/>
    </row>
    <row r="69" spans="1:24" s="63" customFormat="1" ht="11.75" customHeight="1">
      <c r="A69" s="59" t="s">
        <v>126</v>
      </c>
      <c r="B69" s="59"/>
      <c r="C69" s="59"/>
      <c r="D69" s="64" t="s">
        <v>127</v>
      </c>
      <c r="E69" s="57"/>
      <c r="F69" s="57"/>
      <c r="G69" s="57"/>
      <c r="H69" s="57"/>
      <c r="I69" s="57"/>
      <c r="J69" s="62"/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f t="shared" si="1"/>
        <v>0</v>
      </c>
      <c r="X69" s="135"/>
    </row>
    <row r="70" spans="1:24" s="63" customFormat="1" ht="11.75" customHeight="1">
      <c r="A70" s="59" t="s">
        <v>128</v>
      </c>
      <c r="B70" s="59"/>
      <c r="C70" s="64" t="s">
        <v>129</v>
      </c>
      <c r="D70" s="57"/>
      <c r="E70" s="57"/>
      <c r="F70" s="57"/>
      <c r="G70" s="57"/>
      <c r="H70" s="57"/>
      <c r="I70" s="57"/>
      <c r="J70" s="62"/>
      <c r="K70" s="47">
        <v>0</v>
      </c>
      <c r="L70" s="47">
        <v>0</v>
      </c>
      <c r="M70" s="47">
        <v>0</v>
      </c>
      <c r="N70" s="47">
        <v>0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0</v>
      </c>
      <c r="V70" s="47">
        <v>0</v>
      </c>
      <c r="W70" s="47">
        <f t="shared" si="1"/>
        <v>0</v>
      </c>
      <c r="X70" s="135"/>
    </row>
    <row r="71" spans="1:24" s="63" customFormat="1" ht="11.75" customHeight="1">
      <c r="A71" s="59" t="s">
        <v>130</v>
      </c>
      <c r="B71" s="59"/>
      <c r="C71" s="64" t="s">
        <v>131</v>
      </c>
      <c r="D71" s="57"/>
      <c r="E71" s="57"/>
      <c r="F71" s="57"/>
      <c r="G71" s="57"/>
      <c r="H71" s="57"/>
      <c r="I71" s="57"/>
      <c r="J71" s="62"/>
      <c r="K71" s="47">
        <v>0</v>
      </c>
      <c r="L71" s="47">
        <v>6300</v>
      </c>
      <c r="M71" s="47">
        <v>20000</v>
      </c>
      <c r="N71" s="47">
        <v>31403</v>
      </c>
      <c r="O71" s="47">
        <v>27160</v>
      </c>
      <c r="P71" s="47">
        <v>38138</v>
      </c>
      <c r="Q71" s="47">
        <v>29804</v>
      </c>
      <c r="R71" s="47">
        <v>22279</v>
      </c>
      <c r="S71" s="47">
        <v>39255</v>
      </c>
      <c r="T71" s="47">
        <v>30000</v>
      </c>
      <c r="U71" s="47">
        <v>30000</v>
      </c>
      <c r="V71" s="47">
        <v>30000</v>
      </c>
      <c r="W71" s="47">
        <f t="shared" ref="W71:W118" si="13">SUM(K71:V71)</f>
        <v>304339</v>
      </c>
      <c r="X71" s="135"/>
    </row>
    <row r="72" spans="1:24" s="8" customFormat="1" ht="11.75" customHeight="1">
      <c r="A72" s="9" t="s">
        <v>132</v>
      </c>
      <c r="B72" s="9"/>
      <c r="C72" s="13" t="s">
        <v>133</v>
      </c>
      <c r="D72" s="2"/>
      <c r="E72" s="2"/>
      <c r="F72" s="2"/>
      <c r="G72" s="2"/>
      <c r="H72" s="2"/>
      <c r="I72" s="2"/>
      <c r="J72" s="11"/>
      <c r="K72" s="12">
        <f>SUM(K73:K77)</f>
        <v>0</v>
      </c>
      <c r="L72" s="12">
        <f t="shared" ref="L72:V72" si="14">SUM(L73:L77)</f>
        <v>7070</v>
      </c>
      <c r="M72" s="12">
        <f t="shared" si="14"/>
        <v>37857</v>
      </c>
      <c r="N72" s="12">
        <f t="shared" si="14"/>
        <v>121469</v>
      </c>
      <c r="O72" s="12">
        <f t="shared" si="14"/>
        <v>106761</v>
      </c>
      <c r="P72" s="12">
        <f t="shared" si="14"/>
        <v>113239</v>
      </c>
      <c r="Q72" s="12">
        <f t="shared" si="14"/>
        <v>102437</v>
      </c>
      <c r="R72" s="12">
        <f t="shared" si="14"/>
        <v>107725</v>
      </c>
      <c r="S72" s="12">
        <f t="shared" si="14"/>
        <v>470922</v>
      </c>
      <c r="T72" s="12">
        <f t="shared" si="14"/>
        <v>199000</v>
      </c>
      <c r="U72" s="12">
        <f t="shared" si="14"/>
        <v>199000</v>
      </c>
      <c r="V72" s="12">
        <f t="shared" si="14"/>
        <v>199000</v>
      </c>
      <c r="W72" s="12">
        <f t="shared" si="13"/>
        <v>1664480</v>
      </c>
      <c r="X72" s="132"/>
    </row>
    <row r="73" spans="1:24" s="63" customFormat="1" ht="11.75" customHeight="1">
      <c r="A73" s="59" t="s">
        <v>134</v>
      </c>
      <c r="B73" s="59"/>
      <c r="C73" s="59"/>
      <c r="D73" s="64" t="s">
        <v>135</v>
      </c>
      <c r="E73" s="57"/>
      <c r="F73" s="57"/>
      <c r="G73" s="57"/>
      <c r="H73" s="57"/>
      <c r="I73" s="57"/>
      <c r="J73" s="62"/>
      <c r="K73" s="47">
        <v>0</v>
      </c>
      <c r="L73" s="47">
        <v>0</v>
      </c>
      <c r="M73" s="47">
        <v>11503</v>
      </c>
      <c r="N73" s="47">
        <v>46807</v>
      </c>
      <c r="O73" s="47">
        <v>41507</v>
      </c>
      <c r="P73" s="47">
        <v>42812</v>
      </c>
      <c r="Q73" s="47">
        <v>38341</v>
      </c>
      <c r="R73" s="47">
        <v>36550</v>
      </c>
      <c r="S73" s="47">
        <v>36777</v>
      </c>
      <c r="T73" s="47">
        <v>37000</v>
      </c>
      <c r="U73" s="47">
        <v>37000</v>
      </c>
      <c r="V73" s="47">
        <v>37000</v>
      </c>
      <c r="W73" s="47">
        <f t="shared" si="13"/>
        <v>365297</v>
      </c>
      <c r="X73" s="135"/>
    </row>
    <row r="74" spans="1:24" s="63" customFormat="1" ht="11.75" customHeight="1">
      <c r="A74" s="59" t="s">
        <v>136</v>
      </c>
      <c r="B74" s="59"/>
      <c r="C74" s="59"/>
      <c r="D74" s="64" t="s">
        <v>137</v>
      </c>
      <c r="E74" s="57"/>
      <c r="F74" s="57"/>
      <c r="G74" s="57"/>
      <c r="H74" s="57"/>
      <c r="I74" s="57"/>
      <c r="J74" s="62"/>
      <c r="K74" s="47">
        <v>0</v>
      </c>
      <c r="L74" s="47">
        <v>0</v>
      </c>
      <c r="M74" s="47">
        <v>12800</v>
      </c>
      <c r="N74" s="47">
        <v>47200</v>
      </c>
      <c r="O74" s="47">
        <v>40800</v>
      </c>
      <c r="P74" s="47">
        <v>45600</v>
      </c>
      <c r="Q74" s="47">
        <v>39200</v>
      </c>
      <c r="R74" s="47">
        <v>35200</v>
      </c>
      <c r="S74" s="47">
        <v>37600</v>
      </c>
      <c r="T74" s="47">
        <v>37000</v>
      </c>
      <c r="U74" s="47">
        <v>37000</v>
      </c>
      <c r="V74" s="47">
        <v>37000</v>
      </c>
      <c r="W74" s="47">
        <f t="shared" si="13"/>
        <v>369400</v>
      </c>
      <c r="X74" s="135"/>
    </row>
    <row r="75" spans="1:24" s="63" customFormat="1" ht="11.75" customHeight="1">
      <c r="A75" s="59" t="s">
        <v>138</v>
      </c>
      <c r="B75" s="59"/>
      <c r="C75" s="59"/>
      <c r="D75" s="64" t="s">
        <v>139</v>
      </c>
      <c r="E75" s="57"/>
      <c r="F75" s="57"/>
      <c r="G75" s="57"/>
      <c r="H75" s="57"/>
      <c r="I75" s="57"/>
      <c r="J75" s="62"/>
      <c r="K75" s="47">
        <v>0</v>
      </c>
      <c r="L75" s="47">
        <v>0</v>
      </c>
      <c r="M75" s="47">
        <v>0</v>
      </c>
      <c r="N75" s="47">
        <v>0</v>
      </c>
      <c r="O75" s="47">
        <v>0</v>
      </c>
      <c r="P75" s="47">
        <v>0</v>
      </c>
      <c r="Q75" s="47">
        <v>0</v>
      </c>
      <c r="R75" s="47">
        <v>12610</v>
      </c>
      <c r="S75" s="47">
        <v>376646</v>
      </c>
      <c r="T75" s="47">
        <v>100000</v>
      </c>
      <c r="U75" s="47">
        <v>100000</v>
      </c>
      <c r="V75" s="47">
        <v>100000</v>
      </c>
      <c r="W75" s="47">
        <f t="shared" si="13"/>
        <v>689256</v>
      </c>
      <c r="X75" s="135"/>
    </row>
    <row r="76" spans="1:24" s="63" customFormat="1" ht="11.75" customHeight="1">
      <c r="A76" s="59" t="s">
        <v>140</v>
      </c>
      <c r="B76" s="59"/>
      <c r="C76" s="59"/>
      <c r="D76" s="64" t="s">
        <v>141</v>
      </c>
      <c r="E76" s="57"/>
      <c r="F76" s="57"/>
      <c r="G76" s="57"/>
      <c r="H76" s="57"/>
      <c r="I76" s="57"/>
      <c r="J76" s="62"/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f t="shared" si="13"/>
        <v>0</v>
      </c>
      <c r="X76" s="135"/>
    </row>
    <row r="77" spans="1:24" s="63" customFormat="1" ht="11.75" customHeight="1">
      <c r="A77" s="59" t="s">
        <v>142</v>
      </c>
      <c r="B77" s="59"/>
      <c r="C77" s="59"/>
      <c r="D77" s="64" t="s">
        <v>143</v>
      </c>
      <c r="E77" s="57"/>
      <c r="F77" s="57"/>
      <c r="G77" s="57"/>
      <c r="H77" s="57"/>
      <c r="I77" s="57"/>
      <c r="J77" s="62"/>
      <c r="K77" s="47">
        <v>0</v>
      </c>
      <c r="L77" s="47">
        <v>7070</v>
      </c>
      <c r="M77" s="47">
        <v>13554</v>
      </c>
      <c r="N77" s="47">
        <v>27462</v>
      </c>
      <c r="O77" s="47">
        <v>24454</v>
      </c>
      <c r="P77" s="47">
        <v>24827</v>
      </c>
      <c r="Q77" s="47">
        <v>24896</v>
      </c>
      <c r="R77" s="47">
        <v>23365</v>
      </c>
      <c r="S77" s="47">
        <v>19899</v>
      </c>
      <c r="T77" s="47">
        <v>25000</v>
      </c>
      <c r="U77" s="47">
        <v>25000</v>
      </c>
      <c r="V77" s="47">
        <v>25000</v>
      </c>
      <c r="W77" s="47">
        <f t="shared" si="13"/>
        <v>240527</v>
      </c>
      <c r="X77" s="135"/>
    </row>
    <row r="78" spans="1:24" s="63" customFormat="1" ht="11.75" customHeight="1">
      <c r="A78" s="59" t="s">
        <v>144</v>
      </c>
      <c r="B78" s="59"/>
      <c r="C78" s="64" t="s">
        <v>145</v>
      </c>
      <c r="D78" s="57"/>
      <c r="E78" s="57"/>
      <c r="F78" s="57"/>
      <c r="G78" s="57"/>
      <c r="H78" s="57"/>
      <c r="I78" s="57"/>
      <c r="J78" s="62"/>
      <c r="K78" s="47">
        <v>0</v>
      </c>
      <c r="L78" s="47">
        <v>750</v>
      </c>
      <c r="M78" s="47">
        <v>662369</v>
      </c>
      <c r="N78" s="47">
        <v>2798</v>
      </c>
      <c r="O78" s="47">
        <v>2490</v>
      </c>
      <c r="P78" s="47">
        <v>2628</v>
      </c>
      <c r="Q78" s="47">
        <v>2237</v>
      </c>
      <c r="R78" s="47">
        <v>2468</v>
      </c>
      <c r="S78" s="47">
        <v>2540</v>
      </c>
      <c r="T78" s="47">
        <v>2500</v>
      </c>
      <c r="U78" s="47">
        <v>2500</v>
      </c>
      <c r="V78" s="47">
        <v>2500</v>
      </c>
      <c r="W78" s="47">
        <f t="shared" si="13"/>
        <v>685780</v>
      </c>
      <c r="X78" s="135"/>
    </row>
    <row r="79" spans="1:24" s="63" customFormat="1" ht="11.75" customHeight="1">
      <c r="A79" s="59" t="s">
        <v>146</v>
      </c>
      <c r="B79" s="59"/>
      <c r="C79" s="64" t="s">
        <v>147</v>
      </c>
      <c r="D79" s="57"/>
      <c r="E79" s="57"/>
      <c r="F79" s="57"/>
      <c r="G79" s="57"/>
      <c r="H79" s="57"/>
      <c r="I79" s="57"/>
      <c r="J79" s="62"/>
      <c r="K79" s="47">
        <v>0</v>
      </c>
      <c r="L79" s="47">
        <v>65000</v>
      </c>
      <c r="M79" s="47">
        <v>80000</v>
      </c>
      <c r="N79" s="47">
        <v>265000</v>
      </c>
      <c r="O79" s="47">
        <v>0</v>
      </c>
      <c r="P79" s="47">
        <v>45000</v>
      </c>
      <c r="Q79" s="47">
        <v>0</v>
      </c>
      <c r="R79" s="47">
        <v>0</v>
      </c>
      <c r="S79" s="47">
        <v>12500</v>
      </c>
      <c r="T79" s="47">
        <v>25000</v>
      </c>
      <c r="U79" s="47">
        <v>25000</v>
      </c>
      <c r="V79" s="47">
        <v>25000</v>
      </c>
      <c r="W79" s="47">
        <f t="shared" si="13"/>
        <v>542500</v>
      </c>
      <c r="X79" s="135"/>
    </row>
    <row r="80" spans="1:24" s="8" customFormat="1" ht="11.75" customHeight="1">
      <c r="A80" s="9" t="s">
        <v>148</v>
      </c>
      <c r="B80" s="9"/>
      <c r="C80" s="13" t="s">
        <v>149</v>
      </c>
      <c r="D80" s="2"/>
      <c r="E80" s="2"/>
      <c r="F80" s="2"/>
      <c r="G80" s="2"/>
      <c r="H80" s="2"/>
      <c r="I80" s="2"/>
      <c r="J80" s="11"/>
      <c r="K80" s="12">
        <f>SUM(K81:K82)</f>
        <v>0</v>
      </c>
      <c r="L80" s="12">
        <f t="shared" ref="L80:V80" si="15">SUM(L81:L82)</f>
        <v>0</v>
      </c>
      <c r="M80" s="12">
        <f t="shared" si="15"/>
        <v>0</v>
      </c>
      <c r="N80" s="12">
        <f t="shared" si="15"/>
        <v>0</v>
      </c>
      <c r="O80" s="12">
        <f t="shared" si="15"/>
        <v>0</v>
      </c>
      <c r="P80" s="12">
        <f t="shared" si="15"/>
        <v>0</v>
      </c>
      <c r="Q80" s="12">
        <f t="shared" si="15"/>
        <v>0</v>
      </c>
      <c r="R80" s="12">
        <f t="shared" si="15"/>
        <v>0</v>
      </c>
      <c r="S80" s="12">
        <f t="shared" si="15"/>
        <v>0</v>
      </c>
      <c r="T80" s="12">
        <f t="shared" si="15"/>
        <v>0</v>
      </c>
      <c r="U80" s="12">
        <f t="shared" si="15"/>
        <v>0</v>
      </c>
      <c r="V80" s="12">
        <f t="shared" si="15"/>
        <v>0</v>
      </c>
      <c r="W80" s="12">
        <f t="shared" si="13"/>
        <v>0</v>
      </c>
      <c r="X80" s="132"/>
    </row>
    <row r="81" spans="1:24" s="63" customFormat="1" ht="11.75" customHeight="1">
      <c r="A81" s="59" t="s">
        <v>150</v>
      </c>
      <c r="B81" s="59"/>
      <c r="C81" s="59"/>
      <c r="D81" s="64" t="s">
        <v>151</v>
      </c>
      <c r="E81" s="57"/>
      <c r="F81" s="57"/>
      <c r="G81" s="57"/>
      <c r="H81" s="57"/>
      <c r="I81" s="57"/>
      <c r="J81" s="62"/>
      <c r="K81" s="47">
        <v>0</v>
      </c>
      <c r="L81" s="47">
        <v>0</v>
      </c>
      <c r="M81" s="47">
        <v>0</v>
      </c>
      <c r="N81" s="47">
        <v>0</v>
      </c>
      <c r="O81" s="47">
        <v>0</v>
      </c>
      <c r="P81" s="47">
        <v>0</v>
      </c>
      <c r="Q81" s="47">
        <v>0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f t="shared" si="13"/>
        <v>0</v>
      </c>
      <c r="X81" s="135"/>
    </row>
    <row r="82" spans="1:24" s="63" customFormat="1" ht="11.75" customHeight="1">
      <c r="A82" s="59" t="s">
        <v>152</v>
      </c>
      <c r="B82" s="59"/>
      <c r="C82" s="59"/>
      <c r="D82" s="64" t="s">
        <v>153</v>
      </c>
      <c r="E82" s="57"/>
      <c r="F82" s="57"/>
      <c r="G82" s="57"/>
      <c r="H82" s="57"/>
      <c r="I82" s="57"/>
      <c r="J82" s="62"/>
      <c r="K82" s="47">
        <v>0</v>
      </c>
      <c r="L82" s="47">
        <v>0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f t="shared" si="13"/>
        <v>0</v>
      </c>
      <c r="X82" s="135"/>
    </row>
    <row r="83" spans="1:24" s="63" customFormat="1" ht="11.75" customHeight="1">
      <c r="A83" s="59" t="s">
        <v>154</v>
      </c>
      <c r="B83" s="59"/>
      <c r="C83" s="64" t="s">
        <v>155</v>
      </c>
      <c r="D83" s="57"/>
      <c r="E83" s="57"/>
      <c r="F83" s="57"/>
      <c r="G83" s="57"/>
      <c r="H83" s="57"/>
      <c r="I83" s="57"/>
      <c r="J83" s="62"/>
      <c r="K83" s="47">
        <v>0</v>
      </c>
      <c r="L83" s="47">
        <v>0</v>
      </c>
      <c r="M83" s="47">
        <v>0</v>
      </c>
      <c r="N83" s="47">
        <v>0</v>
      </c>
      <c r="O83" s="47">
        <v>0</v>
      </c>
      <c r="P83" s="47">
        <v>0</v>
      </c>
      <c r="Q83" s="47">
        <v>0</v>
      </c>
      <c r="R83" s="47">
        <v>0</v>
      </c>
      <c r="S83" s="47">
        <v>0</v>
      </c>
      <c r="T83" s="47">
        <v>0</v>
      </c>
      <c r="U83" s="47">
        <v>0</v>
      </c>
      <c r="V83" s="47">
        <v>0</v>
      </c>
      <c r="W83" s="47">
        <f t="shared" si="13"/>
        <v>0</v>
      </c>
      <c r="X83" s="135"/>
    </row>
    <row r="84" spans="1:24" s="63" customFormat="1" ht="11.75" customHeight="1">
      <c r="A84" s="59" t="s">
        <v>156</v>
      </c>
      <c r="B84" s="59"/>
      <c r="C84" s="64" t="s">
        <v>157</v>
      </c>
      <c r="D84" s="57"/>
      <c r="E84" s="57"/>
      <c r="F84" s="57"/>
      <c r="G84" s="57"/>
      <c r="H84" s="57"/>
      <c r="I84" s="57"/>
      <c r="J84" s="62"/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f t="shared" si="13"/>
        <v>0</v>
      </c>
      <c r="X84" s="135"/>
    </row>
    <row r="85" spans="1:24" s="8" customFormat="1" ht="11.75" customHeight="1">
      <c r="A85" s="9" t="s">
        <v>158</v>
      </c>
      <c r="B85" s="22" t="s">
        <v>159</v>
      </c>
      <c r="C85" s="23"/>
      <c r="D85" s="23"/>
      <c r="E85" s="23"/>
      <c r="F85" s="23"/>
      <c r="G85" s="23"/>
      <c r="H85" s="23"/>
      <c r="I85" s="23"/>
      <c r="J85" s="24"/>
      <c r="K85" s="25">
        <f>SUM(K86:K96)</f>
        <v>0</v>
      </c>
      <c r="L85" s="25">
        <f t="shared" ref="L85:V85" si="16">SUM(L86:L96)</f>
        <v>0</v>
      </c>
      <c r="M85" s="25">
        <f t="shared" si="16"/>
        <v>35000</v>
      </c>
      <c r="N85" s="25">
        <f t="shared" si="16"/>
        <v>35000</v>
      </c>
      <c r="O85" s="25">
        <f t="shared" si="16"/>
        <v>81202</v>
      </c>
      <c r="P85" s="25">
        <f t="shared" si="16"/>
        <v>47723</v>
      </c>
      <c r="Q85" s="25">
        <f t="shared" si="16"/>
        <v>47723</v>
      </c>
      <c r="R85" s="25">
        <f t="shared" si="16"/>
        <v>63830</v>
      </c>
      <c r="S85" s="25">
        <f t="shared" si="16"/>
        <v>63830</v>
      </c>
      <c r="T85" s="25">
        <f t="shared" si="16"/>
        <v>63830</v>
      </c>
      <c r="U85" s="25">
        <f t="shared" si="16"/>
        <v>63830</v>
      </c>
      <c r="V85" s="25">
        <f t="shared" si="16"/>
        <v>63845</v>
      </c>
      <c r="W85" s="25">
        <f t="shared" si="13"/>
        <v>565813</v>
      </c>
      <c r="X85" s="132"/>
    </row>
    <row r="86" spans="1:24" s="63" customFormat="1" ht="11.75" customHeight="1">
      <c r="A86" s="59" t="s">
        <v>160</v>
      </c>
      <c r="B86" s="60"/>
      <c r="C86" s="61" t="s">
        <v>93</v>
      </c>
      <c r="D86" s="57"/>
      <c r="E86" s="57"/>
      <c r="F86" s="57"/>
      <c r="G86" s="57"/>
      <c r="H86" s="57"/>
      <c r="I86" s="57"/>
      <c r="J86" s="62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>
        <f t="shared" si="13"/>
        <v>0</v>
      </c>
      <c r="X86" s="135"/>
    </row>
    <row r="87" spans="1:24" s="63" customFormat="1" ht="11.75" customHeight="1">
      <c r="A87" s="59" t="s">
        <v>161</v>
      </c>
      <c r="B87" s="59"/>
      <c r="C87" s="64" t="s">
        <v>162</v>
      </c>
      <c r="D87" s="57"/>
      <c r="E87" s="57"/>
      <c r="F87" s="57"/>
      <c r="G87" s="57"/>
      <c r="H87" s="57"/>
      <c r="I87" s="57"/>
      <c r="J87" s="62"/>
      <c r="K87" s="47">
        <v>0</v>
      </c>
      <c r="L87" s="47">
        <v>0</v>
      </c>
      <c r="M87" s="47">
        <v>35000</v>
      </c>
      <c r="N87" s="47">
        <v>35000</v>
      </c>
      <c r="O87" s="47">
        <v>49690</v>
      </c>
      <c r="P87" s="47">
        <v>39845</v>
      </c>
      <c r="Q87" s="47">
        <v>39845</v>
      </c>
      <c r="R87" s="47">
        <v>39845</v>
      </c>
      <c r="S87" s="47">
        <v>39845</v>
      </c>
      <c r="T87" s="47">
        <v>39845</v>
      </c>
      <c r="U87" s="47">
        <v>39845</v>
      </c>
      <c r="V87" s="47">
        <v>39845</v>
      </c>
      <c r="W87" s="47">
        <f t="shared" si="13"/>
        <v>398605</v>
      </c>
      <c r="X87" s="135"/>
    </row>
    <row r="88" spans="1:24" s="63" customFormat="1" ht="11.75" customHeight="1">
      <c r="A88" s="59" t="s">
        <v>163</v>
      </c>
      <c r="B88" s="59"/>
      <c r="C88" s="64" t="s">
        <v>97</v>
      </c>
      <c r="D88" s="57"/>
      <c r="E88" s="57"/>
      <c r="F88" s="57"/>
      <c r="G88" s="57"/>
      <c r="H88" s="57"/>
      <c r="I88" s="57"/>
      <c r="J88" s="62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>
        <f t="shared" si="13"/>
        <v>0</v>
      </c>
      <c r="X88" s="135"/>
    </row>
    <row r="89" spans="1:24" s="63" customFormat="1" ht="11.75" customHeight="1">
      <c r="A89" s="59" t="s">
        <v>164</v>
      </c>
      <c r="B89" s="59"/>
      <c r="C89" s="64" t="s">
        <v>165</v>
      </c>
      <c r="D89" s="57"/>
      <c r="E89" s="57"/>
      <c r="F89" s="57"/>
      <c r="G89" s="57"/>
      <c r="H89" s="57"/>
      <c r="I89" s="57"/>
      <c r="J89" s="62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>
        <f t="shared" si="13"/>
        <v>0</v>
      </c>
      <c r="X89" s="135"/>
    </row>
    <row r="90" spans="1:24" s="63" customFormat="1" ht="11.75" customHeight="1">
      <c r="A90" s="59" t="s">
        <v>166</v>
      </c>
      <c r="B90" s="59"/>
      <c r="C90" s="64" t="s">
        <v>101</v>
      </c>
      <c r="D90" s="57"/>
      <c r="E90" s="57"/>
      <c r="F90" s="57"/>
      <c r="G90" s="57"/>
      <c r="H90" s="57"/>
      <c r="I90" s="57"/>
      <c r="J90" s="62"/>
      <c r="K90" s="47">
        <v>0</v>
      </c>
      <c r="L90" s="47">
        <v>0</v>
      </c>
      <c r="M90" s="47">
        <v>0</v>
      </c>
      <c r="N90" s="47">
        <v>0</v>
      </c>
      <c r="O90" s="47">
        <v>0</v>
      </c>
      <c r="P90" s="47">
        <v>0</v>
      </c>
      <c r="Q90" s="47">
        <v>0</v>
      </c>
      <c r="R90" s="47">
        <v>3410</v>
      </c>
      <c r="S90" s="47">
        <v>3410</v>
      </c>
      <c r="T90" s="47">
        <v>3410</v>
      </c>
      <c r="U90" s="47">
        <v>3410</v>
      </c>
      <c r="V90" s="47">
        <v>3414</v>
      </c>
      <c r="W90" s="47">
        <f t="shared" si="13"/>
        <v>17054</v>
      </c>
      <c r="X90" s="135"/>
    </row>
    <row r="91" spans="1:24" s="63" customFormat="1" ht="11.75" customHeight="1">
      <c r="A91" s="59" t="s">
        <v>167</v>
      </c>
      <c r="B91" s="59"/>
      <c r="C91" s="64" t="s">
        <v>103</v>
      </c>
      <c r="D91" s="57"/>
      <c r="E91" s="57"/>
      <c r="F91" s="57"/>
      <c r="G91" s="57"/>
      <c r="H91" s="57"/>
      <c r="I91" s="57"/>
      <c r="J91" s="62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>
        <f t="shared" si="13"/>
        <v>0</v>
      </c>
      <c r="X91" s="135"/>
    </row>
    <row r="92" spans="1:24" s="63" customFormat="1" ht="11.75" customHeight="1">
      <c r="A92" s="59" t="s">
        <v>168</v>
      </c>
      <c r="B92" s="59"/>
      <c r="C92" s="64" t="s">
        <v>169</v>
      </c>
      <c r="D92" s="57"/>
      <c r="E92" s="57"/>
      <c r="F92" s="57"/>
      <c r="G92" s="57"/>
      <c r="H92" s="57"/>
      <c r="I92" s="57"/>
      <c r="J92" s="62"/>
      <c r="K92" s="47">
        <v>0</v>
      </c>
      <c r="L92" s="47">
        <v>0</v>
      </c>
      <c r="M92" s="47">
        <v>0</v>
      </c>
      <c r="N92" s="47">
        <v>0</v>
      </c>
      <c r="O92" s="47">
        <v>31512</v>
      </c>
      <c r="P92" s="47">
        <v>7878</v>
      </c>
      <c r="Q92" s="47">
        <v>7878</v>
      </c>
      <c r="R92" s="47">
        <v>20575</v>
      </c>
      <c r="S92" s="47">
        <v>20575</v>
      </c>
      <c r="T92" s="47">
        <v>20575</v>
      </c>
      <c r="U92" s="47">
        <v>20575</v>
      </c>
      <c r="V92" s="47">
        <v>20586</v>
      </c>
      <c r="W92" s="47">
        <f t="shared" si="13"/>
        <v>150154</v>
      </c>
      <c r="X92" s="135"/>
    </row>
    <row r="93" spans="1:24" s="63" customFormat="1" ht="11.75" customHeight="1">
      <c r="A93" s="59" t="s">
        <v>170</v>
      </c>
      <c r="B93" s="59"/>
      <c r="C93" s="64" t="s">
        <v>171</v>
      </c>
      <c r="D93" s="57"/>
      <c r="E93" s="57"/>
      <c r="F93" s="57"/>
      <c r="G93" s="57"/>
      <c r="H93" s="57"/>
      <c r="I93" s="57"/>
      <c r="J93" s="62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>
        <f t="shared" si="13"/>
        <v>0</v>
      </c>
      <c r="X93" s="135"/>
    </row>
    <row r="94" spans="1:24" s="63" customFormat="1" ht="11.75" customHeight="1">
      <c r="A94" s="59" t="s">
        <v>172</v>
      </c>
      <c r="B94" s="59"/>
      <c r="C94" s="64" t="s">
        <v>173</v>
      </c>
      <c r="D94" s="57"/>
      <c r="E94" s="57"/>
      <c r="F94" s="57"/>
      <c r="G94" s="57"/>
      <c r="H94" s="57"/>
      <c r="I94" s="57"/>
      <c r="J94" s="62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>
        <f t="shared" si="13"/>
        <v>0</v>
      </c>
      <c r="X94" s="135"/>
    </row>
    <row r="95" spans="1:24" s="63" customFormat="1" ht="11.75" customHeight="1">
      <c r="A95" s="59" t="s">
        <v>174</v>
      </c>
      <c r="B95" s="59"/>
      <c r="C95" s="64" t="s">
        <v>175</v>
      </c>
      <c r="D95" s="57"/>
      <c r="E95" s="57"/>
      <c r="F95" s="57"/>
      <c r="G95" s="57"/>
      <c r="H95" s="57"/>
      <c r="I95" s="57"/>
      <c r="J95" s="62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>
        <f t="shared" si="13"/>
        <v>0</v>
      </c>
      <c r="X95" s="135"/>
    </row>
    <row r="96" spans="1:24" s="63" customFormat="1" ht="11.75" customHeight="1" thickBot="1">
      <c r="A96" s="59" t="s">
        <v>176</v>
      </c>
      <c r="B96" s="59"/>
      <c r="C96" s="64" t="s">
        <v>177</v>
      </c>
      <c r="D96" s="57"/>
      <c r="E96" s="57"/>
      <c r="F96" s="57"/>
      <c r="G96" s="57"/>
      <c r="H96" s="57"/>
      <c r="I96" s="57"/>
      <c r="J96" s="62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>
        <f t="shared" si="13"/>
        <v>0</v>
      </c>
      <c r="X96" s="135"/>
    </row>
    <row r="97" spans="1:24" s="8" customFormat="1" ht="11.75" customHeight="1" thickTop="1" thickBot="1">
      <c r="A97" s="9" t="s">
        <v>178</v>
      </c>
      <c r="B97" s="26" t="s">
        <v>179</v>
      </c>
      <c r="C97" s="27"/>
      <c r="D97" s="27"/>
      <c r="E97" s="27"/>
      <c r="F97" s="27"/>
      <c r="G97" s="27"/>
      <c r="H97" s="27"/>
      <c r="I97" s="27"/>
      <c r="J97" s="28"/>
      <c r="K97" s="29">
        <f>K37+K19+K85</f>
        <v>2947</v>
      </c>
      <c r="L97" s="29">
        <f t="shared" ref="L97:V97" si="17">L37+L19+L85</f>
        <v>1083024</v>
      </c>
      <c r="M97" s="29">
        <f t="shared" si="17"/>
        <v>2328186</v>
      </c>
      <c r="N97" s="29">
        <f t="shared" si="17"/>
        <v>2001127</v>
      </c>
      <c r="O97" s="29">
        <f t="shared" si="17"/>
        <v>1263860</v>
      </c>
      <c r="P97" s="29">
        <f t="shared" si="17"/>
        <v>1681818</v>
      </c>
      <c r="Q97" s="29">
        <f t="shared" si="17"/>
        <v>1445852</v>
      </c>
      <c r="R97" s="29">
        <f t="shared" si="17"/>
        <v>2138099</v>
      </c>
      <c r="S97" s="29">
        <f t="shared" si="17"/>
        <v>2202775</v>
      </c>
      <c r="T97" s="29">
        <f t="shared" si="17"/>
        <v>2352978</v>
      </c>
      <c r="U97" s="29">
        <f t="shared" si="17"/>
        <v>2171487</v>
      </c>
      <c r="V97" s="29">
        <f t="shared" si="17"/>
        <v>2570907</v>
      </c>
      <c r="W97" s="29">
        <f t="shared" si="13"/>
        <v>21243060</v>
      </c>
      <c r="X97" s="132"/>
    </row>
    <row r="98" spans="1:24" s="8" customFormat="1" ht="11.75" customHeight="1" thickBot="1">
      <c r="A98" s="9" t="s">
        <v>180</v>
      </c>
      <c r="B98" s="30" t="s">
        <v>181</v>
      </c>
      <c r="C98" s="31"/>
      <c r="D98" s="31"/>
      <c r="E98" s="31"/>
      <c r="F98" s="31"/>
      <c r="G98" s="31"/>
      <c r="H98" s="31"/>
      <c r="I98" s="31"/>
      <c r="J98" s="32"/>
      <c r="K98" s="33">
        <f>K18-K97</f>
        <v>-2947</v>
      </c>
      <c r="L98" s="33">
        <f t="shared" ref="L98:V98" si="18">L18-L97</f>
        <v>-450406</v>
      </c>
      <c r="M98" s="33">
        <f t="shared" si="18"/>
        <v>-466745</v>
      </c>
      <c r="N98" s="33">
        <f t="shared" si="18"/>
        <v>254234</v>
      </c>
      <c r="O98" s="33">
        <f t="shared" si="18"/>
        <v>1059983</v>
      </c>
      <c r="P98" s="33">
        <f t="shared" si="18"/>
        <v>-108542</v>
      </c>
      <c r="Q98" s="33">
        <f t="shared" si="18"/>
        <v>465870</v>
      </c>
      <c r="R98" s="33">
        <f t="shared" si="18"/>
        <v>-326874</v>
      </c>
      <c r="S98" s="33">
        <f t="shared" si="18"/>
        <v>-342832</v>
      </c>
      <c r="T98" s="33">
        <f t="shared" si="18"/>
        <v>261568.62000000011</v>
      </c>
      <c r="U98" s="33">
        <f t="shared" si="18"/>
        <v>347577.41999999993</v>
      </c>
      <c r="V98" s="33">
        <f t="shared" si="18"/>
        <v>-276939.89999999991</v>
      </c>
      <c r="W98" s="33">
        <f t="shared" si="13"/>
        <v>413947.14000000013</v>
      </c>
      <c r="X98" s="132"/>
    </row>
    <row r="99" spans="1:24" s="8" customFormat="1" ht="11.75" customHeight="1">
      <c r="A99" s="9" t="s">
        <v>182</v>
      </c>
      <c r="B99" s="34" t="s">
        <v>183</v>
      </c>
      <c r="C99" s="35"/>
      <c r="D99" s="35"/>
      <c r="E99" s="35"/>
      <c r="F99" s="35"/>
      <c r="G99" s="35"/>
      <c r="H99" s="35"/>
      <c r="I99" s="35"/>
      <c r="J99" s="36"/>
      <c r="K99" s="37">
        <f>SUM(K100,K104:K106)</f>
        <v>0</v>
      </c>
      <c r="L99" s="37">
        <f t="shared" ref="L99:V99" si="19">SUM(L100,L104:L106)</f>
        <v>0</v>
      </c>
      <c r="M99" s="37">
        <f t="shared" si="19"/>
        <v>0</v>
      </c>
      <c r="N99" s="37">
        <f t="shared" si="19"/>
        <v>0</v>
      </c>
      <c r="O99" s="37">
        <f t="shared" si="19"/>
        <v>0</v>
      </c>
      <c r="P99" s="37">
        <f t="shared" si="19"/>
        <v>0</v>
      </c>
      <c r="Q99" s="37">
        <f t="shared" si="19"/>
        <v>0</v>
      </c>
      <c r="R99" s="37">
        <f t="shared" si="19"/>
        <v>0</v>
      </c>
      <c r="S99" s="37">
        <f t="shared" si="19"/>
        <v>0</v>
      </c>
      <c r="T99" s="37">
        <f t="shared" si="19"/>
        <v>0</v>
      </c>
      <c r="U99" s="37">
        <f t="shared" si="19"/>
        <v>0</v>
      </c>
      <c r="V99" s="37">
        <f t="shared" si="19"/>
        <v>0</v>
      </c>
      <c r="W99" s="37">
        <f t="shared" si="13"/>
        <v>0</v>
      </c>
      <c r="X99" s="132"/>
    </row>
    <row r="100" spans="1:24" s="8" customFormat="1" ht="11.75" customHeight="1">
      <c r="A100" s="9" t="s">
        <v>184</v>
      </c>
      <c r="B100" s="3"/>
      <c r="C100" s="10" t="s">
        <v>185</v>
      </c>
      <c r="D100" s="2"/>
      <c r="E100" s="2"/>
      <c r="F100" s="2"/>
      <c r="G100" s="2"/>
      <c r="H100" s="2"/>
      <c r="I100" s="2"/>
      <c r="J100" s="11"/>
      <c r="K100" s="12">
        <f>SUM(K101:K103)</f>
        <v>0</v>
      </c>
      <c r="L100" s="12">
        <f t="shared" ref="L100:V100" si="20">SUM(L101:L103)</f>
        <v>0</v>
      </c>
      <c r="M100" s="12">
        <f t="shared" si="20"/>
        <v>0</v>
      </c>
      <c r="N100" s="12">
        <f t="shared" si="20"/>
        <v>0</v>
      </c>
      <c r="O100" s="12">
        <f t="shared" si="20"/>
        <v>0</v>
      </c>
      <c r="P100" s="12">
        <f t="shared" si="20"/>
        <v>0</v>
      </c>
      <c r="Q100" s="12">
        <f t="shared" si="20"/>
        <v>0</v>
      </c>
      <c r="R100" s="12">
        <f t="shared" si="20"/>
        <v>0</v>
      </c>
      <c r="S100" s="12">
        <f t="shared" si="20"/>
        <v>0</v>
      </c>
      <c r="T100" s="12">
        <f t="shared" si="20"/>
        <v>0</v>
      </c>
      <c r="U100" s="12">
        <f t="shared" si="20"/>
        <v>0</v>
      </c>
      <c r="V100" s="12">
        <f t="shared" si="20"/>
        <v>0</v>
      </c>
      <c r="W100" s="12">
        <f t="shared" si="13"/>
        <v>0</v>
      </c>
      <c r="X100" s="132"/>
    </row>
    <row r="101" spans="1:24" s="63" customFormat="1" ht="11.75" customHeight="1">
      <c r="A101" s="59" t="s">
        <v>186</v>
      </c>
      <c r="B101" s="59"/>
      <c r="C101" s="59"/>
      <c r="D101" s="64" t="s">
        <v>187</v>
      </c>
      <c r="E101" s="57"/>
      <c r="F101" s="57"/>
      <c r="G101" s="57"/>
      <c r="H101" s="57"/>
      <c r="I101" s="57"/>
      <c r="J101" s="62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>
        <f t="shared" si="13"/>
        <v>0</v>
      </c>
      <c r="X101" s="135"/>
    </row>
    <row r="102" spans="1:24" s="63" customFormat="1" ht="11.75" customHeight="1">
      <c r="A102" s="59" t="s">
        <v>188</v>
      </c>
      <c r="B102" s="59"/>
      <c r="C102" s="59"/>
      <c r="D102" s="64" t="s">
        <v>189</v>
      </c>
      <c r="E102" s="57"/>
      <c r="F102" s="57"/>
      <c r="G102" s="57"/>
      <c r="H102" s="57"/>
      <c r="I102" s="57"/>
      <c r="J102" s="62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>
        <f t="shared" si="13"/>
        <v>0</v>
      </c>
      <c r="X102" s="135"/>
    </row>
    <row r="103" spans="1:24" s="63" customFormat="1" ht="11.75" customHeight="1">
      <c r="A103" s="59" t="s">
        <v>190</v>
      </c>
      <c r="B103" s="59"/>
      <c r="C103" s="59"/>
      <c r="D103" s="64" t="s">
        <v>191</v>
      </c>
      <c r="E103" s="57"/>
      <c r="F103" s="57"/>
      <c r="G103" s="57"/>
      <c r="H103" s="57"/>
      <c r="I103" s="57"/>
      <c r="J103" s="62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>
        <f t="shared" si="13"/>
        <v>0</v>
      </c>
      <c r="X103" s="135"/>
    </row>
    <row r="104" spans="1:24" s="63" customFormat="1" ht="11.75" customHeight="1">
      <c r="A104" s="59" t="s">
        <v>192</v>
      </c>
      <c r="B104" s="59"/>
      <c r="C104" s="64" t="s">
        <v>193</v>
      </c>
      <c r="D104" s="57"/>
      <c r="E104" s="57"/>
      <c r="F104" s="57"/>
      <c r="G104" s="57"/>
      <c r="H104" s="57"/>
      <c r="I104" s="57"/>
      <c r="J104" s="62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>
        <f t="shared" si="13"/>
        <v>0</v>
      </c>
      <c r="X104" s="135"/>
    </row>
    <row r="105" spans="1:24" s="63" customFormat="1" ht="11.75" customHeight="1">
      <c r="A105" s="59" t="s">
        <v>194</v>
      </c>
      <c r="B105" s="59"/>
      <c r="C105" s="64" t="s">
        <v>195</v>
      </c>
      <c r="D105" s="57"/>
      <c r="E105" s="57"/>
      <c r="F105" s="57"/>
      <c r="G105" s="57"/>
      <c r="H105" s="57"/>
      <c r="I105" s="57"/>
      <c r="J105" s="62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>
        <f t="shared" si="13"/>
        <v>0</v>
      </c>
      <c r="X105" s="135"/>
    </row>
    <row r="106" spans="1:24" s="63" customFormat="1" ht="11.75" customHeight="1">
      <c r="A106" s="59" t="s">
        <v>196</v>
      </c>
      <c r="B106" s="59"/>
      <c r="C106" s="64" t="s">
        <v>191</v>
      </c>
      <c r="D106" s="57"/>
      <c r="E106" s="57"/>
      <c r="F106" s="57"/>
      <c r="G106" s="57"/>
      <c r="H106" s="57"/>
      <c r="I106" s="57"/>
      <c r="J106" s="62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>
        <f t="shared" si="13"/>
        <v>0</v>
      </c>
      <c r="X106" s="135"/>
    </row>
    <row r="107" spans="1:24" s="8" customFormat="1" ht="11.75" customHeight="1">
      <c r="A107" s="9" t="s">
        <v>197</v>
      </c>
      <c r="B107" s="38" t="s">
        <v>198</v>
      </c>
      <c r="C107" s="39"/>
      <c r="D107" s="39"/>
      <c r="E107" s="39"/>
      <c r="F107" s="39"/>
      <c r="G107" s="39"/>
      <c r="H107" s="39"/>
      <c r="I107" s="39"/>
      <c r="J107" s="40"/>
      <c r="K107" s="41">
        <f>SUM(K108:K110)</f>
        <v>0</v>
      </c>
      <c r="L107" s="41">
        <f t="shared" ref="L107:V107" si="21">SUM(L108:L110)</f>
        <v>0</v>
      </c>
      <c r="M107" s="41">
        <f t="shared" si="21"/>
        <v>0</v>
      </c>
      <c r="N107" s="41">
        <f t="shared" si="21"/>
        <v>0</v>
      </c>
      <c r="O107" s="41">
        <f t="shared" si="21"/>
        <v>0</v>
      </c>
      <c r="P107" s="41">
        <f t="shared" si="21"/>
        <v>0</v>
      </c>
      <c r="Q107" s="41">
        <f t="shared" si="21"/>
        <v>0</v>
      </c>
      <c r="R107" s="41">
        <f t="shared" si="21"/>
        <v>0</v>
      </c>
      <c r="S107" s="41">
        <f t="shared" si="21"/>
        <v>0</v>
      </c>
      <c r="T107" s="41">
        <f t="shared" si="21"/>
        <v>0</v>
      </c>
      <c r="U107" s="41">
        <f t="shared" si="21"/>
        <v>0</v>
      </c>
      <c r="V107" s="41">
        <f t="shared" si="21"/>
        <v>0</v>
      </c>
      <c r="W107" s="41">
        <f t="shared" si="13"/>
        <v>0</v>
      </c>
      <c r="X107" s="132"/>
    </row>
    <row r="108" spans="1:24" s="63" customFormat="1" ht="11.75" customHeight="1">
      <c r="A108" s="59" t="s">
        <v>199</v>
      </c>
      <c r="B108" s="60"/>
      <c r="C108" s="61" t="s">
        <v>200</v>
      </c>
      <c r="D108" s="57"/>
      <c r="E108" s="57"/>
      <c r="F108" s="57"/>
      <c r="G108" s="57"/>
      <c r="H108" s="57"/>
      <c r="I108" s="57"/>
      <c r="J108" s="62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>
        <f t="shared" si="13"/>
        <v>0</v>
      </c>
      <c r="X108" s="135"/>
    </row>
    <row r="109" spans="1:24" s="63" customFormat="1" ht="11.75" customHeight="1">
      <c r="A109" s="59" t="s">
        <v>201</v>
      </c>
      <c r="B109" s="59"/>
      <c r="C109" s="64" t="s">
        <v>202</v>
      </c>
      <c r="D109" s="57"/>
      <c r="E109" s="57"/>
      <c r="F109" s="57"/>
      <c r="G109" s="57"/>
      <c r="H109" s="57"/>
      <c r="I109" s="57"/>
      <c r="J109" s="62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>
        <f t="shared" si="13"/>
        <v>0</v>
      </c>
      <c r="X109" s="135"/>
    </row>
    <row r="110" spans="1:24" s="63" customFormat="1" ht="11.75" customHeight="1" thickBot="1">
      <c r="A110" s="59" t="s">
        <v>203</v>
      </c>
      <c r="B110" s="59"/>
      <c r="C110" s="64" t="s">
        <v>191</v>
      </c>
      <c r="D110" s="57"/>
      <c r="E110" s="57"/>
      <c r="F110" s="57"/>
      <c r="G110" s="57"/>
      <c r="H110" s="57"/>
      <c r="I110" s="57"/>
      <c r="J110" s="62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>
        <f t="shared" si="13"/>
        <v>0</v>
      </c>
      <c r="X110" s="135"/>
    </row>
    <row r="111" spans="1:24" s="8" customFormat="1" ht="11.75" customHeight="1" thickBot="1">
      <c r="A111" s="9" t="s">
        <v>204</v>
      </c>
      <c r="B111" s="30" t="s">
        <v>205</v>
      </c>
      <c r="C111" s="31"/>
      <c r="D111" s="31"/>
      <c r="E111" s="31"/>
      <c r="F111" s="31"/>
      <c r="G111" s="31"/>
      <c r="H111" s="31"/>
      <c r="I111" s="31"/>
      <c r="J111" s="32"/>
      <c r="K111" s="33">
        <f>K98+K99-K107</f>
        <v>-2947</v>
      </c>
      <c r="L111" s="33">
        <f t="shared" ref="L111:V111" si="22">L98+L99-L107</f>
        <v>-450406</v>
      </c>
      <c r="M111" s="33">
        <f t="shared" si="22"/>
        <v>-466745</v>
      </c>
      <c r="N111" s="33">
        <f t="shared" si="22"/>
        <v>254234</v>
      </c>
      <c r="O111" s="33">
        <f t="shared" si="22"/>
        <v>1059983</v>
      </c>
      <c r="P111" s="33">
        <f t="shared" si="22"/>
        <v>-108542</v>
      </c>
      <c r="Q111" s="33">
        <f t="shared" si="22"/>
        <v>465870</v>
      </c>
      <c r="R111" s="33">
        <f t="shared" si="22"/>
        <v>-326874</v>
      </c>
      <c r="S111" s="33">
        <f t="shared" si="22"/>
        <v>-342832</v>
      </c>
      <c r="T111" s="33">
        <f t="shared" si="22"/>
        <v>261568.62000000011</v>
      </c>
      <c r="U111" s="33">
        <f t="shared" si="22"/>
        <v>347577.41999999993</v>
      </c>
      <c r="V111" s="33">
        <f t="shared" si="22"/>
        <v>-276939.89999999991</v>
      </c>
      <c r="W111" s="33">
        <f t="shared" si="13"/>
        <v>413947.14000000013</v>
      </c>
      <c r="X111" s="132"/>
    </row>
    <row r="112" spans="1:24" s="8" customFormat="1" ht="11.75" customHeight="1">
      <c r="A112" s="9" t="s">
        <v>206</v>
      </c>
      <c r="B112" s="34" t="s">
        <v>207</v>
      </c>
      <c r="C112" s="35"/>
      <c r="D112" s="35"/>
      <c r="E112" s="35"/>
      <c r="F112" s="35"/>
      <c r="G112" s="35"/>
      <c r="H112" s="35"/>
      <c r="I112" s="35"/>
      <c r="J112" s="36"/>
      <c r="K112" s="37">
        <f>SUM(K113:K114)</f>
        <v>0</v>
      </c>
      <c r="L112" s="37">
        <f t="shared" ref="L112:V112" si="23">SUM(L113:L114)</f>
        <v>0</v>
      </c>
      <c r="M112" s="37">
        <f t="shared" si="23"/>
        <v>0</v>
      </c>
      <c r="N112" s="37">
        <f t="shared" si="23"/>
        <v>0</v>
      </c>
      <c r="O112" s="37">
        <f t="shared" si="23"/>
        <v>0</v>
      </c>
      <c r="P112" s="37">
        <f t="shared" si="23"/>
        <v>0</v>
      </c>
      <c r="Q112" s="37">
        <f t="shared" si="23"/>
        <v>0</v>
      </c>
      <c r="R112" s="37">
        <f t="shared" si="23"/>
        <v>0</v>
      </c>
      <c r="S112" s="37">
        <f t="shared" si="23"/>
        <v>0</v>
      </c>
      <c r="T112" s="37">
        <f t="shared" si="23"/>
        <v>0</v>
      </c>
      <c r="U112" s="37">
        <f t="shared" si="23"/>
        <v>0</v>
      </c>
      <c r="V112" s="37">
        <f t="shared" si="23"/>
        <v>0</v>
      </c>
      <c r="W112" s="37">
        <f t="shared" si="13"/>
        <v>0</v>
      </c>
      <c r="X112" s="132"/>
    </row>
    <row r="113" spans="1:24" s="63" customFormat="1" ht="11.75" customHeight="1">
      <c r="A113" s="59" t="s">
        <v>208</v>
      </c>
      <c r="B113" s="60"/>
      <c r="C113" s="61" t="s">
        <v>209</v>
      </c>
      <c r="D113" s="57"/>
      <c r="E113" s="57"/>
      <c r="F113" s="57"/>
      <c r="G113" s="57"/>
      <c r="H113" s="57"/>
      <c r="I113" s="57"/>
      <c r="J113" s="62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>
        <f t="shared" si="13"/>
        <v>0</v>
      </c>
      <c r="X113" s="135"/>
    </row>
    <row r="114" spans="1:24" s="63" customFormat="1" ht="11.75" customHeight="1">
      <c r="A114" s="59" t="s">
        <v>210</v>
      </c>
      <c r="B114" s="59"/>
      <c r="C114" s="64" t="s">
        <v>191</v>
      </c>
      <c r="D114" s="57"/>
      <c r="E114" s="57"/>
      <c r="F114" s="57"/>
      <c r="G114" s="57"/>
      <c r="H114" s="57"/>
      <c r="I114" s="57"/>
      <c r="J114" s="62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>
        <f t="shared" si="13"/>
        <v>0</v>
      </c>
      <c r="X114" s="135"/>
    </row>
    <row r="115" spans="1:24" s="8" customFormat="1" ht="11.75" customHeight="1">
      <c r="A115" s="9" t="s">
        <v>211</v>
      </c>
      <c r="B115" s="38" t="s">
        <v>212</v>
      </c>
      <c r="C115" s="39"/>
      <c r="D115" s="39"/>
      <c r="E115" s="39"/>
      <c r="F115" s="39"/>
      <c r="G115" s="39"/>
      <c r="H115" s="39"/>
      <c r="I115" s="39"/>
      <c r="J115" s="40"/>
      <c r="K115" s="41">
        <f>SUM(K116:K117)</f>
        <v>0</v>
      </c>
      <c r="L115" s="41">
        <f t="shared" ref="L115:V115" si="24">SUM(L116:L117)</f>
        <v>0</v>
      </c>
      <c r="M115" s="41">
        <f t="shared" si="24"/>
        <v>0</v>
      </c>
      <c r="N115" s="41">
        <f t="shared" si="24"/>
        <v>0</v>
      </c>
      <c r="O115" s="41">
        <f t="shared" si="24"/>
        <v>0</v>
      </c>
      <c r="P115" s="41">
        <f t="shared" si="24"/>
        <v>0</v>
      </c>
      <c r="Q115" s="41">
        <f t="shared" si="24"/>
        <v>0</v>
      </c>
      <c r="R115" s="41">
        <f t="shared" si="24"/>
        <v>0</v>
      </c>
      <c r="S115" s="41">
        <f t="shared" si="24"/>
        <v>0</v>
      </c>
      <c r="T115" s="41">
        <f t="shared" si="24"/>
        <v>0</v>
      </c>
      <c r="U115" s="41">
        <f t="shared" si="24"/>
        <v>0</v>
      </c>
      <c r="V115" s="41">
        <f t="shared" si="24"/>
        <v>0</v>
      </c>
      <c r="W115" s="41">
        <f t="shared" si="13"/>
        <v>0</v>
      </c>
      <c r="X115" s="132"/>
    </row>
    <row r="116" spans="1:24" s="63" customFormat="1" ht="11.75" customHeight="1">
      <c r="A116" s="59" t="s">
        <v>213</v>
      </c>
      <c r="B116" s="60"/>
      <c r="C116" s="61" t="s">
        <v>214</v>
      </c>
      <c r="D116" s="57"/>
      <c r="E116" s="57"/>
      <c r="F116" s="57"/>
      <c r="G116" s="57"/>
      <c r="H116" s="57"/>
      <c r="I116" s="57"/>
      <c r="J116" s="62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>
        <f t="shared" si="13"/>
        <v>0</v>
      </c>
      <c r="X116" s="135"/>
    </row>
    <row r="117" spans="1:24" s="63" customFormat="1" ht="11.75" customHeight="1" thickBot="1">
      <c r="A117" s="59" t="s">
        <v>215</v>
      </c>
      <c r="B117" s="59"/>
      <c r="C117" s="64" t="s">
        <v>191</v>
      </c>
      <c r="D117" s="57"/>
      <c r="E117" s="57"/>
      <c r="F117" s="57"/>
      <c r="G117" s="57"/>
      <c r="H117" s="57"/>
      <c r="I117" s="57"/>
      <c r="J117" s="62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>
        <f t="shared" si="13"/>
        <v>0</v>
      </c>
      <c r="X117" s="135"/>
    </row>
    <row r="118" spans="1:24" s="8" customFormat="1" ht="11.75" customHeight="1">
      <c r="A118" s="42" t="s">
        <v>216</v>
      </c>
      <c r="B118" s="43" t="s">
        <v>217</v>
      </c>
      <c r="C118" s="44"/>
      <c r="D118" s="44"/>
      <c r="E118" s="44"/>
      <c r="F118" s="44"/>
      <c r="G118" s="44"/>
      <c r="H118" s="44"/>
      <c r="I118" s="44"/>
      <c r="J118" s="45"/>
      <c r="K118" s="46">
        <f>K111+K112-K115</f>
        <v>-2947</v>
      </c>
      <c r="L118" s="46">
        <f t="shared" ref="L118:V118" si="25">L111+L112-L115</f>
        <v>-450406</v>
      </c>
      <c r="M118" s="46">
        <f t="shared" si="25"/>
        <v>-466745</v>
      </c>
      <c r="N118" s="46">
        <f t="shared" si="25"/>
        <v>254234</v>
      </c>
      <c r="O118" s="46">
        <f t="shared" si="25"/>
        <v>1059983</v>
      </c>
      <c r="P118" s="46">
        <f t="shared" si="25"/>
        <v>-108542</v>
      </c>
      <c r="Q118" s="46">
        <f t="shared" si="25"/>
        <v>465870</v>
      </c>
      <c r="R118" s="46">
        <f t="shared" si="25"/>
        <v>-326874</v>
      </c>
      <c r="S118" s="46">
        <f t="shared" si="25"/>
        <v>-342832</v>
      </c>
      <c r="T118" s="46">
        <f t="shared" si="25"/>
        <v>261568.62000000011</v>
      </c>
      <c r="U118" s="46">
        <f t="shared" si="25"/>
        <v>347577.41999999993</v>
      </c>
      <c r="V118" s="46">
        <f t="shared" si="25"/>
        <v>-276939.89999999991</v>
      </c>
      <c r="W118" s="46">
        <f t="shared" si="13"/>
        <v>413947.14000000013</v>
      </c>
      <c r="X118" s="132"/>
    </row>
  </sheetData>
  <mergeCells count="2">
    <mergeCell ref="A4:A5"/>
    <mergeCell ref="B4:J5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2</vt:i4>
      </vt:variant>
    </vt:vector>
  </HeadingPairs>
  <TitlesOfParts>
    <vt:vector size="12" baseType="lpstr">
      <vt:lpstr>料飲</vt:lpstr>
      <vt:lpstr>料飲共通</vt:lpstr>
      <vt:lpstr>ﾇｰﾍﾞﾙﾌﾟｰｽ</vt:lpstr>
      <vt:lpstr>ｶﾌｪﾙﾎﾟ</vt:lpstr>
      <vt:lpstr>ｶﾌｪｾﾚｽﾃ</vt:lpstr>
      <vt:lpstr>ｼﾞｭｴﾙｽﾞ</vt:lpstr>
      <vt:lpstr>ｶﾞｰﾃﾞﾝ</vt:lpstr>
      <vt:lpstr>ﾋﾞｱｶﾞｰﾃﾞﾝ</vt:lpstr>
      <vt:lpstr>ブリック</vt:lpstr>
      <vt:lpstr>ルスツ羊蹄ぶた</vt:lpstr>
      <vt:lpstr>料飲!Print_Area</vt:lpstr>
      <vt:lpstr>料飲!Print_Titles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宮嶋 元希</dc:creator>
  <cp:lastModifiedBy>SATOSHI IGA</cp:lastModifiedBy>
  <cp:lastPrinted>2026-02-12T03:43:21Z</cp:lastPrinted>
  <dcterms:created xsi:type="dcterms:W3CDTF">2024-12-04T05:26:20Z</dcterms:created>
  <dcterms:modified xsi:type="dcterms:W3CDTF">2026-02-12T23:37:34Z</dcterms:modified>
</cp:coreProperties>
</file>