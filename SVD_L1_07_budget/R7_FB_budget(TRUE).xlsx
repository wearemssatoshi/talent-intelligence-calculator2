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oshiiga/Library/Mobile Documents/com~apple~CloudDocs/Desktop/restaurant/ALL料飲部共通/R7予算資料/R7年度確定予算/R7年度料飲/"/>
    </mc:Choice>
  </mc:AlternateContent>
  <xr:revisionPtr revIDLastSave="0" documentId="13_ncr:1_{2D00DC8B-96F5-0C40-AA94-505EA837E124}" xr6:coauthVersionLast="47" xr6:coauthVersionMax="47" xr10:uidLastSave="{00000000-0000-0000-0000-000000000000}"/>
  <bookViews>
    <workbookView xWindow="0" yWindow="760" windowWidth="30240" windowHeight="18880" tabRatio="870" activeTab="8" xr2:uid="{74A4D7E2-2EC4-4A50-A26D-06C654F91815}"/>
  </bookViews>
  <sheets>
    <sheet name="料飲" sheetId="60" r:id="rId1"/>
    <sheet name="料飲共通" sheetId="3" r:id="rId2"/>
    <sheet name="ﾇｰﾍﾞﾙﾌﾟｰｽ" sheetId="28" r:id="rId3"/>
    <sheet name="ｶﾌｪﾙﾎﾟ" sheetId="30" r:id="rId4"/>
    <sheet name="ｶﾌｪｾﾚｽﾃ" sheetId="31" r:id="rId5"/>
    <sheet name="ｼﾞｭｴﾙｽﾞ" sheetId="50" r:id="rId6"/>
    <sheet name="ｶﾞｰﾃﾞﾝ" sheetId="51" r:id="rId7"/>
    <sheet name="ﾋﾞｱｶﾞｰﾃﾞﾝ" sheetId="52" r:id="rId8"/>
    <sheet name="赤れんが" sheetId="62" r:id="rId9"/>
  </sheets>
  <externalReferences>
    <externalReference r:id="rId10"/>
  </externalReferences>
  <definedNames>
    <definedName name="_xlnm.Print_Area" localSheetId="8">赤れんが!$A$1:$AE$121</definedName>
    <definedName name="_xlnm.Print_Area" localSheetId="0">料飲!$A$1:$BO$119</definedName>
    <definedName name="_xlnm.Print_Titles" localSheetId="0">料飲!$A:$D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3" i="60" l="1"/>
  <c r="BD20" i="60" s="1"/>
  <c r="V31" i="3"/>
  <c r="U31" i="3"/>
  <c r="T31" i="3"/>
  <c r="S31" i="3"/>
  <c r="R31" i="3"/>
  <c r="R19" i="3" s="1"/>
  <c r="Q31" i="3"/>
  <c r="P31" i="3"/>
  <c r="O31" i="3"/>
  <c r="N31" i="3"/>
  <c r="M31" i="3"/>
  <c r="M19" i="3" s="1"/>
  <c r="L31" i="3"/>
  <c r="V31" i="28"/>
  <c r="U31" i="28"/>
  <c r="T31" i="28"/>
  <c r="S31" i="28"/>
  <c r="R31" i="28"/>
  <c r="Q31" i="28"/>
  <c r="Q19" i="28" s="1"/>
  <c r="P31" i="28"/>
  <c r="O31" i="28"/>
  <c r="N31" i="28"/>
  <c r="M31" i="28"/>
  <c r="L31" i="28"/>
  <c r="L19" i="28" s="1"/>
  <c r="V31" i="30"/>
  <c r="U31" i="30"/>
  <c r="T31" i="30"/>
  <c r="S31" i="30"/>
  <c r="R31" i="30"/>
  <c r="Q31" i="30"/>
  <c r="P31" i="30"/>
  <c r="O31" i="30"/>
  <c r="N31" i="30"/>
  <c r="M31" i="30"/>
  <c r="L31" i="30"/>
  <c r="V31" i="31"/>
  <c r="U31" i="31"/>
  <c r="T31" i="31"/>
  <c r="S31" i="31"/>
  <c r="R31" i="31"/>
  <c r="Q31" i="31"/>
  <c r="P31" i="31"/>
  <c r="O31" i="31"/>
  <c r="O19" i="31" s="1"/>
  <c r="N31" i="31"/>
  <c r="M31" i="31"/>
  <c r="L31" i="31"/>
  <c r="V31" i="50"/>
  <c r="V19" i="50" s="1"/>
  <c r="U31" i="50"/>
  <c r="T31" i="50"/>
  <c r="S31" i="50"/>
  <c r="R31" i="50"/>
  <c r="Q31" i="50"/>
  <c r="P31" i="50"/>
  <c r="O31" i="50"/>
  <c r="N31" i="50"/>
  <c r="N19" i="50" s="1"/>
  <c r="M31" i="50"/>
  <c r="L31" i="50"/>
  <c r="V31" i="51"/>
  <c r="U31" i="51"/>
  <c r="T31" i="51"/>
  <c r="S31" i="51"/>
  <c r="R31" i="51"/>
  <c r="Q31" i="51"/>
  <c r="P31" i="51"/>
  <c r="O31" i="51"/>
  <c r="N31" i="51"/>
  <c r="M31" i="51"/>
  <c r="M19" i="51" s="1"/>
  <c r="L31" i="51"/>
  <c r="V31" i="52"/>
  <c r="U31" i="52"/>
  <c r="T31" i="52"/>
  <c r="S31" i="52"/>
  <c r="R31" i="52"/>
  <c r="Q31" i="52"/>
  <c r="P31" i="52"/>
  <c r="O31" i="52"/>
  <c r="N31" i="52"/>
  <c r="M31" i="52"/>
  <c r="L31" i="52"/>
  <c r="V26" i="31"/>
  <c r="U26" i="31"/>
  <c r="T26" i="31"/>
  <c r="S26" i="31"/>
  <c r="R26" i="31"/>
  <c r="Q26" i="31"/>
  <c r="P26" i="31"/>
  <c r="O26" i="31"/>
  <c r="N26" i="31"/>
  <c r="M26" i="31"/>
  <c r="L26" i="31"/>
  <c r="V26" i="52"/>
  <c r="U26" i="52"/>
  <c r="T26" i="52"/>
  <c r="S26" i="52"/>
  <c r="R26" i="52"/>
  <c r="Q26" i="52"/>
  <c r="P26" i="52"/>
  <c r="O26" i="52"/>
  <c r="N26" i="52"/>
  <c r="M26" i="52"/>
  <c r="L26" i="52"/>
  <c r="L19" i="52" s="1"/>
  <c r="V22" i="3"/>
  <c r="V19" i="3" s="1"/>
  <c r="U22" i="3"/>
  <c r="U19" i="3" s="1"/>
  <c r="T22" i="3"/>
  <c r="S22" i="3"/>
  <c r="R22" i="3"/>
  <c r="Q22" i="3"/>
  <c r="Q19" i="3" s="1"/>
  <c r="P22" i="3"/>
  <c r="O22" i="3"/>
  <c r="N22" i="3"/>
  <c r="M22" i="3"/>
  <c r="L22" i="3"/>
  <c r="V22" i="28"/>
  <c r="V19" i="28" s="1"/>
  <c r="U22" i="28"/>
  <c r="U19" i="28" s="1"/>
  <c r="T22" i="28"/>
  <c r="T19" i="28" s="1"/>
  <c r="S22" i="28"/>
  <c r="R22" i="28"/>
  <c r="R19" i="28" s="1"/>
  <c r="Q22" i="28"/>
  <c r="P22" i="28"/>
  <c r="O22" i="28"/>
  <c r="N22" i="28"/>
  <c r="M22" i="28"/>
  <c r="L22" i="28"/>
  <c r="U22" i="30"/>
  <c r="U19" i="30" s="1"/>
  <c r="T22" i="30"/>
  <c r="T19" i="30" s="1"/>
  <c r="S22" i="30"/>
  <c r="S19" i="30" s="1"/>
  <c r="R22" i="30"/>
  <c r="Q22" i="30"/>
  <c r="P22" i="30"/>
  <c r="O22" i="30"/>
  <c r="N22" i="30"/>
  <c r="M22" i="30"/>
  <c r="M19" i="30" s="1"/>
  <c r="L22" i="30"/>
  <c r="V22" i="31"/>
  <c r="V19" i="31" s="1"/>
  <c r="U22" i="31"/>
  <c r="T22" i="31"/>
  <c r="S22" i="31"/>
  <c r="S19" i="31" s="1"/>
  <c r="R22" i="31"/>
  <c r="R19" i="31" s="1"/>
  <c r="Q22" i="31"/>
  <c r="P22" i="31"/>
  <c r="O22" i="31"/>
  <c r="N22" i="31"/>
  <c r="M22" i="31"/>
  <c r="L22" i="31"/>
  <c r="V22" i="50"/>
  <c r="U22" i="50"/>
  <c r="T22" i="50"/>
  <c r="S22" i="50"/>
  <c r="S19" i="50" s="1"/>
  <c r="R22" i="50"/>
  <c r="R19" i="50" s="1"/>
  <c r="Q22" i="50"/>
  <c r="Q19" i="50" s="1"/>
  <c r="P22" i="50"/>
  <c r="O22" i="50"/>
  <c r="N22" i="50"/>
  <c r="M22" i="50"/>
  <c r="L22" i="50"/>
  <c r="V22" i="51"/>
  <c r="V19" i="51" s="1"/>
  <c r="U22" i="51"/>
  <c r="T22" i="51"/>
  <c r="S22" i="51"/>
  <c r="R22" i="51"/>
  <c r="R19" i="51" s="1"/>
  <c r="Q22" i="51"/>
  <c r="Q19" i="51" s="1"/>
  <c r="P22" i="51"/>
  <c r="O22" i="51"/>
  <c r="N22" i="51"/>
  <c r="M22" i="51"/>
  <c r="L22" i="51"/>
  <c r="L19" i="51" s="1"/>
  <c r="V22" i="52"/>
  <c r="U22" i="52"/>
  <c r="U19" i="52" s="1"/>
  <c r="T22" i="52"/>
  <c r="S22" i="52"/>
  <c r="R22" i="52"/>
  <c r="Q22" i="52"/>
  <c r="P22" i="52"/>
  <c r="O22" i="52"/>
  <c r="N22" i="52"/>
  <c r="M22" i="52"/>
  <c r="L22" i="52"/>
  <c r="P19" i="28"/>
  <c r="M19" i="28"/>
  <c r="P19" i="30"/>
  <c r="O19" i="30"/>
  <c r="U19" i="50"/>
  <c r="T19" i="50"/>
  <c r="M19" i="50"/>
  <c r="T19" i="51"/>
  <c r="S19" i="3" l="1"/>
  <c r="N19" i="51"/>
  <c r="O19" i="50"/>
  <c r="Q19" i="30"/>
  <c r="N19" i="31"/>
  <c r="Q19" i="52"/>
  <c r="N19" i="3"/>
  <c r="T19" i="52"/>
  <c r="U19" i="51"/>
  <c r="L19" i="30"/>
  <c r="N19" i="28"/>
  <c r="O19" i="3"/>
  <c r="P19" i="52"/>
  <c r="P19" i="51"/>
  <c r="O19" i="52"/>
  <c r="R19" i="52"/>
  <c r="S19" i="51"/>
  <c r="U19" i="31"/>
  <c r="L19" i="3"/>
  <c r="S19" i="52"/>
  <c r="V19" i="52"/>
  <c r="L19" i="50"/>
  <c r="M19" i="31"/>
  <c r="N19" i="30"/>
  <c r="O19" i="28"/>
  <c r="P19" i="3"/>
  <c r="M19" i="52"/>
  <c r="N19" i="52"/>
  <c r="O19" i="51"/>
  <c r="P19" i="50"/>
  <c r="Q19" i="31"/>
  <c r="R19" i="30"/>
  <c r="S19" i="28"/>
  <c r="T19" i="3"/>
  <c r="L19" i="31"/>
  <c r="P19" i="31"/>
  <c r="T19" i="31"/>
  <c r="K22" i="50" l="1"/>
  <c r="W35" i="28"/>
  <c r="AN22" i="60" l="1"/>
  <c r="AN21" i="60"/>
  <c r="BT120" i="60"/>
  <c r="BS120" i="60"/>
  <c r="BR120" i="60"/>
  <c r="BQ120" i="60"/>
  <c r="BP120" i="60"/>
  <c r="BD45" i="60"/>
  <c r="BD79" i="60"/>
  <c r="BD73" i="60"/>
  <c r="BD71" i="60"/>
  <c r="BD65" i="60"/>
  <c r="BD59" i="60"/>
  <c r="BD51" i="60"/>
  <c r="BD40" i="60"/>
  <c r="BD8" i="60"/>
  <c r="BD7" i="60" s="1"/>
  <c r="BD118" i="60"/>
  <c r="BD117" i="60"/>
  <c r="BD115" i="60"/>
  <c r="BD114" i="60"/>
  <c r="BD111" i="60"/>
  <c r="BD110" i="60"/>
  <c r="BD109" i="60"/>
  <c r="BD107" i="60"/>
  <c r="BD106" i="60"/>
  <c r="BD105" i="60"/>
  <c r="BD104" i="60"/>
  <c r="BD103" i="60"/>
  <c r="BD102" i="60"/>
  <c r="BD101" i="60"/>
  <c r="BD97" i="60"/>
  <c r="BD96" i="60"/>
  <c r="BD95" i="60"/>
  <c r="BD93" i="60"/>
  <c r="BD92" i="60"/>
  <c r="BD90" i="60"/>
  <c r="BD89" i="60"/>
  <c r="BE84" i="60"/>
  <c r="BD83" i="60"/>
  <c r="BD82" i="60"/>
  <c r="BE80" i="60"/>
  <c r="BD78" i="60"/>
  <c r="BD77" i="60"/>
  <c r="BD76" i="60"/>
  <c r="BD75" i="60"/>
  <c r="BD74" i="60"/>
  <c r="BD70" i="60"/>
  <c r="BD69" i="60"/>
  <c r="BD61" i="60"/>
  <c r="BD60" i="60"/>
  <c r="BD57" i="60"/>
  <c r="BD56" i="60"/>
  <c r="BD55" i="60"/>
  <c r="BD54" i="60"/>
  <c r="BD53" i="60"/>
  <c r="BD52" i="60"/>
  <c r="BD50" i="60"/>
  <c r="BD49" i="60"/>
  <c r="BD48" i="60"/>
  <c r="BC94" i="60"/>
  <c r="BC71" i="60"/>
  <c r="BC65" i="60"/>
  <c r="BC51" i="60"/>
  <c r="BC45" i="60"/>
  <c r="BE116" i="60"/>
  <c r="BE113" i="60"/>
  <c r="BE108" i="60"/>
  <c r="BE100" i="60"/>
  <c r="BE85" i="60"/>
  <c r="BE81" i="60"/>
  <c r="BE67" i="60"/>
  <c r="BE63" i="60"/>
  <c r="BE58" i="60"/>
  <c r="BE43" i="60"/>
  <c r="BE41" i="60"/>
  <c r="BE37" i="60"/>
  <c r="BE36" i="60"/>
  <c r="BE35" i="60"/>
  <c r="BE34" i="60"/>
  <c r="BE33" i="60"/>
  <c r="BE32" i="60"/>
  <c r="BE31" i="60"/>
  <c r="BE30" i="60"/>
  <c r="BE29" i="60"/>
  <c r="BE28" i="60"/>
  <c r="BE27" i="60"/>
  <c r="BE26" i="60"/>
  <c r="BE25" i="60"/>
  <c r="BE24" i="60"/>
  <c r="BE22" i="60"/>
  <c r="BE21" i="60"/>
  <c r="BE17" i="60"/>
  <c r="BE16" i="60"/>
  <c r="BE15" i="60"/>
  <c r="BE14" i="60"/>
  <c r="BE13" i="60"/>
  <c r="BE12" i="60"/>
  <c r="BE11" i="60"/>
  <c r="BE10" i="60"/>
  <c r="BE9" i="60"/>
  <c r="BC8" i="60"/>
  <c r="BC118" i="60"/>
  <c r="BC117" i="60"/>
  <c r="BC115" i="60"/>
  <c r="BC114" i="60"/>
  <c r="BC111" i="60"/>
  <c r="BC110" i="60"/>
  <c r="BC109" i="60"/>
  <c r="BC107" i="60"/>
  <c r="BC106" i="60"/>
  <c r="BE106" i="60" s="1"/>
  <c r="BC105" i="60"/>
  <c r="BC104" i="60"/>
  <c r="BE104" i="60" s="1"/>
  <c r="BC103" i="60"/>
  <c r="BC102" i="60"/>
  <c r="BC101" i="60"/>
  <c r="BC97" i="60"/>
  <c r="BC96" i="60"/>
  <c r="BC95" i="60"/>
  <c r="BC93" i="60"/>
  <c r="BC92" i="60"/>
  <c r="BC90" i="60"/>
  <c r="BC89" i="60"/>
  <c r="BC83" i="60"/>
  <c r="BE83" i="60" s="1"/>
  <c r="BC82" i="60"/>
  <c r="BE82" i="60" s="1"/>
  <c r="BC78" i="60"/>
  <c r="BE78" i="60" s="1"/>
  <c r="BC77" i="60"/>
  <c r="BC76" i="60"/>
  <c r="BC75" i="60"/>
  <c r="BC74" i="60"/>
  <c r="BC70" i="60"/>
  <c r="BC69" i="60"/>
  <c r="BC61" i="60"/>
  <c r="BC60" i="60"/>
  <c r="BC57" i="60"/>
  <c r="BC56" i="60"/>
  <c r="BC55" i="60"/>
  <c r="BC54" i="60"/>
  <c r="BE54" i="60" s="1"/>
  <c r="BC53" i="60"/>
  <c r="BC52" i="60"/>
  <c r="BC50" i="60"/>
  <c r="BC49" i="60"/>
  <c r="BC48" i="60"/>
  <c r="AQ119" i="62"/>
  <c r="AP119" i="62"/>
  <c r="AO119" i="62"/>
  <c r="AM119" i="62"/>
  <c r="AV118" i="62"/>
  <c r="AQ118" i="62"/>
  <c r="AP118" i="62"/>
  <c r="AO118" i="62"/>
  <c r="AM118" i="62"/>
  <c r="Z118" i="62"/>
  <c r="AB118" i="62" s="1"/>
  <c r="H118" i="62"/>
  <c r="AV117" i="62"/>
  <c r="AQ117" i="62"/>
  <c r="AP117" i="62"/>
  <c r="AO117" i="62"/>
  <c r="AM117" i="62"/>
  <c r="Z117" i="62"/>
  <c r="Z116" i="62" s="1"/>
  <c r="H117" i="62"/>
  <c r="AQ116" i="62"/>
  <c r="AP116" i="62"/>
  <c r="AO116" i="62"/>
  <c r="AM116" i="62"/>
  <c r="X116" i="62"/>
  <c r="R116" i="62"/>
  <c r="G116" i="62"/>
  <c r="F116" i="62"/>
  <c r="E116" i="62"/>
  <c r="AV115" i="62"/>
  <c r="AQ115" i="62"/>
  <c r="AP115" i="62"/>
  <c r="AO115" i="62"/>
  <c r="AM115" i="62"/>
  <c r="Z115" i="62"/>
  <c r="AB115" i="62" s="1"/>
  <c r="H115" i="62"/>
  <c r="AV114" i="62"/>
  <c r="AQ114" i="62"/>
  <c r="AP114" i="62"/>
  <c r="AO114" i="62"/>
  <c r="AM114" i="62"/>
  <c r="Z114" i="62"/>
  <c r="H114" i="62"/>
  <c r="H113" i="62" s="1"/>
  <c r="AQ113" i="62"/>
  <c r="AP113" i="62"/>
  <c r="AO113" i="62"/>
  <c r="AM113" i="62"/>
  <c r="X113" i="62"/>
  <c r="R113" i="62"/>
  <c r="G113" i="62"/>
  <c r="F113" i="62"/>
  <c r="AV113" i="62" s="1"/>
  <c r="E113" i="62"/>
  <c r="AQ112" i="62"/>
  <c r="BG112" i="62" s="1"/>
  <c r="AP112" i="62"/>
  <c r="BF112" i="62" s="1"/>
  <c r="AO112" i="62"/>
  <c r="BE112" i="62" s="1"/>
  <c r="AM112" i="62"/>
  <c r="AW111" i="62"/>
  <c r="AV111" i="62"/>
  <c r="AQ111" i="62"/>
  <c r="BG111" i="62" s="1"/>
  <c r="AP111" i="62"/>
  <c r="BF111" i="62" s="1"/>
  <c r="AO111" i="62"/>
  <c r="AM111" i="62"/>
  <c r="AB111" i="62"/>
  <c r="H111" i="62"/>
  <c r="AW110" i="62"/>
  <c r="AV110" i="62"/>
  <c r="AQ110" i="62"/>
  <c r="BG110" i="62" s="1"/>
  <c r="AP110" i="62"/>
  <c r="BF110" i="62" s="1"/>
  <c r="AO110" i="62"/>
  <c r="AM110" i="62"/>
  <c r="AB110" i="62"/>
  <c r="H110" i="62"/>
  <c r="O110" i="62" s="1"/>
  <c r="AW109" i="62"/>
  <c r="AV109" i="62"/>
  <c r="AQ109" i="62"/>
  <c r="BG109" i="62" s="1"/>
  <c r="AP109" i="62"/>
  <c r="BF109" i="62" s="1"/>
  <c r="AO109" i="62"/>
  <c r="AM109" i="62"/>
  <c r="AB109" i="62"/>
  <c r="H109" i="62"/>
  <c r="O109" i="62" s="1"/>
  <c r="AQ108" i="62"/>
  <c r="BG108" i="62" s="1"/>
  <c r="AP108" i="62"/>
  <c r="BF108" i="62" s="1"/>
  <c r="AO108" i="62"/>
  <c r="BE108" i="62" s="1"/>
  <c r="AM108" i="62"/>
  <c r="Z108" i="62"/>
  <c r="X108" i="62"/>
  <c r="R108" i="62"/>
  <c r="AW108" i="62" s="1"/>
  <c r="M108" i="62"/>
  <c r="G108" i="62"/>
  <c r="F108" i="62"/>
  <c r="E108" i="62"/>
  <c r="BE107" i="62"/>
  <c r="AW107" i="62"/>
  <c r="AV107" i="62"/>
  <c r="AQ107" i="62"/>
  <c r="BG107" i="62" s="1"/>
  <c r="AP107" i="62"/>
  <c r="BF107" i="62" s="1"/>
  <c r="AO107" i="62"/>
  <c r="AM107" i="62"/>
  <c r="AB107" i="62"/>
  <c r="H107" i="62"/>
  <c r="O107" i="62" s="1"/>
  <c r="AW106" i="62"/>
  <c r="AV106" i="62"/>
  <c r="AQ106" i="62"/>
  <c r="BG106" i="62" s="1"/>
  <c r="AP106" i="62"/>
  <c r="BF106" i="62" s="1"/>
  <c r="AO106" i="62"/>
  <c r="BE106" i="62" s="1"/>
  <c r="AM106" i="62"/>
  <c r="AB106" i="62"/>
  <c r="H106" i="62"/>
  <c r="AW105" i="62"/>
  <c r="AV105" i="62"/>
  <c r="AQ105" i="62"/>
  <c r="BG105" i="62" s="1"/>
  <c r="AP105" i="62"/>
  <c r="BF105" i="62" s="1"/>
  <c r="AO105" i="62"/>
  <c r="BE105" i="62" s="1"/>
  <c r="AM105" i="62"/>
  <c r="AB105" i="62"/>
  <c r="H105" i="62"/>
  <c r="O105" i="62" s="1"/>
  <c r="AW104" i="62"/>
  <c r="AV104" i="62"/>
  <c r="AQ104" i="62"/>
  <c r="BG104" i="62" s="1"/>
  <c r="AP104" i="62"/>
  <c r="BF104" i="62" s="1"/>
  <c r="AO104" i="62"/>
  <c r="BE104" i="62" s="1"/>
  <c r="AM104" i="62"/>
  <c r="AB104" i="62"/>
  <c r="H104" i="62"/>
  <c r="AW103" i="62"/>
  <c r="AV103" i="62"/>
  <c r="AQ103" i="62"/>
  <c r="BG103" i="62" s="1"/>
  <c r="AP103" i="62"/>
  <c r="BF103" i="62" s="1"/>
  <c r="AO103" i="62"/>
  <c r="BE103" i="62" s="1"/>
  <c r="AM103" i="62"/>
  <c r="AB103" i="62"/>
  <c r="H103" i="62"/>
  <c r="O103" i="62" s="1"/>
  <c r="AW102" i="62"/>
  <c r="AV102" i="62"/>
  <c r="AQ102" i="62"/>
  <c r="BG102" i="62" s="1"/>
  <c r="AP102" i="62"/>
  <c r="BF102" i="62" s="1"/>
  <c r="AO102" i="62"/>
  <c r="BE102" i="62" s="1"/>
  <c r="AM102" i="62"/>
  <c r="AB102" i="62"/>
  <c r="H102" i="62"/>
  <c r="O102" i="62" s="1"/>
  <c r="BG101" i="62"/>
  <c r="AQ101" i="62"/>
  <c r="AP101" i="62"/>
  <c r="BF101" i="62" s="1"/>
  <c r="AO101" i="62"/>
  <c r="BE101" i="62" s="1"/>
  <c r="AM101" i="62"/>
  <c r="Z101" i="62"/>
  <c r="Z100" i="62" s="1"/>
  <c r="X101" i="62"/>
  <c r="R101" i="62"/>
  <c r="R100" i="62" s="1"/>
  <c r="AW100" i="62" s="1"/>
  <c r="M101" i="62"/>
  <c r="G101" i="62"/>
  <c r="F101" i="62"/>
  <c r="F100" i="62" s="1"/>
  <c r="E101" i="62"/>
  <c r="E100" i="62" s="1"/>
  <c r="AQ100" i="62"/>
  <c r="BG100" i="62" s="1"/>
  <c r="AP100" i="62"/>
  <c r="BF100" i="62" s="1"/>
  <c r="AO100" i="62"/>
  <c r="AM100" i="62"/>
  <c r="M100" i="62"/>
  <c r="BF99" i="62"/>
  <c r="AQ99" i="62"/>
  <c r="BG99" i="62" s="1"/>
  <c r="AP99" i="62"/>
  <c r="AO99" i="62"/>
  <c r="BE99" i="62" s="1"/>
  <c r="AM99" i="62"/>
  <c r="AQ98" i="62"/>
  <c r="BG98" i="62" s="1"/>
  <c r="AP98" i="62"/>
  <c r="BF98" i="62" s="1"/>
  <c r="AO98" i="62"/>
  <c r="BE98" i="62" s="1"/>
  <c r="AM98" i="62"/>
  <c r="BG97" i="62"/>
  <c r="BE97" i="62"/>
  <c r="AW97" i="62"/>
  <c r="AV97" i="62"/>
  <c r="AT97" i="62"/>
  <c r="AQ97" i="62"/>
  <c r="AP97" i="62"/>
  <c r="BF97" i="62" s="1"/>
  <c r="AO97" i="62"/>
  <c r="AM97" i="62"/>
  <c r="R97" i="62"/>
  <c r="H97" i="62"/>
  <c r="AV96" i="62"/>
  <c r="AT96" i="62"/>
  <c r="AQ96" i="62"/>
  <c r="BG96" i="62" s="1"/>
  <c r="AP96" i="62"/>
  <c r="BF96" i="62" s="1"/>
  <c r="AO96" i="62"/>
  <c r="BE96" i="62" s="1"/>
  <c r="AM96" i="62"/>
  <c r="R96" i="62"/>
  <c r="AW96" i="62" s="1"/>
  <c r="H96" i="62"/>
  <c r="X96" i="62" s="1"/>
  <c r="AB96" i="62" s="1"/>
  <c r="AV95" i="62"/>
  <c r="AT95" i="62"/>
  <c r="AQ95" i="62"/>
  <c r="BG95" i="62" s="1"/>
  <c r="AP95" i="62"/>
  <c r="BF95" i="62" s="1"/>
  <c r="AO95" i="62"/>
  <c r="BE95" i="62" s="1"/>
  <c r="AM95" i="62"/>
  <c r="R95" i="62"/>
  <c r="AW95" i="62" s="1"/>
  <c r="H95" i="62"/>
  <c r="AW94" i="62"/>
  <c r="AV94" i="62"/>
  <c r="AT94" i="62"/>
  <c r="AQ94" i="62"/>
  <c r="BG94" i="62" s="1"/>
  <c r="AP94" i="62"/>
  <c r="BF94" i="62" s="1"/>
  <c r="AO94" i="62"/>
  <c r="BE94" i="62" s="1"/>
  <c r="AM94" i="62"/>
  <c r="Z94" i="62"/>
  <c r="BD94" i="60" s="1"/>
  <c r="H94" i="62"/>
  <c r="O94" i="62" s="1"/>
  <c r="AV93" i="62"/>
  <c r="AT93" i="62"/>
  <c r="AQ93" i="62"/>
  <c r="BG93" i="62" s="1"/>
  <c r="AP93" i="62"/>
  <c r="BF93" i="62" s="1"/>
  <c r="AO93" i="62"/>
  <c r="BE93" i="62" s="1"/>
  <c r="AM93" i="62"/>
  <c r="R93" i="62"/>
  <c r="H93" i="62"/>
  <c r="AV92" i="62"/>
  <c r="AT92" i="62"/>
  <c r="AQ92" i="62"/>
  <c r="BG92" i="62" s="1"/>
  <c r="AP92" i="62"/>
  <c r="BF92" i="62" s="1"/>
  <c r="AO92" i="62"/>
  <c r="BE92" i="62" s="1"/>
  <c r="AM92" i="62"/>
  <c r="R92" i="62"/>
  <c r="H92" i="62"/>
  <c r="X92" i="62" s="1"/>
  <c r="AV91" i="62"/>
  <c r="AT91" i="62"/>
  <c r="AQ91" i="62"/>
  <c r="BG91" i="62" s="1"/>
  <c r="AP91" i="62"/>
  <c r="BF91" i="62" s="1"/>
  <c r="AO91" i="62"/>
  <c r="BE91" i="62" s="1"/>
  <c r="AM91" i="62"/>
  <c r="X91" i="62"/>
  <c r="BC91" i="60" s="1"/>
  <c r="R91" i="62"/>
  <c r="H91" i="62"/>
  <c r="AV90" i="62"/>
  <c r="AT90" i="62"/>
  <c r="AQ90" i="62"/>
  <c r="BG90" i="62" s="1"/>
  <c r="AP90" i="62"/>
  <c r="BF90" i="62" s="1"/>
  <c r="AO90" i="62"/>
  <c r="BE90" i="62" s="1"/>
  <c r="AM90" i="62"/>
  <c r="R90" i="62"/>
  <c r="H90" i="62"/>
  <c r="X90" i="62" s="1"/>
  <c r="AV89" i="62"/>
  <c r="AT89" i="62"/>
  <c r="AQ89" i="62"/>
  <c r="BG89" i="62" s="1"/>
  <c r="AP89" i="62"/>
  <c r="BF89" i="62" s="1"/>
  <c r="AO89" i="62"/>
  <c r="BE89" i="62" s="1"/>
  <c r="AM89" i="62"/>
  <c r="R89" i="62"/>
  <c r="H89" i="62"/>
  <c r="AV88" i="62"/>
  <c r="AT88" i="62"/>
  <c r="AQ88" i="62"/>
  <c r="BG88" i="62" s="1"/>
  <c r="AP88" i="62"/>
  <c r="BF88" i="62" s="1"/>
  <c r="AO88" i="62"/>
  <c r="BE88" i="62" s="1"/>
  <c r="AM88" i="62"/>
  <c r="Z88" i="62"/>
  <c r="BD88" i="60" s="1"/>
  <c r="X88" i="62"/>
  <c r="R88" i="62"/>
  <c r="AW88" i="62" s="1"/>
  <c r="H88" i="62"/>
  <c r="O88" i="62" s="1"/>
  <c r="AV87" i="62"/>
  <c r="AT87" i="62"/>
  <c r="AQ87" i="62"/>
  <c r="BG87" i="62" s="1"/>
  <c r="AP87" i="62"/>
  <c r="BF87" i="62" s="1"/>
  <c r="AO87" i="62"/>
  <c r="BE87" i="62" s="1"/>
  <c r="AM87" i="62"/>
  <c r="Z87" i="62"/>
  <c r="BD87" i="60" s="1"/>
  <c r="X87" i="62"/>
  <c r="BC87" i="60" s="1"/>
  <c r="R87" i="62"/>
  <c r="H87" i="62"/>
  <c r="O87" i="62" s="1"/>
  <c r="AV86" i="62"/>
  <c r="AT86" i="62"/>
  <c r="AQ86" i="62"/>
  <c r="BG86" i="62" s="1"/>
  <c r="AP86" i="62"/>
  <c r="BF86" i="62" s="1"/>
  <c r="AO86" i="62"/>
  <c r="BE86" i="62" s="1"/>
  <c r="AM86" i="62"/>
  <c r="H86" i="62"/>
  <c r="AV85" i="62"/>
  <c r="AT85" i="62"/>
  <c r="AQ85" i="62"/>
  <c r="BG85" i="62" s="1"/>
  <c r="AP85" i="62"/>
  <c r="BF85" i="62" s="1"/>
  <c r="AO85" i="62"/>
  <c r="AM85" i="62"/>
  <c r="H85" i="62"/>
  <c r="AV84" i="62"/>
  <c r="AT84" i="62"/>
  <c r="AQ84" i="62"/>
  <c r="BG84" i="62" s="1"/>
  <c r="AP84" i="62"/>
  <c r="BF84" i="62" s="1"/>
  <c r="AO84" i="62"/>
  <c r="AM84" i="62"/>
  <c r="H84" i="62"/>
  <c r="O84" i="62" s="1"/>
  <c r="AV83" i="62"/>
  <c r="AT83" i="62"/>
  <c r="AQ83" i="62"/>
  <c r="BG83" i="62" s="1"/>
  <c r="AP83" i="62"/>
  <c r="BF83" i="62" s="1"/>
  <c r="AO83" i="62"/>
  <c r="BE83" i="62" s="1"/>
  <c r="AM83" i="62"/>
  <c r="O83" i="62"/>
  <c r="H83" i="62"/>
  <c r="AV82" i="62"/>
  <c r="AT82" i="62"/>
  <c r="AQ82" i="62"/>
  <c r="BG82" i="62" s="1"/>
  <c r="AP82" i="62"/>
  <c r="BF82" i="62" s="1"/>
  <c r="AO82" i="62"/>
  <c r="AM82" i="62"/>
  <c r="H82" i="62"/>
  <c r="AT81" i="62"/>
  <c r="AQ81" i="62"/>
  <c r="BG81" i="62" s="1"/>
  <c r="AP81" i="62"/>
  <c r="BF81" i="62" s="1"/>
  <c r="AO81" i="62"/>
  <c r="BE81" i="62" s="1"/>
  <c r="AM81" i="62"/>
  <c r="M81" i="62"/>
  <c r="G81" i="62"/>
  <c r="F81" i="62"/>
  <c r="E81" i="62"/>
  <c r="AV80" i="62"/>
  <c r="AT80" i="62"/>
  <c r="AQ80" i="62"/>
  <c r="BG80" i="62" s="1"/>
  <c r="AK80" i="62"/>
  <c r="AP80" i="62" s="1"/>
  <c r="AJ80" i="62"/>
  <c r="AO80" i="62" s="1"/>
  <c r="BE80" i="62" s="1"/>
  <c r="AB80" i="62"/>
  <c r="H80" i="62"/>
  <c r="O80" i="62" s="1"/>
  <c r="AV79" i="62"/>
  <c r="AT79" i="62"/>
  <c r="AQ79" i="62"/>
  <c r="X79" i="62" s="1"/>
  <c r="AP79" i="62"/>
  <c r="BF79" i="62" s="1"/>
  <c r="AO79" i="62"/>
  <c r="BE79" i="62" s="1"/>
  <c r="AM79" i="62"/>
  <c r="H79" i="62"/>
  <c r="O79" i="62" s="1"/>
  <c r="AW78" i="62"/>
  <c r="AV78" i="62"/>
  <c r="AT78" i="62"/>
  <c r="AQ78" i="62"/>
  <c r="BG78" i="62" s="1"/>
  <c r="AP78" i="62"/>
  <c r="BF78" i="62" s="1"/>
  <c r="AO78" i="62"/>
  <c r="BE78" i="62" s="1"/>
  <c r="AM78" i="62"/>
  <c r="AB78" i="62"/>
  <c r="H78" i="62"/>
  <c r="O78" i="62" s="1"/>
  <c r="AW77" i="62"/>
  <c r="AV77" i="62"/>
  <c r="AT77" i="62"/>
  <c r="AQ77" i="62"/>
  <c r="BG77" i="62" s="1"/>
  <c r="AP77" i="62"/>
  <c r="BF77" i="62" s="1"/>
  <c r="AO77" i="62"/>
  <c r="BE77" i="62" s="1"/>
  <c r="AM77" i="62"/>
  <c r="AB77" i="62"/>
  <c r="H77" i="62"/>
  <c r="O77" i="62" s="1"/>
  <c r="AW76" i="62"/>
  <c r="AV76" i="62"/>
  <c r="AT76" i="62"/>
  <c r="AQ76" i="62"/>
  <c r="BG76" i="62" s="1"/>
  <c r="AP76" i="62"/>
  <c r="BF76" i="62" s="1"/>
  <c r="AO76" i="62"/>
  <c r="BE76" i="62" s="1"/>
  <c r="AM76" i="62"/>
  <c r="AB76" i="62"/>
  <c r="H76" i="62"/>
  <c r="O76" i="62" s="1"/>
  <c r="AW75" i="62"/>
  <c r="AV75" i="62"/>
  <c r="AT75" i="62"/>
  <c r="AQ75" i="62"/>
  <c r="BG75" i="62" s="1"/>
  <c r="AP75" i="62"/>
  <c r="BF75" i="62" s="1"/>
  <c r="AO75" i="62"/>
  <c r="BE75" i="62" s="1"/>
  <c r="AM75" i="62"/>
  <c r="AB75" i="62"/>
  <c r="H75" i="62"/>
  <c r="O75" i="62" s="1"/>
  <c r="AW74" i="62"/>
  <c r="AV74" i="62"/>
  <c r="AT74" i="62"/>
  <c r="AQ74" i="62"/>
  <c r="BG74" i="62" s="1"/>
  <c r="AP74" i="62"/>
  <c r="BF74" i="62" s="1"/>
  <c r="AO74" i="62"/>
  <c r="AM74" i="62"/>
  <c r="AB74" i="62"/>
  <c r="H74" i="62"/>
  <c r="O74" i="62" s="1"/>
  <c r="BE73" i="62"/>
  <c r="AV73" i="62"/>
  <c r="AT73" i="62"/>
  <c r="AQ73" i="62"/>
  <c r="BG73" i="62" s="1"/>
  <c r="AP73" i="62"/>
  <c r="BF73" i="62" s="1"/>
  <c r="AO73" i="62"/>
  <c r="AM73" i="62"/>
  <c r="X73" i="62"/>
  <c r="BC73" i="60" s="1"/>
  <c r="R73" i="62"/>
  <c r="AW73" i="62" s="1"/>
  <c r="H73" i="62"/>
  <c r="O73" i="62" s="1"/>
  <c r="BG72" i="62"/>
  <c r="AT72" i="62"/>
  <c r="AQ72" i="62"/>
  <c r="AP72" i="62"/>
  <c r="BF72" i="62" s="1"/>
  <c r="AO72" i="62"/>
  <c r="BE72" i="62" s="1"/>
  <c r="AM72" i="62"/>
  <c r="X72" i="62"/>
  <c r="BC72" i="60" s="1"/>
  <c r="G72" i="62"/>
  <c r="F72" i="62"/>
  <c r="E72" i="62"/>
  <c r="H72" i="62" s="1"/>
  <c r="AV71" i="62"/>
  <c r="AT71" i="62"/>
  <c r="AQ71" i="62"/>
  <c r="BG71" i="62" s="1"/>
  <c r="AP71" i="62"/>
  <c r="BF71" i="62" s="1"/>
  <c r="AO71" i="62"/>
  <c r="BE71" i="62" s="1"/>
  <c r="AM71" i="62"/>
  <c r="AB71" i="62"/>
  <c r="H71" i="62"/>
  <c r="O71" i="62" s="1"/>
  <c r="AV70" i="62"/>
  <c r="AT70" i="62"/>
  <c r="AQ70" i="62"/>
  <c r="BG70" i="62" s="1"/>
  <c r="AP70" i="62"/>
  <c r="BF70" i="62" s="1"/>
  <c r="AO70" i="62"/>
  <c r="AM70" i="62"/>
  <c r="H70" i="62"/>
  <c r="AV69" i="62"/>
  <c r="AT69" i="62"/>
  <c r="AQ69" i="62"/>
  <c r="BG69" i="62" s="1"/>
  <c r="AP69" i="62"/>
  <c r="BF69" i="62" s="1"/>
  <c r="AO69" i="62"/>
  <c r="BE69" i="62" s="1"/>
  <c r="AM69" i="62"/>
  <c r="H69" i="62"/>
  <c r="O69" i="62" s="1"/>
  <c r="AT68" i="62"/>
  <c r="AQ68" i="62"/>
  <c r="BG68" i="62" s="1"/>
  <c r="AP68" i="62"/>
  <c r="BF68" i="62" s="1"/>
  <c r="AO68" i="62"/>
  <c r="BE68" i="62" s="1"/>
  <c r="AM68" i="62"/>
  <c r="M68" i="62"/>
  <c r="G68" i="62"/>
  <c r="F68" i="62"/>
  <c r="E68" i="62"/>
  <c r="AV67" i="62"/>
  <c r="AT67" i="62"/>
  <c r="AQ67" i="62"/>
  <c r="BG67" i="62" s="1"/>
  <c r="AP67" i="62"/>
  <c r="BF67" i="62" s="1"/>
  <c r="AO67" i="62"/>
  <c r="AS67" i="62" s="1"/>
  <c r="X67" i="62" s="1"/>
  <c r="AM67" i="62"/>
  <c r="H67" i="62"/>
  <c r="O67" i="62" s="1"/>
  <c r="AT66" i="62"/>
  <c r="AP66" i="62"/>
  <c r="BF66" i="62" s="1"/>
  <c r="AO66" i="62"/>
  <c r="AL66" i="62"/>
  <c r="AQ66" i="62" s="1"/>
  <c r="BG66" i="62" s="1"/>
  <c r="G66" i="62"/>
  <c r="F66" i="62"/>
  <c r="E66" i="62"/>
  <c r="AV65" i="62"/>
  <c r="AT65" i="62"/>
  <c r="AQ65" i="62"/>
  <c r="BG65" i="62" s="1"/>
  <c r="AP65" i="62"/>
  <c r="BF65" i="62" s="1"/>
  <c r="AO65" i="62"/>
  <c r="BE65" i="62" s="1"/>
  <c r="AM65" i="62"/>
  <c r="AB65" i="62"/>
  <c r="H65" i="62"/>
  <c r="O65" i="62" s="1"/>
  <c r="AV64" i="62"/>
  <c r="AT64" i="62"/>
  <c r="AQ64" i="62"/>
  <c r="BG64" i="62" s="1"/>
  <c r="AP64" i="62"/>
  <c r="BF64" i="62" s="1"/>
  <c r="AO64" i="62"/>
  <c r="BE64" i="62" s="1"/>
  <c r="AM64" i="62"/>
  <c r="Z64" i="62"/>
  <c r="BD64" i="60" s="1"/>
  <c r="X64" i="62"/>
  <c r="BC64" i="60" s="1"/>
  <c r="H64" i="62"/>
  <c r="O64" i="62" s="1"/>
  <c r="AV63" i="62"/>
  <c r="AT63" i="62"/>
  <c r="AQ63" i="62"/>
  <c r="BG63" i="62" s="1"/>
  <c r="AP63" i="62"/>
  <c r="BF63" i="62" s="1"/>
  <c r="AO63" i="62"/>
  <c r="BE63" i="62" s="1"/>
  <c r="AM63" i="62"/>
  <c r="H63" i="62"/>
  <c r="O63" i="62" s="1"/>
  <c r="AV62" i="62"/>
  <c r="AT62" i="62"/>
  <c r="AQ62" i="62"/>
  <c r="X62" i="62" s="1"/>
  <c r="BC62" i="60" s="1"/>
  <c r="AP62" i="62"/>
  <c r="BF62" i="62" s="1"/>
  <c r="AO62" i="62"/>
  <c r="BE62" i="62" s="1"/>
  <c r="AM62" i="62"/>
  <c r="H62" i="62"/>
  <c r="O62" i="62" s="1"/>
  <c r="BE61" i="62"/>
  <c r="AV61" i="62"/>
  <c r="AT61" i="62"/>
  <c r="AQ61" i="62"/>
  <c r="BG61" i="62" s="1"/>
  <c r="AP61" i="62"/>
  <c r="BF61" i="62" s="1"/>
  <c r="AO61" i="62"/>
  <c r="AM61" i="62"/>
  <c r="H61" i="62"/>
  <c r="O61" i="62" s="1"/>
  <c r="AV60" i="62"/>
  <c r="AT60" i="62"/>
  <c r="AQ60" i="62"/>
  <c r="BG60" i="62" s="1"/>
  <c r="AP60" i="62"/>
  <c r="BF60" i="62" s="1"/>
  <c r="AO60" i="62"/>
  <c r="AM60" i="62"/>
  <c r="H60" i="62"/>
  <c r="AT59" i="62"/>
  <c r="AQ59" i="62"/>
  <c r="BG59" i="62" s="1"/>
  <c r="AP59" i="62"/>
  <c r="BF59" i="62" s="1"/>
  <c r="AO59" i="62"/>
  <c r="BE59" i="62" s="1"/>
  <c r="AM59" i="62"/>
  <c r="M59" i="62"/>
  <c r="G59" i="62"/>
  <c r="F59" i="62"/>
  <c r="E59" i="62"/>
  <c r="BF58" i="62"/>
  <c r="AV58" i="62"/>
  <c r="AT58" i="62"/>
  <c r="AQ58" i="62"/>
  <c r="BG58" i="62" s="1"/>
  <c r="AP58" i="62"/>
  <c r="AO58" i="62"/>
  <c r="AM58" i="62"/>
  <c r="H58" i="62"/>
  <c r="O58" i="62" s="1"/>
  <c r="AV57" i="62"/>
  <c r="AT57" i="62"/>
  <c r="AQ57" i="62"/>
  <c r="BG57" i="62" s="1"/>
  <c r="AP57" i="62"/>
  <c r="BF57" i="62" s="1"/>
  <c r="AO57" i="62"/>
  <c r="BE57" i="62" s="1"/>
  <c r="AM57" i="62"/>
  <c r="H57" i="62"/>
  <c r="O57" i="62" s="1"/>
  <c r="AV56" i="62"/>
  <c r="AT56" i="62"/>
  <c r="AQ56" i="62"/>
  <c r="BG56" i="62" s="1"/>
  <c r="AP56" i="62"/>
  <c r="BF56" i="62" s="1"/>
  <c r="AO56" i="62"/>
  <c r="BE56" i="62" s="1"/>
  <c r="AM56" i="62"/>
  <c r="AB56" i="62"/>
  <c r="H56" i="62"/>
  <c r="O56" i="62" s="1"/>
  <c r="BG55" i="62"/>
  <c r="AV55" i="62"/>
  <c r="AT55" i="62"/>
  <c r="AQ55" i="62"/>
  <c r="AP55" i="62"/>
  <c r="BF55" i="62" s="1"/>
  <c r="AO55" i="62"/>
  <c r="BE55" i="62" s="1"/>
  <c r="AM55" i="62"/>
  <c r="H55" i="62"/>
  <c r="O55" i="62" s="1"/>
  <c r="AV54" i="62"/>
  <c r="AT54" i="62"/>
  <c r="AQ54" i="62"/>
  <c r="BG54" i="62" s="1"/>
  <c r="AP54" i="62"/>
  <c r="BF54" i="62" s="1"/>
  <c r="AO54" i="62"/>
  <c r="BE54" i="62" s="1"/>
  <c r="AM54" i="62"/>
  <c r="H54" i="62"/>
  <c r="O54" i="62" s="1"/>
  <c r="AV53" i="62"/>
  <c r="AT53" i="62"/>
  <c r="AQ53" i="62"/>
  <c r="BG53" i="62" s="1"/>
  <c r="AP53" i="62"/>
  <c r="BF53" i="62" s="1"/>
  <c r="AO53" i="62"/>
  <c r="BE53" i="62" s="1"/>
  <c r="AM53" i="62"/>
  <c r="H53" i="62"/>
  <c r="O53" i="62" s="1"/>
  <c r="AV52" i="62"/>
  <c r="AT52" i="62"/>
  <c r="AQ52" i="62"/>
  <c r="BG52" i="62" s="1"/>
  <c r="AP52" i="62"/>
  <c r="BF52" i="62" s="1"/>
  <c r="AO52" i="62"/>
  <c r="BE52" i="62" s="1"/>
  <c r="AM52" i="62"/>
  <c r="H52" i="62"/>
  <c r="O52" i="62" s="1"/>
  <c r="AV51" i="62"/>
  <c r="AT51" i="62"/>
  <c r="AQ51" i="62"/>
  <c r="BG51" i="62" s="1"/>
  <c r="AP51" i="62"/>
  <c r="BF51" i="62" s="1"/>
  <c r="AO51" i="62"/>
  <c r="BE51" i="62" s="1"/>
  <c r="AM51" i="62"/>
  <c r="AB51" i="62"/>
  <c r="E51" i="62"/>
  <c r="H51" i="62" s="1"/>
  <c r="O51" i="62" s="1"/>
  <c r="AW50" i="62"/>
  <c r="AV50" i="62"/>
  <c r="AT50" i="62"/>
  <c r="AQ50" i="62"/>
  <c r="BG50" i="62" s="1"/>
  <c r="AP50" i="62"/>
  <c r="BF50" i="62" s="1"/>
  <c r="AO50" i="62"/>
  <c r="AM50" i="62"/>
  <c r="AB50" i="62"/>
  <c r="H50" i="62"/>
  <c r="O50" i="62" s="1"/>
  <c r="AW49" i="62"/>
  <c r="AV49" i="62"/>
  <c r="AT49" i="62"/>
  <c r="AQ49" i="62"/>
  <c r="BG49" i="62" s="1"/>
  <c r="AP49" i="62"/>
  <c r="BF49" i="62" s="1"/>
  <c r="AO49" i="62"/>
  <c r="AM49" i="62"/>
  <c r="AR49" i="62" s="1"/>
  <c r="AB49" i="62"/>
  <c r="H49" i="62"/>
  <c r="O49" i="62" s="1"/>
  <c r="BF48" i="62"/>
  <c r="AW48" i="62"/>
  <c r="AV48" i="62"/>
  <c r="AT48" i="62"/>
  <c r="AQ48" i="62"/>
  <c r="BG48" i="62" s="1"/>
  <c r="AP48" i="62"/>
  <c r="AO48" i="62"/>
  <c r="AM48" i="62"/>
  <c r="AB48" i="62"/>
  <c r="H48" i="62"/>
  <c r="O48" i="62" s="1"/>
  <c r="AT47" i="62"/>
  <c r="AQ47" i="62"/>
  <c r="BG47" i="62" s="1"/>
  <c r="AP47" i="62"/>
  <c r="BF47" i="62" s="1"/>
  <c r="AO47" i="62"/>
  <c r="BE47" i="62" s="1"/>
  <c r="AM47" i="62"/>
  <c r="Z47" i="62"/>
  <c r="BD47" i="60" s="1"/>
  <c r="X47" i="62"/>
  <c r="AB47" i="62" s="1"/>
  <c r="R47" i="62"/>
  <c r="AW47" i="62" s="1"/>
  <c r="M47" i="62"/>
  <c r="G47" i="62"/>
  <c r="F47" i="62"/>
  <c r="E47" i="62"/>
  <c r="AV46" i="62"/>
  <c r="AT46" i="62"/>
  <c r="AQ46" i="62"/>
  <c r="AP46" i="62"/>
  <c r="BF46" i="62" s="1"/>
  <c r="AO46" i="62"/>
  <c r="BE46" i="62" s="1"/>
  <c r="AM46" i="62"/>
  <c r="H46" i="62"/>
  <c r="O46" i="62" s="1"/>
  <c r="AV45" i="62"/>
  <c r="AT45" i="62"/>
  <c r="AQ45" i="62"/>
  <c r="BG45" i="62" s="1"/>
  <c r="AP45" i="62"/>
  <c r="BF45" i="62" s="1"/>
  <c r="AO45" i="62"/>
  <c r="AM45" i="62"/>
  <c r="AB45" i="62"/>
  <c r="R45" i="62"/>
  <c r="AW45" i="62" s="1"/>
  <c r="H45" i="62"/>
  <c r="O45" i="62" s="1"/>
  <c r="AV44" i="62"/>
  <c r="AT44" i="62"/>
  <c r="AQ44" i="62"/>
  <c r="BG44" i="62" s="1"/>
  <c r="AP44" i="62"/>
  <c r="BF44" i="62" s="1"/>
  <c r="AO44" i="62"/>
  <c r="BE44" i="62" s="1"/>
  <c r="AM44" i="62"/>
  <c r="X44" i="62"/>
  <c r="BC44" i="60" s="1"/>
  <c r="R44" i="62"/>
  <c r="H44" i="62"/>
  <c r="BG43" i="62"/>
  <c r="AV43" i="62"/>
  <c r="AT43" i="62"/>
  <c r="AQ43" i="62"/>
  <c r="AP43" i="62"/>
  <c r="BF43" i="62" s="1"/>
  <c r="AO43" i="62"/>
  <c r="AM43" i="62"/>
  <c r="H43" i="62"/>
  <c r="O43" i="62" s="1"/>
  <c r="AT42" i="62"/>
  <c r="AQ42" i="62"/>
  <c r="BG42" i="62" s="1"/>
  <c r="AP42" i="62"/>
  <c r="BF42" i="62" s="1"/>
  <c r="AO42" i="62"/>
  <c r="BE42" i="62" s="1"/>
  <c r="AM42" i="62"/>
  <c r="M42" i="62"/>
  <c r="G42" i="62"/>
  <c r="F42" i="62"/>
  <c r="E42" i="62"/>
  <c r="AV41" i="62"/>
  <c r="AT41" i="62"/>
  <c r="AQ41" i="62"/>
  <c r="BG41" i="62" s="1"/>
  <c r="AP41" i="62"/>
  <c r="BF41" i="62" s="1"/>
  <c r="AO41" i="62"/>
  <c r="BE41" i="62" s="1"/>
  <c r="AM41" i="62"/>
  <c r="H41" i="62"/>
  <c r="O41" i="62" s="1"/>
  <c r="AV40" i="62"/>
  <c r="AT40" i="62"/>
  <c r="AQ40" i="62"/>
  <c r="X40" i="62" s="1"/>
  <c r="BC40" i="60" s="1"/>
  <c r="AP40" i="62"/>
  <c r="BF40" i="62" s="1"/>
  <c r="AO40" i="62"/>
  <c r="AM40" i="62"/>
  <c r="H40" i="62"/>
  <c r="O40" i="62" s="1"/>
  <c r="AV39" i="62"/>
  <c r="AT39" i="62"/>
  <c r="AQ39" i="62"/>
  <c r="BG39" i="62" s="1"/>
  <c r="AP39" i="62"/>
  <c r="BF39" i="62" s="1"/>
  <c r="AJ39" i="62"/>
  <c r="AO39" i="62" s="1"/>
  <c r="H39" i="62"/>
  <c r="O39" i="62" s="1"/>
  <c r="AQ38" i="62"/>
  <c r="BG38" i="62" s="1"/>
  <c r="AP38" i="62"/>
  <c r="BF38" i="62" s="1"/>
  <c r="AO38" i="62"/>
  <c r="BE38" i="62" s="1"/>
  <c r="AN38" i="62"/>
  <c r="AM38" i="62"/>
  <c r="AV37" i="62"/>
  <c r="AT37" i="62"/>
  <c r="AQ37" i="62"/>
  <c r="AP37" i="62"/>
  <c r="AO37" i="62"/>
  <c r="AM37" i="62"/>
  <c r="R37" i="62"/>
  <c r="AW37" i="62" s="1"/>
  <c r="H37" i="62"/>
  <c r="X37" i="62" s="1"/>
  <c r="AV36" i="62"/>
  <c r="AT36" i="62"/>
  <c r="AQ36" i="62"/>
  <c r="AP36" i="62"/>
  <c r="AO36" i="62"/>
  <c r="AM36" i="62"/>
  <c r="R36" i="62"/>
  <c r="AW36" i="62" s="1"/>
  <c r="H36" i="62"/>
  <c r="X36" i="62" s="1"/>
  <c r="AW35" i="62"/>
  <c r="AV35" i="62"/>
  <c r="AT35" i="62"/>
  <c r="AQ35" i="62"/>
  <c r="AP35" i="62"/>
  <c r="AO35" i="62"/>
  <c r="AM35" i="62"/>
  <c r="AB35" i="62"/>
  <c r="H35" i="62"/>
  <c r="O35" i="62" s="1"/>
  <c r="AV34" i="62"/>
  <c r="AT34" i="62"/>
  <c r="AQ34" i="62"/>
  <c r="AP34" i="62"/>
  <c r="AO34" i="62"/>
  <c r="AM34" i="62"/>
  <c r="R34" i="62"/>
  <c r="H34" i="62"/>
  <c r="AV33" i="62"/>
  <c r="AT33" i="62"/>
  <c r="AQ33" i="62"/>
  <c r="AP33" i="62"/>
  <c r="AO33" i="62"/>
  <c r="AM33" i="62"/>
  <c r="R33" i="62"/>
  <c r="H33" i="62"/>
  <c r="AT32" i="62"/>
  <c r="AQ32" i="62"/>
  <c r="AP32" i="62"/>
  <c r="AO32" i="62"/>
  <c r="AM32" i="62"/>
  <c r="M32" i="62"/>
  <c r="G32" i="62"/>
  <c r="F32" i="62"/>
  <c r="E32" i="62"/>
  <c r="AV31" i="62"/>
  <c r="AT31" i="62"/>
  <c r="AQ31" i="62"/>
  <c r="AP31" i="62"/>
  <c r="AO31" i="62"/>
  <c r="AM31" i="62"/>
  <c r="R31" i="62"/>
  <c r="H31" i="62"/>
  <c r="O31" i="62" s="1"/>
  <c r="AW30" i="62"/>
  <c r="AV30" i="62"/>
  <c r="AT30" i="62"/>
  <c r="AQ30" i="62"/>
  <c r="AP30" i="62"/>
  <c r="AO30" i="62"/>
  <c r="AM30" i="62"/>
  <c r="AB30" i="62"/>
  <c r="H30" i="62"/>
  <c r="O30" i="62" s="1"/>
  <c r="AV29" i="62"/>
  <c r="AT29" i="62"/>
  <c r="AQ29" i="62"/>
  <c r="AP29" i="62"/>
  <c r="AO29" i="62"/>
  <c r="AM29" i="62"/>
  <c r="R29" i="62"/>
  <c r="AW29" i="62" s="1"/>
  <c r="H29" i="62"/>
  <c r="AV28" i="62"/>
  <c r="AT28" i="62"/>
  <c r="AQ28" i="62"/>
  <c r="AP28" i="62"/>
  <c r="AO28" i="62"/>
  <c r="AM28" i="62"/>
  <c r="R28" i="62"/>
  <c r="H28" i="62"/>
  <c r="AT27" i="62"/>
  <c r="AQ27" i="62"/>
  <c r="AP27" i="62"/>
  <c r="AO27" i="62"/>
  <c r="AM27" i="62"/>
  <c r="Z27" i="62"/>
  <c r="M27" i="62"/>
  <c r="G27" i="62"/>
  <c r="AV27" i="62" s="1"/>
  <c r="F27" i="62"/>
  <c r="E27" i="62"/>
  <c r="AW26" i="62"/>
  <c r="AV26" i="62"/>
  <c r="AT26" i="62"/>
  <c r="AQ26" i="62"/>
  <c r="AP26" i="62"/>
  <c r="AO26" i="62"/>
  <c r="AM26" i="62"/>
  <c r="AB26" i="62"/>
  <c r="H26" i="62"/>
  <c r="O26" i="62" s="1"/>
  <c r="AV25" i="62"/>
  <c r="AT25" i="62"/>
  <c r="AQ25" i="62"/>
  <c r="AP25" i="62"/>
  <c r="AO25" i="62"/>
  <c r="AM25" i="62"/>
  <c r="R25" i="62"/>
  <c r="H25" i="62"/>
  <c r="AV24" i="62"/>
  <c r="AT24" i="62"/>
  <c r="AQ24" i="62"/>
  <c r="AP24" i="62"/>
  <c r="AO24" i="62"/>
  <c r="AM24" i="62"/>
  <c r="R24" i="62"/>
  <c r="AW24" i="62" s="1"/>
  <c r="H24" i="62"/>
  <c r="X24" i="62" s="1"/>
  <c r="AB24" i="62" s="1"/>
  <c r="AT23" i="62"/>
  <c r="AQ23" i="62"/>
  <c r="AP23" i="62"/>
  <c r="AO23" i="62"/>
  <c r="AM23" i="62"/>
  <c r="M23" i="62"/>
  <c r="G23" i="62"/>
  <c r="G20" i="62" s="1"/>
  <c r="F23" i="62"/>
  <c r="E23" i="62"/>
  <c r="AW22" i="62"/>
  <c r="AV22" i="62"/>
  <c r="AT22" i="62"/>
  <c r="AQ22" i="62"/>
  <c r="AP22" i="62"/>
  <c r="AO22" i="62"/>
  <c r="AM22" i="62"/>
  <c r="AB22" i="62"/>
  <c r="H22" i="62"/>
  <c r="O22" i="62" s="1"/>
  <c r="AW21" i="62"/>
  <c r="AV21" i="62"/>
  <c r="AT21" i="62"/>
  <c r="AQ21" i="62"/>
  <c r="AP21" i="62"/>
  <c r="AO21" i="62"/>
  <c r="AM21" i="62"/>
  <c r="H21" i="62"/>
  <c r="O21" i="62" s="1"/>
  <c r="AT20" i="62"/>
  <c r="AQ20" i="62"/>
  <c r="AP20" i="62"/>
  <c r="AO20" i="62"/>
  <c r="AM20" i="62"/>
  <c r="AQ19" i="62"/>
  <c r="AP19" i="62"/>
  <c r="AO19" i="62"/>
  <c r="AN19" i="62"/>
  <c r="AM19" i="62"/>
  <c r="AV18" i="62"/>
  <c r="AT18" i="62"/>
  <c r="AQ18" i="62"/>
  <c r="AP18" i="62"/>
  <c r="AO18" i="62"/>
  <c r="AM18" i="62"/>
  <c r="H18" i="62"/>
  <c r="O18" i="62" s="1"/>
  <c r="AW17" i="62"/>
  <c r="AV17" i="62"/>
  <c r="AT17" i="62"/>
  <c r="AQ17" i="62"/>
  <c r="AP17" i="62"/>
  <c r="AO17" i="62"/>
  <c r="AM17" i="62"/>
  <c r="AB17" i="62"/>
  <c r="L17" i="62"/>
  <c r="H17" i="62"/>
  <c r="O17" i="62" s="1"/>
  <c r="AW16" i="62"/>
  <c r="AV16" i="62"/>
  <c r="AT16" i="62"/>
  <c r="AQ16" i="62"/>
  <c r="AP16" i="62"/>
  <c r="AO16" i="62"/>
  <c r="AM16" i="62"/>
  <c r="AB16" i="62"/>
  <c r="L16" i="62"/>
  <c r="H16" i="62"/>
  <c r="O16" i="62" s="1"/>
  <c r="AW15" i="62"/>
  <c r="AV15" i="62"/>
  <c r="AT15" i="62"/>
  <c r="AQ15" i="62"/>
  <c r="AP15" i="62"/>
  <c r="AO15" i="62"/>
  <c r="AM15" i="62"/>
  <c r="AB15" i="62"/>
  <c r="L15" i="62"/>
  <c r="H15" i="62"/>
  <c r="O15" i="62" s="1"/>
  <c r="AW14" i="62"/>
  <c r="AV14" i="62"/>
  <c r="AT14" i="62"/>
  <c r="AQ14" i="62"/>
  <c r="AP14" i="62"/>
  <c r="AO14" i="62"/>
  <c r="AM14" i="62"/>
  <c r="AB14" i="62"/>
  <c r="L14" i="62"/>
  <c r="H14" i="62"/>
  <c r="O14" i="62" s="1"/>
  <c r="AW13" i="62"/>
  <c r="AV13" i="62"/>
  <c r="AT13" i="62"/>
  <c r="AQ13" i="62"/>
  <c r="AP13" i="62"/>
  <c r="AO13" i="62"/>
  <c r="AM13" i="62"/>
  <c r="AB13" i="62"/>
  <c r="L13" i="62"/>
  <c r="H13" i="62"/>
  <c r="O13" i="62" s="1"/>
  <c r="AW12" i="62"/>
  <c r="AV12" i="62"/>
  <c r="AT12" i="62"/>
  <c r="AQ12" i="62"/>
  <c r="AP12" i="62"/>
  <c r="AO12" i="62"/>
  <c r="AM12" i="62"/>
  <c r="AB12" i="62"/>
  <c r="L12" i="62"/>
  <c r="H12" i="62"/>
  <c r="O12" i="62" s="1"/>
  <c r="AW11" i="62"/>
  <c r="AV11" i="62"/>
  <c r="AT11" i="62"/>
  <c r="AQ11" i="62"/>
  <c r="AP11" i="62"/>
  <c r="AO11" i="62"/>
  <c r="AM11" i="62"/>
  <c r="AB11" i="62"/>
  <c r="L11" i="62"/>
  <c r="H11" i="62"/>
  <c r="O11" i="62" s="1"/>
  <c r="AW10" i="62"/>
  <c r="AV10" i="62"/>
  <c r="AT10" i="62"/>
  <c r="AQ10" i="62"/>
  <c r="AP10" i="62"/>
  <c r="AO10" i="62"/>
  <c r="AM10" i="62"/>
  <c r="AB10" i="62"/>
  <c r="L10" i="62"/>
  <c r="H10" i="62"/>
  <c r="O10" i="62" s="1"/>
  <c r="AW9" i="62"/>
  <c r="AV9" i="62"/>
  <c r="AT9" i="62"/>
  <c r="AQ9" i="62"/>
  <c r="AP9" i="62"/>
  <c r="AO9" i="62"/>
  <c r="AM9" i="62"/>
  <c r="AB9" i="62"/>
  <c r="L9" i="62"/>
  <c r="H9" i="62"/>
  <c r="O9" i="62" s="1"/>
  <c r="AW8" i="62"/>
  <c r="AV8" i="62"/>
  <c r="AT8" i="62"/>
  <c r="AQ8" i="62"/>
  <c r="AP8" i="62"/>
  <c r="AO8" i="62"/>
  <c r="AM8" i="62"/>
  <c r="E8" i="62"/>
  <c r="H8" i="62" s="1"/>
  <c r="AT7" i="62"/>
  <c r="AQ7" i="62"/>
  <c r="AP7" i="62"/>
  <c r="AO7" i="62"/>
  <c r="AM7" i="62"/>
  <c r="X7" i="62"/>
  <c r="Y56" i="62" s="1"/>
  <c r="R7" i="62"/>
  <c r="S30" i="62" s="1"/>
  <c r="M7" i="62"/>
  <c r="N70" i="62" s="1"/>
  <c r="G7" i="62"/>
  <c r="K60" i="62" s="1"/>
  <c r="F7" i="62"/>
  <c r="J50" i="62" s="1"/>
  <c r="AV81" i="62" l="1"/>
  <c r="K32" i="62"/>
  <c r="AS48" i="62"/>
  <c r="AB73" i="62"/>
  <c r="H27" i="62"/>
  <c r="H59" i="62"/>
  <c r="O59" i="62" s="1"/>
  <c r="H66" i="62"/>
  <c r="E7" i="62"/>
  <c r="I47" i="62" s="1"/>
  <c r="AV108" i="62"/>
  <c r="Z113" i="62"/>
  <c r="E38" i="62"/>
  <c r="I38" i="62" s="1"/>
  <c r="J37" i="62"/>
  <c r="BE71" i="60"/>
  <c r="AR18" i="62"/>
  <c r="AS18" i="62" s="1"/>
  <c r="AR20" i="62"/>
  <c r="AS20" i="62" s="1"/>
  <c r="J23" i="62"/>
  <c r="AR44" i="62"/>
  <c r="J60" i="62"/>
  <c r="AS72" i="62"/>
  <c r="N27" i="62"/>
  <c r="AV47" i="62"/>
  <c r="BG62" i="62"/>
  <c r="AV42" i="62"/>
  <c r="H47" i="62"/>
  <c r="O47" i="62" s="1"/>
  <c r="AR55" i="62"/>
  <c r="R55" i="62" s="1"/>
  <c r="AW55" i="62" s="1"/>
  <c r="AS56" i="62"/>
  <c r="AS70" i="62"/>
  <c r="X70" i="62" s="1"/>
  <c r="BE97" i="60"/>
  <c r="AR46" i="62"/>
  <c r="R46" i="62" s="1"/>
  <c r="AR52" i="62"/>
  <c r="R52" i="62" s="1"/>
  <c r="AW52" i="62" s="1"/>
  <c r="F19" i="62"/>
  <c r="K21" i="62"/>
  <c r="AR33" i="62"/>
  <c r="AS33" i="62" s="1"/>
  <c r="AS39" i="62"/>
  <c r="AV66" i="62"/>
  <c r="X69" i="62"/>
  <c r="AB69" i="62" s="1"/>
  <c r="AS74" i="62"/>
  <c r="AR19" i="62"/>
  <c r="AS19" i="62" s="1"/>
  <c r="AR29" i="62"/>
  <c r="AS29" i="62" s="1"/>
  <c r="J32" i="62"/>
  <c r="AR41" i="62"/>
  <c r="R41" i="62" s="1"/>
  <c r="AS55" i="62"/>
  <c r="X55" i="62" s="1"/>
  <c r="Y55" i="62" s="1"/>
  <c r="AR54" i="62"/>
  <c r="R54" i="62" s="1"/>
  <c r="S54" i="62" s="1"/>
  <c r="J24" i="62"/>
  <c r="AR51" i="62"/>
  <c r="R51" i="62" s="1"/>
  <c r="AW51" i="62" s="1"/>
  <c r="S28" i="62"/>
  <c r="J64" i="62"/>
  <c r="AR65" i="62"/>
  <c r="R65" i="62" s="1"/>
  <c r="S65" i="62" s="1"/>
  <c r="AR71" i="62"/>
  <c r="R71" i="62" s="1"/>
  <c r="AW71" i="62" s="1"/>
  <c r="BG79" i="62"/>
  <c r="AB114" i="62"/>
  <c r="K18" i="62"/>
  <c r="AR24" i="62"/>
  <c r="AS24" i="62" s="1"/>
  <c r="J27" i="62"/>
  <c r="AR32" i="62"/>
  <c r="AS32" i="62" s="1"/>
  <c r="BE87" i="60"/>
  <c r="AB88" i="62"/>
  <c r="AS66" i="62"/>
  <c r="AM39" i="62"/>
  <c r="AR39" i="62" s="1"/>
  <c r="R39" i="62" s="1"/>
  <c r="AW39" i="62" s="1"/>
  <c r="X66" i="62"/>
  <c r="BC66" i="60" s="1"/>
  <c r="BC79" i="60"/>
  <c r="BE79" i="60" s="1"/>
  <c r="AB79" i="62"/>
  <c r="AB117" i="62"/>
  <c r="S34" i="62"/>
  <c r="N40" i="62"/>
  <c r="X60" i="62"/>
  <c r="Y60" i="62" s="1"/>
  <c r="BE66" i="62"/>
  <c r="AR30" i="62"/>
  <c r="AS30" i="62" s="1"/>
  <c r="AR34" i="62"/>
  <c r="AS34" i="62" s="1"/>
  <c r="X39" i="62"/>
  <c r="BC39" i="60" s="1"/>
  <c r="AV68" i="62"/>
  <c r="BE70" i="62"/>
  <c r="S15" i="62"/>
  <c r="AR45" i="62"/>
  <c r="AR47" i="62"/>
  <c r="K56" i="62"/>
  <c r="AS58" i="62"/>
  <c r="X58" i="62" s="1"/>
  <c r="Y58" i="62" s="1"/>
  <c r="AS60" i="62"/>
  <c r="S73" i="62"/>
  <c r="AS76" i="62"/>
  <c r="AB108" i="62"/>
  <c r="AB113" i="62"/>
  <c r="K116" i="62"/>
  <c r="N29" i="62"/>
  <c r="G38" i="62"/>
  <c r="AS45" i="62"/>
  <c r="AR112" i="62"/>
  <c r="BE60" i="60"/>
  <c r="BE90" i="60"/>
  <c r="BE92" i="60"/>
  <c r="BE109" i="60"/>
  <c r="BC47" i="60"/>
  <c r="BE47" i="60" s="1"/>
  <c r="BE69" i="60"/>
  <c r="M20" i="62"/>
  <c r="N20" i="62" s="1"/>
  <c r="O37" i="62"/>
  <c r="AR99" i="62"/>
  <c r="K26" i="62"/>
  <c r="J36" i="62"/>
  <c r="AR43" i="62"/>
  <c r="R43" i="62" s="1"/>
  <c r="AW43" i="62" s="1"/>
  <c r="AR81" i="62"/>
  <c r="AS85" i="62"/>
  <c r="X85" i="62" s="1"/>
  <c r="BE95" i="60"/>
  <c r="BE111" i="60"/>
  <c r="S22" i="62"/>
  <c r="I32" i="62"/>
  <c r="AR23" i="62"/>
  <c r="AS23" i="62" s="1"/>
  <c r="S11" i="62"/>
  <c r="G19" i="62"/>
  <c r="K19" i="62" s="1"/>
  <c r="AR22" i="62"/>
  <c r="AS22" i="62" s="1"/>
  <c r="S26" i="62"/>
  <c r="AV32" i="62"/>
  <c r="O36" i="62"/>
  <c r="S37" i="62"/>
  <c r="AS43" i="62"/>
  <c r="X43" i="62" s="1"/>
  <c r="AB43" i="62" s="1"/>
  <c r="BE58" i="62"/>
  <c r="BE60" i="62"/>
  <c r="AM66" i="62"/>
  <c r="AR66" i="62" s="1"/>
  <c r="R66" i="62" s="1"/>
  <c r="O96" i="62"/>
  <c r="BE49" i="60"/>
  <c r="BE74" i="60"/>
  <c r="J18" i="62"/>
  <c r="AR21" i="62"/>
  <c r="AS21" i="62" s="1"/>
  <c r="K25" i="62"/>
  <c r="AR26" i="62"/>
  <c r="AS26" i="62" s="1"/>
  <c r="J31" i="62"/>
  <c r="AR36" i="62"/>
  <c r="AS36" i="62" s="1"/>
  <c r="AR37" i="62"/>
  <c r="AS37" i="62" s="1"/>
  <c r="BE39" i="62"/>
  <c r="K41" i="62"/>
  <c r="AR42" i="62"/>
  <c r="N47" i="62"/>
  <c r="AR50" i="62"/>
  <c r="AS62" i="62"/>
  <c r="BE67" i="62"/>
  <c r="H81" i="62"/>
  <c r="AB94" i="62"/>
  <c r="AB101" i="62"/>
  <c r="BE102" i="60"/>
  <c r="BE118" i="60"/>
  <c r="S33" i="62"/>
  <c r="S35" i="62"/>
  <c r="AS50" i="62"/>
  <c r="AR25" i="62"/>
  <c r="AS25" i="62" s="1"/>
  <c r="AR31" i="62"/>
  <c r="AS31" i="62" s="1"/>
  <c r="AS41" i="62"/>
  <c r="X41" i="62" s="1"/>
  <c r="S47" i="62"/>
  <c r="AR48" i="62"/>
  <c r="AS49" i="62"/>
  <c r="AV59" i="62"/>
  <c r="O60" i="62"/>
  <c r="AS61" i="62"/>
  <c r="X61" i="62" s="1"/>
  <c r="Y61" i="62" s="1"/>
  <c r="AS63" i="62"/>
  <c r="X63" i="62" s="1"/>
  <c r="Y63" i="62" s="1"/>
  <c r="BE74" i="62"/>
  <c r="AS78" i="62"/>
  <c r="BE85" i="62"/>
  <c r="BC88" i="60"/>
  <c r="Y50" i="62"/>
  <c r="Y7" i="62"/>
  <c r="Y11" i="62"/>
  <c r="Y16" i="62"/>
  <c r="X18" i="62"/>
  <c r="BC18" i="60" s="1"/>
  <c r="Y41" i="62"/>
  <c r="Y48" i="62"/>
  <c r="Y15" i="62"/>
  <c r="Y12" i="62"/>
  <c r="Y49" i="62"/>
  <c r="Y70" i="62"/>
  <c r="BE50" i="60"/>
  <c r="BE55" i="60"/>
  <c r="BE61" i="60"/>
  <c r="BE75" i="60"/>
  <c r="BE93" i="60"/>
  <c r="BE117" i="60"/>
  <c r="BE89" i="60"/>
  <c r="BE65" i="60"/>
  <c r="BE53" i="60"/>
  <c r="BE57" i="60"/>
  <c r="BE70" i="60"/>
  <c r="BE77" i="60"/>
  <c r="BE94" i="60"/>
  <c r="BE103" i="60"/>
  <c r="BE107" i="60"/>
  <c r="BE114" i="60"/>
  <c r="BE8" i="60"/>
  <c r="BC86" i="60"/>
  <c r="BC7" i="60"/>
  <c r="BE96" i="60"/>
  <c r="BE40" i="60"/>
  <c r="BE115" i="60"/>
  <c r="BE52" i="60"/>
  <c r="BE56" i="60"/>
  <c r="BE101" i="60"/>
  <c r="BE105" i="60"/>
  <c r="BE110" i="60"/>
  <c r="BE51" i="60"/>
  <c r="BE48" i="60"/>
  <c r="BE76" i="60"/>
  <c r="BE73" i="60"/>
  <c r="BE45" i="60"/>
  <c r="BE88" i="60"/>
  <c r="BE64" i="60"/>
  <c r="O24" i="62"/>
  <c r="R23" i="62"/>
  <c r="S23" i="62" s="1"/>
  <c r="S36" i="62"/>
  <c r="E20" i="62"/>
  <c r="H23" i="62"/>
  <c r="O23" i="62" s="1"/>
  <c r="Y40" i="62"/>
  <c r="AB40" i="62"/>
  <c r="O27" i="62"/>
  <c r="S41" i="62"/>
  <c r="AW41" i="62"/>
  <c r="H7" i="62"/>
  <c r="L31" i="62" s="1"/>
  <c r="O8" i="62"/>
  <c r="S51" i="62"/>
  <c r="S52" i="62"/>
  <c r="AB55" i="62"/>
  <c r="G98" i="62"/>
  <c r="K20" i="62"/>
  <c r="S46" i="62"/>
  <c r="AW46" i="62"/>
  <c r="R42" i="62"/>
  <c r="I115" i="62"/>
  <c r="M115" i="62" s="1"/>
  <c r="N115" i="62" s="1"/>
  <c r="I109" i="62"/>
  <c r="I103" i="62"/>
  <c r="I102" i="62"/>
  <c r="I106" i="62"/>
  <c r="I104" i="62"/>
  <c r="I94" i="62"/>
  <c r="I87" i="62"/>
  <c r="I83" i="62"/>
  <c r="I88" i="62"/>
  <c r="I84" i="62"/>
  <c r="I108" i="62"/>
  <c r="I96" i="62"/>
  <c r="I78" i="62"/>
  <c r="I76" i="62"/>
  <c r="I74" i="62"/>
  <c r="I71" i="62"/>
  <c r="I67" i="62"/>
  <c r="I64" i="62"/>
  <c r="I61" i="62"/>
  <c r="I58" i="62"/>
  <c r="I75" i="62"/>
  <c r="I77" i="62"/>
  <c r="I62" i="62"/>
  <c r="I55" i="62"/>
  <c r="I34" i="62"/>
  <c r="I33" i="62"/>
  <c r="I31" i="62"/>
  <c r="I81" i="62"/>
  <c r="I79" i="62"/>
  <c r="Z82" i="62"/>
  <c r="Z83" i="62"/>
  <c r="Z84" i="62"/>
  <c r="Z85" i="62"/>
  <c r="Z67" i="62"/>
  <c r="Z63" i="62"/>
  <c r="AA63" i="62" s="1"/>
  <c r="Z70" i="62"/>
  <c r="Z69" i="62"/>
  <c r="Z60" i="62"/>
  <c r="AB60" i="62" s="1"/>
  <c r="Z72" i="62"/>
  <c r="Z39" i="62"/>
  <c r="BD39" i="60" s="1"/>
  <c r="BE39" i="60" s="1"/>
  <c r="Z66" i="62"/>
  <c r="BD66" i="60" s="1"/>
  <c r="AV23" i="62"/>
  <c r="Z61" i="62"/>
  <c r="Y87" i="62"/>
  <c r="AB87" i="62"/>
  <c r="S10" i="62"/>
  <c r="R20" i="62"/>
  <c r="S21" i="62"/>
  <c r="N22" i="62"/>
  <c r="Y22" i="62"/>
  <c r="K24" i="62"/>
  <c r="Y24" i="62"/>
  <c r="S25" i="62"/>
  <c r="AW25" i="62"/>
  <c r="Y26" i="62"/>
  <c r="K27" i="62"/>
  <c r="N28" i="62"/>
  <c r="X28" i="62"/>
  <c r="AR28" i="62"/>
  <c r="AS28" i="62" s="1"/>
  <c r="I29" i="62"/>
  <c r="O29" i="62"/>
  <c r="J30" i="62"/>
  <c r="K31" i="62"/>
  <c r="S31" i="62"/>
  <c r="R32" i="62"/>
  <c r="K33" i="62"/>
  <c r="K34" i="62"/>
  <c r="K35" i="62"/>
  <c r="N36" i="62"/>
  <c r="Y36" i="62"/>
  <c r="N37" i="62"/>
  <c r="Y37" i="62"/>
  <c r="K38" i="62"/>
  <c r="AN98" i="62"/>
  <c r="AT98" i="62" s="1"/>
  <c r="AT38" i="62"/>
  <c r="AR38" i="62"/>
  <c r="J39" i="62"/>
  <c r="Z41" i="62"/>
  <c r="AB41" i="62" s="1"/>
  <c r="J42" i="62"/>
  <c r="J43" i="62"/>
  <c r="O44" i="62"/>
  <c r="H42" i="62"/>
  <c r="S44" i="62"/>
  <c r="AW44" i="62"/>
  <c r="S45" i="62"/>
  <c r="K47" i="62"/>
  <c r="J48" i="62"/>
  <c r="BE48" i="62"/>
  <c r="J49" i="62"/>
  <c r="BE49" i="62"/>
  <c r="BE50" i="62"/>
  <c r="I51" i="62"/>
  <c r="AS52" i="62"/>
  <c r="N53" i="62"/>
  <c r="AR53" i="62"/>
  <c r="R53" i="62" s="1"/>
  <c r="AS53" i="62"/>
  <c r="X53" i="62" s="1"/>
  <c r="AS54" i="62"/>
  <c r="X54" i="62" s="1"/>
  <c r="N55" i="62"/>
  <c r="AR56" i="62"/>
  <c r="R56" i="62" s="1"/>
  <c r="I57" i="62"/>
  <c r="AR57" i="62"/>
  <c r="R57" i="62" s="1"/>
  <c r="Z58" i="62"/>
  <c r="I59" i="62"/>
  <c r="AR60" i="62"/>
  <c r="R60" i="62" s="1"/>
  <c r="AR61" i="62"/>
  <c r="R61" i="62" s="1"/>
  <c r="AR62" i="62"/>
  <c r="R62" i="62" s="1"/>
  <c r="AR76" i="62"/>
  <c r="Y79" i="62"/>
  <c r="AR85" i="62"/>
  <c r="R85" i="62" s="1"/>
  <c r="J19" i="62"/>
  <c r="K23" i="62"/>
  <c r="X29" i="62"/>
  <c r="X33" i="62"/>
  <c r="O33" i="62"/>
  <c r="X34" i="62"/>
  <c r="O34" i="62"/>
  <c r="AW91" i="62"/>
  <c r="S91" i="62"/>
  <c r="J118" i="62"/>
  <c r="J117" i="62"/>
  <c r="J107" i="62"/>
  <c r="J106" i="62"/>
  <c r="J105" i="62"/>
  <c r="J104" i="62"/>
  <c r="J110" i="62"/>
  <c r="J109" i="62"/>
  <c r="J103" i="62"/>
  <c r="J102" i="62"/>
  <c r="J111" i="62"/>
  <c r="J96" i="62"/>
  <c r="J88" i="62"/>
  <c r="J114" i="62"/>
  <c r="J97" i="62"/>
  <c r="J95" i="62"/>
  <c r="J94" i="62"/>
  <c r="J92" i="62"/>
  <c r="J90" i="62"/>
  <c r="J84" i="62"/>
  <c r="J80" i="62"/>
  <c r="J85" i="62"/>
  <c r="J115" i="62"/>
  <c r="J93" i="62"/>
  <c r="J91" i="62"/>
  <c r="J89" i="62"/>
  <c r="J86" i="62"/>
  <c r="J82" i="62"/>
  <c r="J79" i="62"/>
  <c r="J78" i="62"/>
  <c r="J77" i="62"/>
  <c r="J76" i="62"/>
  <c r="J75" i="62"/>
  <c r="J74" i="62"/>
  <c r="J70" i="62"/>
  <c r="J71" i="62"/>
  <c r="J67" i="62"/>
  <c r="J73" i="62"/>
  <c r="J65" i="62"/>
  <c r="J61" i="62"/>
  <c r="J58" i="62"/>
  <c r="J87" i="62"/>
  <c r="J83" i="62"/>
  <c r="J69" i="62"/>
  <c r="J62" i="62"/>
  <c r="J55" i="62"/>
  <c r="J53" i="62"/>
  <c r="J52" i="62"/>
  <c r="J46" i="62"/>
  <c r="J44" i="62"/>
  <c r="J41" i="62"/>
  <c r="J35" i="62"/>
  <c r="J34" i="62"/>
  <c r="J33" i="62"/>
  <c r="J57" i="62"/>
  <c r="J54" i="62"/>
  <c r="J51" i="62"/>
  <c r="J45" i="62"/>
  <c r="J26" i="62"/>
  <c r="J25" i="62"/>
  <c r="J63" i="62"/>
  <c r="S115" i="62"/>
  <c r="S114" i="62"/>
  <c r="S113" i="62"/>
  <c r="S109" i="62"/>
  <c r="S108" i="62"/>
  <c r="S118" i="62"/>
  <c r="S117" i="62"/>
  <c r="S110" i="62"/>
  <c r="S106" i="62"/>
  <c r="S104" i="62"/>
  <c r="S103" i="62"/>
  <c r="S102" i="62"/>
  <c r="S111" i="62"/>
  <c r="S105" i="62"/>
  <c r="S100" i="62"/>
  <c r="S96" i="62"/>
  <c r="S95" i="62"/>
  <c r="S94" i="62"/>
  <c r="S107" i="62"/>
  <c r="S78" i="62"/>
  <c r="S76" i="62"/>
  <c r="S74" i="62"/>
  <c r="S88" i="62"/>
  <c r="S77" i="62"/>
  <c r="S75" i="62"/>
  <c r="S50" i="62"/>
  <c r="S49" i="62"/>
  <c r="S48" i="62"/>
  <c r="I22" i="62"/>
  <c r="K115" i="62"/>
  <c r="K114" i="62"/>
  <c r="K111" i="62"/>
  <c r="K110" i="62"/>
  <c r="K109" i="62"/>
  <c r="K118" i="62"/>
  <c r="K117" i="62"/>
  <c r="K106" i="62"/>
  <c r="K104" i="62"/>
  <c r="K102" i="62"/>
  <c r="K93" i="62"/>
  <c r="K91" i="62"/>
  <c r="K89" i="62"/>
  <c r="K107" i="62"/>
  <c r="K94" i="62"/>
  <c r="K92" i="62"/>
  <c r="K90" i="62"/>
  <c r="K101" i="62"/>
  <c r="K88" i="62"/>
  <c r="K85" i="62"/>
  <c r="K96" i="62"/>
  <c r="K95" i="62"/>
  <c r="K86" i="62"/>
  <c r="K87" i="62"/>
  <c r="K83" i="62"/>
  <c r="K71" i="62"/>
  <c r="K67" i="62"/>
  <c r="K105" i="62"/>
  <c r="K84" i="62"/>
  <c r="K80" i="62"/>
  <c r="K78" i="62"/>
  <c r="K76" i="62"/>
  <c r="K74" i="62"/>
  <c r="K73" i="62"/>
  <c r="K97" i="62"/>
  <c r="K70" i="62"/>
  <c r="K69" i="62"/>
  <c r="K62" i="62"/>
  <c r="K55" i="62"/>
  <c r="K53" i="62"/>
  <c r="K79" i="62"/>
  <c r="K77" i="62"/>
  <c r="K75" i="62"/>
  <c r="K63" i="62"/>
  <c r="K57" i="62"/>
  <c r="K68" i="62"/>
  <c r="K61" i="62"/>
  <c r="K54" i="62"/>
  <c r="K51" i="62"/>
  <c r="K45" i="62"/>
  <c r="K50" i="62"/>
  <c r="K49" i="62"/>
  <c r="K48" i="62"/>
  <c r="K43" i="62"/>
  <c r="K40" i="62"/>
  <c r="K39" i="62"/>
  <c r="K37" i="62"/>
  <c r="K36" i="62"/>
  <c r="K30" i="62"/>
  <c r="K29" i="62"/>
  <c r="K28" i="62"/>
  <c r="K103" i="62"/>
  <c r="K82" i="62"/>
  <c r="K64" i="62"/>
  <c r="N7" i="62"/>
  <c r="S7" i="62"/>
  <c r="AT116" i="62"/>
  <c r="AT106" i="62"/>
  <c r="AT104" i="62"/>
  <c r="AT118" i="62"/>
  <c r="AT117" i="62"/>
  <c r="AT112" i="62"/>
  <c r="AT107" i="62"/>
  <c r="AT105" i="62"/>
  <c r="AT103" i="62"/>
  <c r="AT101" i="62"/>
  <c r="AT102" i="62"/>
  <c r="AV7" i="62"/>
  <c r="S8" i="62"/>
  <c r="AB8" i="62"/>
  <c r="S9" i="62"/>
  <c r="Y10" i="62"/>
  <c r="S13" i="62"/>
  <c r="Y14" i="62"/>
  <c r="S17" i="62"/>
  <c r="R18" i="62"/>
  <c r="R19" i="62" s="1"/>
  <c r="Z18" i="62"/>
  <c r="BD18" i="60" s="1"/>
  <c r="BD19" i="60" s="1"/>
  <c r="AT19" i="62"/>
  <c r="F20" i="62"/>
  <c r="N21" i="62"/>
  <c r="X21" i="62"/>
  <c r="J22" i="62"/>
  <c r="X25" i="62"/>
  <c r="O25" i="62"/>
  <c r="N25" i="62"/>
  <c r="N26" i="62"/>
  <c r="AR27" i="62"/>
  <c r="AS27" i="62" s="1"/>
  <c r="O28" i="62"/>
  <c r="J29" i="62"/>
  <c r="Y30" i="62"/>
  <c r="X31" i="62"/>
  <c r="AW31" i="62"/>
  <c r="H32" i="62"/>
  <c r="N32" i="62"/>
  <c r="AB36" i="62"/>
  <c r="AB37" i="62"/>
  <c r="F38" i="62"/>
  <c r="J38" i="62" s="1"/>
  <c r="N39" i="62"/>
  <c r="AR40" i="62"/>
  <c r="R40" i="62" s="1"/>
  <c r="BG40" i="62"/>
  <c r="M38" i="62"/>
  <c r="N38" i="62" s="1"/>
  <c r="N43" i="62"/>
  <c r="K44" i="62"/>
  <c r="K46" i="62"/>
  <c r="AS46" i="62"/>
  <c r="N48" i="62"/>
  <c r="N49" i="62"/>
  <c r="N50" i="62"/>
  <c r="K52" i="62"/>
  <c r="S55" i="62"/>
  <c r="K58" i="62"/>
  <c r="AR58" i="62"/>
  <c r="R58" i="62" s="1"/>
  <c r="AR59" i="62"/>
  <c r="N62" i="62"/>
  <c r="AR63" i="62"/>
  <c r="R63" i="62" s="1"/>
  <c r="AB64" i="62"/>
  <c r="Y64" i="62"/>
  <c r="K65" i="62"/>
  <c r="AR67" i="62"/>
  <c r="R67" i="62" s="1"/>
  <c r="AR69" i="62"/>
  <c r="R69" i="62" s="1"/>
  <c r="AR72" i="62"/>
  <c r="R72" i="62" s="1"/>
  <c r="BE82" i="62"/>
  <c r="AS82" i="62"/>
  <c r="S97" i="62"/>
  <c r="I42" i="62"/>
  <c r="S43" i="62"/>
  <c r="Z44" i="62"/>
  <c r="BG46" i="62"/>
  <c r="X46" i="62"/>
  <c r="BC46" i="60" s="1"/>
  <c r="J47" i="62"/>
  <c r="Z62" i="62"/>
  <c r="BD62" i="60" s="1"/>
  <c r="BE62" i="60" s="1"/>
  <c r="N111" i="62"/>
  <c r="N110" i="62"/>
  <c r="N107" i="62"/>
  <c r="N105" i="62"/>
  <c r="N103" i="62"/>
  <c r="N102" i="62"/>
  <c r="N109" i="62"/>
  <c r="N106" i="62"/>
  <c r="N94" i="62"/>
  <c r="N92" i="62"/>
  <c r="N90" i="62"/>
  <c r="N100" i="62"/>
  <c r="N93" i="62"/>
  <c r="N91" i="62"/>
  <c r="N89" i="62"/>
  <c r="N108" i="62"/>
  <c r="N96" i="62"/>
  <c r="N95" i="62"/>
  <c r="N87" i="62"/>
  <c r="N83" i="62"/>
  <c r="N104" i="62"/>
  <c r="N84" i="62"/>
  <c r="N97" i="62"/>
  <c r="N85" i="62"/>
  <c r="N69" i="62"/>
  <c r="N88" i="62"/>
  <c r="N79" i="62"/>
  <c r="N77" i="62"/>
  <c r="N75" i="62"/>
  <c r="N72" i="62"/>
  <c r="N68" i="62"/>
  <c r="N64" i="62"/>
  <c r="N60" i="62"/>
  <c r="N56" i="62"/>
  <c r="N54" i="62"/>
  <c r="N82" i="62"/>
  <c r="N78" i="62"/>
  <c r="N76" i="62"/>
  <c r="N74" i="62"/>
  <c r="N71" i="62"/>
  <c r="N67" i="62"/>
  <c r="N65" i="62"/>
  <c r="N61" i="62"/>
  <c r="N58" i="62"/>
  <c r="N80" i="62"/>
  <c r="N57" i="62"/>
  <c r="N66" i="62"/>
  <c r="N63" i="62"/>
  <c r="N52" i="62"/>
  <c r="N46" i="62"/>
  <c r="N44" i="62"/>
  <c r="N41" i="62"/>
  <c r="N35" i="62"/>
  <c r="N34" i="62"/>
  <c r="N33" i="62"/>
  <c r="N31" i="62"/>
  <c r="N86" i="62"/>
  <c r="N73" i="62"/>
  <c r="Z7" i="62"/>
  <c r="AA64" i="62" s="1"/>
  <c r="S14" i="62"/>
  <c r="Y111" i="62"/>
  <c r="Y110" i="62"/>
  <c r="Y118" i="62"/>
  <c r="Y117" i="62"/>
  <c r="Y106" i="62"/>
  <c r="Y104" i="62"/>
  <c r="Y103" i="62"/>
  <c r="Y102" i="62"/>
  <c r="Y113" i="62"/>
  <c r="Y108" i="62"/>
  <c r="Y107" i="62"/>
  <c r="Y105" i="62"/>
  <c r="Y94" i="62"/>
  <c r="Y114" i="62"/>
  <c r="Y115" i="62"/>
  <c r="Y80" i="62"/>
  <c r="Y88" i="62"/>
  <c r="Y96" i="62"/>
  <c r="Y109" i="62"/>
  <c r="Y77" i="62"/>
  <c r="Y75" i="62"/>
  <c r="Y71" i="62"/>
  <c r="Y65" i="62"/>
  <c r="Y74" i="62"/>
  <c r="Y47" i="62"/>
  <c r="Y76" i="62"/>
  <c r="Y51" i="62"/>
  <c r="Y45" i="62"/>
  <c r="Y35" i="62"/>
  <c r="Y78" i="62"/>
  <c r="AB7" i="62"/>
  <c r="AC101" i="62" s="1"/>
  <c r="AW7" i="62"/>
  <c r="N8" i="62"/>
  <c r="Y8" i="62"/>
  <c r="Y9" i="62"/>
  <c r="S12" i="62"/>
  <c r="Y13" i="62"/>
  <c r="S16" i="62"/>
  <c r="Y17" i="62"/>
  <c r="I18" i="62"/>
  <c r="N18" i="62"/>
  <c r="E19" i="62"/>
  <c r="M19" i="62"/>
  <c r="AV19" i="62"/>
  <c r="X20" i="62"/>
  <c r="BC23" i="60" s="1"/>
  <c r="J21" i="62"/>
  <c r="K22" i="62"/>
  <c r="N23" i="62"/>
  <c r="N24" i="62"/>
  <c r="S24" i="62"/>
  <c r="I25" i="62"/>
  <c r="I26" i="62"/>
  <c r="J28" i="62"/>
  <c r="AW28" i="62"/>
  <c r="R27" i="62"/>
  <c r="S29" i="62"/>
  <c r="N30" i="62"/>
  <c r="AW33" i="62"/>
  <c r="AW34" i="62"/>
  <c r="AR35" i="62"/>
  <c r="AS35" i="62" s="1"/>
  <c r="I37" i="62"/>
  <c r="J40" i="62"/>
  <c r="AS40" i="62"/>
  <c r="K42" i="62"/>
  <c r="N42" i="62"/>
  <c r="L44" i="62"/>
  <c r="Y44" i="62"/>
  <c r="AS44" i="62"/>
  <c r="N45" i="62"/>
  <c r="Z46" i="62"/>
  <c r="BD46" i="60" s="1"/>
  <c r="N51" i="62"/>
  <c r="J56" i="62"/>
  <c r="J59" i="62"/>
  <c r="N59" i="62"/>
  <c r="X59" i="62"/>
  <c r="BC59" i="60" s="1"/>
  <c r="BE59" i="60" s="1"/>
  <c r="I63" i="62"/>
  <c r="O66" i="62"/>
  <c r="AR70" i="62"/>
  <c r="R70" i="62" s="1"/>
  <c r="AR73" i="62"/>
  <c r="AS80" i="62"/>
  <c r="BF80" i="62"/>
  <c r="AR64" i="62"/>
  <c r="R64" i="62" s="1"/>
  <c r="Y67" i="62"/>
  <c r="J68" i="62"/>
  <c r="O72" i="62"/>
  <c r="Y73" i="62"/>
  <c r="AR74" i="62"/>
  <c r="AR93" i="62"/>
  <c r="AS93" i="62" s="1"/>
  <c r="AR96" i="62"/>
  <c r="AS96" i="62" s="1"/>
  <c r="BE40" i="62"/>
  <c r="BE43" i="62"/>
  <c r="BE45" i="62"/>
  <c r="AS57" i="62"/>
  <c r="X57" i="62" s="1"/>
  <c r="AS64" i="62"/>
  <c r="J66" i="62"/>
  <c r="H68" i="62"/>
  <c r="J72" i="62"/>
  <c r="AR77" i="62"/>
  <c r="AR79" i="62"/>
  <c r="R79" i="62" s="1"/>
  <c r="O81" i="62"/>
  <c r="O85" i="62"/>
  <c r="AB90" i="62"/>
  <c r="Y90" i="62"/>
  <c r="Y62" i="62"/>
  <c r="AR68" i="62"/>
  <c r="O70" i="62"/>
  <c r="AB70" i="62"/>
  <c r="AR75" i="62"/>
  <c r="AR78" i="62"/>
  <c r="AR84" i="62"/>
  <c r="R84" i="62" s="1"/>
  <c r="K59" i="62"/>
  <c r="AB62" i="62"/>
  <c r="AS65" i="62"/>
  <c r="AS69" i="62"/>
  <c r="AS68" i="62" s="1"/>
  <c r="AS71" i="62"/>
  <c r="K81" i="62"/>
  <c r="AR83" i="62"/>
  <c r="R83" i="62" s="1"/>
  <c r="AS84" i="62"/>
  <c r="X84" i="62" s="1"/>
  <c r="Y85" i="62"/>
  <c r="O89" i="62"/>
  <c r="X89" i="62"/>
  <c r="AR94" i="62"/>
  <c r="AS94" i="62" s="1"/>
  <c r="AR97" i="62"/>
  <c r="AS97" i="62" s="1"/>
  <c r="AR107" i="62"/>
  <c r="AS107" i="62" s="1"/>
  <c r="K66" i="62"/>
  <c r="AV72" i="62"/>
  <c r="AS75" i="62"/>
  <c r="AS77" i="62"/>
  <c r="J81" i="62"/>
  <c r="N81" i="62"/>
  <c r="AS83" i="62"/>
  <c r="X83" i="62" s="1"/>
  <c r="AW89" i="62"/>
  <c r="S89" i="62"/>
  <c r="AR91" i="62"/>
  <c r="AS91" i="62" s="1"/>
  <c r="O93" i="62"/>
  <c r="X93" i="62"/>
  <c r="AR95" i="62"/>
  <c r="AS95" i="62" s="1"/>
  <c r="Y72" i="62"/>
  <c r="AS79" i="62"/>
  <c r="AM80" i="62"/>
  <c r="AR80" i="62" s="1"/>
  <c r="R80" i="62" s="1"/>
  <c r="AR82" i="62"/>
  <c r="R82" i="62" s="1"/>
  <c r="AR86" i="62"/>
  <c r="AS86" i="62" s="1"/>
  <c r="S87" i="62"/>
  <c r="AR87" i="62"/>
  <c r="AS87" i="62" s="1"/>
  <c r="AR89" i="62"/>
  <c r="AS89" i="62" s="1"/>
  <c r="O91" i="62"/>
  <c r="AB92" i="62"/>
  <c r="Y92" i="62"/>
  <c r="AW93" i="62"/>
  <c r="S93" i="62"/>
  <c r="AR104" i="62"/>
  <c r="AS104" i="62" s="1"/>
  <c r="K72" i="62"/>
  <c r="O82" i="62"/>
  <c r="BE84" i="62"/>
  <c r="O86" i="62"/>
  <c r="AW87" i="62"/>
  <c r="O90" i="62"/>
  <c r="Y91" i="62"/>
  <c r="BD91" i="60" s="1"/>
  <c r="BE91" i="60" s="1"/>
  <c r="AB91" i="62"/>
  <c r="O92" i="62"/>
  <c r="AR98" i="62"/>
  <c r="J101" i="62"/>
  <c r="AR88" i="62"/>
  <c r="AS88" i="62" s="1"/>
  <c r="S90" i="62"/>
  <c r="AW90" i="62"/>
  <c r="AR90" i="62"/>
  <c r="AS90" i="62" s="1"/>
  <c r="S92" i="62"/>
  <c r="AW92" i="62"/>
  <c r="AR92" i="62"/>
  <c r="AS92" i="62" s="1"/>
  <c r="J100" i="62"/>
  <c r="AR100" i="62"/>
  <c r="AS100" i="62" s="1"/>
  <c r="AR105" i="62"/>
  <c r="AS105" i="62" s="1"/>
  <c r="O106" i="62"/>
  <c r="R86" i="62"/>
  <c r="Z86" i="62"/>
  <c r="AA94" i="62"/>
  <c r="Y101" i="62"/>
  <c r="X100" i="62"/>
  <c r="AR102" i="62"/>
  <c r="AS102" i="62" s="1"/>
  <c r="AB116" i="62"/>
  <c r="AR118" i="62"/>
  <c r="AS118" i="62" s="1"/>
  <c r="O95" i="62"/>
  <c r="X95" i="62"/>
  <c r="O97" i="62"/>
  <c r="X97" i="62"/>
  <c r="N101" i="62"/>
  <c r="AR106" i="62"/>
  <c r="AS106" i="62" s="1"/>
  <c r="AR111" i="62"/>
  <c r="AS111" i="62" s="1"/>
  <c r="K113" i="62"/>
  <c r="AR116" i="62"/>
  <c r="AS116" i="62" s="1"/>
  <c r="AT119" i="62"/>
  <c r="AR109" i="62"/>
  <c r="AS109" i="62" s="1"/>
  <c r="O111" i="62"/>
  <c r="H108" i="62"/>
  <c r="AR117" i="62"/>
  <c r="AS117" i="62" s="1"/>
  <c r="BE100" i="62"/>
  <c r="AT100" i="62"/>
  <c r="AV101" i="62"/>
  <c r="G100" i="62"/>
  <c r="S101" i="62"/>
  <c r="AR101" i="62"/>
  <c r="AS101" i="62" s="1"/>
  <c r="AR103" i="62"/>
  <c r="AS103" i="62" s="1"/>
  <c r="O104" i="62"/>
  <c r="H101" i="62"/>
  <c r="AR108" i="62"/>
  <c r="AS108" i="62" s="1"/>
  <c r="J116" i="62"/>
  <c r="J108" i="62"/>
  <c r="BE109" i="62"/>
  <c r="AT109" i="62"/>
  <c r="BE111" i="62"/>
  <c r="AT111" i="62"/>
  <c r="AR113" i="62"/>
  <c r="AS113" i="62" s="1"/>
  <c r="AR114" i="62"/>
  <c r="AS114" i="62" s="1"/>
  <c r="AR115" i="62"/>
  <c r="AS115" i="62" s="1"/>
  <c r="AW101" i="62"/>
  <c r="K108" i="62"/>
  <c r="AT108" i="62"/>
  <c r="AR110" i="62"/>
  <c r="AS110" i="62" s="1"/>
  <c r="J113" i="62"/>
  <c r="AT113" i="62"/>
  <c r="AT114" i="62"/>
  <c r="AT115" i="62"/>
  <c r="S116" i="62"/>
  <c r="BE110" i="62"/>
  <c r="AT110" i="62"/>
  <c r="L113" i="62"/>
  <c r="Y116" i="62"/>
  <c r="AA117" i="62"/>
  <c r="BB117" i="62" s="1"/>
  <c r="AR119" i="62"/>
  <c r="H116" i="62"/>
  <c r="AV116" i="62"/>
  <c r="Y69" i="62" l="1"/>
  <c r="X68" i="62"/>
  <c r="BC68" i="60" s="1"/>
  <c r="AC116" i="62"/>
  <c r="AC79" i="62"/>
  <c r="I30" i="62"/>
  <c r="AB61" i="62"/>
  <c r="AC61" i="62" s="1"/>
  <c r="I41" i="62"/>
  <c r="I70" i="62"/>
  <c r="I82" i="62"/>
  <c r="I118" i="62"/>
  <c r="M118" i="62" s="1"/>
  <c r="O118" i="62" s="1"/>
  <c r="I68" i="62"/>
  <c r="I27" i="62"/>
  <c r="I21" i="62"/>
  <c r="I50" i="62"/>
  <c r="I44" i="62"/>
  <c r="I73" i="62"/>
  <c r="I91" i="62"/>
  <c r="I45" i="62"/>
  <c r="I49" i="62"/>
  <c r="AB85" i="62"/>
  <c r="I46" i="62"/>
  <c r="I54" i="62"/>
  <c r="I69" i="62"/>
  <c r="I93" i="62"/>
  <c r="I107" i="62"/>
  <c r="AW54" i="62"/>
  <c r="AW65" i="62"/>
  <c r="I101" i="62"/>
  <c r="I36" i="62"/>
  <c r="Y39" i="62"/>
  <c r="I35" i="62"/>
  <c r="I65" i="62"/>
  <c r="I80" i="62"/>
  <c r="I97" i="62"/>
  <c r="I117" i="62"/>
  <c r="M117" i="62" s="1"/>
  <c r="N117" i="62" s="1"/>
  <c r="I113" i="62"/>
  <c r="I100" i="62"/>
  <c r="I24" i="62"/>
  <c r="I89" i="62"/>
  <c r="I116" i="62"/>
  <c r="I86" i="62"/>
  <c r="I105" i="62"/>
  <c r="I66" i="62"/>
  <c r="I72" i="62"/>
  <c r="I48" i="62"/>
  <c r="I52" i="62"/>
  <c r="I56" i="62"/>
  <c r="I85" i="62"/>
  <c r="I90" i="62"/>
  <c r="I110" i="62"/>
  <c r="E98" i="62"/>
  <c r="I98" i="62" s="1"/>
  <c r="AC62" i="62"/>
  <c r="I40" i="62"/>
  <c r="I28" i="62"/>
  <c r="I39" i="62"/>
  <c r="I43" i="62"/>
  <c r="I53" i="62"/>
  <c r="I60" i="62"/>
  <c r="I95" i="62"/>
  <c r="I92" i="62"/>
  <c r="I111" i="62"/>
  <c r="I23" i="62"/>
  <c r="H38" i="62"/>
  <c r="I114" i="62"/>
  <c r="M114" i="62" s="1"/>
  <c r="O114" i="62" s="1"/>
  <c r="L29" i="62"/>
  <c r="L97" i="62"/>
  <c r="L95" i="62"/>
  <c r="L64" i="62"/>
  <c r="L72" i="62"/>
  <c r="BC19" i="60"/>
  <c r="BE19" i="60" s="1"/>
  <c r="L36" i="62"/>
  <c r="BE18" i="60"/>
  <c r="S71" i="62"/>
  <c r="AS47" i="62"/>
  <c r="X86" i="62"/>
  <c r="Y86" i="62" s="1"/>
  <c r="L46" i="62"/>
  <c r="L82" i="62"/>
  <c r="L86" i="62"/>
  <c r="L45" i="62"/>
  <c r="O115" i="62"/>
  <c r="S39" i="62"/>
  <c r="L49" i="62"/>
  <c r="BE23" i="60"/>
  <c r="BC20" i="60"/>
  <c r="BE20" i="60" s="1"/>
  <c r="BE66" i="60"/>
  <c r="AB39" i="62"/>
  <c r="AC39" i="62" s="1"/>
  <c r="Y66" i="62"/>
  <c r="AV38" i="62"/>
  <c r="AB66" i="62"/>
  <c r="AC66" i="62" s="1"/>
  <c r="AS59" i="62"/>
  <c r="L23" i="62"/>
  <c r="AS42" i="62"/>
  <c r="AS73" i="62"/>
  <c r="Y43" i="62"/>
  <c r="AW23" i="62"/>
  <c r="Y18" i="62"/>
  <c r="AA83" i="62"/>
  <c r="BB83" i="62" s="1"/>
  <c r="AA72" i="62"/>
  <c r="BD72" i="62" s="1"/>
  <c r="BD72" i="60"/>
  <c r="BE72" i="60" s="1"/>
  <c r="BE46" i="60"/>
  <c r="AA8" i="62"/>
  <c r="AB44" i="62"/>
  <c r="BD44" i="60"/>
  <c r="AA58" i="62"/>
  <c r="BD58" i="62" s="1"/>
  <c r="BD86" i="60"/>
  <c r="BE86" i="60" s="1"/>
  <c r="BC42" i="60"/>
  <c r="BC38" i="60" s="1"/>
  <c r="X19" i="62"/>
  <c r="Y19" i="62" s="1"/>
  <c r="AC44" i="62"/>
  <c r="BE7" i="60"/>
  <c r="I20" i="62"/>
  <c r="BB64" i="62"/>
  <c r="BC64" i="62"/>
  <c r="BD64" i="62"/>
  <c r="AV100" i="62"/>
  <c r="K100" i="62"/>
  <c r="BD94" i="62"/>
  <c r="BB94" i="62"/>
  <c r="BC94" i="62"/>
  <c r="AB84" i="62"/>
  <c r="AC84" i="62" s="1"/>
  <c r="Y84" i="62"/>
  <c r="S84" i="62"/>
  <c r="AW84" i="62"/>
  <c r="L38" i="62"/>
  <c r="O38" i="62"/>
  <c r="S64" i="62"/>
  <c r="AW64" i="62"/>
  <c r="Y59" i="62"/>
  <c r="AB59" i="62"/>
  <c r="AC59" i="62" s="1"/>
  <c r="N19" i="62"/>
  <c r="AC111" i="62"/>
  <c r="AC109" i="62"/>
  <c r="AC107" i="62"/>
  <c r="AC105" i="62"/>
  <c r="AC110" i="62"/>
  <c r="AC113" i="62"/>
  <c r="AC114" i="62"/>
  <c r="AC108" i="62"/>
  <c r="AC71" i="62"/>
  <c r="AC80" i="62"/>
  <c r="AC73" i="62"/>
  <c r="AC50" i="62"/>
  <c r="AC49" i="62"/>
  <c r="AC48" i="62"/>
  <c r="AC75" i="62"/>
  <c r="AC77" i="62"/>
  <c r="AC65" i="62"/>
  <c r="AC51" i="62"/>
  <c r="AC45" i="62"/>
  <c r="AC26" i="62"/>
  <c r="AC16" i="62"/>
  <c r="AC12" i="62"/>
  <c r="AC11" i="62"/>
  <c r="AC7" i="62"/>
  <c r="AC30" i="62"/>
  <c r="AC115" i="62"/>
  <c r="AC22" i="62"/>
  <c r="AC15" i="62"/>
  <c r="AB46" i="62"/>
  <c r="AC46" i="62" s="1"/>
  <c r="Y46" i="62"/>
  <c r="AW72" i="62"/>
  <c r="S72" i="62"/>
  <c r="S58" i="62"/>
  <c r="AW58" i="62"/>
  <c r="AC8" i="62"/>
  <c r="Y29" i="62"/>
  <c r="AB29" i="62"/>
  <c r="AC29" i="62" s="1"/>
  <c r="AC74" i="62"/>
  <c r="AW62" i="62"/>
  <c r="S62" i="62"/>
  <c r="S56" i="62"/>
  <c r="AW56" i="62"/>
  <c r="Y53" i="62"/>
  <c r="AB53" i="62"/>
  <c r="AC53" i="62" s="1"/>
  <c r="L42" i="62"/>
  <c r="O42" i="62"/>
  <c r="AB86" i="62"/>
  <c r="AC86" i="62" s="1"/>
  <c r="BD63" i="62"/>
  <c r="BB63" i="62"/>
  <c r="BC63" i="62"/>
  <c r="K98" i="62"/>
  <c r="AC55" i="62"/>
  <c r="AC14" i="62"/>
  <c r="L115" i="62"/>
  <c r="L114" i="62"/>
  <c r="L107" i="62"/>
  <c r="L105" i="62"/>
  <c r="L109" i="62"/>
  <c r="L110" i="62"/>
  <c r="L94" i="62"/>
  <c r="L90" i="62"/>
  <c r="L62" i="62"/>
  <c r="L92" i="62"/>
  <c r="L74" i="62"/>
  <c r="L76" i="62"/>
  <c r="L71" i="62"/>
  <c r="L67" i="62"/>
  <c r="L58" i="62"/>
  <c r="L7" i="62"/>
  <c r="L61" i="62"/>
  <c r="H19" i="62"/>
  <c r="L53" i="62"/>
  <c r="L28" i="62"/>
  <c r="L78" i="62"/>
  <c r="L41" i="62"/>
  <c r="L26" i="62"/>
  <c r="L25" i="62"/>
  <c r="L55" i="62"/>
  <c r="L54" i="62"/>
  <c r="L27" i="62"/>
  <c r="L116" i="62"/>
  <c r="L118" i="62"/>
  <c r="L103" i="62"/>
  <c r="AC104" i="62"/>
  <c r="Y95" i="62"/>
  <c r="AB95" i="62"/>
  <c r="AC95" i="62" s="1"/>
  <c r="AA116" i="62"/>
  <c r="BB116" i="62" s="1"/>
  <c r="AA86" i="62"/>
  <c r="AC96" i="62"/>
  <c r="L83" i="62"/>
  <c r="L88" i="62"/>
  <c r="L96" i="62"/>
  <c r="AC92" i="62"/>
  <c r="AC88" i="62"/>
  <c r="AW82" i="62"/>
  <c r="S82" i="62"/>
  <c r="R81" i="62"/>
  <c r="Y93" i="62"/>
  <c r="AB93" i="62"/>
  <c r="AC93" i="62" s="1"/>
  <c r="L84" i="62"/>
  <c r="L77" i="62"/>
  <c r="AA87" i="62"/>
  <c r="S83" i="62"/>
  <c r="AW83" i="62"/>
  <c r="L60" i="62"/>
  <c r="AC90" i="62"/>
  <c r="L81" i="62"/>
  <c r="L68" i="62"/>
  <c r="O68" i="62"/>
  <c r="L66" i="62"/>
  <c r="L39" i="62"/>
  <c r="AB20" i="62"/>
  <c r="AC20" i="62" s="1"/>
  <c r="Y20" i="62"/>
  <c r="E99" i="62"/>
  <c r="I19" i="62"/>
  <c r="S69" i="62"/>
  <c r="R68" i="62"/>
  <c r="AW69" i="62"/>
  <c r="AW63" i="62"/>
  <c r="S63" i="62"/>
  <c r="L51" i="62"/>
  <c r="L47" i="62"/>
  <c r="L37" i="62"/>
  <c r="L35" i="62"/>
  <c r="O32" i="62"/>
  <c r="O20" i="62" s="1"/>
  <c r="L32" i="62"/>
  <c r="Y25" i="62"/>
  <c r="AB25" i="62"/>
  <c r="AC25" i="62" s="1"/>
  <c r="X23" i="62"/>
  <c r="AA18" i="62"/>
  <c r="M98" i="62"/>
  <c r="N98" i="62" s="1"/>
  <c r="L57" i="62"/>
  <c r="AB34" i="62"/>
  <c r="AC34" i="62" s="1"/>
  <c r="Y34" i="62"/>
  <c r="S85" i="62"/>
  <c r="AW85" i="62"/>
  <c r="L73" i="62"/>
  <c r="S61" i="62"/>
  <c r="AW61" i="62"/>
  <c r="AW53" i="62"/>
  <c r="S53" i="62"/>
  <c r="L40" i="62"/>
  <c r="L21" i="62"/>
  <c r="AN99" i="62"/>
  <c r="AT99" i="62" s="1"/>
  <c r="AA60" i="62"/>
  <c r="AA67" i="62"/>
  <c r="AB67" i="62"/>
  <c r="AC67" i="62" s="1"/>
  <c r="Z81" i="62"/>
  <c r="AA81" i="62" s="1"/>
  <c r="AA82" i="62"/>
  <c r="M113" i="62"/>
  <c r="AW42" i="62"/>
  <c r="S42" i="62"/>
  <c r="AC17" i="62"/>
  <c r="L30" i="62"/>
  <c r="AC9" i="62"/>
  <c r="H20" i="62"/>
  <c r="H100" i="62"/>
  <c r="L101" i="62"/>
  <c r="O101" i="62"/>
  <c r="AC102" i="62"/>
  <c r="AC64" i="62"/>
  <c r="AC36" i="62"/>
  <c r="L34" i="62"/>
  <c r="S18" i="62"/>
  <c r="AW18" i="62"/>
  <c r="L22" i="62"/>
  <c r="AC69" i="62"/>
  <c r="S60" i="62"/>
  <c r="AW60" i="62"/>
  <c r="R59" i="62"/>
  <c r="AW57" i="62"/>
  <c r="S57" i="62"/>
  <c r="AB54" i="62"/>
  <c r="AC54" i="62" s="1"/>
  <c r="Y54" i="62"/>
  <c r="AC47" i="62"/>
  <c r="X42" i="62"/>
  <c r="Y28" i="62"/>
  <c r="AB28" i="62"/>
  <c r="AC28" i="62" s="1"/>
  <c r="X27" i="62"/>
  <c r="AW20" i="62"/>
  <c r="S20" i="62"/>
  <c r="AA61" i="62"/>
  <c r="AA66" i="62"/>
  <c r="AA69" i="62"/>
  <c r="Z68" i="62"/>
  <c r="AA85" i="62"/>
  <c r="AB18" i="62"/>
  <c r="AC18" i="62" s="1"/>
  <c r="L8" i="62"/>
  <c r="AC10" i="62"/>
  <c r="AC24" i="62"/>
  <c r="L117" i="62"/>
  <c r="L102" i="62"/>
  <c r="L111" i="62"/>
  <c r="Y100" i="62"/>
  <c r="AB100" i="62"/>
  <c r="AC100" i="62" s="1"/>
  <c r="AW86" i="62"/>
  <c r="S86" i="62"/>
  <c r="AC103" i="62"/>
  <c r="AC91" i="62"/>
  <c r="L91" i="62"/>
  <c r="AW80" i="62"/>
  <c r="S80" i="62"/>
  <c r="L93" i="62"/>
  <c r="Y83" i="62"/>
  <c r="AB83" i="62"/>
  <c r="AC83" i="62" s="1"/>
  <c r="Y89" i="62"/>
  <c r="AB89" i="62"/>
  <c r="AC89" i="62" s="1"/>
  <c r="AC85" i="62"/>
  <c r="AC70" i="62"/>
  <c r="L63" i="62"/>
  <c r="L59" i="62"/>
  <c r="L85" i="62"/>
  <c r="S79" i="62"/>
  <c r="AW79" i="62"/>
  <c r="L69" i="62"/>
  <c r="Y57" i="62"/>
  <c r="AB57" i="62"/>
  <c r="AC57" i="62" s="1"/>
  <c r="L50" i="62"/>
  <c r="L48" i="62"/>
  <c r="L43" i="62"/>
  <c r="AW27" i="62"/>
  <c r="S27" i="62"/>
  <c r="AA107" i="62"/>
  <c r="AA106" i="62"/>
  <c r="AA105" i="62"/>
  <c r="AA104" i="62"/>
  <c r="AA113" i="62"/>
  <c r="BB113" i="62" s="1"/>
  <c r="AA110" i="62"/>
  <c r="AA108" i="62"/>
  <c r="AA103" i="62"/>
  <c r="AA102" i="62"/>
  <c r="AA115" i="62"/>
  <c r="BB115" i="62" s="1"/>
  <c r="AA114" i="62"/>
  <c r="BB114" i="62" s="1"/>
  <c r="AA111" i="62"/>
  <c r="AA109" i="62"/>
  <c r="AA97" i="62"/>
  <c r="AA95" i="62"/>
  <c r="AA100" i="62"/>
  <c r="AA96" i="62"/>
  <c r="AA79" i="62"/>
  <c r="AA93" i="62"/>
  <c r="AA91" i="62"/>
  <c r="AA89" i="62"/>
  <c r="AA78" i="62"/>
  <c r="AA77" i="62"/>
  <c r="AA76" i="62"/>
  <c r="AA75" i="62"/>
  <c r="AA74" i="62"/>
  <c r="AA73" i="62"/>
  <c r="AA71" i="62"/>
  <c r="AA65" i="62"/>
  <c r="AA90" i="62"/>
  <c r="AA92" i="62"/>
  <c r="AA57" i="62"/>
  <c r="AA88" i="62"/>
  <c r="AA59" i="62"/>
  <c r="AA51" i="62"/>
  <c r="AA45" i="62"/>
  <c r="AA43" i="62"/>
  <c r="AA40" i="62"/>
  <c r="AA37" i="62"/>
  <c r="AA36" i="62"/>
  <c r="AA35" i="62"/>
  <c r="AA55" i="62"/>
  <c r="AA54" i="62"/>
  <c r="AA53" i="62"/>
  <c r="AA26" i="62"/>
  <c r="AA80" i="62"/>
  <c r="AA56" i="62"/>
  <c r="AA52" i="62"/>
  <c r="AA47" i="62"/>
  <c r="AA32" i="62"/>
  <c r="AA30" i="62"/>
  <c r="AA27" i="62"/>
  <c r="AA25" i="62"/>
  <c r="Z19" i="62"/>
  <c r="AA14" i="62"/>
  <c r="AA10" i="62"/>
  <c r="AA9" i="62"/>
  <c r="AA34" i="62"/>
  <c r="AA33" i="62"/>
  <c r="AA28" i="62"/>
  <c r="AA24" i="62"/>
  <c r="AA23" i="62"/>
  <c r="AA22" i="62"/>
  <c r="AA15" i="62"/>
  <c r="AA11" i="62"/>
  <c r="AA7" i="62"/>
  <c r="AA20" i="62"/>
  <c r="AA16" i="62"/>
  <c r="AA12" i="62"/>
  <c r="AA31" i="62"/>
  <c r="AA21" i="62"/>
  <c r="AA50" i="62"/>
  <c r="AA49" i="62"/>
  <c r="AA48" i="62"/>
  <c r="AA29" i="62"/>
  <c r="AA17" i="62"/>
  <c r="AA13" i="62"/>
  <c r="AA62" i="62"/>
  <c r="AC41" i="62"/>
  <c r="X82" i="62"/>
  <c r="AS81" i="62"/>
  <c r="AW67" i="62"/>
  <c r="S67" i="62"/>
  <c r="AA118" i="62"/>
  <c r="BB118" i="62" s="1"/>
  <c r="AC118" i="62"/>
  <c r="L104" i="62"/>
  <c r="O108" i="62"/>
  <c r="L108" i="62"/>
  <c r="AC117" i="62"/>
  <c r="AA101" i="62"/>
  <c r="AB97" i="62"/>
  <c r="AC97" i="62" s="1"/>
  <c r="Y97" i="62"/>
  <c r="AC106" i="62"/>
  <c r="L106" i="62"/>
  <c r="L79" i="62"/>
  <c r="L75" i="62"/>
  <c r="L89" i="62"/>
  <c r="L80" i="62"/>
  <c r="AC94" i="62"/>
  <c r="AC76" i="62"/>
  <c r="L70" i="62"/>
  <c r="L56" i="62"/>
  <c r="AC78" i="62"/>
  <c r="AB72" i="62"/>
  <c r="AC72" i="62" s="1"/>
  <c r="AC56" i="62"/>
  <c r="L87" i="62"/>
  <c r="L65" i="62"/>
  <c r="S70" i="62"/>
  <c r="AW70" i="62"/>
  <c r="AC60" i="62"/>
  <c r="AB58" i="62"/>
  <c r="AC58" i="62" s="1"/>
  <c r="L52" i="62"/>
  <c r="AA46" i="62"/>
  <c r="S19" i="62"/>
  <c r="AW19" i="62"/>
  <c r="AA44" i="62"/>
  <c r="Z42" i="62"/>
  <c r="AA42" i="62" s="1"/>
  <c r="S66" i="62"/>
  <c r="AW66" i="62"/>
  <c r="AB63" i="62"/>
  <c r="AC63" i="62" s="1"/>
  <c r="AC43" i="62"/>
  <c r="AW40" i="62"/>
  <c r="S40" i="62"/>
  <c r="AC37" i="62"/>
  <c r="L33" i="62"/>
  <c r="AB31" i="62"/>
  <c r="AC31" i="62" s="1"/>
  <c r="Y31" i="62"/>
  <c r="Y21" i="62"/>
  <c r="AB21" i="62"/>
  <c r="AC21" i="62" s="1"/>
  <c r="F98" i="62"/>
  <c r="J20" i="62"/>
  <c r="G99" i="62"/>
  <c r="X32" i="62"/>
  <c r="AB33" i="62"/>
  <c r="AC33" i="62" s="1"/>
  <c r="Y33" i="62"/>
  <c r="X52" i="62"/>
  <c r="AS51" i="62"/>
  <c r="AA41" i="62"/>
  <c r="S32" i="62"/>
  <c r="AW32" i="62"/>
  <c r="AC87" i="62"/>
  <c r="AA39" i="62"/>
  <c r="AA70" i="62"/>
  <c r="AA84" i="62"/>
  <c r="L24" i="62"/>
  <c r="AV20" i="62"/>
  <c r="AC13" i="62"/>
  <c r="AC35" i="62"/>
  <c r="O7" i="62"/>
  <c r="P104" i="62" s="1"/>
  <c r="AC40" i="62"/>
  <c r="L18" i="62"/>
  <c r="N118" i="62" l="1"/>
  <c r="BB58" i="62"/>
  <c r="BC58" i="62"/>
  <c r="O117" i="62"/>
  <c r="Y68" i="62"/>
  <c r="M116" i="62"/>
  <c r="N116" i="62" s="1"/>
  <c r="N114" i="62"/>
  <c r="BC98" i="60"/>
  <c r="BC99" i="60" s="1"/>
  <c r="BC112" i="60" s="1"/>
  <c r="BC119" i="60" s="1"/>
  <c r="BC83" i="62"/>
  <c r="AS38" i="62"/>
  <c r="AS98" i="62" s="1"/>
  <c r="AS99" i="62" s="1"/>
  <c r="AS112" i="62" s="1"/>
  <c r="AS119" i="62" s="1"/>
  <c r="BD83" i="62"/>
  <c r="P44" i="62"/>
  <c r="P8" i="62"/>
  <c r="P89" i="62"/>
  <c r="P93" i="62"/>
  <c r="P66" i="62"/>
  <c r="P28" i="62"/>
  <c r="P101" i="62"/>
  <c r="BC72" i="62"/>
  <c r="P29" i="62"/>
  <c r="BB72" i="62"/>
  <c r="P118" i="62"/>
  <c r="AA68" i="62"/>
  <c r="BB68" i="62" s="1"/>
  <c r="BD68" i="60"/>
  <c r="BE68" i="60" s="1"/>
  <c r="BD42" i="60"/>
  <c r="BE44" i="60"/>
  <c r="P27" i="62"/>
  <c r="P117" i="62"/>
  <c r="BD39" i="62"/>
  <c r="BC39" i="62"/>
  <c r="BB39" i="62"/>
  <c r="AB52" i="62"/>
  <c r="AC52" i="62" s="1"/>
  <c r="Y52" i="62"/>
  <c r="G112" i="62"/>
  <c r="K99" i="62"/>
  <c r="BD42" i="62"/>
  <c r="BC42" i="62"/>
  <c r="BB42" i="62"/>
  <c r="P91" i="62"/>
  <c r="P114" i="62"/>
  <c r="BD49" i="62"/>
  <c r="BC49" i="62"/>
  <c r="BB49" i="62"/>
  <c r="BD47" i="62"/>
  <c r="BC47" i="62"/>
  <c r="BB47" i="62"/>
  <c r="BB43" i="62"/>
  <c r="BD43" i="62"/>
  <c r="BC43" i="62"/>
  <c r="BC88" i="62"/>
  <c r="BD88" i="62"/>
  <c r="BB88" i="62"/>
  <c r="BB65" i="62"/>
  <c r="BD65" i="62"/>
  <c r="BC65" i="62"/>
  <c r="BB75" i="62"/>
  <c r="BD75" i="62"/>
  <c r="BC75" i="62"/>
  <c r="BC89" i="62"/>
  <c r="BB89" i="62"/>
  <c r="BD89" i="62"/>
  <c r="BD96" i="62"/>
  <c r="BB96" i="62"/>
  <c r="BC96" i="62"/>
  <c r="BC109" i="62"/>
  <c r="BB109" i="62"/>
  <c r="BD109" i="62"/>
  <c r="BB102" i="62"/>
  <c r="BD102" i="62"/>
  <c r="BC102" i="62"/>
  <c r="BB107" i="62"/>
  <c r="BD107" i="62"/>
  <c r="BC107" i="62"/>
  <c r="BB69" i="62"/>
  <c r="BD69" i="62"/>
  <c r="BC69" i="62"/>
  <c r="AW59" i="62"/>
  <c r="S59" i="62"/>
  <c r="BD81" i="62"/>
  <c r="BB81" i="62"/>
  <c r="BC81" i="62"/>
  <c r="AB23" i="62"/>
  <c r="AC23" i="62" s="1"/>
  <c r="Y23" i="62"/>
  <c r="P32" i="62"/>
  <c r="AW68" i="62"/>
  <c r="S68" i="62"/>
  <c r="S81" i="62"/>
  <c r="AW81" i="62"/>
  <c r="P92" i="62"/>
  <c r="P42" i="62"/>
  <c r="P25" i="62"/>
  <c r="M99" i="62"/>
  <c r="P47" i="62"/>
  <c r="P90" i="62"/>
  <c r="BD62" i="62"/>
  <c r="BC62" i="62"/>
  <c r="BB62" i="62"/>
  <c r="BD55" i="62"/>
  <c r="BB55" i="62"/>
  <c r="BC55" i="62"/>
  <c r="BD59" i="62"/>
  <c r="BB59" i="62"/>
  <c r="BC59" i="62"/>
  <c r="BB78" i="62"/>
  <c r="BC78" i="62"/>
  <c r="BD78" i="62"/>
  <c r="BB106" i="62"/>
  <c r="BD106" i="62"/>
  <c r="BC106" i="62"/>
  <c r="AB27" i="62"/>
  <c r="AC27" i="62" s="1"/>
  <c r="Y27" i="62"/>
  <c r="BB60" i="62"/>
  <c r="BD60" i="62"/>
  <c r="BC60" i="62"/>
  <c r="I99" i="62"/>
  <c r="E112" i="62"/>
  <c r="BB87" i="62"/>
  <c r="BD87" i="62"/>
  <c r="BC87" i="62"/>
  <c r="O98" i="62"/>
  <c r="P98" i="62" s="1"/>
  <c r="P20" i="62"/>
  <c r="Z38" i="62"/>
  <c r="BC44" i="62"/>
  <c r="BB44" i="62"/>
  <c r="BD44" i="62"/>
  <c r="P72" i="62"/>
  <c r="P86" i="62"/>
  <c r="P108" i="62"/>
  <c r="AB82" i="62"/>
  <c r="AC82" i="62" s="1"/>
  <c r="X81" i="62"/>
  <c r="Y82" i="62"/>
  <c r="BD50" i="62"/>
  <c r="BC50" i="62"/>
  <c r="BB50" i="62"/>
  <c r="BC52" i="62"/>
  <c r="BD52" i="62"/>
  <c r="BB52" i="62"/>
  <c r="BD53" i="62"/>
  <c r="BB53" i="62"/>
  <c r="BC53" i="62"/>
  <c r="BB45" i="62"/>
  <c r="BD45" i="62"/>
  <c r="BC45" i="62"/>
  <c r="BB57" i="62"/>
  <c r="BC57" i="62"/>
  <c r="BD57" i="62"/>
  <c r="BB71" i="62"/>
  <c r="BD71" i="62"/>
  <c r="BC71" i="62"/>
  <c r="BB76" i="62"/>
  <c r="BC76" i="62"/>
  <c r="BD76" i="62"/>
  <c r="BC91" i="62"/>
  <c r="BB91" i="62"/>
  <c r="BD91" i="62"/>
  <c r="BD100" i="62"/>
  <c r="BC100" i="62"/>
  <c r="BB100" i="62"/>
  <c r="BC111" i="62"/>
  <c r="BB111" i="62"/>
  <c r="BD111" i="62"/>
  <c r="BB103" i="62"/>
  <c r="BD103" i="62"/>
  <c r="BC103" i="62"/>
  <c r="BB104" i="62"/>
  <c r="BD104" i="62"/>
  <c r="BC104" i="62"/>
  <c r="BC66" i="62"/>
  <c r="BD66" i="62"/>
  <c r="BB66" i="62"/>
  <c r="P33" i="62"/>
  <c r="L100" i="62"/>
  <c r="O100" i="62"/>
  <c r="P100" i="62" s="1"/>
  <c r="P68" i="62"/>
  <c r="P59" i="62"/>
  <c r="L19" i="62"/>
  <c r="P81" i="62"/>
  <c r="P106" i="62"/>
  <c r="P97" i="62"/>
  <c r="BC70" i="62"/>
  <c r="BD70" i="62"/>
  <c r="BB70" i="62"/>
  <c r="AB32" i="62"/>
  <c r="AC32" i="62" s="1"/>
  <c r="Y32" i="62"/>
  <c r="BD48" i="62"/>
  <c r="BC48" i="62"/>
  <c r="BB48" i="62"/>
  <c r="AA19" i="62"/>
  <c r="BC80" i="62"/>
  <c r="BD80" i="62"/>
  <c r="BB80" i="62"/>
  <c r="BB40" i="62"/>
  <c r="BD40" i="62"/>
  <c r="BC40" i="62"/>
  <c r="BC90" i="62"/>
  <c r="BD90" i="62"/>
  <c r="BB90" i="62"/>
  <c r="BB74" i="62"/>
  <c r="BC74" i="62"/>
  <c r="BD74" i="62"/>
  <c r="BB79" i="62"/>
  <c r="BD79" i="62"/>
  <c r="BC79" i="62"/>
  <c r="BB97" i="62"/>
  <c r="BD97" i="62"/>
  <c r="BC97" i="62"/>
  <c r="BC110" i="62"/>
  <c r="BD110" i="62"/>
  <c r="BB110" i="62"/>
  <c r="H98" i="62"/>
  <c r="L98" i="62" s="1"/>
  <c r="L20" i="62"/>
  <c r="BD82" i="62"/>
  <c r="BC82" i="62"/>
  <c r="BB82" i="62"/>
  <c r="AB68" i="62"/>
  <c r="AC68" i="62" s="1"/>
  <c r="BD86" i="62"/>
  <c r="BC86" i="62"/>
  <c r="BB86" i="62"/>
  <c r="P107" i="62"/>
  <c r="P88" i="62"/>
  <c r="P96" i="62"/>
  <c r="P80" i="62"/>
  <c r="P84" i="62"/>
  <c r="P77" i="62"/>
  <c r="P64" i="62"/>
  <c r="P60" i="62"/>
  <c r="P56" i="62"/>
  <c r="P79" i="62"/>
  <c r="P61" i="62"/>
  <c r="P26" i="62"/>
  <c r="P46" i="62"/>
  <c r="P7" i="62"/>
  <c r="O19" i="62"/>
  <c r="P75" i="62"/>
  <c r="P52" i="62"/>
  <c r="P24" i="62"/>
  <c r="P41" i="62"/>
  <c r="P30" i="62"/>
  <c r="P54" i="62"/>
  <c r="P67" i="62"/>
  <c r="P36" i="62"/>
  <c r="P49" i="62"/>
  <c r="P65" i="62"/>
  <c r="P83" i="62"/>
  <c r="P87" i="62"/>
  <c r="P45" i="62"/>
  <c r="P53" i="62"/>
  <c r="P71" i="62"/>
  <c r="P73" i="62"/>
  <c r="P78" i="62"/>
  <c r="P102" i="62"/>
  <c r="P18" i="62"/>
  <c r="P35" i="62"/>
  <c r="P51" i="62"/>
  <c r="P57" i="62"/>
  <c r="P109" i="62"/>
  <c r="P21" i="62"/>
  <c r="P22" i="62"/>
  <c r="P58" i="62"/>
  <c r="P43" i="62"/>
  <c r="P48" i="62"/>
  <c r="P50" i="62"/>
  <c r="P55" i="62"/>
  <c r="P62" i="62"/>
  <c r="P74" i="62"/>
  <c r="P63" i="62"/>
  <c r="P69" i="62"/>
  <c r="P94" i="62"/>
  <c r="P110" i="62"/>
  <c r="P23" i="62"/>
  <c r="P31" i="62"/>
  <c r="P40" i="62"/>
  <c r="P37" i="62"/>
  <c r="P39" i="62"/>
  <c r="P76" i="62"/>
  <c r="P103" i="62"/>
  <c r="P105" i="62"/>
  <c r="BC84" i="62"/>
  <c r="BB84" i="62"/>
  <c r="BD84" i="62"/>
  <c r="BC41" i="62"/>
  <c r="BB41" i="62"/>
  <c r="BD41" i="62"/>
  <c r="J98" i="62"/>
  <c r="F99" i="62"/>
  <c r="BC46" i="62"/>
  <c r="BB46" i="62"/>
  <c r="BD46" i="62"/>
  <c r="P85" i="62"/>
  <c r="BB101" i="62"/>
  <c r="BD101" i="62"/>
  <c r="BC101" i="62"/>
  <c r="BD56" i="62"/>
  <c r="BC56" i="62"/>
  <c r="BB56" i="62"/>
  <c r="BC54" i="62"/>
  <c r="BD54" i="62"/>
  <c r="BB54" i="62"/>
  <c r="BB51" i="62"/>
  <c r="BD51" i="62"/>
  <c r="BC51" i="62"/>
  <c r="BC92" i="62"/>
  <c r="BD92" i="62"/>
  <c r="BB92" i="62"/>
  <c r="BB73" i="62"/>
  <c r="BD73" i="62"/>
  <c r="BC73" i="62"/>
  <c r="BB77" i="62"/>
  <c r="BD77" i="62"/>
  <c r="BC77" i="62"/>
  <c r="BC93" i="62"/>
  <c r="BB93" i="62"/>
  <c r="BD93" i="62"/>
  <c r="BB95" i="62"/>
  <c r="BD95" i="62"/>
  <c r="BC95" i="62"/>
  <c r="BC108" i="62"/>
  <c r="BD108" i="62"/>
  <c r="BB108" i="62"/>
  <c r="BB105" i="62"/>
  <c r="BD105" i="62"/>
  <c r="BC105" i="62"/>
  <c r="P95" i="62"/>
  <c r="BD85" i="62"/>
  <c r="BC85" i="62"/>
  <c r="BB85" i="62"/>
  <c r="BC61" i="62"/>
  <c r="BB61" i="62"/>
  <c r="BD61" i="62"/>
  <c r="Y42" i="62"/>
  <c r="AB42" i="62"/>
  <c r="AC42" i="62" s="1"/>
  <c r="X38" i="62"/>
  <c r="AB19" i="62"/>
  <c r="AC19" i="62" s="1"/>
  <c r="P115" i="62"/>
  <c r="N113" i="62"/>
  <c r="O113" i="62"/>
  <c r="P113" i="62" s="1"/>
  <c r="BD67" i="62"/>
  <c r="BC67" i="62"/>
  <c r="BB67" i="62"/>
  <c r="P82" i="62"/>
  <c r="O116" i="62"/>
  <c r="P116" i="62" s="1"/>
  <c r="AV98" i="62"/>
  <c r="P34" i="62"/>
  <c r="P38" i="62"/>
  <c r="P70" i="62"/>
  <c r="P111" i="62"/>
  <c r="R38" i="62"/>
  <c r="BC68" i="62" l="1"/>
  <c r="BD68" i="62"/>
  <c r="BD38" i="60"/>
  <c r="BE42" i="60"/>
  <c r="H99" i="62"/>
  <c r="H112" i="62" s="1"/>
  <c r="Y38" i="62"/>
  <c r="AB38" i="62"/>
  <c r="AC38" i="62" s="1"/>
  <c r="X98" i="62"/>
  <c r="G119" i="62"/>
  <c r="K119" i="62" s="1"/>
  <c r="AV112" i="62"/>
  <c r="K112" i="62"/>
  <c r="AW38" i="62"/>
  <c r="S38" i="62"/>
  <c r="R98" i="62"/>
  <c r="E119" i="62"/>
  <c r="I119" i="62" s="1"/>
  <c r="I112" i="62"/>
  <c r="M112" i="62"/>
  <c r="N99" i="62"/>
  <c r="F112" i="62"/>
  <c r="J99" i="62"/>
  <c r="O99" i="62"/>
  <c r="P19" i="62"/>
  <c r="Y81" i="62"/>
  <c r="AB81" i="62"/>
  <c r="AC81" i="62" s="1"/>
  <c r="Z98" i="62"/>
  <c r="AA38" i="62"/>
  <c r="AV99" i="62"/>
  <c r="L99" i="62" l="1"/>
  <c r="BE38" i="60"/>
  <c r="BD98" i="60"/>
  <c r="J112" i="62"/>
  <c r="F119" i="62"/>
  <c r="BD38" i="62"/>
  <c r="BC38" i="62"/>
  <c r="BB38" i="62"/>
  <c r="Y98" i="62"/>
  <c r="AB98" i="62"/>
  <c r="AC98" i="62" s="1"/>
  <c r="X99" i="62"/>
  <c r="AA98" i="62"/>
  <c r="Z99" i="62"/>
  <c r="O112" i="62"/>
  <c r="P99" i="62"/>
  <c r="M119" i="62"/>
  <c r="N119" i="62" s="1"/>
  <c r="N112" i="62"/>
  <c r="L112" i="62"/>
  <c r="H119" i="62"/>
  <c r="L119" i="62" s="1"/>
  <c r="AW98" i="62"/>
  <c r="S98" i="62"/>
  <c r="R99" i="62"/>
  <c r="BE98" i="60" l="1"/>
  <c r="BD99" i="60"/>
  <c r="Y99" i="62"/>
  <c r="X112" i="62"/>
  <c r="AB99" i="62"/>
  <c r="AC99" i="62" s="1"/>
  <c r="AV119" i="62"/>
  <c r="J119" i="62"/>
  <c r="R112" i="62"/>
  <c r="AW99" i="62"/>
  <c r="S99" i="62"/>
  <c r="O119" i="62"/>
  <c r="P119" i="62" s="1"/>
  <c r="P112" i="62"/>
  <c r="Z112" i="62"/>
  <c r="AA99" i="62"/>
  <c r="BC98" i="62"/>
  <c r="BB98" i="62"/>
  <c r="BD98" i="62"/>
  <c r="BE99" i="60" l="1"/>
  <c r="BD112" i="60"/>
  <c r="X119" i="62"/>
  <c r="Y112" i="62"/>
  <c r="AB112" i="62"/>
  <c r="AC112" i="62" s="1"/>
  <c r="BD99" i="62"/>
  <c r="BC99" i="62"/>
  <c r="BB99" i="62"/>
  <c r="R119" i="62"/>
  <c r="S119" i="62" s="1"/>
  <c r="S112" i="62"/>
  <c r="AW112" i="62"/>
  <c r="Z119" i="62"/>
  <c r="AA119" i="62" s="1"/>
  <c r="BB119" i="62" s="1"/>
  <c r="AA112" i="62"/>
  <c r="BE112" i="60" l="1"/>
  <c r="BD119" i="60"/>
  <c r="BE119" i="60" s="1"/>
  <c r="BB112" i="62"/>
  <c r="BD112" i="62"/>
  <c r="BC112" i="62"/>
  <c r="AB119" i="62"/>
  <c r="AC119" i="62" s="1"/>
  <c r="Y119" i="62"/>
  <c r="BA119" i="60" l="1"/>
  <c r="BA7" i="60"/>
  <c r="BA118" i="60"/>
  <c r="BA117" i="60"/>
  <c r="BA116" i="60"/>
  <c r="BA115" i="60"/>
  <c r="BA114" i="60"/>
  <c r="BA113" i="60"/>
  <c r="BA112" i="60"/>
  <c r="BA111" i="60"/>
  <c r="BA110" i="60"/>
  <c r="BA109" i="60"/>
  <c r="BA108" i="60"/>
  <c r="BA107" i="60"/>
  <c r="BA106" i="60"/>
  <c r="BA105" i="60"/>
  <c r="BA104" i="60"/>
  <c r="BA103" i="60"/>
  <c r="BA102" i="60"/>
  <c r="BA101" i="60"/>
  <c r="BA100" i="60"/>
  <c r="BA99" i="60"/>
  <c r="BA98" i="60"/>
  <c r="BA97" i="60"/>
  <c r="BA96" i="60"/>
  <c r="BA95" i="60"/>
  <c r="BA94" i="60"/>
  <c r="BA93" i="60"/>
  <c r="BA92" i="60"/>
  <c r="BA91" i="60"/>
  <c r="BA90" i="60"/>
  <c r="BA89" i="60"/>
  <c r="BA88" i="60"/>
  <c r="BA87" i="60"/>
  <c r="BA86" i="60"/>
  <c r="BA85" i="60"/>
  <c r="BA84" i="60"/>
  <c r="BA83" i="60"/>
  <c r="BA82" i="60"/>
  <c r="BA81" i="60"/>
  <c r="BA80" i="60"/>
  <c r="BA79" i="60"/>
  <c r="BA78" i="60"/>
  <c r="BA77" i="60"/>
  <c r="BA76" i="60"/>
  <c r="BA75" i="60"/>
  <c r="BA74" i="60"/>
  <c r="BA73" i="60"/>
  <c r="BA72" i="60"/>
  <c r="BA71" i="60"/>
  <c r="BA70" i="60"/>
  <c r="BA69" i="60"/>
  <c r="BA68" i="60"/>
  <c r="BA67" i="60"/>
  <c r="BA66" i="60"/>
  <c r="BA65" i="60"/>
  <c r="BA64" i="60"/>
  <c r="BA63" i="60"/>
  <c r="BA62" i="60"/>
  <c r="BA61" i="60"/>
  <c r="BA60" i="60"/>
  <c r="BA59" i="60"/>
  <c r="BA58" i="60"/>
  <c r="BA57" i="60"/>
  <c r="BA56" i="60"/>
  <c r="BA55" i="60"/>
  <c r="BA54" i="60"/>
  <c r="BA53" i="60"/>
  <c r="BA52" i="60"/>
  <c r="BA51" i="60"/>
  <c r="BA50" i="60"/>
  <c r="BA49" i="60"/>
  <c r="BA48" i="60"/>
  <c r="BA47" i="60"/>
  <c r="BA46" i="60"/>
  <c r="BA45" i="60"/>
  <c r="BA44" i="60"/>
  <c r="BA43" i="60"/>
  <c r="BA42" i="60"/>
  <c r="BA41" i="60"/>
  <c r="BA40" i="60"/>
  <c r="BA39" i="60"/>
  <c r="BA38" i="60"/>
  <c r="BA37" i="60"/>
  <c r="BA36" i="60"/>
  <c r="BA35" i="60"/>
  <c r="BA34" i="60"/>
  <c r="BA33" i="60"/>
  <c r="BA32" i="60"/>
  <c r="BA31" i="60"/>
  <c r="BA30" i="60"/>
  <c r="BA29" i="60"/>
  <c r="BA28" i="60"/>
  <c r="BA27" i="60"/>
  <c r="BA26" i="60"/>
  <c r="BA25" i="60"/>
  <c r="BA24" i="60"/>
  <c r="BA23" i="60"/>
  <c r="BA22" i="60"/>
  <c r="BA21" i="60"/>
  <c r="BA20" i="60"/>
  <c r="BA19" i="60"/>
  <c r="BA18" i="60"/>
  <c r="BA17" i="60"/>
  <c r="BA16" i="60"/>
  <c r="BA15" i="60"/>
  <c r="BA14" i="60"/>
  <c r="BA13" i="60"/>
  <c r="BA12" i="60"/>
  <c r="BA11" i="60"/>
  <c r="BA10" i="60"/>
  <c r="BA9" i="60"/>
  <c r="BA8" i="60"/>
  <c r="AY12" i="60"/>
  <c r="AY11" i="60"/>
  <c r="AY10" i="60"/>
  <c r="AY9" i="60"/>
  <c r="AY8" i="60"/>
  <c r="AY7" i="60"/>
  <c r="AY119" i="60"/>
  <c r="AY118" i="60"/>
  <c r="AY117" i="60"/>
  <c r="AY116" i="60"/>
  <c r="AY115" i="60"/>
  <c r="AY114" i="60"/>
  <c r="AY113" i="60"/>
  <c r="AY112" i="60"/>
  <c r="AY111" i="60"/>
  <c r="AY110" i="60"/>
  <c r="AY109" i="60"/>
  <c r="AY108" i="60"/>
  <c r="AY107" i="60"/>
  <c r="AY106" i="60"/>
  <c r="AY105" i="60"/>
  <c r="AY104" i="60"/>
  <c r="AY103" i="60"/>
  <c r="AY102" i="60"/>
  <c r="AY101" i="60"/>
  <c r="AY100" i="60"/>
  <c r="AY99" i="60"/>
  <c r="AY98" i="60"/>
  <c r="AY97" i="60"/>
  <c r="AY96" i="60"/>
  <c r="AY95" i="60"/>
  <c r="AY94" i="60"/>
  <c r="AY93" i="60"/>
  <c r="AY92" i="60"/>
  <c r="AY91" i="60"/>
  <c r="AY90" i="60"/>
  <c r="AY89" i="60"/>
  <c r="AY88" i="60"/>
  <c r="AY87" i="60"/>
  <c r="AY86" i="60"/>
  <c r="AY85" i="60"/>
  <c r="AY84" i="60"/>
  <c r="AY83" i="60"/>
  <c r="AY82" i="60"/>
  <c r="AY81" i="60"/>
  <c r="AY80" i="60"/>
  <c r="AY79" i="60"/>
  <c r="AY78" i="60"/>
  <c r="AY77" i="60"/>
  <c r="AY76" i="60"/>
  <c r="AY75" i="60"/>
  <c r="AY74" i="60"/>
  <c r="AY73" i="60"/>
  <c r="AY72" i="60"/>
  <c r="AY71" i="60"/>
  <c r="AY70" i="60"/>
  <c r="AY69" i="60"/>
  <c r="AY68" i="60"/>
  <c r="AY67" i="60"/>
  <c r="AY66" i="60"/>
  <c r="AY65" i="60"/>
  <c r="AY64" i="60"/>
  <c r="AY63" i="60"/>
  <c r="AY62" i="60"/>
  <c r="AY61" i="60"/>
  <c r="AY60" i="60"/>
  <c r="AY59" i="60"/>
  <c r="AY58" i="60"/>
  <c r="AY57" i="60"/>
  <c r="AY56" i="60"/>
  <c r="AY55" i="60"/>
  <c r="AY54" i="60"/>
  <c r="AY53" i="60"/>
  <c r="AY52" i="60"/>
  <c r="AY51" i="60"/>
  <c r="AY50" i="60"/>
  <c r="AY49" i="60"/>
  <c r="AY48" i="60"/>
  <c r="AY47" i="60"/>
  <c r="AY46" i="60"/>
  <c r="AY45" i="60"/>
  <c r="AY44" i="60"/>
  <c r="AY43" i="60"/>
  <c r="AY42" i="60"/>
  <c r="AY41" i="60"/>
  <c r="AY40" i="60"/>
  <c r="AY39" i="60"/>
  <c r="AY38" i="60"/>
  <c r="AY37" i="60"/>
  <c r="AY36" i="60"/>
  <c r="AY35" i="60"/>
  <c r="AY34" i="60"/>
  <c r="AY33" i="60"/>
  <c r="AY32" i="60"/>
  <c r="AY31" i="60"/>
  <c r="AY30" i="60"/>
  <c r="AY29" i="60"/>
  <c r="AY28" i="60"/>
  <c r="AY27" i="60"/>
  <c r="AY26" i="60"/>
  <c r="AY25" i="60"/>
  <c r="AY24" i="60"/>
  <c r="AY23" i="60"/>
  <c r="AY22" i="60"/>
  <c r="AY21" i="60"/>
  <c r="AY20" i="60"/>
  <c r="AY19" i="60"/>
  <c r="AY18" i="60"/>
  <c r="AY17" i="60"/>
  <c r="AY16" i="60"/>
  <c r="AY15" i="60"/>
  <c r="AY14" i="60"/>
  <c r="AY13" i="60"/>
  <c r="AL9" i="60"/>
  <c r="AL8" i="60"/>
  <c r="AL7" i="60"/>
  <c r="AJ9" i="60"/>
  <c r="AJ8" i="60"/>
  <c r="AJ7" i="60"/>
  <c r="AL119" i="60"/>
  <c r="AL118" i="60"/>
  <c r="AL117" i="60"/>
  <c r="AL116" i="60"/>
  <c r="AL115" i="60"/>
  <c r="AL114" i="60"/>
  <c r="AL113" i="60"/>
  <c r="AL112" i="60"/>
  <c r="AL111" i="60"/>
  <c r="AL110" i="60"/>
  <c r="AL109" i="60"/>
  <c r="AL108" i="60"/>
  <c r="AL107" i="60"/>
  <c r="AL106" i="60"/>
  <c r="AL105" i="60"/>
  <c r="AL104" i="60"/>
  <c r="AL103" i="60"/>
  <c r="AL102" i="60"/>
  <c r="AL101" i="60"/>
  <c r="AL100" i="60"/>
  <c r="AL99" i="60"/>
  <c r="AL98" i="60"/>
  <c r="AL97" i="60"/>
  <c r="AL96" i="60"/>
  <c r="AL95" i="60"/>
  <c r="AL94" i="60"/>
  <c r="AL93" i="60"/>
  <c r="AL92" i="60"/>
  <c r="AL91" i="60"/>
  <c r="AL90" i="60"/>
  <c r="AL89" i="60"/>
  <c r="AL88" i="60"/>
  <c r="AL87" i="60"/>
  <c r="AL86" i="60"/>
  <c r="AL85" i="60"/>
  <c r="AL84" i="60"/>
  <c r="AL83" i="60"/>
  <c r="AL82" i="60"/>
  <c r="AL81" i="60"/>
  <c r="AL80" i="60"/>
  <c r="AL79" i="60"/>
  <c r="AL78" i="60"/>
  <c r="AL77" i="60"/>
  <c r="AL76" i="60"/>
  <c r="AL75" i="60"/>
  <c r="AL74" i="60"/>
  <c r="AL73" i="60"/>
  <c r="AL72" i="60"/>
  <c r="AL71" i="60"/>
  <c r="AL70" i="60"/>
  <c r="AL69" i="60"/>
  <c r="AL68" i="60"/>
  <c r="AL67" i="60"/>
  <c r="AL66" i="60"/>
  <c r="AL65" i="60"/>
  <c r="AL64" i="60"/>
  <c r="AL63" i="60"/>
  <c r="AL62" i="60"/>
  <c r="AL61" i="60"/>
  <c r="AL60" i="60"/>
  <c r="AL59" i="60"/>
  <c r="AL58" i="60"/>
  <c r="AL57" i="60"/>
  <c r="AL56" i="60"/>
  <c r="AL55" i="60"/>
  <c r="AL54" i="60"/>
  <c r="AL53" i="60"/>
  <c r="AL52" i="60"/>
  <c r="AL51" i="60"/>
  <c r="AL50" i="60"/>
  <c r="AL49" i="60"/>
  <c r="AL48" i="60"/>
  <c r="AL47" i="60"/>
  <c r="AL46" i="60"/>
  <c r="AL45" i="60"/>
  <c r="AL44" i="60"/>
  <c r="AL43" i="60"/>
  <c r="AL42" i="60"/>
  <c r="AL41" i="60"/>
  <c r="AL40" i="60"/>
  <c r="AL39" i="60"/>
  <c r="AL38" i="60"/>
  <c r="AL37" i="60"/>
  <c r="AL36" i="60"/>
  <c r="AL35" i="60"/>
  <c r="AL34" i="60"/>
  <c r="AL33" i="60"/>
  <c r="AL32" i="60"/>
  <c r="AL31" i="60"/>
  <c r="AL30" i="60"/>
  <c r="AL29" i="60"/>
  <c r="AL28" i="60"/>
  <c r="AL27" i="60"/>
  <c r="AL26" i="60"/>
  <c r="AL25" i="60"/>
  <c r="AL24" i="60"/>
  <c r="AL23" i="60"/>
  <c r="AL22" i="60"/>
  <c r="AL21" i="60"/>
  <c r="AL20" i="60"/>
  <c r="AL19" i="60"/>
  <c r="AL18" i="60"/>
  <c r="AL17" i="60"/>
  <c r="AL16" i="60"/>
  <c r="AL15" i="60"/>
  <c r="AL14" i="60"/>
  <c r="AL13" i="60"/>
  <c r="AL12" i="60"/>
  <c r="AL11" i="60"/>
  <c r="AL10" i="60"/>
  <c r="AJ119" i="60"/>
  <c r="AJ118" i="60"/>
  <c r="AJ117" i="60"/>
  <c r="AJ116" i="60"/>
  <c r="AJ115" i="60"/>
  <c r="AJ114" i="60"/>
  <c r="AJ113" i="60"/>
  <c r="AJ112" i="60"/>
  <c r="AJ111" i="60"/>
  <c r="AJ110" i="60"/>
  <c r="AJ109" i="60"/>
  <c r="AJ108" i="60"/>
  <c r="AJ107" i="60"/>
  <c r="AJ106" i="60"/>
  <c r="AJ105" i="60"/>
  <c r="AJ104" i="60"/>
  <c r="AJ103" i="60"/>
  <c r="AJ102" i="60"/>
  <c r="AJ101" i="60"/>
  <c r="AJ100" i="60"/>
  <c r="AJ99" i="60"/>
  <c r="AJ98" i="60"/>
  <c r="AJ97" i="60"/>
  <c r="AJ96" i="60"/>
  <c r="AJ95" i="60"/>
  <c r="AJ94" i="60"/>
  <c r="AJ93" i="60"/>
  <c r="AJ92" i="60"/>
  <c r="AJ91" i="60"/>
  <c r="AJ90" i="60"/>
  <c r="AJ89" i="60"/>
  <c r="AJ88" i="60"/>
  <c r="AJ87" i="60"/>
  <c r="AJ86" i="60"/>
  <c r="AJ85" i="60"/>
  <c r="AJ84" i="60"/>
  <c r="AJ83" i="60"/>
  <c r="AJ82" i="60"/>
  <c r="AJ81" i="60"/>
  <c r="AJ80" i="60"/>
  <c r="AJ79" i="60"/>
  <c r="AJ78" i="60"/>
  <c r="AJ77" i="60"/>
  <c r="AJ76" i="60"/>
  <c r="AJ75" i="60"/>
  <c r="AJ74" i="60"/>
  <c r="AJ73" i="60"/>
  <c r="AJ72" i="60"/>
  <c r="AJ71" i="60"/>
  <c r="AJ70" i="60"/>
  <c r="AJ69" i="60"/>
  <c r="AJ68" i="60"/>
  <c r="AJ67" i="60"/>
  <c r="AJ66" i="60"/>
  <c r="AJ65" i="60"/>
  <c r="AJ64" i="60"/>
  <c r="AJ63" i="60"/>
  <c r="AJ62" i="60"/>
  <c r="AJ61" i="60"/>
  <c r="AJ60" i="60"/>
  <c r="AJ59" i="60"/>
  <c r="AJ58" i="60"/>
  <c r="AJ57" i="60"/>
  <c r="AJ56" i="60"/>
  <c r="AJ55" i="60"/>
  <c r="AJ54" i="60"/>
  <c r="AJ53" i="60"/>
  <c r="AJ52" i="60"/>
  <c r="AJ51" i="60"/>
  <c r="AJ50" i="60"/>
  <c r="AJ49" i="60"/>
  <c r="AJ48" i="60"/>
  <c r="AJ47" i="60"/>
  <c r="AJ46" i="60"/>
  <c r="AJ45" i="60"/>
  <c r="AJ44" i="60"/>
  <c r="AJ43" i="60"/>
  <c r="AJ42" i="60"/>
  <c r="AJ41" i="60"/>
  <c r="AJ40" i="60"/>
  <c r="AJ39" i="60"/>
  <c r="AJ38" i="60"/>
  <c r="AJ37" i="60"/>
  <c r="AJ36" i="60"/>
  <c r="AJ35" i="60"/>
  <c r="AJ34" i="60"/>
  <c r="AJ33" i="60"/>
  <c r="AJ32" i="60"/>
  <c r="AJ31" i="60"/>
  <c r="AJ30" i="60"/>
  <c r="AJ29" i="60"/>
  <c r="AJ28" i="60"/>
  <c r="AJ27" i="60"/>
  <c r="AJ26" i="60"/>
  <c r="AJ25" i="60"/>
  <c r="AJ24" i="60"/>
  <c r="AJ23" i="60"/>
  <c r="AJ22" i="60"/>
  <c r="AJ21" i="60"/>
  <c r="AJ20" i="60"/>
  <c r="AJ19" i="60"/>
  <c r="AJ18" i="60"/>
  <c r="AJ17" i="60"/>
  <c r="AJ16" i="60"/>
  <c r="AJ15" i="60"/>
  <c r="AJ14" i="60"/>
  <c r="AJ13" i="60"/>
  <c r="AJ12" i="60"/>
  <c r="AJ11" i="60"/>
  <c r="AJ10" i="60"/>
  <c r="AC119" i="60"/>
  <c r="AA119" i="60"/>
  <c r="AC118" i="60"/>
  <c r="AA118" i="60"/>
  <c r="AC117" i="60"/>
  <c r="AA117" i="60"/>
  <c r="AC116" i="60"/>
  <c r="AA116" i="60"/>
  <c r="AC115" i="60"/>
  <c r="AA115" i="60"/>
  <c r="AC114" i="60"/>
  <c r="AA114" i="60"/>
  <c r="AC113" i="60"/>
  <c r="AA113" i="60"/>
  <c r="AC112" i="60"/>
  <c r="AA112" i="60"/>
  <c r="AC111" i="60"/>
  <c r="AA111" i="60"/>
  <c r="AC110" i="60"/>
  <c r="AA110" i="60"/>
  <c r="AC109" i="60"/>
  <c r="AA109" i="60"/>
  <c r="AC108" i="60"/>
  <c r="AA108" i="60"/>
  <c r="AC107" i="60"/>
  <c r="AA107" i="60"/>
  <c r="AC106" i="60"/>
  <c r="AA106" i="60"/>
  <c r="AC105" i="60"/>
  <c r="AA105" i="60"/>
  <c r="AC104" i="60"/>
  <c r="AA104" i="60"/>
  <c r="AC103" i="60"/>
  <c r="AA103" i="60"/>
  <c r="AC102" i="60"/>
  <c r="AA102" i="60"/>
  <c r="AC101" i="60"/>
  <c r="AA101" i="60"/>
  <c r="AC100" i="60"/>
  <c r="AA100" i="60"/>
  <c r="AC99" i="60"/>
  <c r="AA99" i="60"/>
  <c r="AC98" i="60"/>
  <c r="AA98" i="60"/>
  <c r="AC97" i="60"/>
  <c r="AA97" i="60"/>
  <c r="AC96" i="60"/>
  <c r="AA96" i="60"/>
  <c r="AC95" i="60"/>
  <c r="AA95" i="60"/>
  <c r="AC94" i="60"/>
  <c r="AA94" i="60"/>
  <c r="AC93" i="60"/>
  <c r="AA93" i="60"/>
  <c r="AC92" i="60"/>
  <c r="AA92" i="60"/>
  <c r="AC91" i="60"/>
  <c r="AA91" i="60"/>
  <c r="AC90" i="60"/>
  <c r="AA90" i="60"/>
  <c r="AC89" i="60"/>
  <c r="AA89" i="60"/>
  <c r="AC88" i="60"/>
  <c r="AA88" i="60"/>
  <c r="AC87" i="60"/>
  <c r="AA87" i="60"/>
  <c r="AC86" i="60"/>
  <c r="AA86" i="60"/>
  <c r="AC85" i="60"/>
  <c r="AA85" i="60"/>
  <c r="AC84" i="60"/>
  <c r="AA84" i="60"/>
  <c r="AC83" i="60"/>
  <c r="AA83" i="60"/>
  <c r="AC82" i="60"/>
  <c r="AA82" i="60"/>
  <c r="AC81" i="60"/>
  <c r="AA81" i="60"/>
  <c r="AC80" i="60"/>
  <c r="AA80" i="60"/>
  <c r="AC79" i="60"/>
  <c r="AA79" i="60"/>
  <c r="AC78" i="60"/>
  <c r="AA78" i="60"/>
  <c r="AC77" i="60"/>
  <c r="AA77" i="60"/>
  <c r="AC76" i="60"/>
  <c r="AA76" i="60"/>
  <c r="AC75" i="60"/>
  <c r="AA75" i="60"/>
  <c r="AC74" i="60"/>
  <c r="AA74" i="60"/>
  <c r="AC73" i="60"/>
  <c r="AA73" i="60"/>
  <c r="AC72" i="60"/>
  <c r="AA72" i="60"/>
  <c r="AC71" i="60"/>
  <c r="AA71" i="60"/>
  <c r="AC70" i="60"/>
  <c r="AA70" i="60"/>
  <c r="AC69" i="60"/>
  <c r="AA69" i="60"/>
  <c r="AC68" i="60"/>
  <c r="AA68" i="60"/>
  <c r="AC67" i="60"/>
  <c r="AA67" i="60"/>
  <c r="AC66" i="60"/>
  <c r="AA66" i="60"/>
  <c r="AC65" i="60"/>
  <c r="AA65" i="60"/>
  <c r="AC64" i="60"/>
  <c r="AA64" i="60"/>
  <c r="AC63" i="60"/>
  <c r="AA63" i="60"/>
  <c r="AC62" i="60"/>
  <c r="AA62" i="60"/>
  <c r="AC61" i="60"/>
  <c r="AA61" i="60"/>
  <c r="AC60" i="60"/>
  <c r="AA60" i="60"/>
  <c r="AC59" i="60"/>
  <c r="AA59" i="60"/>
  <c r="AC58" i="60"/>
  <c r="AA58" i="60"/>
  <c r="AC57" i="60"/>
  <c r="AA57" i="60"/>
  <c r="AC56" i="60"/>
  <c r="AA56" i="60"/>
  <c r="AC55" i="60"/>
  <c r="AA55" i="60"/>
  <c r="AC54" i="60"/>
  <c r="AA54" i="60"/>
  <c r="AC53" i="60"/>
  <c r="AA53" i="60"/>
  <c r="AC52" i="60"/>
  <c r="AA52" i="60"/>
  <c r="AC51" i="60"/>
  <c r="AA51" i="60"/>
  <c r="AC50" i="60"/>
  <c r="AA50" i="60"/>
  <c r="AC49" i="60"/>
  <c r="AA49" i="60"/>
  <c r="AC48" i="60"/>
  <c r="AA48" i="60"/>
  <c r="AC47" i="60"/>
  <c r="AA47" i="60"/>
  <c r="AC46" i="60"/>
  <c r="AA46" i="60"/>
  <c r="AC45" i="60"/>
  <c r="AA45" i="60"/>
  <c r="AC44" i="60"/>
  <c r="AA44" i="60"/>
  <c r="AC43" i="60"/>
  <c r="AA43" i="60"/>
  <c r="AC42" i="60"/>
  <c r="AA42" i="60"/>
  <c r="AC41" i="60"/>
  <c r="AA41" i="60"/>
  <c r="AC40" i="60"/>
  <c r="AA40" i="60"/>
  <c r="AC39" i="60"/>
  <c r="AA39" i="60"/>
  <c r="AC38" i="60"/>
  <c r="AA38" i="60"/>
  <c r="AC37" i="60"/>
  <c r="AA37" i="60"/>
  <c r="AC36" i="60"/>
  <c r="AA36" i="60"/>
  <c r="AC35" i="60"/>
  <c r="AA35" i="60"/>
  <c r="AC34" i="60"/>
  <c r="AA34" i="60"/>
  <c r="AC33" i="60"/>
  <c r="AA33" i="60"/>
  <c r="AC32" i="60"/>
  <c r="AA32" i="60"/>
  <c r="AC31" i="60"/>
  <c r="AA31" i="60"/>
  <c r="AC30" i="60"/>
  <c r="AA30" i="60"/>
  <c r="AC29" i="60"/>
  <c r="AA29" i="60"/>
  <c r="AC28" i="60"/>
  <c r="AA28" i="60"/>
  <c r="AC27" i="60"/>
  <c r="AA27" i="60"/>
  <c r="AC26" i="60"/>
  <c r="AA26" i="60"/>
  <c r="AC25" i="60"/>
  <c r="AA25" i="60"/>
  <c r="AC24" i="60"/>
  <c r="AA24" i="60"/>
  <c r="AC23" i="60"/>
  <c r="AA23" i="60"/>
  <c r="AC22" i="60"/>
  <c r="AA22" i="60"/>
  <c r="AC21" i="60"/>
  <c r="AA21" i="60"/>
  <c r="AC20" i="60"/>
  <c r="AA20" i="60"/>
  <c r="AC19" i="60"/>
  <c r="AA19" i="60"/>
  <c r="AC18" i="60"/>
  <c r="AA18" i="60"/>
  <c r="AC17" i="60"/>
  <c r="AA17" i="60"/>
  <c r="AC16" i="60"/>
  <c r="AA16" i="60"/>
  <c r="AC15" i="60"/>
  <c r="AA15" i="60"/>
  <c r="AC14" i="60"/>
  <c r="AA14" i="60"/>
  <c r="AC13" i="60"/>
  <c r="AA13" i="60"/>
  <c r="AC12" i="60"/>
  <c r="AA12" i="60"/>
  <c r="AC11" i="60"/>
  <c r="AA11" i="60"/>
  <c r="AC10" i="60"/>
  <c r="AA10" i="60"/>
  <c r="AC9" i="60"/>
  <c r="AA9" i="60"/>
  <c r="AC8" i="60"/>
  <c r="AA8" i="60"/>
  <c r="AC7" i="60"/>
  <c r="AA7" i="60"/>
  <c r="W119" i="60"/>
  <c r="BN119" i="60" s="1"/>
  <c r="W118" i="60"/>
  <c r="BN118" i="60" s="1"/>
  <c r="BS118" i="60" s="1"/>
  <c r="W117" i="60"/>
  <c r="BN117" i="60" s="1"/>
  <c r="BS117" i="60" s="1"/>
  <c r="W116" i="60"/>
  <c r="W115" i="60"/>
  <c r="W114" i="60"/>
  <c r="W113" i="60"/>
  <c r="W112" i="60"/>
  <c r="W111" i="60"/>
  <c r="W110" i="60"/>
  <c r="W109" i="60"/>
  <c r="W108" i="60"/>
  <c r="W107" i="60"/>
  <c r="BN107" i="60" s="1"/>
  <c r="BS107" i="60" s="1"/>
  <c r="W106" i="60"/>
  <c r="BN106" i="60" s="1"/>
  <c r="BS106" i="60" s="1"/>
  <c r="W105" i="60"/>
  <c r="BN105" i="60" s="1"/>
  <c r="BS105" i="60" s="1"/>
  <c r="W104" i="60"/>
  <c r="W103" i="60"/>
  <c r="W102" i="60"/>
  <c r="W101" i="60"/>
  <c r="W100" i="60"/>
  <c r="W99" i="60"/>
  <c r="W98" i="60"/>
  <c r="W97" i="60"/>
  <c r="W96" i="60"/>
  <c r="W95" i="60"/>
  <c r="BN95" i="60" s="1"/>
  <c r="BS95" i="60" s="1"/>
  <c r="W94" i="60"/>
  <c r="BN94" i="60" s="1"/>
  <c r="BS94" i="60" s="1"/>
  <c r="W93" i="60"/>
  <c r="BN93" i="60" s="1"/>
  <c r="BS93" i="60" s="1"/>
  <c r="W92" i="60"/>
  <c r="W91" i="60"/>
  <c r="W90" i="60"/>
  <c r="W89" i="60"/>
  <c r="W88" i="60"/>
  <c r="W87" i="60"/>
  <c r="W86" i="60"/>
  <c r="W85" i="60"/>
  <c r="W84" i="60"/>
  <c r="W83" i="60"/>
  <c r="BN83" i="60" s="1"/>
  <c r="BS83" i="60" s="1"/>
  <c r="W82" i="60"/>
  <c r="BN82" i="60" s="1"/>
  <c r="BS82" i="60" s="1"/>
  <c r="W81" i="60"/>
  <c r="BN81" i="60" s="1"/>
  <c r="BS81" i="60" s="1"/>
  <c r="W80" i="60"/>
  <c r="W79" i="60"/>
  <c r="W78" i="60"/>
  <c r="W77" i="60"/>
  <c r="W76" i="60"/>
  <c r="W75" i="60"/>
  <c r="W74" i="60"/>
  <c r="W73" i="60"/>
  <c r="W72" i="60"/>
  <c r="W71" i="60"/>
  <c r="BN71" i="60" s="1"/>
  <c r="BS71" i="60" s="1"/>
  <c r="W70" i="60"/>
  <c r="BN70" i="60" s="1"/>
  <c r="BS70" i="60" s="1"/>
  <c r="W69" i="60"/>
  <c r="BN69" i="60" s="1"/>
  <c r="BS69" i="60" s="1"/>
  <c r="W68" i="60"/>
  <c r="W67" i="60"/>
  <c r="W66" i="60"/>
  <c r="W65" i="60"/>
  <c r="W64" i="60"/>
  <c r="W63" i="60"/>
  <c r="W62" i="60"/>
  <c r="W61" i="60"/>
  <c r="W60" i="60"/>
  <c r="W59" i="60"/>
  <c r="BN59" i="60" s="1"/>
  <c r="BS59" i="60" s="1"/>
  <c r="W58" i="60"/>
  <c r="BN58" i="60" s="1"/>
  <c r="BS58" i="60" s="1"/>
  <c r="W57" i="60"/>
  <c r="BN57" i="60" s="1"/>
  <c r="BS57" i="60" s="1"/>
  <c r="W56" i="60"/>
  <c r="W55" i="60"/>
  <c r="W54" i="60"/>
  <c r="W53" i="60"/>
  <c r="W52" i="60"/>
  <c r="W51" i="60"/>
  <c r="W50" i="60"/>
  <c r="W49" i="60"/>
  <c r="W48" i="60"/>
  <c r="W47" i="60"/>
  <c r="BN47" i="60" s="1"/>
  <c r="BS47" i="60" s="1"/>
  <c r="W46" i="60"/>
  <c r="BN46" i="60" s="1"/>
  <c r="BS46" i="60" s="1"/>
  <c r="W45" i="60"/>
  <c r="BN45" i="60" s="1"/>
  <c r="BS45" i="60" s="1"/>
  <c r="W44" i="60"/>
  <c r="W43" i="60"/>
  <c r="W42" i="60"/>
  <c r="W41" i="60"/>
  <c r="W40" i="60"/>
  <c r="W39" i="60"/>
  <c r="W38" i="60"/>
  <c r="W37" i="60"/>
  <c r="W36" i="60"/>
  <c r="W35" i="60"/>
  <c r="BN35" i="60" s="1"/>
  <c r="BS35" i="60" s="1"/>
  <c r="W34" i="60"/>
  <c r="BN34" i="60" s="1"/>
  <c r="BS34" i="60" s="1"/>
  <c r="W33" i="60"/>
  <c r="BN33" i="60" s="1"/>
  <c r="BS33" i="60" s="1"/>
  <c r="W32" i="60"/>
  <c r="W31" i="60"/>
  <c r="W30" i="60"/>
  <c r="W29" i="60"/>
  <c r="W28" i="60"/>
  <c r="W27" i="60"/>
  <c r="W26" i="60"/>
  <c r="W25" i="60"/>
  <c r="W24" i="60"/>
  <c r="W23" i="60"/>
  <c r="BN23" i="60" s="1"/>
  <c r="BS23" i="60" s="1"/>
  <c r="W22" i="60"/>
  <c r="BN22" i="60" s="1"/>
  <c r="BS22" i="60" s="1"/>
  <c r="W21" i="60"/>
  <c r="BN21" i="60" s="1"/>
  <c r="BS21" i="60" s="1"/>
  <c r="W20" i="60"/>
  <c r="W19" i="60"/>
  <c r="W18" i="60"/>
  <c r="W17" i="60"/>
  <c r="W16" i="60"/>
  <c r="W15" i="60"/>
  <c r="W14" i="60"/>
  <c r="W13" i="60"/>
  <c r="W12" i="60"/>
  <c r="W11" i="60"/>
  <c r="BN11" i="60" s="1"/>
  <c r="BS11" i="60" s="1"/>
  <c r="W10" i="60"/>
  <c r="BN10" i="60" s="1"/>
  <c r="BS10" i="60" s="1"/>
  <c r="W9" i="60"/>
  <c r="W8" i="60"/>
  <c r="W7" i="60"/>
  <c r="BN7" i="60" s="1"/>
  <c r="BS7" i="60" s="1"/>
  <c r="U119" i="60"/>
  <c r="U118" i="60"/>
  <c r="U117" i="60"/>
  <c r="U116" i="60"/>
  <c r="U115" i="60"/>
  <c r="U114" i="60"/>
  <c r="U113" i="60"/>
  <c r="BL113" i="60" s="1"/>
  <c r="U112" i="60"/>
  <c r="BL112" i="60" s="1"/>
  <c r="BQ112" i="60" s="1"/>
  <c r="U111" i="60"/>
  <c r="U110" i="60"/>
  <c r="BL110" i="60" s="1"/>
  <c r="U109" i="60"/>
  <c r="BL109" i="60" s="1"/>
  <c r="U108" i="60"/>
  <c r="BL108" i="60" s="1"/>
  <c r="U107" i="60"/>
  <c r="U106" i="60"/>
  <c r="U105" i="60"/>
  <c r="U104" i="60"/>
  <c r="U103" i="60"/>
  <c r="U102" i="60"/>
  <c r="U101" i="60"/>
  <c r="BL101" i="60" s="1"/>
  <c r="U100" i="60"/>
  <c r="BL100" i="60" s="1"/>
  <c r="U99" i="60"/>
  <c r="U98" i="60"/>
  <c r="BL98" i="60" s="1"/>
  <c r="BQ98" i="60" s="1"/>
  <c r="U97" i="60"/>
  <c r="BL97" i="60" s="1"/>
  <c r="U96" i="60"/>
  <c r="BL96" i="60" s="1"/>
  <c r="U95" i="60"/>
  <c r="U94" i="60"/>
  <c r="U93" i="60"/>
  <c r="U92" i="60"/>
  <c r="U91" i="60"/>
  <c r="U90" i="60"/>
  <c r="U89" i="60"/>
  <c r="BL89" i="60" s="1"/>
  <c r="U88" i="60"/>
  <c r="BL88" i="60" s="1"/>
  <c r="U87" i="60"/>
  <c r="U86" i="60"/>
  <c r="BL86" i="60" s="1"/>
  <c r="U85" i="60"/>
  <c r="BL85" i="60" s="1"/>
  <c r="U84" i="60"/>
  <c r="BL84" i="60" s="1"/>
  <c r="U83" i="60"/>
  <c r="U82" i="60"/>
  <c r="U81" i="60"/>
  <c r="U80" i="60"/>
  <c r="U79" i="60"/>
  <c r="U78" i="60"/>
  <c r="U77" i="60"/>
  <c r="BL77" i="60" s="1"/>
  <c r="U76" i="60"/>
  <c r="BL76" i="60" s="1"/>
  <c r="U75" i="60"/>
  <c r="U74" i="60"/>
  <c r="BL74" i="60" s="1"/>
  <c r="U73" i="60"/>
  <c r="BL73" i="60" s="1"/>
  <c r="U72" i="60"/>
  <c r="BL72" i="60" s="1"/>
  <c r="U71" i="60"/>
  <c r="U70" i="60"/>
  <c r="U69" i="60"/>
  <c r="U68" i="60"/>
  <c r="U67" i="60"/>
  <c r="U66" i="60"/>
  <c r="U65" i="60"/>
  <c r="BL65" i="60" s="1"/>
  <c r="U64" i="60"/>
  <c r="BL64" i="60" s="1"/>
  <c r="U63" i="60"/>
  <c r="U62" i="60"/>
  <c r="BL62" i="60" s="1"/>
  <c r="U61" i="60"/>
  <c r="BL61" i="60" s="1"/>
  <c r="U60" i="60"/>
  <c r="BL60" i="60" s="1"/>
  <c r="U59" i="60"/>
  <c r="U58" i="60"/>
  <c r="U57" i="60"/>
  <c r="U56" i="60"/>
  <c r="U55" i="60"/>
  <c r="U54" i="60"/>
  <c r="U53" i="60"/>
  <c r="BL53" i="60" s="1"/>
  <c r="U52" i="60"/>
  <c r="BL52" i="60" s="1"/>
  <c r="U51" i="60"/>
  <c r="U50" i="60"/>
  <c r="BL50" i="60" s="1"/>
  <c r="U49" i="60"/>
  <c r="BL49" i="60" s="1"/>
  <c r="U48" i="60"/>
  <c r="BL48" i="60" s="1"/>
  <c r="U47" i="60"/>
  <c r="U46" i="60"/>
  <c r="U45" i="60"/>
  <c r="U44" i="60"/>
  <c r="U43" i="60"/>
  <c r="U42" i="60"/>
  <c r="U41" i="60"/>
  <c r="BL41" i="60" s="1"/>
  <c r="U40" i="60"/>
  <c r="BL40" i="60" s="1"/>
  <c r="U39" i="60"/>
  <c r="U38" i="60"/>
  <c r="BL38" i="60" s="1"/>
  <c r="U37" i="60"/>
  <c r="BL37" i="60" s="1"/>
  <c r="BQ37" i="60" s="1"/>
  <c r="U36" i="60"/>
  <c r="BL36" i="60" s="1"/>
  <c r="BQ36" i="60" s="1"/>
  <c r="U35" i="60"/>
  <c r="U34" i="60"/>
  <c r="U33" i="60"/>
  <c r="U32" i="60"/>
  <c r="U31" i="60"/>
  <c r="U30" i="60"/>
  <c r="U29" i="60"/>
  <c r="BL29" i="60" s="1"/>
  <c r="U28" i="60"/>
  <c r="BL28" i="60" s="1"/>
  <c r="U27" i="60"/>
  <c r="U26" i="60"/>
  <c r="BL26" i="60" s="1"/>
  <c r="U25" i="60"/>
  <c r="BL25" i="60" s="1"/>
  <c r="U24" i="60"/>
  <c r="BL24" i="60" s="1"/>
  <c r="U23" i="60"/>
  <c r="U22" i="60"/>
  <c r="U21" i="60"/>
  <c r="U20" i="60"/>
  <c r="U19" i="60"/>
  <c r="U18" i="60"/>
  <c r="U17" i="60"/>
  <c r="BL17" i="60" s="1"/>
  <c r="U16" i="60"/>
  <c r="BL16" i="60" s="1"/>
  <c r="U15" i="60"/>
  <c r="U14" i="60"/>
  <c r="BL14" i="60" s="1"/>
  <c r="U13" i="60"/>
  <c r="BL13" i="60" s="1"/>
  <c r="U12" i="60"/>
  <c r="BL12" i="60" s="1"/>
  <c r="U11" i="60"/>
  <c r="BL11" i="60" s="1"/>
  <c r="U10" i="60"/>
  <c r="U9" i="60"/>
  <c r="U8" i="60"/>
  <c r="U7" i="60"/>
  <c r="BN8" i="60" l="1"/>
  <c r="BS8" i="60" s="1"/>
  <c r="BN9" i="60"/>
  <c r="BS9" i="60" s="1"/>
  <c r="BN50" i="60"/>
  <c r="BS50" i="60" s="1"/>
  <c r="BN14" i="60"/>
  <c r="BS14" i="60" s="1"/>
  <c r="BN38" i="60"/>
  <c r="BS38" i="60" s="1"/>
  <c r="BN74" i="60"/>
  <c r="BS74" i="60" s="1"/>
  <c r="BN98" i="60"/>
  <c r="BS98" i="60" s="1"/>
  <c r="BL7" i="60"/>
  <c r="BN26" i="60"/>
  <c r="BS26" i="60" s="1"/>
  <c r="BN62" i="60"/>
  <c r="BS62" i="60" s="1"/>
  <c r="BN86" i="60"/>
  <c r="BS86" i="60" s="1"/>
  <c r="BN110" i="60"/>
  <c r="BS110" i="60" s="1"/>
  <c r="BN17" i="60"/>
  <c r="BS17" i="60" s="1"/>
  <c r="BN29" i="60"/>
  <c r="BS29" i="60" s="1"/>
  <c r="BN41" i="60"/>
  <c r="BS41" i="60" s="1"/>
  <c r="BN53" i="60"/>
  <c r="BS53" i="60" s="1"/>
  <c r="BN65" i="60"/>
  <c r="BS65" i="60" s="1"/>
  <c r="BN77" i="60"/>
  <c r="BS77" i="60" s="1"/>
  <c r="BN89" i="60"/>
  <c r="BS89" i="60" s="1"/>
  <c r="BN101" i="60"/>
  <c r="BS101" i="60" s="1"/>
  <c r="BN113" i="60"/>
  <c r="BS113" i="60" s="1"/>
  <c r="BL10" i="60"/>
  <c r="BQ10" i="60" s="1"/>
  <c r="BN19" i="60"/>
  <c r="BS19" i="60" s="1"/>
  <c r="BN31" i="60"/>
  <c r="BS31" i="60" s="1"/>
  <c r="BN43" i="60"/>
  <c r="BS43" i="60" s="1"/>
  <c r="BN55" i="60"/>
  <c r="BS55" i="60" s="1"/>
  <c r="BN67" i="60"/>
  <c r="BS67" i="60" s="1"/>
  <c r="BN79" i="60"/>
  <c r="BS79" i="60" s="1"/>
  <c r="BN91" i="60"/>
  <c r="BS91" i="60" s="1"/>
  <c r="BN103" i="60"/>
  <c r="BS103" i="60" s="1"/>
  <c r="BN115" i="60"/>
  <c r="BS115" i="60" s="1"/>
  <c r="BL78" i="60"/>
  <c r="BQ78" i="60" s="1"/>
  <c r="BN25" i="60"/>
  <c r="BS25" i="60" s="1"/>
  <c r="BN85" i="60"/>
  <c r="BS85" i="60" s="1"/>
  <c r="BL30" i="60"/>
  <c r="BQ30" i="60" s="1"/>
  <c r="BL90" i="60"/>
  <c r="BQ90" i="60" s="1"/>
  <c r="BN61" i="60"/>
  <c r="BS61" i="60" s="1"/>
  <c r="BL54" i="60"/>
  <c r="BQ54" i="60" s="1"/>
  <c r="BL114" i="60"/>
  <c r="BN37" i="60"/>
  <c r="BS37" i="60" s="1"/>
  <c r="BN73" i="60"/>
  <c r="BS73" i="60" s="1"/>
  <c r="BN15" i="60"/>
  <c r="BS15" i="60" s="1"/>
  <c r="BN27" i="60"/>
  <c r="BS27" i="60" s="1"/>
  <c r="BN39" i="60"/>
  <c r="BS39" i="60" s="1"/>
  <c r="BN51" i="60"/>
  <c r="BS51" i="60" s="1"/>
  <c r="BN63" i="60"/>
  <c r="BS63" i="60" s="1"/>
  <c r="BN75" i="60"/>
  <c r="BS75" i="60" s="1"/>
  <c r="BN87" i="60"/>
  <c r="BS87" i="60" s="1"/>
  <c r="BN99" i="60"/>
  <c r="BS99" i="60" s="1"/>
  <c r="BN111" i="60"/>
  <c r="BS111" i="60" s="1"/>
  <c r="BL18" i="60"/>
  <c r="BL42" i="60"/>
  <c r="BQ42" i="60" s="1"/>
  <c r="BL102" i="60"/>
  <c r="BQ102" i="60" s="1"/>
  <c r="BN49" i="60"/>
  <c r="BS49" i="60" s="1"/>
  <c r="BN109" i="60"/>
  <c r="BS109" i="60" s="1"/>
  <c r="BL9" i="60"/>
  <c r="BQ9" i="60" s="1"/>
  <c r="BL21" i="60"/>
  <c r="BQ21" i="60" s="1"/>
  <c r="BL33" i="60"/>
  <c r="BQ33" i="60" s="1"/>
  <c r="BL45" i="60"/>
  <c r="BQ45" i="60" s="1"/>
  <c r="BL57" i="60"/>
  <c r="BQ57" i="60" s="1"/>
  <c r="BL69" i="60"/>
  <c r="BQ69" i="60" s="1"/>
  <c r="BL81" i="60"/>
  <c r="BQ81" i="60" s="1"/>
  <c r="BL93" i="60"/>
  <c r="BL105" i="60"/>
  <c r="BL117" i="60"/>
  <c r="BQ117" i="60" s="1"/>
  <c r="BL66" i="60"/>
  <c r="BQ66" i="60" s="1"/>
  <c r="BN13" i="60"/>
  <c r="BS13" i="60" s="1"/>
  <c r="BN97" i="60"/>
  <c r="BS97" i="60" s="1"/>
  <c r="BS119" i="60"/>
  <c r="BN122" i="60"/>
  <c r="BL20" i="60"/>
  <c r="BQ20" i="60" s="1"/>
  <c r="BL32" i="60"/>
  <c r="BQ32" i="60" s="1"/>
  <c r="BL44" i="60"/>
  <c r="BQ44" i="60" s="1"/>
  <c r="BL56" i="60"/>
  <c r="BQ56" i="60" s="1"/>
  <c r="BL68" i="60"/>
  <c r="BQ68" i="60" s="1"/>
  <c r="BL80" i="60"/>
  <c r="BL92" i="60"/>
  <c r="BQ92" i="60" s="1"/>
  <c r="BL104" i="60"/>
  <c r="BQ104" i="60" s="1"/>
  <c r="BL116" i="60"/>
  <c r="BQ116" i="60" s="1"/>
  <c r="BL22" i="60"/>
  <c r="BQ22" i="60" s="1"/>
  <c r="BL34" i="60"/>
  <c r="BQ34" i="60" s="1"/>
  <c r="BL46" i="60"/>
  <c r="BQ46" i="60" s="1"/>
  <c r="BL58" i="60"/>
  <c r="BQ58" i="60" s="1"/>
  <c r="BL70" i="60"/>
  <c r="BQ70" i="60" s="1"/>
  <c r="BL82" i="60"/>
  <c r="BQ82" i="60" s="1"/>
  <c r="BL94" i="60"/>
  <c r="BQ94" i="60" s="1"/>
  <c r="BL106" i="60"/>
  <c r="BL118" i="60"/>
  <c r="BQ118" i="60" s="1"/>
  <c r="BN18" i="60"/>
  <c r="BS18" i="60" s="1"/>
  <c r="BN30" i="60"/>
  <c r="BS30" i="60" s="1"/>
  <c r="BN42" i="60"/>
  <c r="BS42" i="60" s="1"/>
  <c r="BN54" i="60"/>
  <c r="BS54" i="60" s="1"/>
  <c r="BN66" i="60"/>
  <c r="BS66" i="60" s="1"/>
  <c r="BN78" i="60"/>
  <c r="BS78" i="60" s="1"/>
  <c r="BN90" i="60"/>
  <c r="BS90" i="60" s="1"/>
  <c r="BN102" i="60"/>
  <c r="BS102" i="60" s="1"/>
  <c r="BN114" i="60"/>
  <c r="BS114" i="60" s="1"/>
  <c r="BQ25" i="60"/>
  <c r="BQ49" i="60"/>
  <c r="BQ85" i="60"/>
  <c r="BQ89" i="60"/>
  <c r="BQ93" i="60"/>
  <c r="BQ97" i="60"/>
  <c r="BQ113" i="60"/>
  <c r="BQ13" i="60"/>
  <c r="BQ61" i="60"/>
  <c r="BQ77" i="60"/>
  <c r="BQ109" i="60"/>
  <c r="BQ14" i="60"/>
  <c r="BQ18" i="60"/>
  <c r="BQ26" i="60"/>
  <c r="BQ38" i="60"/>
  <c r="BQ50" i="60"/>
  <c r="BQ62" i="60"/>
  <c r="BQ74" i="60"/>
  <c r="BQ86" i="60"/>
  <c r="BQ106" i="60"/>
  <c r="BQ110" i="60"/>
  <c r="BQ114" i="60"/>
  <c r="BQ17" i="60"/>
  <c r="BQ29" i="60"/>
  <c r="BQ41" i="60"/>
  <c r="BQ73" i="60"/>
  <c r="BQ101" i="60"/>
  <c r="BQ7" i="60"/>
  <c r="BQ11" i="60"/>
  <c r="BL15" i="60"/>
  <c r="BL19" i="60"/>
  <c r="BL23" i="60"/>
  <c r="BQ23" i="60" s="1"/>
  <c r="BL27" i="60"/>
  <c r="BQ27" i="60" s="1"/>
  <c r="BL31" i="60"/>
  <c r="BQ31" i="60" s="1"/>
  <c r="BL35" i="60"/>
  <c r="BL39" i="60"/>
  <c r="BL43" i="60"/>
  <c r="BL47" i="60"/>
  <c r="BL51" i="60"/>
  <c r="BL55" i="60"/>
  <c r="BL59" i="60"/>
  <c r="BL63" i="60"/>
  <c r="BL67" i="60"/>
  <c r="BL71" i="60"/>
  <c r="BL75" i="60"/>
  <c r="BL79" i="60"/>
  <c r="BL83" i="60"/>
  <c r="BL87" i="60"/>
  <c r="BL91" i="60"/>
  <c r="BL95" i="60"/>
  <c r="BL99" i="60"/>
  <c r="BQ99" i="60" s="1"/>
  <c r="BL103" i="60"/>
  <c r="BL107" i="60"/>
  <c r="BL111" i="60"/>
  <c r="BL115" i="60"/>
  <c r="BL119" i="60"/>
  <c r="BQ53" i="60"/>
  <c r="BQ65" i="60"/>
  <c r="BQ105" i="60"/>
  <c r="BQ12" i="60"/>
  <c r="BQ16" i="60"/>
  <c r="BQ24" i="60"/>
  <c r="BQ28" i="60"/>
  <c r="BQ40" i="60"/>
  <c r="BQ48" i="60"/>
  <c r="BQ52" i="60"/>
  <c r="BQ60" i="60"/>
  <c r="BQ64" i="60"/>
  <c r="BQ72" i="60"/>
  <c r="BQ76" i="60"/>
  <c r="BQ80" i="60"/>
  <c r="BQ84" i="60"/>
  <c r="BQ88" i="60"/>
  <c r="BQ96" i="60"/>
  <c r="BQ100" i="60"/>
  <c r="BQ108" i="60"/>
  <c r="BN12" i="60"/>
  <c r="BS12" i="60" s="1"/>
  <c r="BN16" i="60"/>
  <c r="BS16" i="60" s="1"/>
  <c r="BN20" i="60"/>
  <c r="BS20" i="60" s="1"/>
  <c r="BN24" i="60"/>
  <c r="BS24" i="60" s="1"/>
  <c r="BN28" i="60"/>
  <c r="BS28" i="60" s="1"/>
  <c r="BN32" i="60"/>
  <c r="BS32" i="60" s="1"/>
  <c r="BN36" i="60"/>
  <c r="BS36" i="60" s="1"/>
  <c r="BN40" i="60"/>
  <c r="BS40" i="60" s="1"/>
  <c r="BN44" i="60"/>
  <c r="BS44" i="60" s="1"/>
  <c r="BN48" i="60"/>
  <c r="BS48" i="60" s="1"/>
  <c r="BN52" i="60"/>
  <c r="BS52" i="60" s="1"/>
  <c r="BN56" i="60"/>
  <c r="BS56" i="60" s="1"/>
  <c r="BN60" i="60"/>
  <c r="BS60" i="60" s="1"/>
  <c r="BN64" i="60"/>
  <c r="BS64" i="60" s="1"/>
  <c r="BN68" i="60"/>
  <c r="BS68" i="60" s="1"/>
  <c r="BN72" i="60"/>
  <c r="BS72" i="60" s="1"/>
  <c r="BN76" i="60"/>
  <c r="BS76" i="60" s="1"/>
  <c r="BN80" i="60"/>
  <c r="BS80" i="60" s="1"/>
  <c r="BN84" i="60"/>
  <c r="BS84" i="60" s="1"/>
  <c r="BN88" i="60"/>
  <c r="BS88" i="60" s="1"/>
  <c r="BN92" i="60"/>
  <c r="BS92" i="60" s="1"/>
  <c r="BN96" i="60"/>
  <c r="BS96" i="60" s="1"/>
  <c r="BN100" i="60"/>
  <c r="BS100" i="60" s="1"/>
  <c r="BN104" i="60"/>
  <c r="BS104" i="60" s="1"/>
  <c r="BN108" i="60"/>
  <c r="BS108" i="60" s="1"/>
  <c r="BN112" i="60"/>
  <c r="BS112" i="60" s="1"/>
  <c r="BN116" i="60"/>
  <c r="BS116" i="60" s="1"/>
  <c r="BL8" i="60"/>
  <c r="BQ107" i="60" l="1"/>
  <c r="BQ91" i="60"/>
  <c r="BQ75" i="60"/>
  <c r="BQ59" i="60"/>
  <c r="BQ43" i="60"/>
  <c r="BQ119" i="60"/>
  <c r="BL122" i="60"/>
  <c r="BQ103" i="60"/>
  <c r="BQ87" i="60"/>
  <c r="BQ71" i="60"/>
  <c r="BQ55" i="60"/>
  <c r="BQ39" i="60"/>
  <c r="BQ8" i="60"/>
  <c r="BQ115" i="60"/>
  <c r="BQ83" i="60"/>
  <c r="BQ67" i="60"/>
  <c r="BQ51" i="60"/>
  <c r="BQ35" i="60"/>
  <c r="BQ19" i="60"/>
  <c r="BQ111" i="60"/>
  <c r="BQ95" i="60"/>
  <c r="BQ79" i="60"/>
  <c r="BQ63" i="60"/>
  <c r="BQ47" i="60"/>
  <c r="BQ15" i="60"/>
  <c r="V87" i="51" l="1"/>
  <c r="U87" i="51"/>
  <c r="T87" i="51"/>
  <c r="S87" i="51"/>
  <c r="R87" i="51"/>
  <c r="Q87" i="51"/>
  <c r="P87" i="51"/>
  <c r="O87" i="51"/>
  <c r="N87" i="51"/>
  <c r="M87" i="51"/>
  <c r="L87" i="51"/>
  <c r="K87" i="51"/>
  <c r="V35" i="30"/>
  <c r="V29" i="30"/>
  <c r="V25" i="30"/>
  <c r="V22" i="30" l="1"/>
  <c r="V19" i="30" s="1"/>
  <c r="W117" i="3" l="1"/>
  <c r="BF118" i="60" s="1"/>
  <c r="W116" i="3"/>
  <c r="BF117" i="60" s="1"/>
  <c r="W114" i="3"/>
  <c r="BF115" i="60" s="1"/>
  <c r="W113" i="3"/>
  <c r="BF114" i="60" s="1"/>
  <c r="W110" i="3"/>
  <c r="BF111" i="60" s="1"/>
  <c r="W109" i="3"/>
  <c r="BF110" i="60" s="1"/>
  <c r="W108" i="3"/>
  <c r="BF109" i="60" s="1"/>
  <c r="W106" i="3"/>
  <c r="BF107" i="60" s="1"/>
  <c r="W105" i="3"/>
  <c r="BF106" i="60" s="1"/>
  <c r="W104" i="3"/>
  <c r="BF105" i="60" s="1"/>
  <c r="W103" i="3"/>
  <c r="BF104" i="60" s="1"/>
  <c r="W102" i="3"/>
  <c r="BF103" i="60" s="1"/>
  <c r="W101" i="3"/>
  <c r="BF102" i="60" s="1"/>
  <c r="W96" i="3"/>
  <c r="BF97" i="60" s="1"/>
  <c r="W95" i="3"/>
  <c r="BF96" i="60" s="1"/>
  <c r="W94" i="3"/>
  <c r="BF95" i="60" s="1"/>
  <c r="W93" i="3"/>
  <c r="BF94" i="60" s="1"/>
  <c r="W92" i="3"/>
  <c r="BF93" i="60" s="1"/>
  <c r="W91" i="3"/>
  <c r="BF92" i="60" s="1"/>
  <c r="W90" i="3"/>
  <c r="BF91" i="60" s="1"/>
  <c r="W89" i="3"/>
  <c r="BF90" i="60" s="1"/>
  <c r="W88" i="3"/>
  <c r="BF89" i="60" s="1"/>
  <c r="W87" i="3"/>
  <c r="BF88" i="60" s="1"/>
  <c r="W86" i="3"/>
  <c r="BF87" i="60" s="1"/>
  <c r="W84" i="3"/>
  <c r="BF85" i="60" s="1"/>
  <c r="W83" i="3"/>
  <c r="BF84" i="60" s="1"/>
  <c r="W82" i="3"/>
  <c r="BF83" i="60" s="1"/>
  <c r="W81" i="3"/>
  <c r="BF82" i="60" s="1"/>
  <c r="W79" i="3"/>
  <c r="BF80" i="60" s="1"/>
  <c r="W78" i="3"/>
  <c r="BF79" i="60" s="1"/>
  <c r="W77" i="3"/>
  <c r="BF78" i="60" s="1"/>
  <c r="W76" i="3"/>
  <c r="BF77" i="60" s="1"/>
  <c r="W75" i="3"/>
  <c r="BF76" i="60" s="1"/>
  <c r="W74" i="3"/>
  <c r="BF75" i="60" s="1"/>
  <c r="W73" i="3"/>
  <c r="BF74" i="60" s="1"/>
  <c r="W71" i="3"/>
  <c r="BF72" i="60" s="1"/>
  <c r="W70" i="3"/>
  <c r="BF71" i="60" s="1"/>
  <c r="W69" i="3"/>
  <c r="BF70" i="60" s="1"/>
  <c r="W68" i="3"/>
  <c r="BF69" i="60" s="1"/>
  <c r="W66" i="3"/>
  <c r="BF67" i="60" s="1"/>
  <c r="W65" i="3"/>
  <c r="BF66" i="60" s="1"/>
  <c r="W64" i="3"/>
  <c r="BF65" i="60" s="1"/>
  <c r="W63" i="3"/>
  <c r="BF64" i="60" s="1"/>
  <c r="W62" i="3"/>
  <c r="BF63" i="60" s="1"/>
  <c r="W61" i="3"/>
  <c r="BF62" i="60" s="1"/>
  <c r="W60" i="3"/>
  <c r="BF61" i="60" s="1"/>
  <c r="W59" i="3"/>
  <c r="BF60" i="60" s="1"/>
  <c r="W57" i="3"/>
  <c r="BF58" i="60" s="1"/>
  <c r="W56" i="3"/>
  <c r="BF57" i="60" s="1"/>
  <c r="W55" i="3"/>
  <c r="BF56" i="60" s="1"/>
  <c r="W54" i="3"/>
  <c r="BF55" i="60" s="1"/>
  <c r="W53" i="3"/>
  <c r="BF54" i="60" s="1"/>
  <c r="W52" i="3"/>
  <c r="BF53" i="60" s="1"/>
  <c r="W51" i="3"/>
  <c r="BF52" i="60" s="1"/>
  <c r="W49" i="3"/>
  <c r="BF50" i="60" s="1"/>
  <c r="W48" i="3"/>
  <c r="BF49" i="60" s="1"/>
  <c r="W47" i="3"/>
  <c r="BF48" i="60" s="1"/>
  <c r="W45" i="3"/>
  <c r="BF46" i="60" s="1"/>
  <c r="W44" i="3"/>
  <c r="BF45" i="60" s="1"/>
  <c r="W43" i="3"/>
  <c r="BF44" i="60" s="1"/>
  <c r="W42" i="3"/>
  <c r="BF43" i="60" s="1"/>
  <c r="W40" i="3"/>
  <c r="BF41" i="60" s="1"/>
  <c r="W39" i="3"/>
  <c r="BF40" i="60" s="1"/>
  <c r="W38" i="3"/>
  <c r="BF39" i="60" s="1"/>
  <c r="W36" i="3"/>
  <c r="BF37" i="60" s="1"/>
  <c r="W35" i="3"/>
  <c r="BF36" i="60" s="1"/>
  <c r="W34" i="3"/>
  <c r="BF35" i="60" s="1"/>
  <c r="W33" i="3"/>
  <c r="BF34" i="60" s="1"/>
  <c r="W32" i="3"/>
  <c r="BF33" i="60" s="1"/>
  <c r="W30" i="3"/>
  <c r="BF31" i="60" s="1"/>
  <c r="W29" i="3"/>
  <c r="BF30" i="60" s="1"/>
  <c r="W28" i="3"/>
  <c r="BF29" i="60" s="1"/>
  <c r="W27" i="3"/>
  <c r="BF28" i="60" s="1"/>
  <c r="W26" i="3"/>
  <c r="BF27" i="60" s="1"/>
  <c r="W25" i="3"/>
  <c r="BF26" i="60" s="1"/>
  <c r="W24" i="3"/>
  <c r="BF25" i="60" s="1"/>
  <c r="W23" i="3"/>
  <c r="BF24" i="60" s="1"/>
  <c r="W21" i="3"/>
  <c r="BF22" i="60" s="1"/>
  <c r="W20" i="3"/>
  <c r="BF21" i="60" s="1"/>
  <c r="W17" i="3"/>
  <c r="BF18" i="60" s="1"/>
  <c r="W16" i="3"/>
  <c r="BF17" i="60" s="1"/>
  <c r="W15" i="3"/>
  <c r="BF16" i="60" s="1"/>
  <c r="W14" i="3"/>
  <c r="BF15" i="60" s="1"/>
  <c r="W13" i="3"/>
  <c r="BF14" i="60" s="1"/>
  <c r="W12" i="3"/>
  <c r="BF13" i="60" s="1"/>
  <c r="W11" i="3"/>
  <c r="BF12" i="60" s="1"/>
  <c r="W10" i="3"/>
  <c r="BF11" i="60" s="1"/>
  <c r="W9" i="3"/>
  <c r="BF10" i="60" s="1"/>
  <c r="W8" i="3"/>
  <c r="BF9" i="60" s="1"/>
  <c r="W7" i="3"/>
  <c r="BF8" i="60" s="1"/>
  <c r="W117" i="28"/>
  <c r="E118" i="60" s="1"/>
  <c r="W116" i="28"/>
  <c r="E117" i="60" s="1"/>
  <c r="W114" i="28"/>
  <c r="E115" i="60" s="1"/>
  <c r="W113" i="28"/>
  <c r="E114" i="60" s="1"/>
  <c r="W110" i="28"/>
  <c r="E111" i="60" s="1"/>
  <c r="W109" i="28"/>
  <c r="E110" i="60" s="1"/>
  <c r="W108" i="28"/>
  <c r="E109" i="60" s="1"/>
  <c r="W106" i="28"/>
  <c r="E107" i="60" s="1"/>
  <c r="W105" i="28"/>
  <c r="E106" i="60" s="1"/>
  <c r="W104" i="28"/>
  <c r="E105" i="60" s="1"/>
  <c r="W103" i="28"/>
  <c r="E104" i="60" s="1"/>
  <c r="W102" i="28"/>
  <c r="E103" i="60" s="1"/>
  <c r="W101" i="28"/>
  <c r="E102" i="60" s="1"/>
  <c r="W96" i="28"/>
  <c r="E97" i="60" s="1"/>
  <c r="W95" i="28"/>
  <c r="E96" i="60" s="1"/>
  <c r="W94" i="28"/>
  <c r="E95" i="60" s="1"/>
  <c r="W93" i="28"/>
  <c r="E94" i="60" s="1"/>
  <c r="W92" i="28"/>
  <c r="E93" i="60" s="1"/>
  <c r="W91" i="28"/>
  <c r="E92" i="60" s="1"/>
  <c r="W90" i="28"/>
  <c r="E91" i="60" s="1"/>
  <c r="W89" i="28"/>
  <c r="E90" i="60" s="1"/>
  <c r="W88" i="28"/>
  <c r="E89" i="60" s="1"/>
  <c r="W87" i="28"/>
  <c r="E88" i="60" s="1"/>
  <c r="W86" i="28"/>
  <c r="E87" i="60" s="1"/>
  <c r="W84" i="28"/>
  <c r="E85" i="60" s="1"/>
  <c r="W83" i="28"/>
  <c r="E84" i="60" s="1"/>
  <c r="W82" i="28"/>
  <c r="E83" i="60" s="1"/>
  <c r="W81" i="28"/>
  <c r="E82" i="60" s="1"/>
  <c r="W79" i="28"/>
  <c r="E80" i="60" s="1"/>
  <c r="W78" i="28"/>
  <c r="E79" i="60" s="1"/>
  <c r="W77" i="28"/>
  <c r="E78" i="60" s="1"/>
  <c r="W76" i="28"/>
  <c r="E77" i="60" s="1"/>
  <c r="W75" i="28"/>
  <c r="E76" i="60" s="1"/>
  <c r="W74" i="28"/>
  <c r="E75" i="60" s="1"/>
  <c r="W73" i="28"/>
  <c r="E74" i="60" s="1"/>
  <c r="W71" i="28"/>
  <c r="E72" i="60" s="1"/>
  <c r="W70" i="28"/>
  <c r="E71" i="60" s="1"/>
  <c r="W69" i="28"/>
  <c r="E70" i="60" s="1"/>
  <c r="W68" i="28"/>
  <c r="E69" i="60" s="1"/>
  <c r="W66" i="28"/>
  <c r="E67" i="60" s="1"/>
  <c r="W65" i="28"/>
  <c r="E66" i="60" s="1"/>
  <c r="W64" i="28"/>
  <c r="E65" i="60" s="1"/>
  <c r="W63" i="28"/>
  <c r="E64" i="60" s="1"/>
  <c r="W62" i="28"/>
  <c r="E63" i="60" s="1"/>
  <c r="W61" i="28"/>
  <c r="E62" i="60" s="1"/>
  <c r="W60" i="28"/>
  <c r="E61" i="60" s="1"/>
  <c r="W59" i="28"/>
  <c r="E60" i="60" s="1"/>
  <c r="W57" i="28"/>
  <c r="E58" i="60" s="1"/>
  <c r="W56" i="28"/>
  <c r="E57" i="60" s="1"/>
  <c r="W55" i="28"/>
  <c r="E56" i="60" s="1"/>
  <c r="W54" i="28"/>
  <c r="E55" i="60" s="1"/>
  <c r="W53" i="28"/>
  <c r="E54" i="60" s="1"/>
  <c r="W52" i="28"/>
  <c r="E53" i="60" s="1"/>
  <c r="W51" i="28"/>
  <c r="E52" i="60" s="1"/>
  <c r="W49" i="28"/>
  <c r="E50" i="60" s="1"/>
  <c r="W48" i="28"/>
  <c r="E49" i="60" s="1"/>
  <c r="W47" i="28"/>
  <c r="E48" i="60" s="1"/>
  <c r="W45" i="28"/>
  <c r="E46" i="60" s="1"/>
  <c r="W44" i="28"/>
  <c r="E45" i="60" s="1"/>
  <c r="W43" i="28"/>
  <c r="E44" i="60" s="1"/>
  <c r="W42" i="28"/>
  <c r="E43" i="60" s="1"/>
  <c r="W40" i="28"/>
  <c r="E41" i="60" s="1"/>
  <c r="W39" i="28"/>
  <c r="E40" i="60" s="1"/>
  <c r="W38" i="28"/>
  <c r="E39" i="60" s="1"/>
  <c r="W36" i="28"/>
  <c r="E37" i="60" s="1"/>
  <c r="E36" i="60"/>
  <c r="W34" i="28"/>
  <c r="E35" i="60" s="1"/>
  <c r="W33" i="28"/>
  <c r="E34" i="60" s="1"/>
  <c r="W32" i="28"/>
  <c r="E33" i="60" s="1"/>
  <c r="W30" i="28"/>
  <c r="E31" i="60" s="1"/>
  <c r="W29" i="28"/>
  <c r="E30" i="60" s="1"/>
  <c r="W28" i="28"/>
  <c r="E29" i="60" s="1"/>
  <c r="W27" i="28"/>
  <c r="E28" i="60" s="1"/>
  <c r="W26" i="28"/>
  <c r="E27" i="60" s="1"/>
  <c r="W25" i="28"/>
  <c r="E26" i="60" s="1"/>
  <c r="W24" i="28"/>
  <c r="E25" i="60" s="1"/>
  <c r="W23" i="28"/>
  <c r="E24" i="60" s="1"/>
  <c r="W21" i="28"/>
  <c r="E22" i="60" s="1"/>
  <c r="W20" i="28"/>
  <c r="E21" i="60" s="1"/>
  <c r="W16" i="28"/>
  <c r="E17" i="60" s="1"/>
  <c r="W15" i="28"/>
  <c r="E16" i="60" s="1"/>
  <c r="W14" i="28"/>
  <c r="E15" i="60" s="1"/>
  <c r="W13" i="28"/>
  <c r="E14" i="60" s="1"/>
  <c r="W12" i="28"/>
  <c r="E13" i="60" s="1"/>
  <c r="W11" i="28"/>
  <c r="E12" i="60" s="1"/>
  <c r="W10" i="28"/>
  <c r="E11" i="60" s="1"/>
  <c r="W9" i="28"/>
  <c r="E10" i="60" s="1"/>
  <c r="W8" i="28"/>
  <c r="E9" i="60" s="1"/>
  <c r="W7" i="28"/>
  <c r="E8" i="60" s="1"/>
  <c r="W117" i="30"/>
  <c r="J118" i="60" s="1"/>
  <c r="W116" i="30"/>
  <c r="J117" i="60" s="1"/>
  <c r="W114" i="30"/>
  <c r="J115" i="60" s="1"/>
  <c r="W113" i="30"/>
  <c r="J114" i="60" s="1"/>
  <c r="W110" i="30"/>
  <c r="J111" i="60" s="1"/>
  <c r="W109" i="30"/>
  <c r="J110" i="60" s="1"/>
  <c r="W108" i="30"/>
  <c r="J109" i="60" s="1"/>
  <c r="W106" i="30"/>
  <c r="J107" i="60" s="1"/>
  <c r="W105" i="30"/>
  <c r="J106" i="60" s="1"/>
  <c r="W104" i="30"/>
  <c r="J105" i="60" s="1"/>
  <c r="W103" i="30"/>
  <c r="J104" i="60" s="1"/>
  <c r="W102" i="30"/>
  <c r="J103" i="60" s="1"/>
  <c r="W101" i="30"/>
  <c r="J102" i="60" s="1"/>
  <c r="W96" i="30"/>
  <c r="J97" i="60" s="1"/>
  <c r="W95" i="30"/>
  <c r="J96" i="60" s="1"/>
  <c r="W94" i="30"/>
  <c r="J95" i="60" s="1"/>
  <c r="W93" i="30"/>
  <c r="J94" i="60" s="1"/>
  <c r="W92" i="30"/>
  <c r="J93" i="60" s="1"/>
  <c r="W91" i="30"/>
  <c r="J92" i="60" s="1"/>
  <c r="W90" i="30"/>
  <c r="J91" i="60" s="1"/>
  <c r="W89" i="30"/>
  <c r="J90" i="60" s="1"/>
  <c r="W88" i="30"/>
  <c r="J89" i="60" s="1"/>
  <c r="W87" i="30"/>
  <c r="J88" i="60" s="1"/>
  <c r="W86" i="30"/>
  <c r="J87" i="60" s="1"/>
  <c r="W84" i="30"/>
  <c r="J85" i="60" s="1"/>
  <c r="W83" i="30"/>
  <c r="J84" i="60" s="1"/>
  <c r="W82" i="30"/>
  <c r="J83" i="60" s="1"/>
  <c r="W81" i="30"/>
  <c r="J82" i="60" s="1"/>
  <c r="W79" i="30"/>
  <c r="J80" i="60" s="1"/>
  <c r="W78" i="30"/>
  <c r="J79" i="60" s="1"/>
  <c r="W77" i="30"/>
  <c r="J78" i="60" s="1"/>
  <c r="W76" i="30"/>
  <c r="J77" i="60" s="1"/>
  <c r="W75" i="30"/>
  <c r="J76" i="60" s="1"/>
  <c r="W74" i="30"/>
  <c r="J75" i="60" s="1"/>
  <c r="W73" i="30"/>
  <c r="J74" i="60" s="1"/>
  <c r="W71" i="30"/>
  <c r="J72" i="60" s="1"/>
  <c r="W70" i="30"/>
  <c r="J71" i="60" s="1"/>
  <c r="W69" i="30"/>
  <c r="J70" i="60" s="1"/>
  <c r="W68" i="30"/>
  <c r="J69" i="60" s="1"/>
  <c r="W66" i="30"/>
  <c r="J67" i="60" s="1"/>
  <c r="W65" i="30"/>
  <c r="J66" i="60" s="1"/>
  <c r="W64" i="30"/>
  <c r="J65" i="60" s="1"/>
  <c r="W63" i="30"/>
  <c r="J64" i="60" s="1"/>
  <c r="W62" i="30"/>
  <c r="J63" i="60" s="1"/>
  <c r="W61" i="30"/>
  <c r="J62" i="60" s="1"/>
  <c r="W60" i="30"/>
  <c r="J61" i="60" s="1"/>
  <c r="W59" i="30"/>
  <c r="J60" i="60" s="1"/>
  <c r="W57" i="30"/>
  <c r="J58" i="60" s="1"/>
  <c r="W56" i="30"/>
  <c r="J57" i="60" s="1"/>
  <c r="W55" i="30"/>
  <c r="J56" i="60" s="1"/>
  <c r="W54" i="30"/>
  <c r="J55" i="60" s="1"/>
  <c r="W53" i="30"/>
  <c r="J54" i="60" s="1"/>
  <c r="W52" i="30"/>
  <c r="J53" i="60" s="1"/>
  <c r="W51" i="30"/>
  <c r="J52" i="60" s="1"/>
  <c r="W49" i="30"/>
  <c r="J50" i="60" s="1"/>
  <c r="W48" i="30"/>
  <c r="J49" i="60" s="1"/>
  <c r="W47" i="30"/>
  <c r="J48" i="60" s="1"/>
  <c r="W45" i="30"/>
  <c r="J46" i="60" s="1"/>
  <c r="W44" i="30"/>
  <c r="J45" i="60" s="1"/>
  <c r="W43" i="30"/>
  <c r="J44" i="60" s="1"/>
  <c r="W42" i="30"/>
  <c r="J43" i="60" s="1"/>
  <c r="W40" i="30"/>
  <c r="J41" i="60" s="1"/>
  <c r="W39" i="30"/>
  <c r="J40" i="60" s="1"/>
  <c r="W38" i="30"/>
  <c r="J39" i="60" s="1"/>
  <c r="W36" i="30"/>
  <c r="J37" i="60" s="1"/>
  <c r="W35" i="30"/>
  <c r="J36" i="60" s="1"/>
  <c r="W34" i="30"/>
  <c r="J35" i="60" s="1"/>
  <c r="W33" i="30"/>
  <c r="J34" i="60" s="1"/>
  <c r="W32" i="30"/>
  <c r="J33" i="60" s="1"/>
  <c r="W30" i="30"/>
  <c r="J31" i="60" s="1"/>
  <c r="W29" i="30"/>
  <c r="J30" i="60" s="1"/>
  <c r="W28" i="30"/>
  <c r="J29" i="60" s="1"/>
  <c r="W27" i="30"/>
  <c r="J28" i="60" s="1"/>
  <c r="W26" i="30"/>
  <c r="J27" i="60" s="1"/>
  <c r="W25" i="30"/>
  <c r="J26" i="60" s="1"/>
  <c r="W24" i="30"/>
  <c r="J25" i="60" s="1"/>
  <c r="W23" i="30"/>
  <c r="J24" i="60" s="1"/>
  <c r="W21" i="30"/>
  <c r="J22" i="60" s="1"/>
  <c r="W20" i="30"/>
  <c r="J21" i="60" s="1"/>
  <c r="W16" i="30"/>
  <c r="J17" i="60" s="1"/>
  <c r="W15" i="30"/>
  <c r="J16" i="60" s="1"/>
  <c r="W14" i="30"/>
  <c r="J15" i="60" s="1"/>
  <c r="W13" i="30"/>
  <c r="J14" i="60" s="1"/>
  <c r="W12" i="30"/>
  <c r="J13" i="60" s="1"/>
  <c r="W11" i="30"/>
  <c r="J12" i="60" s="1"/>
  <c r="W10" i="30"/>
  <c r="J11" i="60" s="1"/>
  <c r="W9" i="30"/>
  <c r="J10" i="60" s="1"/>
  <c r="W8" i="30"/>
  <c r="J9" i="60" s="1"/>
  <c r="W7" i="30"/>
  <c r="J8" i="60" s="1"/>
  <c r="W117" i="31"/>
  <c r="O118" i="60" s="1"/>
  <c r="W116" i="31"/>
  <c r="O117" i="60" s="1"/>
  <c r="W114" i="31"/>
  <c r="O115" i="60" s="1"/>
  <c r="W113" i="31"/>
  <c r="O114" i="60" s="1"/>
  <c r="W110" i="31"/>
  <c r="O111" i="60" s="1"/>
  <c r="W109" i="31"/>
  <c r="O110" i="60" s="1"/>
  <c r="W108" i="31"/>
  <c r="O109" i="60" s="1"/>
  <c r="W106" i="31"/>
  <c r="O107" i="60" s="1"/>
  <c r="W105" i="31"/>
  <c r="O106" i="60" s="1"/>
  <c r="W104" i="31"/>
  <c r="O105" i="60" s="1"/>
  <c r="W103" i="31"/>
  <c r="O104" i="60" s="1"/>
  <c r="W102" i="31"/>
  <c r="O103" i="60" s="1"/>
  <c r="W101" i="31"/>
  <c r="O102" i="60" s="1"/>
  <c r="W96" i="31"/>
  <c r="O97" i="60" s="1"/>
  <c r="W95" i="31"/>
  <c r="O96" i="60" s="1"/>
  <c r="W94" i="31"/>
  <c r="O95" i="60" s="1"/>
  <c r="W93" i="31"/>
  <c r="O94" i="60" s="1"/>
  <c r="W92" i="31"/>
  <c r="O93" i="60" s="1"/>
  <c r="W91" i="31"/>
  <c r="O92" i="60" s="1"/>
  <c r="W90" i="31"/>
  <c r="O91" i="60" s="1"/>
  <c r="W89" i="31"/>
  <c r="O90" i="60" s="1"/>
  <c r="W88" i="31"/>
  <c r="O89" i="60" s="1"/>
  <c r="W87" i="31"/>
  <c r="O88" i="60" s="1"/>
  <c r="W86" i="31"/>
  <c r="O87" i="60" s="1"/>
  <c r="W84" i="31"/>
  <c r="O85" i="60" s="1"/>
  <c r="W83" i="31"/>
  <c r="O84" i="60" s="1"/>
  <c r="W82" i="31"/>
  <c r="O83" i="60" s="1"/>
  <c r="W81" i="31"/>
  <c r="O82" i="60" s="1"/>
  <c r="W79" i="31"/>
  <c r="O80" i="60" s="1"/>
  <c r="W78" i="31"/>
  <c r="O79" i="60" s="1"/>
  <c r="W77" i="31"/>
  <c r="O78" i="60" s="1"/>
  <c r="W76" i="31"/>
  <c r="O77" i="60" s="1"/>
  <c r="W75" i="31"/>
  <c r="O76" i="60" s="1"/>
  <c r="W74" i="31"/>
  <c r="O75" i="60" s="1"/>
  <c r="W73" i="31"/>
  <c r="O74" i="60" s="1"/>
  <c r="W71" i="31"/>
  <c r="O72" i="60" s="1"/>
  <c r="W70" i="31"/>
  <c r="O71" i="60" s="1"/>
  <c r="W69" i="31"/>
  <c r="O70" i="60" s="1"/>
  <c r="W68" i="31"/>
  <c r="O69" i="60" s="1"/>
  <c r="W66" i="31"/>
  <c r="O67" i="60" s="1"/>
  <c r="W65" i="31"/>
  <c r="O66" i="60" s="1"/>
  <c r="W64" i="31"/>
  <c r="O65" i="60" s="1"/>
  <c r="W63" i="31"/>
  <c r="O64" i="60" s="1"/>
  <c r="W62" i="31"/>
  <c r="O63" i="60" s="1"/>
  <c r="W61" i="31"/>
  <c r="O62" i="60" s="1"/>
  <c r="W60" i="31"/>
  <c r="O61" i="60" s="1"/>
  <c r="W59" i="31"/>
  <c r="O60" i="60" s="1"/>
  <c r="W57" i="31"/>
  <c r="O58" i="60" s="1"/>
  <c r="W56" i="31"/>
  <c r="O57" i="60" s="1"/>
  <c r="W55" i="31"/>
  <c r="O56" i="60" s="1"/>
  <c r="W54" i="31"/>
  <c r="O55" i="60" s="1"/>
  <c r="W53" i="31"/>
  <c r="O54" i="60" s="1"/>
  <c r="W52" i="31"/>
  <c r="O53" i="60" s="1"/>
  <c r="W51" i="31"/>
  <c r="O52" i="60" s="1"/>
  <c r="W49" i="31"/>
  <c r="O50" i="60" s="1"/>
  <c r="W48" i="31"/>
  <c r="O49" i="60" s="1"/>
  <c r="W47" i="31"/>
  <c r="O48" i="60" s="1"/>
  <c r="W45" i="31"/>
  <c r="O46" i="60" s="1"/>
  <c r="W44" i="31"/>
  <c r="O45" i="60" s="1"/>
  <c r="W43" i="31"/>
  <c r="O44" i="60" s="1"/>
  <c r="W42" i="31"/>
  <c r="O43" i="60" s="1"/>
  <c r="W40" i="31"/>
  <c r="O41" i="60" s="1"/>
  <c r="W39" i="31"/>
  <c r="O40" i="60" s="1"/>
  <c r="W38" i="31"/>
  <c r="O39" i="60" s="1"/>
  <c r="W36" i="31"/>
  <c r="O37" i="60" s="1"/>
  <c r="W35" i="31"/>
  <c r="O36" i="60" s="1"/>
  <c r="W34" i="31"/>
  <c r="O35" i="60" s="1"/>
  <c r="W33" i="31"/>
  <c r="O34" i="60" s="1"/>
  <c r="W32" i="31"/>
  <c r="O33" i="60" s="1"/>
  <c r="W30" i="31"/>
  <c r="O31" i="60" s="1"/>
  <c r="W29" i="31"/>
  <c r="O30" i="60" s="1"/>
  <c r="W28" i="31"/>
  <c r="O29" i="60" s="1"/>
  <c r="W27" i="31"/>
  <c r="O28" i="60" s="1"/>
  <c r="W25" i="31"/>
  <c r="O26" i="60" s="1"/>
  <c r="W24" i="31"/>
  <c r="O25" i="60" s="1"/>
  <c r="W23" i="31"/>
  <c r="O24" i="60" s="1"/>
  <c r="W21" i="31"/>
  <c r="O22" i="60" s="1"/>
  <c r="W20" i="31"/>
  <c r="O21" i="60" s="1"/>
  <c r="W16" i="31"/>
  <c r="O17" i="60" s="1"/>
  <c r="W15" i="31"/>
  <c r="O16" i="60" s="1"/>
  <c r="W14" i="31"/>
  <c r="O15" i="60" s="1"/>
  <c r="W13" i="31"/>
  <c r="O14" i="60" s="1"/>
  <c r="W12" i="31"/>
  <c r="O13" i="60" s="1"/>
  <c r="W11" i="31"/>
  <c r="O12" i="60" s="1"/>
  <c r="W10" i="31"/>
  <c r="O11" i="60" s="1"/>
  <c r="W9" i="31"/>
  <c r="O10" i="60" s="1"/>
  <c r="W8" i="31"/>
  <c r="O9" i="60" s="1"/>
  <c r="W7" i="31"/>
  <c r="O8" i="60" s="1"/>
  <c r="W117" i="50"/>
  <c r="AD118" i="60" s="1"/>
  <c r="W116" i="50"/>
  <c r="AD117" i="60" s="1"/>
  <c r="W114" i="50"/>
  <c r="AD115" i="60" s="1"/>
  <c r="W113" i="50"/>
  <c r="AD114" i="60" s="1"/>
  <c r="W110" i="50"/>
  <c r="AD111" i="60" s="1"/>
  <c r="W109" i="50"/>
  <c r="AD110" i="60" s="1"/>
  <c r="W108" i="50"/>
  <c r="AD109" i="60" s="1"/>
  <c r="W106" i="50"/>
  <c r="AD107" i="60" s="1"/>
  <c r="W105" i="50"/>
  <c r="AD106" i="60" s="1"/>
  <c r="W104" i="50"/>
  <c r="AD105" i="60" s="1"/>
  <c r="W103" i="50"/>
  <c r="AD104" i="60" s="1"/>
  <c r="W102" i="50"/>
  <c r="AD103" i="60" s="1"/>
  <c r="W101" i="50"/>
  <c r="AD102" i="60" s="1"/>
  <c r="W96" i="50"/>
  <c r="AD97" i="60" s="1"/>
  <c r="W95" i="50"/>
  <c r="AD96" i="60" s="1"/>
  <c r="W94" i="50"/>
  <c r="AD95" i="60" s="1"/>
  <c r="W93" i="50"/>
  <c r="AD94" i="60" s="1"/>
  <c r="W92" i="50"/>
  <c r="AD93" i="60" s="1"/>
  <c r="W91" i="50"/>
  <c r="AD92" i="60" s="1"/>
  <c r="W90" i="50"/>
  <c r="AD91" i="60" s="1"/>
  <c r="W89" i="50"/>
  <c r="AD90" i="60" s="1"/>
  <c r="W88" i="50"/>
  <c r="AD89" i="60" s="1"/>
  <c r="W87" i="50"/>
  <c r="AD88" i="60" s="1"/>
  <c r="W86" i="50"/>
  <c r="AD87" i="60" s="1"/>
  <c r="W84" i="50"/>
  <c r="AD85" i="60" s="1"/>
  <c r="W83" i="50"/>
  <c r="AD84" i="60" s="1"/>
  <c r="W82" i="50"/>
  <c r="AD83" i="60" s="1"/>
  <c r="W81" i="50"/>
  <c r="AD82" i="60" s="1"/>
  <c r="W79" i="50"/>
  <c r="AD80" i="60" s="1"/>
  <c r="W78" i="50"/>
  <c r="AD79" i="60" s="1"/>
  <c r="W77" i="50"/>
  <c r="AD78" i="60" s="1"/>
  <c r="W76" i="50"/>
  <c r="AD77" i="60" s="1"/>
  <c r="W75" i="50"/>
  <c r="AD76" i="60" s="1"/>
  <c r="W74" i="50"/>
  <c r="AD75" i="60" s="1"/>
  <c r="W73" i="50"/>
  <c r="AD74" i="60" s="1"/>
  <c r="W71" i="50"/>
  <c r="AD72" i="60" s="1"/>
  <c r="W70" i="50"/>
  <c r="AD71" i="60" s="1"/>
  <c r="W69" i="50"/>
  <c r="AD70" i="60" s="1"/>
  <c r="W68" i="50"/>
  <c r="AD69" i="60" s="1"/>
  <c r="W66" i="50"/>
  <c r="AD67" i="60" s="1"/>
  <c r="W65" i="50"/>
  <c r="AD66" i="60" s="1"/>
  <c r="W64" i="50"/>
  <c r="AD65" i="60" s="1"/>
  <c r="W63" i="50"/>
  <c r="AD64" i="60" s="1"/>
  <c r="W62" i="50"/>
  <c r="AD63" i="60" s="1"/>
  <c r="W61" i="50"/>
  <c r="AD62" i="60" s="1"/>
  <c r="W60" i="50"/>
  <c r="AD61" i="60" s="1"/>
  <c r="W59" i="50"/>
  <c r="AD60" i="60" s="1"/>
  <c r="W57" i="50"/>
  <c r="AD58" i="60" s="1"/>
  <c r="W56" i="50"/>
  <c r="AD57" i="60" s="1"/>
  <c r="W55" i="50"/>
  <c r="AD56" i="60" s="1"/>
  <c r="W54" i="50"/>
  <c r="AD55" i="60" s="1"/>
  <c r="W53" i="50"/>
  <c r="AD54" i="60" s="1"/>
  <c r="W52" i="50"/>
  <c r="AD53" i="60" s="1"/>
  <c r="W51" i="50"/>
  <c r="AD52" i="60" s="1"/>
  <c r="W49" i="50"/>
  <c r="AD50" i="60" s="1"/>
  <c r="W48" i="50"/>
  <c r="AD49" i="60" s="1"/>
  <c r="W47" i="50"/>
  <c r="AD48" i="60" s="1"/>
  <c r="W45" i="50"/>
  <c r="AD46" i="60" s="1"/>
  <c r="W44" i="50"/>
  <c r="AD45" i="60" s="1"/>
  <c r="W43" i="50"/>
  <c r="AD44" i="60" s="1"/>
  <c r="W42" i="50"/>
  <c r="AD43" i="60" s="1"/>
  <c r="W40" i="50"/>
  <c r="AD41" i="60" s="1"/>
  <c r="W39" i="50"/>
  <c r="AD40" i="60" s="1"/>
  <c r="W38" i="50"/>
  <c r="AD39" i="60" s="1"/>
  <c r="W36" i="50"/>
  <c r="AD37" i="60" s="1"/>
  <c r="W35" i="50"/>
  <c r="AD36" i="60" s="1"/>
  <c r="W34" i="50"/>
  <c r="AD35" i="60" s="1"/>
  <c r="W33" i="50"/>
  <c r="AD34" i="60" s="1"/>
  <c r="W32" i="50"/>
  <c r="AD33" i="60" s="1"/>
  <c r="W30" i="50"/>
  <c r="AD31" i="60" s="1"/>
  <c r="W29" i="50"/>
  <c r="AD30" i="60" s="1"/>
  <c r="W28" i="50"/>
  <c r="AD29" i="60" s="1"/>
  <c r="W27" i="50"/>
  <c r="AD28" i="60" s="1"/>
  <c r="W26" i="50"/>
  <c r="AD27" i="60" s="1"/>
  <c r="W25" i="50"/>
  <c r="AD26" i="60" s="1"/>
  <c r="W24" i="50"/>
  <c r="AD25" i="60" s="1"/>
  <c r="W23" i="50"/>
  <c r="AD24" i="60" s="1"/>
  <c r="W21" i="50"/>
  <c r="AD22" i="60" s="1"/>
  <c r="W20" i="50"/>
  <c r="AD21" i="60" s="1"/>
  <c r="W16" i="50"/>
  <c r="AD17" i="60" s="1"/>
  <c r="W15" i="50"/>
  <c r="AD16" i="60" s="1"/>
  <c r="W14" i="50"/>
  <c r="AD15" i="60" s="1"/>
  <c r="W13" i="50"/>
  <c r="AD14" i="60" s="1"/>
  <c r="W12" i="50"/>
  <c r="AD13" i="60" s="1"/>
  <c r="W11" i="50"/>
  <c r="AD12" i="60" s="1"/>
  <c r="W10" i="50"/>
  <c r="AD11" i="60" s="1"/>
  <c r="W9" i="50"/>
  <c r="AD10" i="60" s="1"/>
  <c r="W8" i="50"/>
  <c r="AD9" i="60" s="1"/>
  <c r="W7" i="50"/>
  <c r="AD8" i="60" s="1"/>
  <c r="W117" i="51"/>
  <c r="AN118" i="60" s="1"/>
  <c r="W116" i="51"/>
  <c r="AN117" i="60" s="1"/>
  <c r="W114" i="51"/>
  <c r="AN115" i="60" s="1"/>
  <c r="W113" i="51"/>
  <c r="AN114" i="60" s="1"/>
  <c r="W110" i="51"/>
  <c r="AN111" i="60" s="1"/>
  <c r="W109" i="51"/>
  <c r="AN110" i="60" s="1"/>
  <c r="W108" i="51"/>
  <c r="AN109" i="60" s="1"/>
  <c r="W106" i="51"/>
  <c r="AN107" i="60" s="1"/>
  <c r="W105" i="51"/>
  <c r="AN106" i="60" s="1"/>
  <c r="W104" i="51"/>
  <c r="AN105" i="60" s="1"/>
  <c r="W103" i="51"/>
  <c r="AN104" i="60" s="1"/>
  <c r="W102" i="51"/>
  <c r="AN103" i="60" s="1"/>
  <c r="W101" i="51"/>
  <c r="AN102" i="60" s="1"/>
  <c r="W96" i="51"/>
  <c r="AN97" i="60" s="1"/>
  <c r="W95" i="51"/>
  <c r="AN96" i="60" s="1"/>
  <c r="W94" i="51"/>
  <c r="AN95" i="60" s="1"/>
  <c r="W93" i="51"/>
  <c r="AN94" i="60" s="1"/>
  <c r="W92" i="51"/>
  <c r="AN93" i="60" s="1"/>
  <c r="W91" i="51"/>
  <c r="AN92" i="60" s="1"/>
  <c r="W90" i="51"/>
  <c r="AN91" i="60" s="1"/>
  <c r="W89" i="51"/>
  <c r="AN90" i="60" s="1"/>
  <c r="W88" i="51"/>
  <c r="AN89" i="60" s="1"/>
  <c r="W87" i="51"/>
  <c r="AN88" i="60" s="1"/>
  <c r="W86" i="51"/>
  <c r="AN87" i="60" s="1"/>
  <c r="W84" i="51"/>
  <c r="AN85" i="60" s="1"/>
  <c r="W83" i="51"/>
  <c r="AN84" i="60" s="1"/>
  <c r="W82" i="51"/>
  <c r="AN83" i="60" s="1"/>
  <c r="W81" i="51"/>
  <c r="AN82" i="60" s="1"/>
  <c r="W79" i="51"/>
  <c r="AN80" i="60" s="1"/>
  <c r="W78" i="51"/>
  <c r="AN79" i="60" s="1"/>
  <c r="W77" i="51"/>
  <c r="AN78" i="60" s="1"/>
  <c r="W76" i="51"/>
  <c r="AN77" i="60" s="1"/>
  <c r="W75" i="51"/>
  <c r="AN76" i="60" s="1"/>
  <c r="W74" i="51"/>
  <c r="AN75" i="60" s="1"/>
  <c r="W73" i="51"/>
  <c r="W71" i="51"/>
  <c r="AN72" i="60" s="1"/>
  <c r="W70" i="51"/>
  <c r="AN71" i="60" s="1"/>
  <c r="W69" i="51"/>
  <c r="AN70" i="60" s="1"/>
  <c r="W68" i="51"/>
  <c r="AN69" i="60" s="1"/>
  <c r="W66" i="51"/>
  <c r="AN67" i="60" s="1"/>
  <c r="W65" i="51"/>
  <c r="AN66" i="60" s="1"/>
  <c r="W64" i="51"/>
  <c r="AN65" i="60" s="1"/>
  <c r="W63" i="51"/>
  <c r="AN64" i="60" s="1"/>
  <c r="W62" i="51"/>
  <c r="AN63" i="60" s="1"/>
  <c r="W61" i="51"/>
  <c r="AN62" i="60" s="1"/>
  <c r="W60" i="51"/>
  <c r="AN61" i="60" s="1"/>
  <c r="W59" i="51"/>
  <c r="AN60" i="60" s="1"/>
  <c r="W57" i="51"/>
  <c r="AN58" i="60" s="1"/>
  <c r="W56" i="51"/>
  <c r="AN57" i="60" s="1"/>
  <c r="W55" i="51"/>
  <c r="AN56" i="60" s="1"/>
  <c r="W54" i="51"/>
  <c r="AN55" i="60" s="1"/>
  <c r="W53" i="51"/>
  <c r="AN54" i="60" s="1"/>
  <c r="W52" i="51"/>
  <c r="AN53" i="60" s="1"/>
  <c r="W51" i="51"/>
  <c r="AN52" i="60" s="1"/>
  <c r="W49" i="51"/>
  <c r="AN50" i="60" s="1"/>
  <c r="W48" i="51"/>
  <c r="AN49" i="60" s="1"/>
  <c r="W47" i="51"/>
  <c r="AN48" i="60" s="1"/>
  <c r="W45" i="51"/>
  <c r="AN46" i="60" s="1"/>
  <c r="W44" i="51"/>
  <c r="AN45" i="60" s="1"/>
  <c r="W43" i="51"/>
  <c r="AN44" i="60" s="1"/>
  <c r="W42" i="51"/>
  <c r="AN43" i="60" s="1"/>
  <c r="W40" i="51"/>
  <c r="AN41" i="60" s="1"/>
  <c r="W39" i="51"/>
  <c r="AN40" i="60" s="1"/>
  <c r="W38" i="51"/>
  <c r="W36" i="51"/>
  <c r="W35" i="51"/>
  <c r="X35" i="51" s="1"/>
  <c r="W34" i="51"/>
  <c r="W33" i="51"/>
  <c r="W32" i="51"/>
  <c r="W30" i="51"/>
  <c r="W29" i="51"/>
  <c r="W28" i="51"/>
  <c r="W27" i="51"/>
  <c r="W26" i="51"/>
  <c r="W25" i="51"/>
  <c r="W24" i="51"/>
  <c r="W23" i="51"/>
  <c r="W21" i="51"/>
  <c r="W20" i="51"/>
  <c r="W16" i="51"/>
  <c r="AN17" i="60" s="1"/>
  <c r="W15" i="51"/>
  <c r="AN16" i="60" s="1"/>
  <c r="W14" i="51"/>
  <c r="AN15" i="60" s="1"/>
  <c r="W13" i="51"/>
  <c r="AN14" i="60" s="1"/>
  <c r="W12" i="51"/>
  <c r="AN13" i="60" s="1"/>
  <c r="W11" i="51"/>
  <c r="AN12" i="60" s="1"/>
  <c r="W10" i="51"/>
  <c r="AN11" i="60" s="1"/>
  <c r="W9" i="51"/>
  <c r="AN10" i="60" s="1"/>
  <c r="W8" i="51"/>
  <c r="AN9" i="60" s="1"/>
  <c r="W7" i="51"/>
  <c r="AN8" i="60" s="1"/>
  <c r="W117" i="52"/>
  <c r="AS118" i="60" s="1"/>
  <c r="W116" i="52"/>
  <c r="AS117" i="60" s="1"/>
  <c r="W114" i="52"/>
  <c r="AS115" i="60" s="1"/>
  <c r="W113" i="52"/>
  <c r="AS114" i="60" s="1"/>
  <c r="W110" i="52"/>
  <c r="AS111" i="60" s="1"/>
  <c r="W109" i="52"/>
  <c r="AS110" i="60" s="1"/>
  <c r="W108" i="52"/>
  <c r="AS109" i="60" s="1"/>
  <c r="W106" i="52"/>
  <c r="AS107" i="60" s="1"/>
  <c r="W105" i="52"/>
  <c r="AS106" i="60" s="1"/>
  <c r="W104" i="52"/>
  <c r="AS105" i="60" s="1"/>
  <c r="W103" i="52"/>
  <c r="AS104" i="60" s="1"/>
  <c r="W102" i="52"/>
  <c r="AS103" i="60" s="1"/>
  <c r="W101" i="52"/>
  <c r="AS102" i="60" s="1"/>
  <c r="W96" i="52"/>
  <c r="AS97" i="60" s="1"/>
  <c r="W95" i="52"/>
  <c r="AS96" i="60" s="1"/>
  <c r="W94" i="52"/>
  <c r="AS95" i="60" s="1"/>
  <c r="W93" i="52"/>
  <c r="AS94" i="60" s="1"/>
  <c r="W92" i="52"/>
  <c r="AS93" i="60" s="1"/>
  <c r="W91" i="52"/>
  <c r="AS92" i="60" s="1"/>
  <c r="W90" i="52"/>
  <c r="AS91" i="60" s="1"/>
  <c r="W89" i="52"/>
  <c r="AS90" i="60" s="1"/>
  <c r="W88" i="52"/>
  <c r="AS89" i="60" s="1"/>
  <c r="W87" i="52"/>
  <c r="AS88" i="60" s="1"/>
  <c r="W86" i="52"/>
  <c r="AS87" i="60" s="1"/>
  <c r="W84" i="52"/>
  <c r="AS85" i="60" s="1"/>
  <c r="W83" i="52"/>
  <c r="AS84" i="60" s="1"/>
  <c r="W82" i="52"/>
  <c r="AS83" i="60" s="1"/>
  <c r="W81" i="52"/>
  <c r="AS82" i="60" s="1"/>
  <c r="W79" i="52"/>
  <c r="AS80" i="60" s="1"/>
  <c r="W78" i="52"/>
  <c r="AS79" i="60" s="1"/>
  <c r="W77" i="52"/>
  <c r="AS78" i="60" s="1"/>
  <c r="W76" i="52"/>
  <c r="AS77" i="60" s="1"/>
  <c r="W75" i="52"/>
  <c r="AS76" i="60" s="1"/>
  <c r="W74" i="52"/>
  <c r="AS75" i="60" s="1"/>
  <c r="W73" i="52"/>
  <c r="AS74" i="60" s="1"/>
  <c r="W71" i="52"/>
  <c r="AS72" i="60" s="1"/>
  <c r="W70" i="52"/>
  <c r="AS71" i="60" s="1"/>
  <c r="W69" i="52"/>
  <c r="AS70" i="60" s="1"/>
  <c r="W68" i="52"/>
  <c r="AS69" i="60" s="1"/>
  <c r="W66" i="52"/>
  <c r="AS67" i="60" s="1"/>
  <c r="W65" i="52"/>
  <c r="AS66" i="60" s="1"/>
  <c r="W64" i="52"/>
  <c r="AS65" i="60" s="1"/>
  <c r="W63" i="52"/>
  <c r="AS64" i="60" s="1"/>
  <c r="W62" i="52"/>
  <c r="AS63" i="60" s="1"/>
  <c r="W61" i="52"/>
  <c r="AS62" i="60" s="1"/>
  <c r="W60" i="52"/>
  <c r="AS61" i="60" s="1"/>
  <c r="W59" i="52"/>
  <c r="AS60" i="60" s="1"/>
  <c r="W57" i="52"/>
  <c r="AS58" i="60" s="1"/>
  <c r="W56" i="52"/>
  <c r="AS57" i="60" s="1"/>
  <c r="W55" i="52"/>
  <c r="AS56" i="60" s="1"/>
  <c r="W54" i="52"/>
  <c r="AS55" i="60" s="1"/>
  <c r="W53" i="52"/>
  <c r="AS54" i="60" s="1"/>
  <c r="W52" i="52"/>
  <c r="AS53" i="60" s="1"/>
  <c r="W51" i="52"/>
  <c r="AS52" i="60" s="1"/>
  <c r="W49" i="52"/>
  <c r="AS50" i="60" s="1"/>
  <c r="W48" i="52"/>
  <c r="AS49" i="60" s="1"/>
  <c r="W47" i="52"/>
  <c r="AS48" i="60" s="1"/>
  <c r="W45" i="52"/>
  <c r="AS46" i="60" s="1"/>
  <c r="W44" i="52"/>
  <c r="AS45" i="60" s="1"/>
  <c r="W43" i="52"/>
  <c r="AS44" i="60" s="1"/>
  <c r="W42" i="52"/>
  <c r="AS43" i="60" s="1"/>
  <c r="W40" i="52"/>
  <c r="AS41" i="60" s="1"/>
  <c r="W39" i="52"/>
  <c r="AS40" i="60" s="1"/>
  <c r="W38" i="52"/>
  <c r="AS39" i="60" s="1"/>
  <c r="W36" i="52"/>
  <c r="W35" i="52"/>
  <c r="W34" i="52"/>
  <c r="AS35" i="60" s="1"/>
  <c r="W33" i="52"/>
  <c r="AS34" i="60" s="1"/>
  <c r="W32" i="52"/>
  <c r="AS33" i="60" s="1"/>
  <c r="W30" i="52"/>
  <c r="W29" i="52"/>
  <c r="W28" i="52"/>
  <c r="AS29" i="60" s="1"/>
  <c r="W27" i="52"/>
  <c r="AS28" i="60" s="1"/>
  <c r="W25" i="52"/>
  <c r="AS26" i="60" s="1"/>
  <c r="W24" i="52"/>
  <c r="AS25" i="60" s="1"/>
  <c r="W23" i="52"/>
  <c r="AS24" i="60" s="1"/>
  <c r="W21" i="52"/>
  <c r="W20" i="52"/>
  <c r="W16" i="52"/>
  <c r="AS17" i="60" s="1"/>
  <c r="W15" i="52"/>
  <c r="AS16" i="60" s="1"/>
  <c r="W14" i="52"/>
  <c r="AS15" i="60" s="1"/>
  <c r="W13" i="52"/>
  <c r="AS14" i="60" s="1"/>
  <c r="W12" i="52"/>
  <c r="AS13" i="60" s="1"/>
  <c r="W11" i="52"/>
  <c r="AS12" i="60" s="1"/>
  <c r="W10" i="52"/>
  <c r="AS11" i="60" s="1"/>
  <c r="W9" i="52"/>
  <c r="AS10" i="60" s="1"/>
  <c r="W8" i="52"/>
  <c r="AS9" i="60" s="1"/>
  <c r="W7" i="52"/>
  <c r="AS8" i="60" s="1"/>
  <c r="V115" i="3"/>
  <c r="U115" i="3"/>
  <c r="T115" i="3"/>
  <c r="S115" i="3"/>
  <c r="R115" i="3"/>
  <c r="Q115" i="3"/>
  <c r="P115" i="3"/>
  <c r="O115" i="3"/>
  <c r="N115" i="3"/>
  <c r="M115" i="3"/>
  <c r="L115" i="3"/>
  <c r="V115" i="28"/>
  <c r="U115" i="28"/>
  <c r="T115" i="28"/>
  <c r="S115" i="28"/>
  <c r="R115" i="28"/>
  <c r="Q115" i="28"/>
  <c r="P115" i="28"/>
  <c r="O115" i="28"/>
  <c r="N115" i="28"/>
  <c r="M115" i="28"/>
  <c r="L115" i="28"/>
  <c r="V115" i="30"/>
  <c r="U115" i="30"/>
  <c r="T115" i="30"/>
  <c r="S115" i="30"/>
  <c r="R115" i="30"/>
  <c r="Q115" i="30"/>
  <c r="P115" i="30"/>
  <c r="O115" i="30"/>
  <c r="N115" i="30"/>
  <c r="M115" i="30"/>
  <c r="L115" i="30"/>
  <c r="V115" i="31"/>
  <c r="U115" i="31"/>
  <c r="T115" i="31"/>
  <c r="S115" i="31"/>
  <c r="R115" i="31"/>
  <c r="Q115" i="31"/>
  <c r="P115" i="31"/>
  <c r="O115" i="31"/>
  <c r="N115" i="31"/>
  <c r="M115" i="31"/>
  <c r="L115" i="31"/>
  <c r="V115" i="50"/>
  <c r="U115" i="50"/>
  <c r="T115" i="50"/>
  <c r="S115" i="50"/>
  <c r="R115" i="50"/>
  <c r="Q115" i="50"/>
  <c r="P115" i="50"/>
  <c r="O115" i="50"/>
  <c r="N115" i="50"/>
  <c r="M115" i="50"/>
  <c r="L115" i="50"/>
  <c r="V115" i="51"/>
  <c r="U115" i="51"/>
  <c r="T115" i="51"/>
  <c r="S115" i="51"/>
  <c r="R115" i="51"/>
  <c r="Q115" i="51"/>
  <c r="P115" i="51"/>
  <c r="O115" i="51"/>
  <c r="N115" i="51"/>
  <c r="M115" i="51"/>
  <c r="L115" i="51"/>
  <c r="V115" i="52"/>
  <c r="U115" i="52"/>
  <c r="T115" i="52"/>
  <c r="S115" i="52"/>
  <c r="R115" i="52"/>
  <c r="Q115" i="52"/>
  <c r="P115" i="52"/>
  <c r="O115" i="52"/>
  <c r="N115" i="52"/>
  <c r="M115" i="52"/>
  <c r="L115" i="52"/>
  <c r="K115" i="3"/>
  <c r="K115" i="28"/>
  <c r="K115" i="30"/>
  <c r="K115" i="31"/>
  <c r="W115" i="31" s="1"/>
  <c r="O116" i="60" s="1"/>
  <c r="K115" i="50"/>
  <c r="K115" i="51"/>
  <c r="K115" i="52"/>
  <c r="V112" i="3"/>
  <c r="U112" i="3"/>
  <c r="T112" i="3"/>
  <c r="S112" i="3"/>
  <c r="R112" i="3"/>
  <c r="Q112" i="3"/>
  <c r="P112" i="3"/>
  <c r="O112" i="3"/>
  <c r="N112" i="3"/>
  <c r="M112" i="3"/>
  <c r="L112" i="3"/>
  <c r="V112" i="28"/>
  <c r="U112" i="28"/>
  <c r="T112" i="28"/>
  <c r="S112" i="28"/>
  <c r="R112" i="28"/>
  <c r="Q112" i="28"/>
  <c r="P112" i="28"/>
  <c r="O112" i="28"/>
  <c r="N112" i="28"/>
  <c r="M112" i="28"/>
  <c r="L112" i="28"/>
  <c r="V112" i="30"/>
  <c r="U112" i="30"/>
  <c r="T112" i="30"/>
  <c r="S112" i="30"/>
  <c r="R112" i="30"/>
  <c r="Q112" i="30"/>
  <c r="P112" i="30"/>
  <c r="O112" i="30"/>
  <c r="N112" i="30"/>
  <c r="M112" i="30"/>
  <c r="L112" i="30"/>
  <c r="V112" i="31"/>
  <c r="U112" i="31"/>
  <c r="T112" i="31"/>
  <c r="S112" i="31"/>
  <c r="R112" i="31"/>
  <c r="Q112" i="31"/>
  <c r="P112" i="31"/>
  <c r="O112" i="31"/>
  <c r="N112" i="31"/>
  <c r="M112" i="31"/>
  <c r="L112" i="31"/>
  <c r="V112" i="50"/>
  <c r="U112" i="50"/>
  <c r="T112" i="50"/>
  <c r="S112" i="50"/>
  <c r="R112" i="50"/>
  <c r="Q112" i="50"/>
  <c r="P112" i="50"/>
  <c r="O112" i="50"/>
  <c r="N112" i="50"/>
  <c r="M112" i="50"/>
  <c r="L112" i="50"/>
  <c r="V112" i="51"/>
  <c r="U112" i="51"/>
  <c r="T112" i="51"/>
  <c r="S112" i="51"/>
  <c r="R112" i="51"/>
  <c r="Q112" i="51"/>
  <c r="P112" i="51"/>
  <c r="O112" i="51"/>
  <c r="N112" i="51"/>
  <c r="M112" i="51"/>
  <c r="L112" i="51"/>
  <c r="V112" i="52"/>
  <c r="U112" i="52"/>
  <c r="T112" i="52"/>
  <c r="S112" i="52"/>
  <c r="R112" i="52"/>
  <c r="Q112" i="52"/>
  <c r="P112" i="52"/>
  <c r="O112" i="52"/>
  <c r="N112" i="52"/>
  <c r="M112" i="52"/>
  <c r="L112" i="52"/>
  <c r="K112" i="3"/>
  <c r="K112" i="28"/>
  <c r="K112" i="30"/>
  <c r="K112" i="31"/>
  <c r="K112" i="50"/>
  <c r="K112" i="51"/>
  <c r="K112" i="52"/>
  <c r="V107" i="3"/>
  <c r="U107" i="3"/>
  <c r="T107" i="3"/>
  <c r="S107" i="3"/>
  <c r="R107" i="3"/>
  <c r="Q107" i="3"/>
  <c r="P107" i="3"/>
  <c r="O107" i="3"/>
  <c r="N107" i="3"/>
  <c r="M107" i="3"/>
  <c r="L107" i="3"/>
  <c r="V107" i="28"/>
  <c r="U107" i="28"/>
  <c r="T107" i="28"/>
  <c r="S107" i="28"/>
  <c r="R107" i="28"/>
  <c r="Q107" i="28"/>
  <c r="P107" i="28"/>
  <c r="O107" i="28"/>
  <c r="N107" i="28"/>
  <c r="M107" i="28"/>
  <c r="L107" i="28"/>
  <c r="V107" i="30"/>
  <c r="U107" i="30"/>
  <c r="T107" i="30"/>
  <c r="S107" i="30"/>
  <c r="R107" i="30"/>
  <c r="Q107" i="30"/>
  <c r="P107" i="30"/>
  <c r="O107" i="30"/>
  <c r="N107" i="30"/>
  <c r="M107" i="30"/>
  <c r="L107" i="30"/>
  <c r="V107" i="31"/>
  <c r="U107" i="31"/>
  <c r="T107" i="31"/>
  <c r="S107" i="31"/>
  <c r="R107" i="31"/>
  <c r="Q107" i="31"/>
  <c r="P107" i="31"/>
  <c r="O107" i="31"/>
  <c r="N107" i="31"/>
  <c r="M107" i="31"/>
  <c r="L107" i="31"/>
  <c r="V107" i="50"/>
  <c r="U107" i="50"/>
  <c r="T107" i="50"/>
  <c r="S107" i="50"/>
  <c r="R107" i="50"/>
  <c r="Q107" i="50"/>
  <c r="P107" i="50"/>
  <c r="O107" i="50"/>
  <c r="N107" i="50"/>
  <c r="M107" i="50"/>
  <c r="L107" i="50"/>
  <c r="V107" i="51"/>
  <c r="U107" i="51"/>
  <c r="T107" i="51"/>
  <c r="S107" i="51"/>
  <c r="R107" i="51"/>
  <c r="Q107" i="51"/>
  <c r="P107" i="51"/>
  <c r="O107" i="51"/>
  <c r="N107" i="51"/>
  <c r="M107" i="51"/>
  <c r="L107" i="51"/>
  <c r="V107" i="52"/>
  <c r="U107" i="52"/>
  <c r="T107" i="52"/>
  <c r="S107" i="52"/>
  <c r="R107" i="52"/>
  <c r="Q107" i="52"/>
  <c r="P107" i="52"/>
  <c r="O107" i="52"/>
  <c r="N107" i="52"/>
  <c r="M107" i="52"/>
  <c r="L107" i="52"/>
  <c r="V100" i="3"/>
  <c r="V99" i="3" s="1"/>
  <c r="U100" i="3"/>
  <c r="T100" i="3"/>
  <c r="T99" i="3" s="1"/>
  <c r="S100" i="3"/>
  <c r="S99" i="3" s="1"/>
  <c r="R100" i="3"/>
  <c r="R99" i="3" s="1"/>
  <c r="Q100" i="3"/>
  <c r="P100" i="3"/>
  <c r="P99" i="3" s="1"/>
  <c r="O100" i="3"/>
  <c r="N100" i="3"/>
  <c r="N99" i="3" s="1"/>
  <c r="M100" i="3"/>
  <c r="M99" i="3" s="1"/>
  <c r="L100" i="3"/>
  <c r="L99" i="3" s="1"/>
  <c r="V100" i="28"/>
  <c r="V99" i="28" s="1"/>
  <c r="U100" i="28"/>
  <c r="U99" i="28" s="1"/>
  <c r="T100" i="28"/>
  <c r="T99" i="28" s="1"/>
  <c r="S100" i="28"/>
  <c r="S99" i="28" s="1"/>
  <c r="R100" i="28"/>
  <c r="R99" i="28" s="1"/>
  <c r="Q100" i="28"/>
  <c r="Q99" i="28" s="1"/>
  <c r="P100" i="28"/>
  <c r="P99" i="28" s="1"/>
  <c r="O100" i="28"/>
  <c r="O99" i="28" s="1"/>
  <c r="N100" i="28"/>
  <c r="N99" i="28" s="1"/>
  <c r="M100" i="28"/>
  <c r="M99" i="28" s="1"/>
  <c r="L100" i="28"/>
  <c r="V100" i="30"/>
  <c r="V99" i="30" s="1"/>
  <c r="U100" i="30"/>
  <c r="U99" i="30" s="1"/>
  <c r="T100" i="30"/>
  <c r="T99" i="30" s="1"/>
  <c r="S100" i="30"/>
  <c r="R100" i="30"/>
  <c r="R99" i="30" s="1"/>
  <c r="Q100" i="30"/>
  <c r="Q99" i="30" s="1"/>
  <c r="P100" i="30"/>
  <c r="P99" i="30" s="1"/>
  <c r="O100" i="30"/>
  <c r="O99" i="30" s="1"/>
  <c r="N100" i="30"/>
  <c r="N99" i="30" s="1"/>
  <c r="M100" i="30"/>
  <c r="M99" i="30" s="1"/>
  <c r="L100" i="30"/>
  <c r="L99" i="30" s="1"/>
  <c r="V100" i="31"/>
  <c r="V99" i="31" s="1"/>
  <c r="U100" i="31"/>
  <c r="U99" i="31" s="1"/>
  <c r="T100" i="31"/>
  <c r="T99" i="31" s="1"/>
  <c r="S100" i="31"/>
  <c r="S99" i="31" s="1"/>
  <c r="R100" i="31"/>
  <c r="Q100" i="31"/>
  <c r="Q99" i="31" s="1"/>
  <c r="P100" i="31"/>
  <c r="P99" i="31" s="1"/>
  <c r="O100" i="31"/>
  <c r="O99" i="31" s="1"/>
  <c r="N100" i="31"/>
  <c r="M100" i="31"/>
  <c r="M99" i="31" s="1"/>
  <c r="L100" i="31"/>
  <c r="L99" i="31" s="1"/>
  <c r="V100" i="50"/>
  <c r="V99" i="50" s="1"/>
  <c r="U100" i="50"/>
  <c r="U99" i="50" s="1"/>
  <c r="T100" i="50"/>
  <c r="T99" i="50" s="1"/>
  <c r="S100" i="50"/>
  <c r="S99" i="50" s="1"/>
  <c r="R100" i="50"/>
  <c r="R99" i="50" s="1"/>
  <c r="Q100" i="50"/>
  <c r="P100" i="50"/>
  <c r="P99" i="50" s="1"/>
  <c r="O100" i="50"/>
  <c r="O99" i="50" s="1"/>
  <c r="N100" i="50"/>
  <c r="N99" i="50" s="1"/>
  <c r="M100" i="50"/>
  <c r="M99" i="50" s="1"/>
  <c r="L100" i="50"/>
  <c r="L99" i="50" s="1"/>
  <c r="V100" i="51"/>
  <c r="V99" i="51" s="1"/>
  <c r="U100" i="51"/>
  <c r="U99" i="51" s="1"/>
  <c r="T100" i="51"/>
  <c r="T99" i="51" s="1"/>
  <c r="S100" i="51"/>
  <c r="S99" i="51" s="1"/>
  <c r="R100" i="51"/>
  <c r="R99" i="51" s="1"/>
  <c r="Q100" i="51"/>
  <c r="Q99" i="51" s="1"/>
  <c r="P100" i="51"/>
  <c r="O100" i="51"/>
  <c r="O99" i="51" s="1"/>
  <c r="N100" i="51"/>
  <c r="N99" i="51" s="1"/>
  <c r="M100" i="51"/>
  <c r="M99" i="51" s="1"/>
  <c r="L100" i="51"/>
  <c r="V100" i="52"/>
  <c r="V99" i="52" s="1"/>
  <c r="U100" i="52"/>
  <c r="T100" i="52"/>
  <c r="T99" i="52" s="1"/>
  <c r="S100" i="52"/>
  <c r="S99" i="52" s="1"/>
  <c r="R100" i="52"/>
  <c r="R99" i="52" s="1"/>
  <c r="Q100" i="52"/>
  <c r="Q99" i="52" s="1"/>
  <c r="P100" i="52"/>
  <c r="P99" i="52" s="1"/>
  <c r="O100" i="52"/>
  <c r="O99" i="52" s="1"/>
  <c r="N100" i="52"/>
  <c r="M100" i="52"/>
  <c r="M99" i="52" s="1"/>
  <c r="L100" i="52"/>
  <c r="L99" i="52" s="1"/>
  <c r="U99" i="3"/>
  <c r="Q99" i="3"/>
  <c r="O99" i="3"/>
  <c r="L99" i="28"/>
  <c r="S99" i="30"/>
  <c r="R99" i="31"/>
  <c r="N99" i="31"/>
  <c r="Q99" i="50"/>
  <c r="P99" i="51"/>
  <c r="L99" i="51"/>
  <c r="U99" i="52"/>
  <c r="N99" i="52"/>
  <c r="V85" i="3"/>
  <c r="U85" i="3"/>
  <c r="T85" i="3"/>
  <c r="S85" i="3"/>
  <c r="R85" i="3"/>
  <c r="Q85" i="3"/>
  <c r="P85" i="3"/>
  <c r="O85" i="3"/>
  <c r="N85" i="3"/>
  <c r="M85" i="3"/>
  <c r="L85" i="3"/>
  <c r="V85" i="28"/>
  <c r="U85" i="28"/>
  <c r="T85" i="28"/>
  <c r="S85" i="28"/>
  <c r="R85" i="28"/>
  <c r="Q85" i="28"/>
  <c r="P85" i="28"/>
  <c r="O85" i="28"/>
  <c r="N85" i="28"/>
  <c r="M85" i="28"/>
  <c r="L85" i="28"/>
  <c r="V85" i="30"/>
  <c r="U85" i="30"/>
  <c r="T85" i="30"/>
  <c r="S85" i="30"/>
  <c r="R85" i="30"/>
  <c r="Q85" i="30"/>
  <c r="P85" i="30"/>
  <c r="O85" i="30"/>
  <c r="N85" i="30"/>
  <c r="M85" i="30"/>
  <c r="L85" i="30"/>
  <c r="V85" i="31"/>
  <c r="U85" i="31"/>
  <c r="T85" i="31"/>
  <c r="S85" i="31"/>
  <c r="R85" i="31"/>
  <c r="Q85" i="31"/>
  <c r="P85" i="31"/>
  <c r="O85" i="31"/>
  <c r="N85" i="31"/>
  <c r="M85" i="31"/>
  <c r="L85" i="31"/>
  <c r="V85" i="50"/>
  <c r="U85" i="50"/>
  <c r="T85" i="50"/>
  <c r="S85" i="50"/>
  <c r="R85" i="50"/>
  <c r="Q85" i="50"/>
  <c r="P85" i="50"/>
  <c r="O85" i="50"/>
  <c r="N85" i="50"/>
  <c r="M85" i="50"/>
  <c r="L85" i="50"/>
  <c r="V85" i="51"/>
  <c r="U85" i="51"/>
  <c r="T85" i="51"/>
  <c r="S85" i="51"/>
  <c r="R85" i="51"/>
  <c r="Q85" i="51"/>
  <c r="P85" i="51"/>
  <c r="O85" i="51"/>
  <c r="N85" i="51"/>
  <c r="M85" i="51"/>
  <c r="L85" i="51"/>
  <c r="V85" i="52"/>
  <c r="U85" i="52"/>
  <c r="T85" i="52"/>
  <c r="S85" i="52"/>
  <c r="R85" i="52"/>
  <c r="Q85" i="52"/>
  <c r="P85" i="52"/>
  <c r="O85" i="52"/>
  <c r="N85" i="52"/>
  <c r="M85" i="52"/>
  <c r="L85" i="52"/>
  <c r="V80" i="3"/>
  <c r="U80" i="3"/>
  <c r="T80" i="3"/>
  <c r="S80" i="3"/>
  <c r="R80" i="3"/>
  <c r="Q80" i="3"/>
  <c r="P80" i="3"/>
  <c r="O80" i="3"/>
  <c r="N80" i="3"/>
  <c r="M80" i="3"/>
  <c r="L80" i="3"/>
  <c r="V80" i="28"/>
  <c r="U80" i="28"/>
  <c r="T80" i="28"/>
  <c r="S80" i="28"/>
  <c r="R80" i="28"/>
  <c r="Q80" i="28"/>
  <c r="P80" i="28"/>
  <c r="O80" i="28"/>
  <c r="N80" i="28"/>
  <c r="M80" i="28"/>
  <c r="L80" i="28"/>
  <c r="V80" i="30"/>
  <c r="U80" i="30"/>
  <c r="T80" i="30"/>
  <c r="S80" i="30"/>
  <c r="R80" i="30"/>
  <c r="Q80" i="30"/>
  <c r="P80" i="30"/>
  <c r="O80" i="30"/>
  <c r="N80" i="30"/>
  <c r="M80" i="30"/>
  <c r="L80" i="30"/>
  <c r="V80" i="31"/>
  <c r="U80" i="31"/>
  <c r="T80" i="31"/>
  <c r="S80" i="31"/>
  <c r="R80" i="31"/>
  <c r="Q80" i="31"/>
  <c r="P80" i="31"/>
  <c r="O80" i="31"/>
  <c r="N80" i="31"/>
  <c r="M80" i="31"/>
  <c r="L80" i="31"/>
  <c r="V80" i="50"/>
  <c r="U80" i="50"/>
  <c r="T80" i="50"/>
  <c r="S80" i="50"/>
  <c r="R80" i="50"/>
  <c r="Q80" i="50"/>
  <c r="P80" i="50"/>
  <c r="O80" i="50"/>
  <c r="N80" i="50"/>
  <c r="M80" i="50"/>
  <c r="L80" i="50"/>
  <c r="V80" i="51"/>
  <c r="U80" i="51"/>
  <c r="T80" i="51"/>
  <c r="S80" i="51"/>
  <c r="R80" i="51"/>
  <c r="Q80" i="51"/>
  <c r="P80" i="51"/>
  <c r="O80" i="51"/>
  <c r="N80" i="51"/>
  <c r="M80" i="51"/>
  <c r="L80" i="51"/>
  <c r="V80" i="52"/>
  <c r="U80" i="52"/>
  <c r="T80" i="52"/>
  <c r="S80" i="52"/>
  <c r="R80" i="52"/>
  <c r="Q80" i="52"/>
  <c r="P80" i="52"/>
  <c r="O80" i="52"/>
  <c r="N80" i="52"/>
  <c r="M80" i="52"/>
  <c r="L80" i="52"/>
  <c r="K80" i="3"/>
  <c r="K80" i="28"/>
  <c r="K80" i="30"/>
  <c r="K80" i="31"/>
  <c r="K80" i="50"/>
  <c r="K80" i="51"/>
  <c r="K80" i="52"/>
  <c r="V72" i="3"/>
  <c r="U72" i="3"/>
  <c r="T72" i="3"/>
  <c r="S72" i="3"/>
  <c r="R72" i="3"/>
  <c r="Q72" i="3"/>
  <c r="P72" i="3"/>
  <c r="O72" i="3"/>
  <c r="N72" i="3"/>
  <c r="M72" i="3"/>
  <c r="L72" i="3"/>
  <c r="V72" i="28"/>
  <c r="U72" i="28"/>
  <c r="T72" i="28"/>
  <c r="S72" i="28"/>
  <c r="R72" i="28"/>
  <c r="Q72" i="28"/>
  <c r="P72" i="28"/>
  <c r="O72" i="28"/>
  <c r="N72" i="28"/>
  <c r="M72" i="28"/>
  <c r="L72" i="28"/>
  <c r="V72" i="30"/>
  <c r="U72" i="30"/>
  <c r="T72" i="30"/>
  <c r="S72" i="30"/>
  <c r="R72" i="30"/>
  <c r="Q72" i="30"/>
  <c r="P72" i="30"/>
  <c r="O72" i="30"/>
  <c r="N72" i="30"/>
  <c r="M72" i="30"/>
  <c r="L72" i="30"/>
  <c r="V72" i="31"/>
  <c r="U72" i="31"/>
  <c r="T72" i="31"/>
  <c r="S72" i="31"/>
  <c r="R72" i="31"/>
  <c r="Q72" i="31"/>
  <c r="P72" i="31"/>
  <c r="O72" i="31"/>
  <c r="N72" i="31"/>
  <c r="M72" i="31"/>
  <c r="L72" i="31"/>
  <c r="V72" i="50"/>
  <c r="U72" i="50"/>
  <c r="T72" i="50"/>
  <c r="S72" i="50"/>
  <c r="R72" i="50"/>
  <c r="Q72" i="50"/>
  <c r="P72" i="50"/>
  <c r="O72" i="50"/>
  <c r="N72" i="50"/>
  <c r="M72" i="50"/>
  <c r="L72" i="50"/>
  <c r="V72" i="51"/>
  <c r="U72" i="51"/>
  <c r="T72" i="51"/>
  <c r="S72" i="51"/>
  <c r="R72" i="51"/>
  <c r="Q72" i="51"/>
  <c r="P72" i="51"/>
  <c r="O72" i="51"/>
  <c r="N72" i="51"/>
  <c r="M72" i="51"/>
  <c r="L72" i="51"/>
  <c r="V72" i="52"/>
  <c r="U72" i="52"/>
  <c r="T72" i="52"/>
  <c r="S72" i="52"/>
  <c r="R72" i="52"/>
  <c r="Q72" i="52"/>
  <c r="P72" i="52"/>
  <c r="O72" i="52"/>
  <c r="N72" i="52"/>
  <c r="M72" i="52"/>
  <c r="L72" i="52"/>
  <c r="K72" i="3"/>
  <c r="K72" i="28"/>
  <c r="K72" i="30"/>
  <c r="K72" i="31"/>
  <c r="K72" i="50"/>
  <c r="K72" i="51"/>
  <c r="K72" i="52"/>
  <c r="V67" i="3"/>
  <c r="U67" i="3"/>
  <c r="T67" i="3"/>
  <c r="S67" i="3"/>
  <c r="R67" i="3"/>
  <c r="Q67" i="3"/>
  <c r="P67" i="3"/>
  <c r="O67" i="3"/>
  <c r="N67" i="3"/>
  <c r="M67" i="3"/>
  <c r="L67" i="3"/>
  <c r="V67" i="28"/>
  <c r="U67" i="28"/>
  <c r="T67" i="28"/>
  <c r="S67" i="28"/>
  <c r="R67" i="28"/>
  <c r="Q67" i="28"/>
  <c r="P67" i="28"/>
  <c r="O67" i="28"/>
  <c r="N67" i="28"/>
  <c r="M67" i="28"/>
  <c r="L67" i="28"/>
  <c r="V67" i="30"/>
  <c r="U67" i="30"/>
  <c r="T67" i="30"/>
  <c r="S67" i="30"/>
  <c r="R67" i="30"/>
  <c r="Q67" i="30"/>
  <c r="P67" i="30"/>
  <c r="O67" i="30"/>
  <c r="N67" i="30"/>
  <c r="M67" i="30"/>
  <c r="L67" i="30"/>
  <c r="V67" i="31"/>
  <c r="U67" i="31"/>
  <c r="T67" i="31"/>
  <c r="S67" i="31"/>
  <c r="R67" i="31"/>
  <c r="Q67" i="31"/>
  <c r="P67" i="31"/>
  <c r="O67" i="31"/>
  <c r="N67" i="31"/>
  <c r="M67" i="31"/>
  <c r="L67" i="31"/>
  <c r="V67" i="50"/>
  <c r="U67" i="50"/>
  <c r="T67" i="50"/>
  <c r="S67" i="50"/>
  <c r="R67" i="50"/>
  <c r="Q67" i="50"/>
  <c r="P67" i="50"/>
  <c r="O67" i="50"/>
  <c r="N67" i="50"/>
  <c r="M67" i="50"/>
  <c r="L67" i="50"/>
  <c r="V67" i="51"/>
  <c r="U67" i="51"/>
  <c r="T67" i="51"/>
  <c r="S67" i="51"/>
  <c r="R67" i="51"/>
  <c r="Q67" i="51"/>
  <c r="P67" i="51"/>
  <c r="O67" i="51"/>
  <c r="N67" i="51"/>
  <c r="M67" i="51"/>
  <c r="L67" i="51"/>
  <c r="V67" i="52"/>
  <c r="U67" i="52"/>
  <c r="T67" i="52"/>
  <c r="S67" i="52"/>
  <c r="R67" i="52"/>
  <c r="Q67" i="52"/>
  <c r="P67" i="52"/>
  <c r="O67" i="52"/>
  <c r="N67" i="52"/>
  <c r="M67" i="52"/>
  <c r="L67" i="52"/>
  <c r="K67" i="3"/>
  <c r="K67" i="28"/>
  <c r="K67" i="30"/>
  <c r="K67" i="31"/>
  <c r="K67" i="50"/>
  <c r="K67" i="51"/>
  <c r="K67" i="52"/>
  <c r="K58" i="3"/>
  <c r="K58" i="28"/>
  <c r="K58" i="30"/>
  <c r="K58" i="31"/>
  <c r="K58" i="50"/>
  <c r="K58" i="51"/>
  <c r="K58" i="52"/>
  <c r="V58" i="3"/>
  <c r="U58" i="3"/>
  <c r="T58" i="3"/>
  <c r="S58" i="3"/>
  <c r="R58" i="3"/>
  <c r="Q58" i="3"/>
  <c r="P58" i="3"/>
  <c r="O58" i="3"/>
  <c r="N58" i="3"/>
  <c r="M58" i="3"/>
  <c r="L58" i="3"/>
  <c r="V58" i="28"/>
  <c r="U58" i="28"/>
  <c r="T58" i="28"/>
  <c r="S58" i="28"/>
  <c r="R58" i="28"/>
  <c r="Q58" i="28"/>
  <c r="P58" i="28"/>
  <c r="O58" i="28"/>
  <c r="N58" i="28"/>
  <c r="M58" i="28"/>
  <c r="L58" i="28"/>
  <c r="V58" i="30"/>
  <c r="U58" i="30"/>
  <c r="T58" i="30"/>
  <c r="S58" i="30"/>
  <c r="R58" i="30"/>
  <c r="Q58" i="30"/>
  <c r="P58" i="30"/>
  <c r="O58" i="30"/>
  <c r="N58" i="30"/>
  <c r="M58" i="30"/>
  <c r="L58" i="30"/>
  <c r="V58" i="31"/>
  <c r="U58" i="31"/>
  <c r="T58" i="31"/>
  <c r="S58" i="31"/>
  <c r="R58" i="31"/>
  <c r="Q58" i="31"/>
  <c r="P58" i="31"/>
  <c r="O58" i="31"/>
  <c r="N58" i="31"/>
  <c r="M58" i="31"/>
  <c r="L58" i="31"/>
  <c r="V58" i="50"/>
  <c r="U58" i="50"/>
  <c r="T58" i="50"/>
  <c r="S58" i="50"/>
  <c r="R58" i="50"/>
  <c r="Q58" i="50"/>
  <c r="P58" i="50"/>
  <c r="O58" i="50"/>
  <c r="N58" i="50"/>
  <c r="M58" i="50"/>
  <c r="L58" i="50"/>
  <c r="V58" i="51"/>
  <c r="U58" i="51"/>
  <c r="T58" i="51"/>
  <c r="S58" i="51"/>
  <c r="R58" i="51"/>
  <c r="Q58" i="51"/>
  <c r="P58" i="51"/>
  <c r="O58" i="51"/>
  <c r="N58" i="51"/>
  <c r="M58" i="51"/>
  <c r="L58" i="51"/>
  <c r="V58" i="52"/>
  <c r="U58" i="52"/>
  <c r="T58" i="52"/>
  <c r="S58" i="52"/>
  <c r="R58" i="52"/>
  <c r="Q58" i="52"/>
  <c r="P58" i="52"/>
  <c r="O58" i="52"/>
  <c r="N58" i="52"/>
  <c r="M58" i="52"/>
  <c r="L58" i="52"/>
  <c r="K50" i="3"/>
  <c r="K50" i="28"/>
  <c r="K50" i="30"/>
  <c r="K50" i="31"/>
  <c r="K50" i="50"/>
  <c r="K50" i="51"/>
  <c r="K50" i="52"/>
  <c r="V50" i="3"/>
  <c r="U50" i="3"/>
  <c r="T50" i="3"/>
  <c r="S50" i="3"/>
  <c r="R50" i="3"/>
  <c r="Q50" i="3"/>
  <c r="P50" i="3"/>
  <c r="O50" i="3"/>
  <c r="N50" i="3"/>
  <c r="M50" i="3"/>
  <c r="L50" i="3"/>
  <c r="V50" i="28"/>
  <c r="U50" i="28"/>
  <c r="T50" i="28"/>
  <c r="S50" i="28"/>
  <c r="R50" i="28"/>
  <c r="Q50" i="28"/>
  <c r="P50" i="28"/>
  <c r="O50" i="28"/>
  <c r="N50" i="28"/>
  <c r="M50" i="28"/>
  <c r="L50" i="28"/>
  <c r="V50" i="30"/>
  <c r="U50" i="30"/>
  <c r="T50" i="30"/>
  <c r="S50" i="30"/>
  <c r="R50" i="30"/>
  <c r="Q50" i="30"/>
  <c r="P50" i="30"/>
  <c r="O50" i="30"/>
  <c r="N50" i="30"/>
  <c r="M50" i="30"/>
  <c r="L50" i="30"/>
  <c r="V50" i="31"/>
  <c r="U50" i="31"/>
  <c r="T50" i="31"/>
  <c r="S50" i="31"/>
  <c r="R50" i="31"/>
  <c r="Q50" i="31"/>
  <c r="P50" i="31"/>
  <c r="O50" i="31"/>
  <c r="N50" i="31"/>
  <c r="M50" i="31"/>
  <c r="L50" i="31"/>
  <c r="V50" i="50"/>
  <c r="U50" i="50"/>
  <c r="T50" i="50"/>
  <c r="S50" i="50"/>
  <c r="R50" i="50"/>
  <c r="Q50" i="50"/>
  <c r="P50" i="50"/>
  <c r="O50" i="50"/>
  <c r="N50" i="50"/>
  <c r="M50" i="50"/>
  <c r="L50" i="50"/>
  <c r="V50" i="51"/>
  <c r="U50" i="51"/>
  <c r="T50" i="51"/>
  <c r="S50" i="51"/>
  <c r="R50" i="51"/>
  <c r="Q50" i="51"/>
  <c r="P50" i="51"/>
  <c r="O50" i="51"/>
  <c r="N50" i="51"/>
  <c r="M50" i="51"/>
  <c r="L50" i="51"/>
  <c r="V50" i="52"/>
  <c r="U50" i="52"/>
  <c r="T50" i="52"/>
  <c r="S50" i="52"/>
  <c r="R50" i="52"/>
  <c r="Q50" i="52"/>
  <c r="P50" i="52"/>
  <c r="O50" i="52"/>
  <c r="N50" i="52"/>
  <c r="M50" i="52"/>
  <c r="L50" i="52"/>
  <c r="V46" i="3"/>
  <c r="U46" i="3"/>
  <c r="T46" i="3"/>
  <c r="S46" i="3"/>
  <c r="R46" i="3"/>
  <c r="Q46" i="3"/>
  <c r="P46" i="3"/>
  <c r="O46" i="3"/>
  <c r="N46" i="3"/>
  <c r="M46" i="3"/>
  <c r="L46" i="3"/>
  <c r="V46" i="28"/>
  <c r="U46" i="28"/>
  <c r="T46" i="28"/>
  <c r="S46" i="28"/>
  <c r="R46" i="28"/>
  <c r="Q46" i="28"/>
  <c r="P46" i="28"/>
  <c r="O46" i="28"/>
  <c r="N46" i="28"/>
  <c r="M46" i="28"/>
  <c r="L46" i="28"/>
  <c r="V46" i="30"/>
  <c r="U46" i="30"/>
  <c r="T46" i="30"/>
  <c r="S46" i="30"/>
  <c r="R46" i="30"/>
  <c r="Q46" i="30"/>
  <c r="P46" i="30"/>
  <c r="O46" i="30"/>
  <c r="N46" i="30"/>
  <c r="M46" i="30"/>
  <c r="L46" i="30"/>
  <c r="V46" i="31"/>
  <c r="U46" i="31"/>
  <c r="T46" i="31"/>
  <c r="S46" i="31"/>
  <c r="R46" i="31"/>
  <c r="Q46" i="31"/>
  <c r="P46" i="31"/>
  <c r="O46" i="31"/>
  <c r="N46" i="31"/>
  <c r="M46" i="31"/>
  <c r="L46" i="31"/>
  <c r="V46" i="50"/>
  <c r="U46" i="50"/>
  <c r="T46" i="50"/>
  <c r="S46" i="50"/>
  <c r="R46" i="50"/>
  <c r="Q46" i="50"/>
  <c r="P46" i="50"/>
  <c r="O46" i="50"/>
  <c r="N46" i="50"/>
  <c r="M46" i="50"/>
  <c r="L46" i="50"/>
  <c r="V46" i="51"/>
  <c r="U46" i="51"/>
  <c r="T46" i="51"/>
  <c r="S46" i="51"/>
  <c r="R46" i="51"/>
  <c r="Q46" i="51"/>
  <c r="P46" i="51"/>
  <c r="O46" i="51"/>
  <c r="N46" i="51"/>
  <c r="M46" i="51"/>
  <c r="L46" i="51"/>
  <c r="V46" i="52"/>
  <c r="U46" i="52"/>
  <c r="T46" i="52"/>
  <c r="S46" i="52"/>
  <c r="R46" i="52"/>
  <c r="Q46" i="52"/>
  <c r="P46" i="52"/>
  <c r="O46" i="52"/>
  <c r="N46" i="52"/>
  <c r="M46" i="52"/>
  <c r="L46" i="52"/>
  <c r="V41" i="3"/>
  <c r="U41" i="3"/>
  <c r="T41" i="3"/>
  <c r="S41" i="3"/>
  <c r="R41" i="3"/>
  <c r="Q41" i="3"/>
  <c r="P41" i="3"/>
  <c r="O41" i="3"/>
  <c r="O37" i="3" s="1"/>
  <c r="N41" i="3"/>
  <c r="M41" i="3"/>
  <c r="L41" i="3"/>
  <c r="V41" i="28"/>
  <c r="U41" i="28"/>
  <c r="T41" i="28"/>
  <c r="S41" i="28"/>
  <c r="S37" i="28" s="1"/>
  <c r="S97" i="28" s="1"/>
  <c r="R41" i="28"/>
  <c r="Q41" i="28"/>
  <c r="P41" i="28"/>
  <c r="O41" i="28"/>
  <c r="N41" i="28"/>
  <c r="N37" i="28" s="1"/>
  <c r="M41" i="28"/>
  <c r="L41" i="28"/>
  <c r="V41" i="30"/>
  <c r="V37" i="30" s="1"/>
  <c r="U41" i="30"/>
  <c r="T41" i="30"/>
  <c r="S41" i="30"/>
  <c r="R41" i="30"/>
  <c r="R37" i="30" s="1"/>
  <c r="R97" i="30" s="1"/>
  <c r="Q41" i="30"/>
  <c r="P41" i="30"/>
  <c r="O41" i="30"/>
  <c r="N41" i="30"/>
  <c r="M41" i="30"/>
  <c r="M37" i="30" s="1"/>
  <c r="L41" i="30"/>
  <c r="V41" i="31"/>
  <c r="U41" i="31"/>
  <c r="U37" i="31" s="1"/>
  <c r="T41" i="31"/>
  <c r="S41" i="31"/>
  <c r="R41" i="31"/>
  <c r="Q41" i="31"/>
  <c r="P41" i="31"/>
  <c r="O41" i="31"/>
  <c r="N41" i="31"/>
  <c r="M41" i="31"/>
  <c r="L41" i="31"/>
  <c r="L37" i="31" s="1"/>
  <c r="V41" i="50"/>
  <c r="U41" i="50"/>
  <c r="T41" i="50"/>
  <c r="T37" i="50" s="1"/>
  <c r="S41" i="50"/>
  <c r="R41" i="50"/>
  <c r="Q41" i="50"/>
  <c r="P41" i="50"/>
  <c r="P37" i="50" s="1"/>
  <c r="O41" i="50"/>
  <c r="N41" i="50"/>
  <c r="M41" i="50"/>
  <c r="L41" i="50"/>
  <c r="V41" i="51"/>
  <c r="U41" i="51"/>
  <c r="T41" i="51"/>
  <c r="S41" i="51"/>
  <c r="S37" i="51" s="1"/>
  <c r="R41" i="51"/>
  <c r="Q41" i="51"/>
  <c r="P41" i="51"/>
  <c r="O41" i="51"/>
  <c r="N41" i="51"/>
  <c r="M41" i="51"/>
  <c r="L41" i="51"/>
  <c r="V41" i="52"/>
  <c r="U41" i="52"/>
  <c r="U37" i="52" s="1"/>
  <c r="T41" i="52"/>
  <c r="S41" i="52"/>
  <c r="R41" i="52"/>
  <c r="R37" i="52" s="1"/>
  <c r="R97" i="52" s="1"/>
  <c r="Q41" i="52"/>
  <c r="P41" i="52"/>
  <c r="O41" i="52"/>
  <c r="N41" i="52"/>
  <c r="M41" i="52"/>
  <c r="L41" i="52"/>
  <c r="Q37" i="31"/>
  <c r="N37" i="52"/>
  <c r="N97" i="52" s="1"/>
  <c r="T18" i="3"/>
  <c r="V6" i="3"/>
  <c r="V18" i="3" s="1"/>
  <c r="U6" i="3"/>
  <c r="U18" i="3" s="1"/>
  <c r="T6" i="3"/>
  <c r="S6" i="3"/>
  <c r="S18" i="3" s="1"/>
  <c r="R6" i="3"/>
  <c r="R18" i="3" s="1"/>
  <c r="Q6" i="3"/>
  <c r="Q18" i="3" s="1"/>
  <c r="P6" i="3"/>
  <c r="P18" i="3" s="1"/>
  <c r="O6" i="3"/>
  <c r="O18" i="3" s="1"/>
  <c r="N6" i="3"/>
  <c r="N18" i="3" s="1"/>
  <c r="M6" i="3"/>
  <c r="M18" i="3" s="1"/>
  <c r="L6" i="3"/>
  <c r="L18" i="3" s="1"/>
  <c r="V6" i="28"/>
  <c r="U6" i="28"/>
  <c r="T6" i="28"/>
  <c r="S6" i="28"/>
  <c r="R6" i="28"/>
  <c r="Q6" i="28"/>
  <c r="P6" i="28"/>
  <c r="O6" i="28"/>
  <c r="N6" i="28"/>
  <c r="M6" i="28"/>
  <c r="L6" i="28"/>
  <c r="V6" i="30"/>
  <c r="U6" i="30"/>
  <c r="T6" i="30"/>
  <c r="S6" i="30"/>
  <c r="R6" i="30"/>
  <c r="Q6" i="30"/>
  <c r="P6" i="30"/>
  <c r="O6" i="30"/>
  <c r="N6" i="30"/>
  <c r="M6" i="30"/>
  <c r="L6" i="30"/>
  <c r="V6" i="31"/>
  <c r="U6" i="31"/>
  <c r="T6" i="31"/>
  <c r="S6" i="31"/>
  <c r="R6" i="31"/>
  <c r="Q6" i="31"/>
  <c r="P6" i="31"/>
  <c r="O6" i="31"/>
  <c r="N6" i="31"/>
  <c r="M6" i="31"/>
  <c r="L6" i="31"/>
  <c r="V6" i="50"/>
  <c r="U6" i="50"/>
  <c r="T6" i="50"/>
  <c r="S6" i="50"/>
  <c r="R6" i="50"/>
  <c r="Q6" i="50"/>
  <c r="P6" i="50"/>
  <c r="O6" i="50"/>
  <c r="N6" i="50"/>
  <c r="M6" i="50"/>
  <c r="L6" i="50"/>
  <c r="V6" i="51"/>
  <c r="U6" i="51"/>
  <c r="T6" i="51"/>
  <c r="S6" i="51"/>
  <c r="R6" i="51"/>
  <c r="Q6" i="51"/>
  <c r="P6" i="51"/>
  <c r="O6" i="51"/>
  <c r="N6" i="51"/>
  <c r="M6" i="51"/>
  <c r="L6" i="51"/>
  <c r="V6" i="52"/>
  <c r="V18" i="52" s="1"/>
  <c r="U6" i="52"/>
  <c r="U18" i="52" s="1"/>
  <c r="T6" i="52"/>
  <c r="T18" i="52" s="1"/>
  <c r="S6" i="52"/>
  <c r="S18" i="52" s="1"/>
  <c r="R6" i="52"/>
  <c r="R18" i="52" s="1"/>
  <c r="Q6" i="52"/>
  <c r="Q18" i="52" s="1"/>
  <c r="P6" i="52"/>
  <c r="O6" i="52"/>
  <c r="N6" i="52"/>
  <c r="M6" i="52"/>
  <c r="L6" i="52"/>
  <c r="X30" i="51" l="1"/>
  <c r="V37" i="52"/>
  <c r="L37" i="50"/>
  <c r="N37" i="30"/>
  <c r="N97" i="30" s="1"/>
  <c r="M37" i="31"/>
  <c r="O37" i="28"/>
  <c r="O97" i="28" s="1"/>
  <c r="W112" i="3"/>
  <c r="BF113" i="60" s="1"/>
  <c r="W115" i="3"/>
  <c r="BF116" i="60" s="1"/>
  <c r="BH116" i="60" s="1"/>
  <c r="X21" i="51"/>
  <c r="X21" i="52" s="1"/>
  <c r="AS22" i="60" s="1"/>
  <c r="Q37" i="52"/>
  <c r="S37" i="50"/>
  <c r="T37" i="31"/>
  <c r="U37" i="30"/>
  <c r="V37" i="28"/>
  <c r="W80" i="31"/>
  <c r="O81" i="60" s="1"/>
  <c r="O37" i="50"/>
  <c r="P37" i="31"/>
  <c r="Q37" i="30"/>
  <c r="R37" i="28"/>
  <c r="W80" i="28"/>
  <c r="E81" i="60" s="1"/>
  <c r="M37" i="52"/>
  <c r="W112" i="50"/>
  <c r="AD113" i="60" s="1"/>
  <c r="AH113" i="60" s="1"/>
  <c r="W115" i="50"/>
  <c r="AD116" i="60" s="1"/>
  <c r="AH116" i="60" s="1"/>
  <c r="W112" i="30"/>
  <c r="J113" i="60" s="1"/>
  <c r="N113" i="60" s="1"/>
  <c r="W115" i="30"/>
  <c r="J116" i="60" s="1"/>
  <c r="R98" i="52"/>
  <c r="R111" i="52" s="1"/>
  <c r="R118" i="52" s="1"/>
  <c r="Q97" i="30"/>
  <c r="M97" i="31"/>
  <c r="W67" i="31"/>
  <c r="O68" i="60" s="1"/>
  <c r="W72" i="31"/>
  <c r="O73" i="60" s="1"/>
  <c r="Q97" i="31"/>
  <c r="U97" i="31"/>
  <c r="P97" i="31"/>
  <c r="W67" i="28"/>
  <c r="E68" i="60" s="1"/>
  <c r="S37" i="3"/>
  <c r="V97" i="52"/>
  <c r="V98" i="52" s="1"/>
  <c r="V111" i="52" s="1"/>
  <c r="V118" i="52" s="1"/>
  <c r="W58" i="50"/>
  <c r="AD59" i="60" s="1"/>
  <c r="N97" i="28"/>
  <c r="U97" i="52"/>
  <c r="U98" i="52" s="1"/>
  <c r="U111" i="52" s="1"/>
  <c r="U118" i="52" s="1"/>
  <c r="M97" i="30"/>
  <c r="R97" i="28"/>
  <c r="S97" i="3"/>
  <c r="S98" i="3" s="1"/>
  <c r="S111" i="3" s="1"/>
  <c r="S118" i="3" s="1"/>
  <c r="L97" i="31"/>
  <c r="W50" i="28"/>
  <c r="E51" i="60" s="1"/>
  <c r="N37" i="51"/>
  <c r="W58" i="28"/>
  <c r="E59" i="60" s="1"/>
  <c r="AW70" i="60"/>
  <c r="AU70" i="60"/>
  <c r="W50" i="3"/>
  <c r="BF51" i="60" s="1"/>
  <c r="W58" i="3"/>
  <c r="BF59" i="60" s="1"/>
  <c r="W67" i="52"/>
  <c r="AS68" i="60" s="1"/>
  <c r="W72" i="52"/>
  <c r="AS73" i="60" s="1"/>
  <c r="W80" i="52"/>
  <c r="AS81" i="60" s="1"/>
  <c r="W112" i="52"/>
  <c r="AS113" i="60" s="1"/>
  <c r="W115" i="52"/>
  <c r="AS116" i="60" s="1"/>
  <c r="W80" i="51"/>
  <c r="AN81" i="60" s="1"/>
  <c r="AU58" i="60"/>
  <c r="AW58" i="60"/>
  <c r="W67" i="50"/>
  <c r="AD68" i="60" s="1"/>
  <c r="P37" i="3"/>
  <c r="W72" i="50"/>
  <c r="AD73" i="60" s="1"/>
  <c r="W80" i="50"/>
  <c r="AD81" i="60" s="1"/>
  <c r="AF116" i="60"/>
  <c r="S81" i="60"/>
  <c r="Q81" i="60"/>
  <c r="W112" i="31"/>
  <c r="O113" i="60" s="1"/>
  <c r="S116" i="60"/>
  <c r="Q116" i="60"/>
  <c r="AW46" i="60"/>
  <c r="AU46" i="60"/>
  <c r="W67" i="30"/>
  <c r="J68" i="60" s="1"/>
  <c r="W72" i="30"/>
  <c r="J73" i="60" s="1"/>
  <c r="W80" i="30"/>
  <c r="J81" i="60" s="1"/>
  <c r="L113" i="60"/>
  <c r="N116" i="60"/>
  <c r="L116" i="60"/>
  <c r="AW33" i="60"/>
  <c r="AU33" i="60"/>
  <c r="AN26" i="60"/>
  <c r="X25" i="51"/>
  <c r="AI17" i="60"/>
  <c r="AH17" i="60"/>
  <c r="AF17" i="60"/>
  <c r="AI34" i="60"/>
  <c r="AH34" i="60"/>
  <c r="AF34" i="60"/>
  <c r="W72" i="28"/>
  <c r="E73" i="60" s="1"/>
  <c r="I81" i="60"/>
  <c r="G81" i="60"/>
  <c r="W112" i="28"/>
  <c r="E113" i="60" s="1"/>
  <c r="W115" i="28"/>
  <c r="E116" i="60" s="1"/>
  <c r="Q97" i="52"/>
  <c r="Q98" i="52" s="1"/>
  <c r="Q111" i="52" s="1"/>
  <c r="Q118" i="52" s="1"/>
  <c r="T97" i="31"/>
  <c r="U97" i="30"/>
  <c r="W50" i="52"/>
  <c r="AS51" i="60" s="1"/>
  <c r="W58" i="52"/>
  <c r="AS59" i="60" s="1"/>
  <c r="T37" i="3"/>
  <c r="W72" i="3"/>
  <c r="BF73" i="60" s="1"/>
  <c r="W80" i="3"/>
  <c r="BF81" i="60" s="1"/>
  <c r="BH113" i="60"/>
  <c r="BJ113" i="60"/>
  <c r="BJ116" i="60"/>
  <c r="AW94" i="60"/>
  <c r="AU94" i="60"/>
  <c r="W50" i="50"/>
  <c r="AD51" i="60" s="1"/>
  <c r="W50" i="31"/>
  <c r="O51" i="60" s="1"/>
  <c r="W58" i="31"/>
  <c r="O59" i="60" s="1"/>
  <c r="AW82" i="60"/>
  <c r="AU82" i="60"/>
  <c r="W50" i="30"/>
  <c r="J51" i="60" s="1"/>
  <c r="W58" i="30"/>
  <c r="J59" i="60" s="1"/>
  <c r="L37" i="3"/>
  <c r="W115" i="51"/>
  <c r="AN116" i="60" s="1"/>
  <c r="AW13" i="60"/>
  <c r="AU13" i="60"/>
  <c r="AW41" i="60"/>
  <c r="AU41" i="60"/>
  <c r="AW53" i="60"/>
  <c r="AU53" i="60"/>
  <c r="AW65" i="60"/>
  <c r="AU65" i="60"/>
  <c r="AW77" i="60"/>
  <c r="AU77" i="60"/>
  <c r="AW89" i="60"/>
  <c r="AU89" i="60"/>
  <c r="AW103" i="60"/>
  <c r="AU103" i="60"/>
  <c r="AN34" i="60"/>
  <c r="AP34" i="60" s="1"/>
  <c r="X33" i="51"/>
  <c r="AI12" i="60"/>
  <c r="AF12" i="60"/>
  <c r="AH12" i="60"/>
  <c r="AI28" i="60"/>
  <c r="AH28" i="60"/>
  <c r="AF28" i="60"/>
  <c r="AH55" i="60"/>
  <c r="AI55" i="60"/>
  <c r="AF55" i="60"/>
  <c r="AF67" i="60"/>
  <c r="AI67" i="60"/>
  <c r="AH67" i="60"/>
  <c r="AH80" i="60"/>
  <c r="AI80" i="60"/>
  <c r="AF80" i="60"/>
  <c r="AI92" i="60"/>
  <c r="AF92" i="60"/>
  <c r="AH92" i="60"/>
  <c r="AI106" i="60"/>
  <c r="AF106" i="60"/>
  <c r="AH106" i="60"/>
  <c r="Q8" i="60"/>
  <c r="S8" i="60"/>
  <c r="S21" i="60"/>
  <c r="Q21" i="60"/>
  <c r="S34" i="60"/>
  <c r="Q34" i="60"/>
  <c r="Q46" i="60"/>
  <c r="S46" i="60"/>
  <c r="S58" i="60"/>
  <c r="Q58" i="60"/>
  <c r="S70" i="60"/>
  <c r="Q70" i="60"/>
  <c r="S82" i="60"/>
  <c r="Q82" i="60"/>
  <c r="Q94" i="60"/>
  <c r="S94" i="60"/>
  <c r="N10" i="60"/>
  <c r="L10" i="60"/>
  <c r="N26" i="60"/>
  <c r="L26" i="60"/>
  <c r="N50" i="60"/>
  <c r="L50" i="60"/>
  <c r="N62" i="60"/>
  <c r="L62" i="60"/>
  <c r="N74" i="60"/>
  <c r="L74" i="60"/>
  <c r="G14" i="60"/>
  <c r="I14" i="60"/>
  <c r="T14" i="60"/>
  <c r="I28" i="60"/>
  <c r="G28" i="60"/>
  <c r="T28" i="60"/>
  <c r="G41" i="60"/>
  <c r="T41" i="60"/>
  <c r="I41" i="60"/>
  <c r="G54" i="60"/>
  <c r="I54" i="60"/>
  <c r="T54" i="60"/>
  <c r="I66" i="60"/>
  <c r="G66" i="60"/>
  <c r="T66" i="60"/>
  <c r="I78" i="60"/>
  <c r="G78" i="60"/>
  <c r="T78" i="60"/>
  <c r="I90" i="60"/>
  <c r="G90" i="60"/>
  <c r="T90" i="60"/>
  <c r="T104" i="60"/>
  <c r="I104" i="60"/>
  <c r="G104" i="60"/>
  <c r="I117" i="60"/>
  <c r="G117" i="60"/>
  <c r="T117" i="60"/>
  <c r="BJ18" i="60"/>
  <c r="BH18" i="60"/>
  <c r="BJ31" i="60"/>
  <c r="BH31" i="60"/>
  <c r="BJ44" i="60"/>
  <c r="BH44" i="60"/>
  <c r="BJ56" i="60"/>
  <c r="BH56" i="60"/>
  <c r="BJ69" i="60"/>
  <c r="BH69" i="60"/>
  <c r="BH82" i="60"/>
  <c r="BJ82" i="60"/>
  <c r="BH94" i="60"/>
  <c r="BJ94" i="60"/>
  <c r="AU14" i="60"/>
  <c r="AW14" i="60"/>
  <c r="AU28" i="60"/>
  <c r="AW28" i="60"/>
  <c r="AW54" i="60"/>
  <c r="AU54" i="60"/>
  <c r="AU66" i="60"/>
  <c r="AW66" i="60"/>
  <c r="AW78" i="60"/>
  <c r="AU78" i="60"/>
  <c r="AU90" i="60"/>
  <c r="AW90" i="60"/>
  <c r="AW104" i="60"/>
  <c r="AU104" i="60"/>
  <c r="AW117" i="60"/>
  <c r="AU117" i="60"/>
  <c r="X20" i="51"/>
  <c r="AN35" i="60"/>
  <c r="X34" i="51"/>
  <c r="AI13" i="60"/>
  <c r="AH13" i="60"/>
  <c r="AF13" i="60"/>
  <c r="AI29" i="60"/>
  <c r="AH29" i="60"/>
  <c r="AF29" i="60"/>
  <c r="AH43" i="60"/>
  <c r="AI43" i="60"/>
  <c r="AF43" i="60"/>
  <c r="AH56" i="60"/>
  <c r="AF56" i="60"/>
  <c r="AI56" i="60"/>
  <c r="AI69" i="60"/>
  <c r="AF69" i="60"/>
  <c r="AH69" i="60"/>
  <c r="AF93" i="60"/>
  <c r="AI93" i="60"/>
  <c r="AH93" i="60"/>
  <c r="AF107" i="60"/>
  <c r="AI107" i="60"/>
  <c r="AH107" i="60"/>
  <c r="S9" i="60"/>
  <c r="Q9" i="60"/>
  <c r="Q22" i="60"/>
  <c r="S22" i="60"/>
  <c r="Q35" i="60"/>
  <c r="S35" i="60"/>
  <c r="S71" i="60"/>
  <c r="Q71" i="60"/>
  <c r="S83" i="60"/>
  <c r="Q83" i="60"/>
  <c r="S95" i="60"/>
  <c r="Q95" i="60"/>
  <c r="S109" i="60"/>
  <c r="Q109" i="60"/>
  <c r="L11" i="60"/>
  <c r="N11" i="60"/>
  <c r="L27" i="60"/>
  <c r="N27" i="60"/>
  <c r="L39" i="60"/>
  <c r="N39" i="60"/>
  <c r="L63" i="60"/>
  <c r="N63" i="60"/>
  <c r="N75" i="60"/>
  <c r="L75" i="60"/>
  <c r="N87" i="60"/>
  <c r="L87" i="60"/>
  <c r="N114" i="60"/>
  <c r="L114" i="60"/>
  <c r="I15" i="60"/>
  <c r="G15" i="60"/>
  <c r="T15" i="60"/>
  <c r="I29" i="60"/>
  <c r="G29" i="60"/>
  <c r="T29" i="60"/>
  <c r="I55" i="60"/>
  <c r="G55" i="60"/>
  <c r="T55" i="60"/>
  <c r="I67" i="60"/>
  <c r="T67" i="60"/>
  <c r="G67" i="60"/>
  <c r="I79" i="60"/>
  <c r="G79" i="60"/>
  <c r="T79" i="60"/>
  <c r="I91" i="60"/>
  <c r="G91" i="60"/>
  <c r="T91" i="60"/>
  <c r="I105" i="60"/>
  <c r="T105" i="60"/>
  <c r="G105" i="60"/>
  <c r="I118" i="60"/>
  <c r="G118" i="60"/>
  <c r="T118" i="60"/>
  <c r="BJ45" i="60"/>
  <c r="BH45" i="60"/>
  <c r="BJ57" i="60"/>
  <c r="BH57" i="60"/>
  <c r="BH70" i="60"/>
  <c r="BJ70" i="60"/>
  <c r="BJ83" i="60"/>
  <c r="BH83" i="60"/>
  <c r="BH95" i="60"/>
  <c r="BJ95" i="60"/>
  <c r="BJ109" i="60"/>
  <c r="BH109" i="60"/>
  <c r="AW15" i="60"/>
  <c r="AU15" i="60"/>
  <c r="AW29" i="60"/>
  <c r="AU29" i="60"/>
  <c r="AW43" i="60"/>
  <c r="AU43" i="60"/>
  <c r="AW55" i="60"/>
  <c r="AU55" i="60"/>
  <c r="AW67" i="60"/>
  <c r="AU67" i="60"/>
  <c r="AW79" i="60"/>
  <c r="AU79" i="60"/>
  <c r="AW91" i="60"/>
  <c r="AU91" i="60"/>
  <c r="AW105" i="60"/>
  <c r="AU105" i="60"/>
  <c r="AW118" i="60"/>
  <c r="AU118" i="60"/>
  <c r="AU22" i="60"/>
  <c r="AW22" i="60"/>
  <c r="AI14" i="60"/>
  <c r="AH14" i="60"/>
  <c r="AF14" i="60"/>
  <c r="AI30" i="60"/>
  <c r="AH30" i="60"/>
  <c r="AF30" i="60"/>
  <c r="AI44" i="60"/>
  <c r="AH44" i="60"/>
  <c r="AF44" i="60"/>
  <c r="AI57" i="60"/>
  <c r="AH57" i="60"/>
  <c r="AF57" i="60"/>
  <c r="AH70" i="60"/>
  <c r="AI70" i="60"/>
  <c r="AF70" i="60"/>
  <c r="AI82" i="60"/>
  <c r="AH82" i="60"/>
  <c r="AF82" i="60"/>
  <c r="AI94" i="60"/>
  <c r="AF94" i="60"/>
  <c r="AH94" i="60"/>
  <c r="Q10" i="60"/>
  <c r="S10" i="60"/>
  <c r="S24" i="60"/>
  <c r="Q24" i="60"/>
  <c r="S36" i="60"/>
  <c r="Q36" i="60"/>
  <c r="Q48" i="60"/>
  <c r="S48" i="60"/>
  <c r="S60" i="60"/>
  <c r="Q60" i="60"/>
  <c r="S72" i="60"/>
  <c r="Q72" i="60"/>
  <c r="S84" i="60"/>
  <c r="Q84" i="60"/>
  <c r="Q96" i="60"/>
  <c r="S96" i="60"/>
  <c r="S110" i="60"/>
  <c r="Q110" i="60"/>
  <c r="N12" i="60"/>
  <c r="L12" i="60"/>
  <c r="N28" i="60"/>
  <c r="L28" i="60"/>
  <c r="N40" i="60"/>
  <c r="L40" i="60"/>
  <c r="N52" i="60"/>
  <c r="L52" i="60"/>
  <c r="L64" i="60"/>
  <c r="N64" i="60"/>
  <c r="L76" i="60"/>
  <c r="N76" i="60"/>
  <c r="N88" i="60"/>
  <c r="L88" i="60"/>
  <c r="N102" i="60"/>
  <c r="L102" i="60"/>
  <c r="N115" i="60"/>
  <c r="L115" i="60"/>
  <c r="G16" i="60"/>
  <c r="I16" i="60"/>
  <c r="T16" i="60"/>
  <c r="G30" i="60"/>
  <c r="T30" i="60"/>
  <c r="I30" i="60"/>
  <c r="I43" i="60"/>
  <c r="G43" i="60"/>
  <c r="T43" i="60"/>
  <c r="G56" i="60"/>
  <c r="T56" i="60"/>
  <c r="I56" i="60"/>
  <c r="I80" i="60"/>
  <c r="G80" i="60"/>
  <c r="T80" i="60"/>
  <c r="T92" i="60"/>
  <c r="I92" i="60"/>
  <c r="G92" i="60"/>
  <c r="I106" i="60"/>
  <c r="G106" i="60"/>
  <c r="T106" i="60"/>
  <c r="BJ8" i="60"/>
  <c r="BH8" i="60"/>
  <c r="BJ21" i="60"/>
  <c r="BH21" i="60"/>
  <c r="BJ33" i="60"/>
  <c r="BH33" i="60"/>
  <c r="BH46" i="60"/>
  <c r="BJ46" i="60"/>
  <c r="BH58" i="60"/>
  <c r="BJ58" i="60"/>
  <c r="BJ71" i="60"/>
  <c r="BH71" i="60"/>
  <c r="BJ84" i="60"/>
  <c r="BH84" i="60"/>
  <c r="BJ96" i="60"/>
  <c r="BH96" i="60"/>
  <c r="BH110" i="60"/>
  <c r="BJ110" i="60"/>
  <c r="AU16" i="60"/>
  <c r="AW16" i="60"/>
  <c r="AW44" i="60"/>
  <c r="AU44" i="60"/>
  <c r="AW56" i="60"/>
  <c r="AU56" i="60"/>
  <c r="AW80" i="60"/>
  <c r="AU80" i="60"/>
  <c r="AU92" i="60"/>
  <c r="AW92" i="60"/>
  <c r="AW106" i="60"/>
  <c r="AU106" i="60"/>
  <c r="AN24" i="60"/>
  <c r="AP24" i="60" s="1"/>
  <c r="X23" i="51"/>
  <c r="Y23" i="51" s="1"/>
  <c r="X36" i="51"/>
  <c r="AI15" i="60"/>
  <c r="AH15" i="60"/>
  <c r="AF15" i="60"/>
  <c r="AH31" i="60"/>
  <c r="AI31" i="60"/>
  <c r="AF31" i="60"/>
  <c r="AI45" i="60"/>
  <c r="AF45" i="60"/>
  <c r="AH45" i="60"/>
  <c r="AH58" i="60"/>
  <c r="AI58" i="60"/>
  <c r="AF58" i="60"/>
  <c r="AH71" i="60"/>
  <c r="AI71" i="60"/>
  <c r="AF71" i="60"/>
  <c r="AH83" i="60"/>
  <c r="AF83" i="60"/>
  <c r="AI83" i="60"/>
  <c r="AF95" i="60"/>
  <c r="AH95" i="60"/>
  <c r="AI95" i="60"/>
  <c r="AI109" i="60"/>
  <c r="AH109" i="60"/>
  <c r="AF109" i="60"/>
  <c r="S11" i="60"/>
  <c r="Q11" i="60"/>
  <c r="S25" i="60"/>
  <c r="Q25" i="60"/>
  <c r="S37" i="60"/>
  <c r="Q37" i="60"/>
  <c r="S49" i="60"/>
  <c r="Q49" i="60"/>
  <c r="S61" i="60"/>
  <c r="Q61" i="60"/>
  <c r="S85" i="60"/>
  <c r="Q85" i="60"/>
  <c r="S97" i="60"/>
  <c r="Q97" i="60"/>
  <c r="S111" i="60"/>
  <c r="Q111" i="60"/>
  <c r="L13" i="60"/>
  <c r="N13" i="60"/>
  <c r="L29" i="60"/>
  <c r="N29" i="60"/>
  <c r="N41" i="60"/>
  <c r="L41" i="60"/>
  <c r="N53" i="60"/>
  <c r="L53" i="60"/>
  <c r="L65" i="60"/>
  <c r="N65" i="60"/>
  <c r="N77" i="60"/>
  <c r="L77" i="60"/>
  <c r="N89" i="60"/>
  <c r="L89" i="60"/>
  <c r="L103" i="60"/>
  <c r="N103" i="60"/>
  <c r="G17" i="60"/>
  <c r="I17" i="60"/>
  <c r="T17" i="60"/>
  <c r="I31" i="60"/>
  <c r="T31" i="60"/>
  <c r="G31" i="60"/>
  <c r="I44" i="60"/>
  <c r="G44" i="60"/>
  <c r="T44" i="60"/>
  <c r="G57" i="60"/>
  <c r="T57" i="60"/>
  <c r="I57" i="60"/>
  <c r="I69" i="60"/>
  <c r="G69" i="60"/>
  <c r="T69" i="60"/>
  <c r="I93" i="60"/>
  <c r="T93" i="60"/>
  <c r="G93" i="60"/>
  <c r="I107" i="60"/>
  <c r="G107" i="60"/>
  <c r="T107" i="60"/>
  <c r="BJ9" i="60"/>
  <c r="BH9" i="60"/>
  <c r="BH22" i="60"/>
  <c r="BJ22" i="60"/>
  <c r="BH34" i="60"/>
  <c r="BJ34" i="60"/>
  <c r="BJ72" i="60"/>
  <c r="BH72" i="60"/>
  <c r="BJ85" i="60"/>
  <c r="BH85" i="60"/>
  <c r="BJ97" i="60"/>
  <c r="BH97" i="60"/>
  <c r="BJ111" i="60"/>
  <c r="BH111" i="60"/>
  <c r="AW17" i="60"/>
  <c r="AU17" i="60"/>
  <c r="AW45" i="60"/>
  <c r="AU45" i="60"/>
  <c r="AW57" i="60"/>
  <c r="AU57" i="60"/>
  <c r="AW69" i="60"/>
  <c r="AU69" i="60"/>
  <c r="AW93" i="60"/>
  <c r="AU93" i="60"/>
  <c r="AW107" i="60"/>
  <c r="AU107" i="60"/>
  <c r="AN25" i="60"/>
  <c r="AR25" i="60" s="1"/>
  <c r="X24" i="51"/>
  <c r="AH16" i="60"/>
  <c r="AI16" i="60"/>
  <c r="AF16" i="60"/>
  <c r="AI33" i="60"/>
  <c r="AH33" i="60"/>
  <c r="AF33" i="60"/>
  <c r="AI46" i="60"/>
  <c r="AF46" i="60"/>
  <c r="AH46" i="60"/>
  <c r="AF72" i="60"/>
  <c r="AI72" i="60"/>
  <c r="AH72" i="60"/>
  <c r="AH84" i="60"/>
  <c r="AF84" i="60"/>
  <c r="AI84" i="60"/>
  <c r="AI96" i="60"/>
  <c r="AH96" i="60"/>
  <c r="AF96" i="60"/>
  <c r="AI110" i="60"/>
  <c r="AH110" i="60"/>
  <c r="AF110" i="60"/>
  <c r="S12" i="60"/>
  <c r="Q12" i="60"/>
  <c r="Q26" i="60"/>
  <c r="S26" i="60"/>
  <c r="Q50" i="60"/>
  <c r="S50" i="60"/>
  <c r="Q62" i="60"/>
  <c r="S62" i="60"/>
  <c r="Q74" i="60"/>
  <c r="S74" i="60"/>
  <c r="N14" i="60"/>
  <c r="L14" i="60"/>
  <c r="N30" i="60"/>
  <c r="L30" i="60"/>
  <c r="N54" i="60"/>
  <c r="L54" i="60"/>
  <c r="N66" i="60"/>
  <c r="L66" i="60"/>
  <c r="N78" i="60"/>
  <c r="L78" i="60"/>
  <c r="N90" i="60"/>
  <c r="L90" i="60"/>
  <c r="N104" i="60"/>
  <c r="L104" i="60"/>
  <c r="N117" i="60"/>
  <c r="L117" i="60"/>
  <c r="T45" i="60"/>
  <c r="I45" i="60"/>
  <c r="G45" i="60"/>
  <c r="G58" i="60"/>
  <c r="T58" i="60"/>
  <c r="I58" i="60"/>
  <c r="I70" i="60"/>
  <c r="G70" i="60"/>
  <c r="T70" i="60"/>
  <c r="I82" i="60"/>
  <c r="T82" i="60"/>
  <c r="G82" i="60"/>
  <c r="G94" i="60"/>
  <c r="I94" i="60"/>
  <c r="T94" i="60"/>
  <c r="BH10" i="60"/>
  <c r="BJ10" i="60"/>
  <c r="BH35" i="60"/>
  <c r="BJ35" i="60"/>
  <c r="BJ48" i="60"/>
  <c r="BH48" i="60"/>
  <c r="BJ60" i="60"/>
  <c r="BH60" i="60"/>
  <c r="AF60" i="60"/>
  <c r="AI60" i="60"/>
  <c r="AH60" i="60"/>
  <c r="AI85" i="60"/>
  <c r="AH85" i="60"/>
  <c r="AF85" i="60"/>
  <c r="AI97" i="60"/>
  <c r="AH97" i="60"/>
  <c r="AF97" i="60"/>
  <c r="AF111" i="60"/>
  <c r="AI111" i="60"/>
  <c r="AH111" i="60"/>
  <c r="S13" i="60"/>
  <c r="Q13" i="60"/>
  <c r="S39" i="60"/>
  <c r="Q39" i="60"/>
  <c r="S63" i="60"/>
  <c r="Q63" i="60"/>
  <c r="Q75" i="60"/>
  <c r="S75" i="60"/>
  <c r="S87" i="60"/>
  <c r="Q87" i="60"/>
  <c r="S114" i="60"/>
  <c r="Q114" i="60"/>
  <c r="L15" i="60"/>
  <c r="N15" i="60"/>
  <c r="N31" i="60"/>
  <c r="L31" i="60"/>
  <c r="N43" i="60"/>
  <c r="L43" i="60"/>
  <c r="L55" i="60"/>
  <c r="N55" i="60"/>
  <c r="N67" i="60"/>
  <c r="L67" i="60"/>
  <c r="N79" i="60"/>
  <c r="L79" i="60"/>
  <c r="L91" i="60"/>
  <c r="N91" i="60"/>
  <c r="N105" i="60"/>
  <c r="L105" i="60"/>
  <c r="N118" i="60"/>
  <c r="L118" i="60"/>
  <c r="T33" i="60"/>
  <c r="G33" i="60"/>
  <c r="I33" i="60"/>
  <c r="I46" i="60"/>
  <c r="T46" i="60"/>
  <c r="G46" i="60"/>
  <c r="I71" i="60"/>
  <c r="T71" i="60"/>
  <c r="G71" i="60"/>
  <c r="I83" i="60"/>
  <c r="G83" i="60"/>
  <c r="T83" i="60"/>
  <c r="I95" i="60"/>
  <c r="T95" i="60"/>
  <c r="G95" i="60"/>
  <c r="I109" i="60"/>
  <c r="G109" i="60"/>
  <c r="T109" i="60"/>
  <c r="BJ11" i="60"/>
  <c r="BH11" i="60"/>
  <c r="BJ24" i="60"/>
  <c r="BH24" i="60"/>
  <c r="BJ36" i="60"/>
  <c r="BH36" i="60"/>
  <c r="BJ49" i="60"/>
  <c r="BH49" i="60"/>
  <c r="BJ61" i="60"/>
  <c r="BH61" i="60"/>
  <c r="BH74" i="60"/>
  <c r="BJ74" i="60"/>
  <c r="BJ87" i="60"/>
  <c r="BH87" i="60"/>
  <c r="BH114" i="60"/>
  <c r="BJ114" i="60"/>
  <c r="AW34" i="60"/>
  <c r="AU34" i="60"/>
  <c r="AW71" i="60"/>
  <c r="AU71" i="60"/>
  <c r="AW83" i="60"/>
  <c r="AU83" i="60"/>
  <c r="AW95" i="60"/>
  <c r="AU95" i="60"/>
  <c r="AW109" i="60"/>
  <c r="AU109" i="60"/>
  <c r="AI21" i="60"/>
  <c r="AH21" i="60"/>
  <c r="AF21" i="60"/>
  <c r="AH35" i="60"/>
  <c r="AF35" i="60"/>
  <c r="AI35" i="60"/>
  <c r="AH48" i="60"/>
  <c r="AI48" i="60"/>
  <c r="AF48" i="60"/>
  <c r="AI61" i="60"/>
  <c r="AH61" i="60"/>
  <c r="AF61" i="60"/>
  <c r="AI74" i="60"/>
  <c r="AH74" i="60"/>
  <c r="AF74" i="60"/>
  <c r="Q14" i="60"/>
  <c r="S14" i="60"/>
  <c r="Q28" i="60"/>
  <c r="S28" i="60"/>
  <c r="S40" i="60"/>
  <c r="Q40" i="60"/>
  <c r="Q52" i="60"/>
  <c r="S52" i="60"/>
  <c r="S64" i="60"/>
  <c r="Q64" i="60"/>
  <c r="S76" i="60"/>
  <c r="Q76" i="60"/>
  <c r="S88" i="60"/>
  <c r="Q88" i="60"/>
  <c r="S102" i="60"/>
  <c r="Q102" i="60"/>
  <c r="S115" i="60"/>
  <c r="Q115" i="60"/>
  <c r="N16" i="60"/>
  <c r="L16" i="60"/>
  <c r="N44" i="60"/>
  <c r="L44" i="60"/>
  <c r="N56" i="60"/>
  <c r="L56" i="60"/>
  <c r="L80" i="60"/>
  <c r="N80" i="60"/>
  <c r="N92" i="60"/>
  <c r="L92" i="60"/>
  <c r="N106" i="60"/>
  <c r="L106" i="60"/>
  <c r="G8" i="60"/>
  <c r="I8" i="60"/>
  <c r="T8" i="60"/>
  <c r="I21" i="60"/>
  <c r="G21" i="60"/>
  <c r="T21" i="60"/>
  <c r="G34" i="60"/>
  <c r="T34" i="60"/>
  <c r="I34" i="60"/>
  <c r="I60" i="60"/>
  <c r="G60" i="60"/>
  <c r="T60" i="60"/>
  <c r="I72" i="60"/>
  <c r="T72" i="60"/>
  <c r="G72" i="60"/>
  <c r="G84" i="60"/>
  <c r="I84" i="60"/>
  <c r="T84" i="60"/>
  <c r="T96" i="60"/>
  <c r="I96" i="60"/>
  <c r="G96" i="60"/>
  <c r="G110" i="60"/>
  <c r="I110" i="60"/>
  <c r="T110" i="60"/>
  <c r="BJ12" i="60"/>
  <c r="BH12" i="60"/>
  <c r="BJ25" i="60"/>
  <c r="BH25" i="60"/>
  <c r="BJ37" i="60"/>
  <c r="BH37" i="60"/>
  <c r="BH50" i="60"/>
  <c r="BJ50" i="60"/>
  <c r="BH62" i="60"/>
  <c r="BJ62" i="60"/>
  <c r="BJ75" i="60"/>
  <c r="BH75" i="60"/>
  <c r="BH88" i="60"/>
  <c r="BJ88" i="60"/>
  <c r="BH102" i="60"/>
  <c r="BJ102" i="60"/>
  <c r="BJ115" i="60"/>
  <c r="BH115" i="60"/>
  <c r="AW8" i="60"/>
  <c r="AU8" i="60"/>
  <c r="AW35" i="60"/>
  <c r="AU35" i="60"/>
  <c r="AW48" i="60"/>
  <c r="AU48" i="60"/>
  <c r="AU60" i="60"/>
  <c r="AW60" i="60"/>
  <c r="AU72" i="60"/>
  <c r="AW72" i="60"/>
  <c r="AU84" i="60"/>
  <c r="AW84" i="60"/>
  <c r="AU96" i="60"/>
  <c r="AW96" i="60"/>
  <c r="AW110" i="60"/>
  <c r="AU110" i="60"/>
  <c r="AN28" i="60"/>
  <c r="AX28" i="60" s="1"/>
  <c r="AZ28" i="60" s="1"/>
  <c r="X27" i="51"/>
  <c r="AI22" i="60"/>
  <c r="AH22" i="60"/>
  <c r="AF22" i="60"/>
  <c r="AF36" i="60"/>
  <c r="AH36" i="60"/>
  <c r="AI36" i="60"/>
  <c r="AI49" i="60"/>
  <c r="AH49" i="60"/>
  <c r="AF49" i="60"/>
  <c r="AI62" i="60"/>
  <c r="AH62" i="60"/>
  <c r="AF62" i="60"/>
  <c r="AI75" i="60"/>
  <c r="AH75" i="60"/>
  <c r="AF75" i="60"/>
  <c r="AH87" i="60"/>
  <c r="AF87" i="60"/>
  <c r="AI87" i="60"/>
  <c r="AI114" i="60"/>
  <c r="AF114" i="60"/>
  <c r="AH114" i="60"/>
  <c r="S15" i="60"/>
  <c r="Q15" i="60"/>
  <c r="S29" i="60"/>
  <c r="Q29" i="60"/>
  <c r="S41" i="60"/>
  <c r="Q41" i="60"/>
  <c r="S53" i="60"/>
  <c r="Q53" i="60"/>
  <c r="S65" i="60"/>
  <c r="Q65" i="60"/>
  <c r="S77" i="60"/>
  <c r="Q77" i="60"/>
  <c r="S89" i="60"/>
  <c r="Q89" i="60"/>
  <c r="S103" i="60"/>
  <c r="Q103" i="60"/>
  <c r="N17" i="60"/>
  <c r="L17" i="60"/>
  <c r="N33" i="60"/>
  <c r="L33" i="60"/>
  <c r="L45" i="60"/>
  <c r="N45" i="60"/>
  <c r="N57" i="60"/>
  <c r="L57" i="60"/>
  <c r="L69" i="60"/>
  <c r="N69" i="60"/>
  <c r="L93" i="60"/>
  <c r="N93" i="60"/>
  <c r="N107" i="60"/>
  <c r="L107" i="60"/>
  <c r="G9" i="60"/>
  <c r="I9" i="60"/>
  <c r="T9" i="60"/>
  <c r="G22" i="60"/>
  <c r="T22" i="60"/>
  <c r="I22" i="60"/>
  <c r="I35" i="60"/>
  <c r="T35" i="60"/>
  <c r="G35" i="60"/>
  <c r="G48" i="60"/>
  <c r="I48" i="60"/>
  <c r="T48" i="60"/>
  <c r="I61" i="60"/>
  <c r="G61" i="60"/>
  <c r="T61" i="60"/>
  <c r="I85" i="60"/>
  <c r="G85" i="60"/>
  <c r="T85" i="60"/>
  <c r="I97" i="60"/>
  <c r="T97" i="60"/>
  <c r="G97" i="60"/>
  <c r="I111" i="60"/>
  <c r="T111" i="60"/>
  <c r="G111" i="60"/>
  <c r="BJ13" i="60"/>
  <c r="BH13" i="60"/>
  <c r="BH26" i="60"/>
  <c r="BJ26" i="60"/>
  <c r="BH39" i="60"/>
  <c r="BJ39" i="60"/>
  <c r="BJ63" i="60"/>
  <c r="BH63" i="60"/>
  <c r="BJ76" i="60"/>
  <c r="BH76" i="60"/>
  <c r="BJ89" i="60"/>
  <c r="BH89" i="60"/>
  <c r="BH103" i="60"/>
  <c r="BJ103" i="60"/>
  <c r="AW9" i="60"/>
  <c r="AU9" i="60"/>
  <c r="AW49" i="60"/>
  <c r="AU49" i="60"/>
  <c r="AW61" i="60"/>
  <c r="AU61" i="60"/>
  <c r="AW85" i="60"/>
  <c r="AU85" i="60"/>
  <c r="AW97" i="60"/>
  <c r="AU97" i="60"/>
  <c r="AW111" i="60"/>
  <c r="AU111" i="60"/>
  <c r="AN29" i="60"/>
  <c r="AP29" i="60" s="1"/>
  <c r="X28" i="51"/>
  <c r="AI8" i="60"/>
  <c r="AF8" i="60"/>
  <c r="AH8" i="60"/>
  <c r="AH24" i="60"/>
  <c r="AF24" i="60"/>
  <c r="AI24" i="60"/>
  <c r="AI37" i="60"/>
  <c r="AF37" i="60"/>
  <c r="AH37" i="60"/>
  <c r="AI50" i="60"/>
  <c r="AH50" i="60"/>
  <c r="AF50" i="60"/>
  <c r="AI63" i="60"/>
  <c r="AH63" i="60"/>
  <c r="AF63" i="60"/>
  <c r="AH76" i="60"/>
  <c r="AF76" i="60"/>
  <c r="AI76" i="60"/>
  <c r="AF88" i="60"/>
  <c r="AI88" i="60"/>
  <c r="AH88" i="60"/>
  <c r="AI102" i="60"/>
  <c r="AF102" i="60"/>
  <c r="AH102" i="60"/>
  <c r="AF115" i="60"/>
  <c r="AH115" i="60"/>
  <c r="AI115" i="60"/>
  <c r="Q16" i="60"/>
  <c r="S16" i="60"/>
  <c r="Q30" i="60"/>
  <c r="S30" i="60"/>
  <c r="S54" i="60"/>
  <c r="Q54" i="60"/>
  <c r="S66" i="60"/>
  <c r="Q66" i="60"/>
  <c r="Q78" i="60"/>
  <c r="S78" i="60"/>
  <c r="S90" i="60"/>
  <c r="Q90" i="60"/>
  <c r="S104" i="60"/>
  <c r="Q104" i="60"/>
  <c r="S117" i="60"/>
  <c r="Q117" i="60"/>
  <c r="N21" i="60"/>
  <c r="L21" i="60"/>
  <c r="N34" i="60"/>
  <c r="L34" i="60"/>
  <c r="L46" i="60"/>
  <c r="N46" i="60"/>
  <c r="N58" i="60"/>
  <c r="L58" i="60"/>
  <c r="N70" i="60"/>
  <c r="L70" i="60"/>
  <c r="N82" i="60"/>
  <c r="L82" i="60"/>
  <c r="N94" i="60"/>
  <c r="L94" i="60"/>
  <c r="I10" i="60"/>
  <c r="G10" i="60"/>
  <c r="T10" i="60"/>
  <c r="G24" i="60"/>
  <c r="I24" i="60"/>
  <c r="T24" i="60"/>
  <c r="I36" i="60"/>
  <c r="G36" i="60"/>
  <c r="T36" i="60"/>
  <c r="I49" i="60"/>
  <c r="G49" i="60"/>
  <c r="T49" i="60"/>
  <c r="I62" i="60"/>
  <c r="T62" i="60"/>
  <c r="G62" i="60"/>
  <c r="I74" i="60"/>
  <c r="G74" i="60"/>
  <c r="T74" i="60"/>
  <c r="BJ14" i="60"/>
  <c r="BH14" i="60"/>
  <c r="BJ27" i="60"/>
  <c r="BH27" i="60"/>
  <c r="BJ40" i="60"/>
  <c r="BH40" i="60"/>
  <c r="BJ52" i="60"/>
  <c r="BH52" i="60"/>
  <c r="BJ64" i="60"/>
  <c r="BH64" i="60"/>
  <c r="BJ77" i="60"/>
  <c r="BH77" i="60"/>
  <c r="BH90" i="60"/>
  <c r="BJ90" i="60"/>
  <c r="BJ104" i="60"/>
  <c r="BH104" i="60"/>
  <c r="BJ117" i="60"/>
  <c r="BH117" i="60"/>
  <c r="AW10" i="60"/>
  <c r="AU10" i="60"/>
  <c r="AW24" i="60"/>
  <c r="AU24" i="60"/>
  <c r="AU50" i="60"/>
  <c r="AW50" i="60"/>
  <c r="AW62" i="60"/>
  <c r="AU62" i="60"/>
  <c r="AW74" i="60"/>
  <c r="AU74" i="60"/>
  <c r="X29" i="51"/>
  <c r="AI9" i="60"/>
  <c r="AH9" i="60"/>
  <c r="AF9" i="60"/>
  <c r="AI25" i="60"/>
  <c r="AF25" i="60"/>
  <c r="AH25" i="60"/>
  <c r="AH39" i="60"/>
  <c r="AI39" i="60"/>
  <c r="AF39" i="60"/>
  <c r="AF52" i="60"/>
  <c r="AI52" i="60"/>
  <c r="AH52" i="60"/>
  <c r="AH64" i="60"/>
  <c r="AI64" i="60"/>
  <c r="AF64" i="60"/>
  <c r="AI77" i="60"/>
  <c r="AF77" i="60"/>
  <c r="AH77" i="60"/>
  <c r="AI89" i="60"/>
  <c r="AF89" i="60"/>
  <c r="AH89" i="60"/>
  <c r="AF103" i="60"/>
  <c r="AH103" i="60"/>
  <c r="AI103" i="60"/>
  <c r="S17" i="60"/>
  <c r="Q17" i="60"/>
  <c r="Q31" i="60"/>
  <c r="S31" i="60"/>
  <c r="Q43" i="60"/>
  <c r="S43" i="60"/>
  <c r="S55" i="60"/>
  <c r="Q55" i="60"/>
  <c r="S67" i="60"/>
  <c r="Q67" i="60"/>
  <c r="S79" i="60"/>
  <c r="Q79" i="60"/>
  <c r="S91" i="60"/>
  <c r="Q91" i="60"/>
  <c r="S105" i="60"/>
  <c r="Q105" i="60"/>
  <c r="S118" i="60"/>
  <c r="Q118" i="60"/>
  <c r="N22" i="60"/>
  <c r="L22" i="60"/>
  <c r="L35" i="60"/>
  <c r="N35" i="60"/>
  <c r="N71" i="60"/>
  <c r="L71" i="60"/>
  <c r="N83" i="60"/>
  <c r="L83" i="60"/>
  <c r="N95" i="60"/>
  <c r="L95" i="60"/>
  <c r="N109" i="60"/>
  <c r="L109" i="60"/>
  <c r="I11" i="60"/>
  <c r="T11" i="60"/>
  <c r="G11" i="60"/>
  <c r="G25" i="60"/>
  <c r="T25" i="60"/>
  <c r="I25" i="60"/>
  <c r="I37" i="60"/>
  <c r="T37" i="60"/>
  <c r="G37" i="60"/>
  <c r="G50" i="60"/>
  <c r="I50" i="60"/>
  <c r="T50" i="60"/>
  <c r="I63" i="60"/>
  <c r="G63" i="60"/>
  <c r="T63" i="60"/>
  <c r="I75" i="60"/>
  <c r="G75" i="60"/>
  <c r="T75" i="60"/>
  <c r="I87" i="60"/>
  <c r="G87" i="60"/>
  <c r="T87" i="60"/>
  <c r="G114" i="60"/>
  <c r="T114" i="60"/>
  <c r="I114" i="60"/>
  <c r="BJ15" i="60"/>
  <c r="BH15" i="60"/>
  <c r="BJ28" i="60"/>
  <c r="BH28" i="60"/>
  <c r="BJ41" i="60"/>
  <c r="BH41" i="60"/>
  <c r="BJ53" i="60"/>
  <c r="BH53" i="60"/>
  <c r="BJ65" i="60"/>
  <c r="BH65" i="60"/>
  <c r="BH78" i="60"/>
  <c r="BJ78" i="60"/>
  <c r="BH91" i="60"/>
  <c r="BJ91" i="60"/>
  <c r="BJ105" i="60"/>
  <c r="BH105" i="60"/>
  <c r="BH118" i="60"/>
  <c r="BJ118" i="60"/>
  <c r="AW11" i="60"/>
  <c r="AU11" i="60"/>
  <c r="AW25" i="60"/>
  <c r="AU25" i="60"/>
  <c r="AW39" i="60"/>
  <c r="AU39" i="60"/>
  <c r="AW63" i="60"/>
  <c r="AU63" i="60"/>
  <c r="AW75" i="60"/>
  <c r="AU75" i="60"/>
  <c r="AW87" i="60"/>
  <c r="AU87" i="60"/>
  <c r="AW114" i="60"/>
  <c r="AU114" i="60"/>
  <c r="AI10" i="60"/>
  <c r="AH10" i="60"/>
  <c r="AF10" i="60"/>
  <c r="AH26" i="60"/>
  <c r="AI26" i="60"/>
  <c r="AF26" i="60"/>
  <c r="AF40" i="60"/>
  <c r="AI40" i="60"/>
  <c r="AH40" i="60"/>
  <c r="AI53" i="60"/>
  <c r="AH53" i="60"/>
  <c r="AF53" i="60"/>
  <c r="AI65" i="60"/>
  <c r="AH65" i="60"/>
  <c r="AF65" i="60"/>
  <c r="AI78" i="60"/>
  <c r="AF78" i="60"/>
  <c r="AH78" i="60"/>
  <c r="AI90" i="60"/>
  <c r="AH90" i="60"/>
  <c r="AF90" i="60"/>
  <c r="AF104" i="60"/>
  <c r="AI104" i="60"/>
  <c r="AH104" i="60"/>
  <c r="AF117" i="60"/>
  <c r="AI117" i="60"/>
  <c r="AH117" i="60"/>
  <c r="S44" i="60"/>
  <c r="Q44" i="60"/>
  <c r="Q56" i="60"/>
  <c r="S56" i="60"/>
  <c r="S80" i="60"/>
  <c r="Q80" i="60"/>
  <c r="S92" i="60"/>
  <c r="Q92" i="60"/>
  <c r="Q106" i="60"/>
  <c r="S106" i="60"/>
  <c r="N8" i="60"/>
  <c r="L8" i="60"/>
  <c r="N24" i="60"/>
  <c r="L24" i="60"/>
  <c r="N36" i="60"/>
  <c r="L36" i="60"/>
  <c r="N48" i="60"/>
  <c r="L48" i="60"/>
  <c r="N60" i="60"/>
  <c r="L60" i="60"/>
  <c r="L72" i="60"/>
  <c r="N72" i="60"/>
  <c r="N84" i="60"/>
  <c r="L84" i="60"/>
  <c r="L96" i="60"/>
  <c r="N96" i="60"/>
  <c r="N110" i="60"/>
  <c r="L110" i="60"/>
  <c r="I12" i="60"/>
  <c r="T12" i="60"/>
  <c r="G12" i="60"/>
  <c r="I26" i="60"/>
  <c r="T26" i="60"/>
  <c r="G26" i="60"/>
  <c r="I39" i="60"/>
  <c r="T39" i="60"/>
  <c r="G39" i="60"/>
  <c r="I52" i="60"/>
  <c r="G52" i="60"/>
  <c r="T52" i="60"/>
  <c r="I64" i="60"/>
  <c r="T64" i="60"/>
  <c r="G64" i="60"/>
  <c r="I76" i="60"/>
  <c r="T76" i="60"/>
  <c r="G76" i="60"/>
  <c r="I88" i="60"/>
  <c r="G88" i="60"/>
  <c r="T88" i="60"/>
  <c r="I102" i="60"/>
  <c r="G102" i="60"/>
  <c r="T102" i="60"/>
  <c r="I115" i="60"/>
  <c r="T115" i="60"/>
  <c r="G115" i="60"/>
  <c r="BJ16" i="60"/>
  <c r="BH16" i="60"/>
  <c r="BJ29" i="60"/>
  <c r="BH29" i="60"/>
  <c r="BH54" i="60"/>
  <c r="BJ54" i="60"/>
  <c r="BH66" i="60"/>
  <c r="BJ66" i="60"/>
  <c r="BJ79" i="60"/>
  <c r="BH79" i="60"/>
  <c r="BJ92" i="60"/>
  <c r="BH92" i="60"/>
  <c r="BH106" i="60"/>
  <c r="BJ106" i="60"/>
  <c r="AW12" i="60"/>
  <c r="AU12" i="60"/>
  <c r="AW26" i="60"/>
  <c r="AU26" i="60"/>
  <c r="AW40" i="60"/>
  <c r="AU40" i="60"/>
  <c r="AU52" i="60"/>
  <c r="AW52" i="60"/>
  <c r="AW64" i="60"/>
  <c r="AU64" i="60"/>
  <c r="AU76" i="60"/>
  <c r="AW76" i="60"/>
  <c r="AU88" i="60"/>
  <c r="AW88" i="60"/>
  <c r="AW102" i="60"/>
  <c r="AU102" i="60"/>
  <c r="AW115" i="60"/>
  <c r="AU115" i="60"/>
  <c r="AN33" i="60"/>
  <c r="AR33" i="60" s="1"/>
  <c r="X32" i="51"/>
  <c r="AI11" i="60"/>
  <c r="AH11" i="60"/>
  <c r="AF11" i="60"/>
  <c r="AH27" i="60"/>
  <c r="AF27" i="60"/>
  <c r="AI27" i="60"/>
  <c r="AI41" i="60"/>
  <c r="AH41" i="60"/>
  <c r="AF41" i="60"/>
  <c r="AH54" i="60"/>
  <c r="AF54" i="60"/>
  <c r="AI54" i="60"/>
  <c r="AI66" i="60"/>
  <c r="AH66" i="60"/>
  <c r="AF66" i="60"/>
  <c r="AH79" i="60"/>
  <c r="AF79" i="60"/>
  <c r="AI79" i="60"/>
  <c r="AI91" i="60"/>
  <c r="AH91" i="60"/>
  <c r="AF91" i="60"/>
  <c r="AI105" i="60"/>
  <c r="AH105" i="60"/>
  <c r="AF105" i="60"/>
  <c r="AI118" i="60"/>
  <c r="AH118" i="60"/>
  <c r="AF118" i="60"/>
  <c r="S33" i="60"/>
  <c r="Q33" i="60"/>
  <c r="S45" i="60"/>
  <c r="Q45" i="60"/>
  <c r="S57" i="60"/>
  <c r="Q57" i="60"/>
  <c r="S69" i="60"/>
  <c r="Q69" i="60"/>
  <c r="S93" i="60"/>
  <c r="Q93" i="60"/>
  <c r="S107" i="60"/>
  <c r="Q107" i="60"/>
  <c r="N9" i="60"/>
  <c r="L9" i="60"/>
  <c r="N25" i="60"/>
  <c r="L25" i="60"/>
  <c r="N37" i="60"/>
  <c r="L37" i="60"/>
  <c r="N49" i="60"/>
  <c r="L49" i="60"/>
  <c r="L61" i="60"/>
  <c r="N61" i="60"/>
  <c r="N85" i="60"/>
  <c r="L85" i="60"/>
  <c r="N97" i="60"/>
  <c r="L97" i="60"/>
  <c r="N111" i="60"/>
  <c r="L111" i="60"/>
  <c r="I13" i="60"/>
  <c r="G13" i="60"/>
  <c r="T13" i="60"/>
  <c r="I27" i="60"/>
  <c r="G27" i="60"/>
  <c r="G40" i="60"/>
  <c r="I40" i="60"/>
  <c r="T40" i="60"/>
  <c r="I53" i="60"/>
  <c r="T53" i="60"/>
  <c r="G53" i="60"/>
  <c r="T65" i="60"/>
  <c r="G65" i="60"/>
  <c r="I65" i="60"/>
  <c r="T77" i="60"/>
  <c r="I77" i="60"/>
  <c r="G77" i="60"/>
  <c r="T89" i="60"/>
  <c r="G89" i="60"/>
  <c r="I89" i="60"/>
  <c r="I103" i="60"/>
  <c r="G103" i="60"/>
  <c r="T103" i="60"/>
  <c r="BJ17" i="60"/>
  <c r="BH17" i="60"/>
  <c r="BH30" i="60"/>
  <c r="BJ30" i="60"/>
  <c r="BJ43" i="60"/>
  <c r="BH43" i="60"/>
  <c r="BJ55" i="60"/>
  <c r="BH55" i="60"/>
  <c r="BJ67" i="60"/>
  <c r="BH67" i="60"/>
  <c r="BH80" i="60"/>
  <c r="BJ80" i="60"/>
  <c r="BJ93" i="60"/>
  <c r="BH93" i="60"/>
  <c r="BH107" i="60"/>
  <c r="BJ107" i="60"/>
  <c r="AR116" i="60"/>
  <c r="AP116" i="60"/>
  <c r="AP81" i="60"/>
  <c r="AR81" i="60"/>
  <c r="AX81" i="60"/>
  <c r="AZ81" i="60" s="1"/>
  <c r="W67" i="51"/>
  <c r="AN68" i="60" s="1"/>
  <c r="AR11" i="60"/>
  <c r="AX11" i="60"/>
  <c r="AZ11" i="60" s="1"/>
  <c r="AP11" i="60"/>
  <c r="AR15" i="60"/>
  <c r="AP15" i="60"/>
  <c r="AX15" i="60"/>
  <c r="AZ15" i="60" s="1"/>
  <c r="AP22" i="60"/>
  <c r="AR22" i="60"/>
  <c r="AX22" i="60"/>
  <c r="AZ22" i="60" s="1"/>
  <c r="AP35" i="60"/>
  <c r="AR35" i="60"/>
  <c r="AX35" i="60"/>
  <c r="AZ35" i="60" s="1"/>
  <c r="AR40" i="60"/>
  <c r="AP40" i="60"/>
  <c r="AX40" i="60"/>
  <c r="AZ40" i="60" s="1"/>
  <c r="AR44" i="60"/>
  <c r="AP44" i="60"/>
  <c r="AX44" i="60"/>
  <c r="AZ44" i="60" s="1"/>
  <c r="AX48" i="60"/>
  <c r="AZ48" i="60" s="1"/>
  <c r="AR48" i="60"/>
  <c r="AP48" i="60"/>
  <c r="AR53" i="60"/>
  <c r="AX53" i="60"/>
  <c r="AZ53" i="60" s="1"/>
  <c r="AP53" i="60"/>
  <c r="AX57" i="60"/>
  <c r="AZ57" i="60" s="1"/>
  <c r="AR57" i="60"/>
  <c r="AP57" i="60"/>
  <c r="AX61" i="60"/>
  <c r="AZ61" i="60" s="1"/>
  <c r="AP61" i="60"/>
  <c r="AR61" i="60"/>
  <c r="AX65" i="60"/>
  <c r="AZ65" i="60" s="1"/>
  <c r="AP65" i="60"/>
  <c r="AR65" i="60"/>
  <c r="AX70" i="60"/>
  <c r="AZ70" i="60" s="1"/>
  <c r="AR70" i="60"/>
  <c r="AP70" i="60"/>
  <c r="AX75" i="60"/>
  <c r="AZ75" i="60" s="1"/>
  <c r="AR75" i="60"/>
  <c r="AP75" i="60"/>
  <c r="AR79" i="60"/>
  <c r="AX79" i="60"/>
  <c r="AZ79" i="60" s="1"/>
  <c r="AP79" i="60"/>
  <c r="AP83" i="60"/>
  <c r="AR83" i="60"/>
  <c r="AX83" i="60"/>
  <c r="AZ83" i="60" s="1"/>
  <c r="AX88" i="60"/>
  <c r="AZ88" i="60" s="1"/>
  <c r="AR88" i="60"/>
  <c r="AP88" i="60"/>
  <c r="AX92" i="60"/>
  <c r="AZ92" i="60" s="1"/>
  <c r="AR92" i="60"/>
  <c r="AP92" i="60"/>
  <c r="AX96" i="60"/>
  <c r="AZ96" i="60" s="1"/>
  <c r="AR96" i="60"/>
  <c r="AP96" i="60"/>
  <c r="AX102" i="60"/>
  <c r="AZ102" i="60" s="1"/>
  <c r="AR102" i="60"/>
  <c r="AP102" i="60"/>
  <c r="AX106" i="60"/>
  <c r="AZ106" i="60" s="1"/>
  <c r="AR106" i="60"/>
  <c r="AP106" i="60"/>
  <c r="AX110" i="60"/>
  <c r="AZ110" i="60" s="1"/>
  <c r="AR110" i="60"/>
  <c r="AP110" i="60"/>
  <c r="AX115" i="60"/>
  <c r="AZ115" i="60" s="1"/>
  <c r="AP115" i="60"/>
  <c r="AR115" i="60"/>
  <c r="O37" i="51"/>
  <c r="O97" i="51" s="1"/>
  <c r="AR8" i="60"/>
  <c r="AX8" i="60"/>
  <c r="AZ8" i="60" s="1"/>
  <c r="AP8" i="60"/>
  <c r="AR12" i="60"/>
  <c r="AX12" i="60"/>
  <c r="AZ12" i="60" s="1"/>
  <c r="AP12" i="60"/>
  <c r="AR16" i="60"/>
  <c r="AX16" i="60"/>
  <c r="AZ16" i="60" s="1"/>
  <c r="AP16" i="60"/>
  <c r="AX24" i="60"/>
  <c r="AZ24" i="60" s="1"/>
  <c r="AR24" i="60"/>
  <c r="AR28" i="60"/>
  <c r="AP41" i="60"/>
  <c r="AX41" i="60"/>
  <c r="AZ41" i="60" s="1"/>
  <c r="AR41" i="60"/>
  <c r="AR45" i="60"/>
  <c r="AP45" i="60"/>
  <c r="AX45" i="60"/>
  <c r="AZ45" i="60" s="1"/>
  <c r="AX49" i="60"/>
  <c r="AZ49" i="60" s="1"/>
  <c r="AP49" i="60"/>
  <c r="AR49" i="60"/>
  <c r="AR54" i="60"/>
  <c r="AX54" i="60"/>
  <c r="AZ54" i="60" s="1"/>
  <c r="AP54" i="60"/>
  <c r="AR58" i="60"/>
  <c r="AX58" i="60"/>
  <c r="AZ58" i="60" s="1"/>
  <c r="AP58" i="60"/>
  <c r="AX62" i="60"/>
  <c r="AZ62" i="60" s="1"/>
  <c r="AR62" i="60"/>
  <c r="AP62" i="60"/>
  <c r="AR66" i="60"/>
  <c r="AP66" i="60"/>
  <c r="AX66" i="60"/>
  <c r="AZ66" i="60" s="1"/>
  <c r="AP71" i="60"/>
  <c r="AR71" i="60"/>
  <c r="AX71" i="60"/>
  <c r="AZ71" i="60" s="1"/>
  <c r="AR76" i="60"/>
  <c r="AP76" i="60"/>
  <c r="AX76" i="60"/>
  <c r="AZ76" i="60" s="1"/>
  <c r="AX80" i="60"/>
  <c r="AZ80" i="60" s="1"/>
  <c r="AR80" i="60"/>
  <c r="AP80" i="60"/>
  <c r="AX84" i="60"/>
  <c r="AZ84" i="60" s="1"/>
  <c r="AR84" i="60"/>
  <c r="AP84" i="60"/>
  <c r="AX89" i="60"/>
  <c r="AZ89" i="60" s="1"/>
  <c r="AR89" i="60"/>
  <c r="AP89" i="60"/>
  <c r="AX93" i="60"/>
  <c r="AZ93" i="60" s="1"/>
  <c r="AP93" i="60"/>
  <c r="AR93" i="60"/>
  <c r="AR97" i="60"/>
  <c r="AX97" i="60"/>
  <c r="AZ97" i="60" s="1"/>
  <c r="AP97" i="60"/>
  <c r="AP103" i="60"/>
  <c r="AR103" i="60"/>
  <c r="AX103" i="60"/>
  <c r="AZ103" i="60" s="1"/>
  <c r="AP107" i="60"/>
  <c r="AR107" i="60"/>
  <c r="AX107" i="60"/>
  <c r="AZ107" i="60" s="1"/>
  <c r="AX111" i="60"/>
  <c r="AZ111" i="60" s="1"/>
  <c r="AR111" i="60"/>
  <c r="AP111" i="60"/>
  <c r="R37" i="51"/>
  <c r="R97" i="51" s="1"/>
  <c r="V37" i="51"/>
  <c r="V97" i="51" s="1"/>
  <c r="AX9" i="60"/>
  <c r="AZ9" i="60" s="1"/>
  <c r="AR9" i="60"/>
  <c r="AP9" i="60"/>
  <c r="AX13" i="60"/>
  <c r="AZ13" i="60" s="1"/>
  <c r="AP13" i="60"/>
  <c r="AR13" i="60"/>
  <c r="AX17" i="60"/>
  <c r="AZ17" i="60" s="1"/>
  <c r="AP17" i="60"/>
  <c r="AR17" i="60"/>
  <c r="AX25" i="60"/>
  <c r="AZ25" i="60" s="1"/>
  <c r="AX46" i="60"/>
  <c r="AZ46" i="60" s="1"/>
  <c r="AR46" i="60"/>
  <c r="AP46" i="60"/>
  <c r="AR50" i="60"/>
  <c r="AP50" i="60"/>
  <c r="AX50" i="60"/>
  <c r="AZ50" i="60" s="1"/>
  <c r="AP55" i="60"/>
  <c r="AX55" i="60"/>
  <c r="AZ55" i="60" s="1"/>
  <c r="AR55" i="60"/>
  <c r="W58" i="51"/>
  <c r="AN59" i="60" s="1"/>
  <c r="AR63" i="60"/>
  <c r="AX63" i="60"/>
  <c r="AZ63" i="60" s="1"/>
  <c r="AP63" i="60"/>
  <c r="AR67" i="60"/>
  <c r="AX67" i="60"/>
  <c r="AZ67" i="60" s="1"/>
  <c r="AP67" i="60"/>
  <c r="AP72" i="60"/>
  <c r="AX72" i="60"/>
  <c r="AZ72" i="60" s="1"/>
  <c r="AR72" i="60"/>
  <c r="AX77" i="60"/>
  <c r="AZ77" i="60" s="1"/>
  <c r="AP77" i="60"/>
  <c r="AR77" i="60"/>
  <c r="AR85" i="60"/>
  <c r="AX85" i="60"/>
  <c r="AZ85" i="60" s="1"/>
  <c r="AP85" i="60"/>
  <c r="AR90" i="60"/>
  <c r="AP90" i="60"/>
  <c r="AX90" i="60"/>
  <c r="AZ90" i="60" s="1"/>
  <c r="AX94" i="60"/>
  <c r="AZ94" i="60" s="1"/>
  <c r="AR94" i="60"/>
  <c r="AP94" i="60"/>
  <c r="AX104" i="60"/>
  <c r="AZ104" i="60" s="1"/>
  <c r="AR104" i="60"/>
  <c r="AP104" i="60"/>
  <c r="W112" i="51"/>
  <c r="AN113" i="60" s="1"/>
  <c r="AP117" i="60"/>
  <c r="AX117" i="60"/>
  <c r="AZ117" i="60" s="1"/>
  <c r="AR117" i="60"/>
  <c r="AR10" i="60"/>
  <c r="AX10" i="60"/>
  <c r="AZ10" i="60" s="1"/>
  <c r="AP10" i="60"/>
  <c r="AX14" i="60"/>
  <c r="AZ14" i="60" s="1"/>
  <c r="AP14" i="60"/>
  <c r="AR14" i="60"/>
  <c r="AP21" i="60"/>
  <c r="AR21" i="60"/>
  <c r="AP26" i="60"/>
  <c r="AX26" i="60"/>
  <c r="AZ26" i="60" s="1"/>
  <c r="AR26" i="60"/>
  <c r="AR34" i="60"/>
  <c r="AN39" i="60"/>
  <c r="AR43" i="60"/>
  <c r="AX43" i="60"/>
  <c r="AZ43" i="60" s="1"/>
  <c r="AP43" i="60"/>
  <c r="AX52" i="60"/>
  <c r="AZ52" i="60" s="1"/>
  <c r="AR52" i="60"/>
  <c r="AP52" i="60"/>
  <c r="AX56" i="60"/>
  <c r="AZ56" i="60" s="1"/>
  <c r="AR56" i="60"/>
  <c r="AP56" i="60"/>
  <c r="AR60" i="60"/>
  <c r="AX60" i="60"/>
  <c r="AZ60" i="60" s="1"/>
  <c r="AP60" i="60"/>
  <c r="AX64" i="60"/>
  <c r="AZ64" i="60" s="1"/>
  <c r="AP64" i="60"/>
  <c r="AR64" i="60"/>
  <c r="AP69" i="60"/>
  <c r="AX69" i="60"/>
  <c r="AZ69" i="60" s="1"/>
  <c r="AR69" i="60"/>
  <c r="AN74" i="60"/>
  <c r="AR78" i="60"/>
  <c r="AX78" i="60"/>
  <c r="AZ78" i="60" s="1"/>
  <c r="AP78" i="60"/>
  <c r="AX82" i="60"/>
  <c r="AZ82" i="60" s="1"/>
  <c r="AR82" i="60"/>
  <c r="AP82" i="60"/>
  <c r="AP87" i="60"/>
  <c r="AX87" i="60"/>
  <c r="AZ87" i="60" s="1"/>
  <c r="AR87" i="60"/>
  <c r="AX91" i="60"/>
  <c r="AZ91" i="60" s="1"/>
  <c r="AP91" i="60"/>
  <c r="AR91" i="60"/>
  <c r="AR95" i="60"/>
  <c r="AX95" i="60"/>
  <c r="AZ95" i="60" s="1"/>
  <c r="AP95" i="60"/>
  <c r="AX105" i="60"/>
  <c r="AZ105" i="60" s="1"/>
  <c r="AR105" i="60"/>
  <c r="AP105" i="60"/>
  <c r="AR109" i="60"/>
  <c r="AX109" i="60"/>
  <c r="AZ109" i="60" s="1"/>
  <c r="AP109" i="60"/>
  <c r="AX114" i="60"/>
  <c r="AZ114" i="60" s="1"/>
  <c r="AR114" i="60"/>
  <c r="AP114" i="60"/>
  <c r="AX118" i="60"/>
  <c r="AZ118" i="60" s="1"/>
  <c r="AR118" i="60"/>
  <c r="AP118" i="60"/>
  <c r="O97" i="50"/>
  <c r="S97" i="50"/>
  <c r="W72" i="51"/>
  <c r="AN73" i="60" s="1"/>
  <c r="S97" i="51"/>
  <c r="W50" i="51"/>
  <c r="AN51" i="60" s="1"/>
  <c r="N97" i="51"/>
  <c r="P97" i="50"/>
  <c r="T97" i="50"/>
  <c r="L97" i="50"/>
  <c r="O97" i="3"/>
  <c r="O98" i="3" s="1"/>
  <c r="O111" i="3" s="1"/>
  <c r="O118" i="3" s="1"/>
  <c r="P97" i="3"/>
  <c r="P98" i="3" s="1"/>
  <c r="P111" i="3" s="1"/>
  <c r="P118" i="3" s="1"/>
  <c r="T97" i="3"/>
  <c r="T98" i="3" s="1"/>
  <c r="T111" i="3" s="1"/>
  <c r="T118" i="3" s="1"/>
  <c r="W67" i="3"/>
  <c r="BF68" i="60" s="1"/>
  <c r="L97" i="3"/>
  <c r="L98" i="3" s="1"/>
  <c r="L111" i="3" s="1"/>
  <c r="L118" i="3" s="1"/>
  <c r="M97" i="52"/>
  <c r="V97" i="28"/>
  <c r="V97" i="30"/>
  <c r="R37" i="50"/>
  <c r="O37" i="52"/>
  <c r="O97" i="52" s="1"/>
  <c r="S37" i="52"/>
  <c r="S97" i="52" s="1"/>
  <c r="S98" i="52" s="1"/>
  <c r="S111" i="52" s="1"/>
  <c r="S118" i="52" s="1"/>
  <c r="L37" i="51"/>
  <c r="L97" i="51" s="1"/>
  <c r="P37" i="51"/>
  <c r="P97" i="51" s="1"/>
  <c r="T37" i="51"/>
  <c r="T97" i="51" s="1"/>
  <c r="M37" i="50"/>
  <c r="M97" i="50" s="1"/>
  <c r="Q37" i="50"/>
  <c r="Q97" i="50" s="1"/>
  <c r="U37" i="50"/>
  <c r="U97" i="50" s="1"/>
  <c r="N37" i="31"/>
  <c r="N97" i="31" s="1"/>
  <c r="R37" i="31"/>
  <c r="R97" i="31" s="1"/>
  <c r="V37" i="31"/>
  <c r="V97" i="31" s="1"/>
  <c r="O37" i="30"/>
  <c r="O97" i="30" s="1"/>
  <c r="S37" i="30"/>
  <c r="S97" i="30" s="1"/>
  <c r="L37" i="28"/>
  <c r="L97" i="28" s="1"/>
  <c r="P37" i="28"/>
  <c r="P97" i="28" s="1"/>
  <c r="T37" i="28"/>
  <c r="T97" i="28" s="1"/>
  <c r="M37" i="3"/>
  <c r="M97" i="3" s="1"/>
  <c r="M98" i="3" s="1"/>
  <c r="M111" i="3" s="1"/>
  <c r="M118" i="3" s="1"/>
  <c r="Q37" i="3"/>
  <c r="Q97" i="3" s="1"/>
  <c r="Q98" i="3" s="1"/>
  <c r="Q111" i="3" s="1"/>
  <c r="Q118" i="3" s="1"/>
  <c r="U37" i="3"/>
  <c r="U97" i="3" s="1"/>
  <c r="U98" i="3" s="1"/>
  <c r="U111" i="3" s="1"/>
  <c r="U118" i="3" s="1"/>
  <c r="M37" i="51"/>
  <c r="M97" i="51" s="1"/>
  <c r="L37" i="30"/>
  <c r="L97" i="30" s="1"/>
  <c r="Q37" i="28"/>
  <c r="Q97" i="28" s="1"/>
  <c r="V37" i="3"/>
  <c r="V97" i="3" s="1"/>
  <c r="V98" i="3" s="1"/>
  <c r="V111" i="3" s="1"/>
  <c r="V118" i="3" s="1"/>
  <c r="L37" i="52"/>
  <c r="L97" i="52" s="1"/>
  <c r="P37" i="52"/>
  <c r="P97" i="52" s="1"/>
  <c r="T37" i="52"/>
  <c r="T97" i="52" s="1"/>
  <c r="T98" i="52" s="1"/>
  <c r="T111" i="52" s="1"/>
  <c r="T118" i="52" s="1"/>
  <c r="Q37" i="51"/>
  <c r="Q97" i="51" s="1"/>
  <c r="U37" i="51"/>
  <c r="U97" i="51" s="1"/>
  <c r="N37" i="50"/>
  <c r="N97" i="50" s="1"/>
  <c r="V37" i="50"/>
  <c r="O37" i="31"/>
  <c r="O97" i="31" s="1"/>
  <c r="S37" i="31"/>
  <c r="S97" i="31" s="1"/>
  <c r="P37" i="30"/>
  <c r="P97" i="30" s="1"/>
  <c r="T37" i="30"/>
  <c r="T97" i="30" s="1"/>
  <c r="M37" i="28"/>
  <c r="M97" i="28" s="1"/>
  <c r="U37" i="28"/>
  <c r="N37" i="3"/>
  <c r="N97" i="3" s="1"/>
  <c r="N98" i="3" s="1"/>
  <c r="N111" i="3" s="1"/>
  <c r="N118" i="3" s="1"/>
  <c r="R37" i="3"/>
  <c r="R97" i="3" s="1"/>
  <c r="R98" i="3" s="1"/>
  <c r="R111" i="3" s="1"/>
  <c r="R118" i="3" s="1"/>
  <c r="AP28" i="60" l="1"/>
  <c r="AI116" i="60"/>
  <c r="AK116" i="60" s="1"/>
  <c r="AX34" i="60"/>
  <c r="AZ34" i="60" s="1"/>
  <c r="AI113" i="60"/>
  <c r="AF113" i="60"/>
  <c r="AX29" i="60"/>
  <c r="AZ29" i="60" s="1"/>
  <c r="AP25" i="60"/>
  <c r="AX116" i="60"/>
  <c r="AZ116" i="60" s="1"/>
  <c r="AR29" i="60"/>
  <c r="V97" i="50"/>
  <c r="X39" i="60"/>
  <c r="V39" i="60"/>
  <c r="AM77" i="60"/>
  <c r="AK77" i="60"/>
  <c r="X85" i="60"/>
  <c r="V85" i="60"/>
  <c r="AK34" i="60"/>
  <c r="AM34" i="60"/>
  <c r="AK103" i="60"/>
  <c r="AM103" i="60"/>
  <c r="R97" i="50"/>
  <c r="AX33" i="60"/>
  <c r="AZ33" i="60" s="1"/>
  <c r="AM54" i="60"/>
  <c r="AK54" i="60"/>
  <c r="X31" i="51"/>
  <c r="AK89" i="60"/>
  <c r="AM89" i="60"/>
  <c r="AK102" i="60"/>
  <c r="AM102" i="60"/>
  <c r="AK50" i="60"/>
  <c r="AM50" i="60"/>
  <c r="X71" i="60"/>
  <c r="V71" i="60"/>
  <c r="AM60" i="60"/>
  <c r="AK60" i="60"/>
  <c r="V45" i="60"/>
  <c r="X45" i="60"/>
  <c r="AM107" i="60"/>
  <c r="AK107" i="60"/>
  <c r="AK43" i="60"/>
  <c r="AM43" i="60"/>
  <c r="AK12" i="60"/>
  <c r="AM12" i="60"/>
  <c r="T73" i="60"/>
  <c r="I73" i="60"/>
  <c r="G73" i="60"/>
  <c r="L68" i="60"/>
  <c r="N68" i="60"/>
  <c r="S113" i="60"/>
  <c r="Q113" i="60"/>
  <c r="S68" i="60"/>
  <c r="Q68" i="60"/>
  <c r="BJ68" i="60"/>
  <c r="BH68" i="60"/>
  <c r="X77" i="60"/>
  <c r="V77" i="60"/>
  <c r="AK26" i="60"/>
  <c r="AM26" i="60"/>
  <c r="V50" i="60"/>
  <c r="X50" i="60"/>
  <c r="X49" i="60"/>
  <c r="V49" i="60"/>
  <c r="X97" i="60"/>
  <c r="V97" i="60"/>
  <c r="X35" i="60"/>
  <c r="V35" i="60"/>
  <c r="AM74" i="60"/>
  <c r="AK74" i="60"/>
  <c r="AK21" i="60"/>
  <c r="AM21" i="60"/>
  <c r="AM72" i="60"/>
  <c r="AK72" i="60"/>
  <c r="X30" i="60"/>
  <c r="V30" i="60"/>
  <c r="AK70" i="60"/>
  <c r="AM70" i="60"/>
  <c r="X91" i="60"/>
  <c r="V91" i="60"/>
  <c r="X29" i="60"/>
  <c r="V29" i="60"/>
  <c r="S59" i="60"/>
  <c r="Q59" i="60"/>
  <c r="AW73" i="60"/>
  <c r="AU73" i="60"/>
  <c r="AM15" i="60"/>
  <c r="AK15" i="60"/>
  <c r="V16" i="60"/>
  <c r="X16" i="60"/>
  <c r="V13" i="60"/>
  <c r="X13" i="60"/>
  <c r="AM105" i="60"/>
  <c r="AK105" i="60"/>
  <c r="X88" i="60"/>
  <c r="V88" i="60"/>
  <c r="AM78" i="60"/>
  <c r="AK78" i="60"/>
  <c r="X114" i="60"/>
  <c r="V114" i="60"/>
  <c r="AM88" i="60"/>
  <c r="AK88" i="60"/>
  <c r="AM62" i="60"/>
  <c r="AK62" i="60"/>
  <c r="V8" i="60"/>
  <c r="X8" i="60"/>
  <c r="V109" i="60"/>
  <c r="X109" i="60"/>
  <c r="X82" i="60"/>
  <c r="V82" i="60"/>
  <c r="AM71" i="60"/>
  <c r="AK71" i="60"/>
  <c r="X92" i="60"/>
  <c r="V92" i="60"/>
  <c r="AM14" i="60"/>
  <c r="AK14" i="60"/>
  <c r="V54" i="60"/>
  <c r="X54" i="60"/>
  <c r="AM67" i="60"/>
  <c r="AK67" i="60"/>
  <c r="AW51" i="60"/>
  <c r="AU51" i="60"/>
  <c r="AI59" i="60"/>
  <c r="AH59" i="60"/>
  <c r="AF59" i="60"/>
  <c r="AK37" i="60"/>
  <c r="AM37" i="60"/>
  <c r="X65" i="60"/>
  <c r="V65" i="60"/>
  <c r="AK117" i="60"/>
  <c r="AM117" i="60"/>
  <c r="V87" i="60"/>
  <c r="X87" i="60"/>
  <c r="V36" i="60"/>
  <c r="X36" i="60"/>
  <c r="AM76" i="60"/>
  <c r="AK76" i="60"/>
  <c r="AM24" i="60"/>
  <c r="AK24" i="60"/>
  <c r="X22" i="60"/>
  <c r="V22" i="60"/>
  <c r="AM61" i="60"/>
  <c r="AK61" i="60"/>
  <c r="V70" i="60"/>
  <c r="X70" i="60"/>
  <c r="V79" i="60"/>
  <c r="X79" i="60"/>
  <c r="V15" i="60"/>
  <c r="X15" i="60"/>
  <c r="AM29" i="60"/>
  <c r="AK29" i="60"/>
  <c r="V104" i="60"/>
  <c r="X104" i="60"/>
  <c r="Q51" i="60"/>
  <c r="S51" i="60"/>
  <c r="I113" i="60"/>
  <c r="G113" i="60"/>
  <c r="T113" i="60"/>
  <c r="AF81" i="60"/>
  <c r="AI81" i="60"/>
  <c r="AH81" i="60"/>
  <c r="AU68" i="60"/>
  <c r="AW68" i="60"/>
  <c r="V103" i="60"/>
  <c r="X103" i="60"/>
  <c r="AK91" i="60"/>
  <c r="AM91" i="60"/>
  <c r="AK41" i="60"/>
  <c r="AM41" i="60"/>
  <c r="AM65" i="60"/>
  <c r="AK65" i="60"/>
  <c r="AK10" i="60"/>
  <c r="AM10" i="60"/>
  <c r="V37" i="60"/>
  <c r="X37" i="60"/>
  <c r="AK64" i="60"/>
  <c r="AM64" i="60"/>
  <c r="AM114" i="60"/>
  <c r="AK114" i="60"/>
  <c r="AK49" i="60"/>
  <c r="AM49" i="60"/>
  <c r="X110" i="60"/>
  <c r="V110" i="60"/>
  <c r="V60" i="60"/>
  <c r="X60" i="60"/>
  <c r="AM110" i="60"/>
  <c r="AK110" i="60"/>
  <c r="AM46" i="60"/>
  <c r="AK46" i="60"/>
  <c r="X69" i="60"/>
  <c r="V69" i="60"/>
  <c r="X17" i="60"/>
  <c r="V17" i="60"/>
  <c r="AM58" i="60"/>
  <c r="AK58" i="60"/>
  <c r="X22" i="51"/>
  <c r="AK57" i="60"/>
  <c r="AM57" i="60"/>
  <c r="X90" i="60"/>
  <c r="V90" i="60"/>
  <c r="AM55" i="60"/>
  <c r="AK55" i="60"/>
  <c r="AH51" i="60"/>
  <c r="AF51" i="60"/>
  <c r="AI51" i="60"/>
  <c r="BJ81" i="60"/>
  <c r="BH81" i="60"/>
  <c r="AM116" i="60"/>
  <c r="AW113" i="60"/>
  <c r="AU113" i="60"/>
  <c r="BJ59" i="60"/>
  <c r="BH59" i="60"/>
  <c r="AM25" i="60"/>
  <c r="AK25" i="60"/>
  <c r="V72" i="60"/>
  <c r="X72" i="60"/>
  <c r="X46" i="60"/>
  <c r="V46" i="60"/>
  <c r="V93" i="60"/>
  <c r="X93" i="60"/>
  <c r="V53" i="60"/>
  <c r="X53" i="60"/>
  <c r="AM79" i="60"/>
  <c r="AK79" i="60"/>
  <c r="AK27" i="60"/>
  <c r="AM27" i="60"/>
  <c r="V76" i="60"/>
  <c r="X76" i="60"/>
  <c r="X26" i="60"/>
  <c r="V26" i="60"/>
  <c r="AK9" i="60"/>
  <c r="AM9" i="60"/>
  <c r="X61" i="60"/>
  <c r="V61" i="60"/>
  <c r="X9" i="60"/>
  <c r="V9" i="60"/>
  <c r="AM87" i="60"/>
  <c r="AK87" i="60"/>
  <c r="AM36" i="60"/>
  <c r="AK36" i="60"/>
  <c r="AK48" i="60"/>
  <c r="AM48" i="60"/>
  <c r="V95" i="60"/>
  <c r="X95" i="60"/>
  <c r="AM109" i="60"/>
  <c r="AK109" i="60"/>
  <c r="V41" i="60"/>
  <c r="X41" i="60"/>
  <c r="AM106" i="60"/>
  <c r="AK106" i="60"/>
  <c r="AM17" i="60"/>
  <c r="AK17" i="60"/>
  <c r="V80" i="60"/>
  <c r="X80" i="60"/>
  <c r="AM104" i="60"/>
  <c r="AK104" i="60"/>
  <c r="X75" i="60"/>
  <c r="V75" i="60"/>
  <c r="X74" i="60"/>
  <c r="V74" i="60"/>
  <c r="X24" i="60"/>
  <c r="V24" i="60"/>
  <c r="AK115" i="60"/>
  <c r="AM115" i="60"/>
  <c r="V33" i="60"/>
  <c r="X33" i="60"/>
  <c r="AM97" i="60"/>
  <c r="AK97" i="60"/>
  <c r="AM95" i="60"/>
  <c r="AK95" i="60"/>
  <c r="X56" i="60"/>
  <c r="V56" i="60"/>
  <c r="X118" i="60"/>
  <c r="V118" i="60"/>
  <c r="AM69" i="60"/>
  <c r="AK69" i="60"/>
  <c r="AK13" i="60"/>
  <c r="AM13" i="60"/>
  <c r="BJ73" i="60"/>
  <c r="BH73" i="60"/>
  <c r="AI73" i="60"/>
  <c r="AF73" i="60"/>
  <c r="AH73" i="60"/>
  <c r="BJ51" i="60"/>
  <c r="BH51" i="60"/>
  <c r="I68" i="60"/>
  <c r="T68" i="60"/>
  <c r="G68" i="60"/>
  <c r="AK93" i="60"/>
  <c r="AM93" i="60"/>
  <c r="T116" i="60"/>
  <c r="I116" i="60"/>
  <c r="G116" i="60"/>
  <c r="X40" i="60"/>
  <c r="V40" i="60"/>
  <c r="AM53" i="60"/>
  <c r="AK53" i="60"/>
  <c r="V25" i="60"/>
  <c r="X25" i="60"/>
  <c r="AK52" i="60"/>
  <c r="AM52" i="60"/>
  <c r="AM35" i="60"/>
  <c r="AK35" i="60"/>
  <c r="V83" i="60"/>
  <c r="X83" i="60"/>
  <c r="X58" i="60"/>
  <c r="V58" i="60"/>
  <c r="AM96" i="60"/>
  <c r="AK96" i="60"/>
  <c r="AM33" i="60"/>
  <c r="AK33" i="60"/>
  <c r="AM94" i="60"/>
  <c r="AK94" i="60"/>
  <c r="AK44" i="60"/>
  <c r="AM44" i="60"/>
  <c r="X67" i="60"/>
  <c r="V67" i="60"/>
  <c r="AM56" i="60"/>
  <c r="AK56" i="60"/>
  <c r="X78" i="60"/>
  <c r="V78" i="60"/>
  <c r="V28" i="60"/>
  <c r="X28" i="60"/>
  <c r="N81" i="60"/>
  <c r="L81" i="60"/>
  <c r="AK113" i="60"/>
  <c r="AM113" i="60"/>
  <c r="I51" i="60"/>
  <c r="T51" i="60"/>
  <c r="G51" i="60"/>
  <c r="AM111" i="60"/>
  <c r="AK111" i="60"/>
  <c r="V31" i="60"/>
  <c r="X31" i="60"/>
  <c r="X115" i="60"/>
  <c r="V115" i="60"/>
  <c r="V64" i="60"/>
  <c r="X64" i="60"/>
  <c r="V12" i="60"/>
  <c r="X12" i="60"/>
  <c r="AM63" i="60"/>
  <c r="AK63" i="60"/>
  <c r="AM8" i="60"/>
  <c r="AK8" i="60"/>
  <c r="V48" i="60"/>
  <c r="X48" i="60"/>
  <c r="X34" i="60"/>
  <c r="V34" i="60"/>
  <c r="AK84" i="60"/>
  <c r="AM84" i="60"/>
  <c r="X57" i="60"/>
  <c r="V57" i="60"/>
  <c r="AK45" i="60"/>
  <c r="AM45" i="60"/>
  <c r="V106" i="60"/>
  <c r="X106" i="60"/>
  <c r="V43" i="60"/>
  <c r="X43" i="60"/>
  <c r="AM92" i="60"/>
  <c r="AK92" i="60"/>
  <c r="AK28" i="60"/>
  <c r="AM28" i="60"/>
  <c r="N59" i="60"/>
  <c r="L59" i="60"/>
  <c r="T81" i="60"/>
  <c r="S73" i="60"/>
  <c r="Q73" i="60"/>
  <c r="AW116" i="60"/>
  <c r="AU116" i="60"/>
  <c r="AP33" i="60"/>
  <c r="X89" i="60"/>
  <c r="V89" i="60"/>
  <c r="AK40" i="60"/>
  <c r="AM40" i="60"/>
  <c r="V63" i="60"/>
  <c r="X63" i="60"/>
  <c r="X10" i="60"/>
  <c r="V10" i="60"/>
  <c r="V111" i="60"/>
  <c r="X111" i="60"/>
  <c r="V96" i="60"/>
  <c r="X96" i="60"/>
  <c r="AM85" i="60"/>
  <c r="AK85" i="60"/>
  <c r="X94" i="60"/>
  <c r="V94" i="60"/>
  <c r="AM16" i="60"/>
  <c r="AK16" i="60"/>
  <c r="AK83" i="60"/>
  <c r="AM83" i="60"/>
  <c r="X55" i="60"/>
  <c r="V55" i="60"/>
  <c r="X20" i="52"/>
  <c r="AS21" i="60" s="1"/>
  <c r="L73" i="60"/>
  <c r="N73" i="60"/>
  <c r="AW81" i="60"/>
  <c r="AU81" i="60"/>
  <c r="I59" i="60"/>
  <c r="T59" i="60"/>
  <c r="G59" i="60"/>
  <c r="AM118" i="60"/>
  <c r="AK118" i="60"/>
  <c r="AK66" i="60"/>
  <c r="AM66" i="60"/>
  <c r="AM11" i="60"/>
  <c r="AK11" i="60"/>
  <c r="X102" i="60"/>
  <c r="V102" i="60"/>
  <c r="V52" i="60"/>
  <c r="X52" i="60"/>
  <c r="AK90" i="60"/>
  <c r="AM90" i="60"/>
  <c r="V11" i="60"/>
  <c r="X11" i="60"/>
  <c r="AK39" i="60"/>
  <c r="AM39" i="60"/>
  <c r="X62" i="60"/>
  <c r="V62" i="60"/>
  <c r="AM75" i="60"/>
  <c r="AK75" i="60"/>
  <c r="AM22" i="60"/>
  <c r="AK22" i="60"/>
  <c r="X84" i="60"/>
  <c r="V84" i="60"/>
  <c r="V21" i="60"/>
  <c r="X21" i="60"/>
  <c r="X107" i="60"/>
  <c r="V107" i="60"/>
  <c r="V44" i="60"/>
  <c r="X44" i="60"/>
  <c r="AM31" i="60"/>
  <c r="AK31" i="60"/>
  <c r="AM82" i="60"/>
  <c r="AK82" i="60"/>
  <c r="AK30" i="60"/>
  <c r="AM30" i="60"/>
  <c r="V105" i="60"/>
  <c r="X105" i="60"/>
  <c r="V117" i="60"/>
  <c r="X117" i="60"/>
  <c r="X66" i="60"/>
  <c r="V66" i="60"/>
  <c r="X14" i="60"/>
  <c r="V14" i="60"/>
  <c r="AM80" i="60"/>
  <c r="AK80" i="60"/>
  <c r="L51" i="60"/>
  <c r="N51" i="60"/>
  <c r="AW59" i="60"/>
  <c r="AU59" i="60"/>
  <c r="AF68" i="60"/>
  <c r="AI68" i="60"/>
  <c r="AH68" i="60"/>
  <c r="AX73" i="60"/>
  <c r="AZ73" i="60" s="1"/>
  <c r="AR73" i="60"/>
  <c r="AP73" i="60"/>
  <c r="BB60" i="60"/>
  <c r="BK60" i="60"/>
  <c r="BB56" i="60"/>
  <c r="BK56" i="60"/>
  <c r="BB26" i="60"/>
  <c r="BK26" i="60"/>
  <c r="BB104" i="60"/>
  <c r="BK104" i="60"/>
  <c r="BB90" i="60"/>
  <c r="BK90" i="60"/>
  <c r="BB85" i="60"/>
  <c r="BK85" i="60"/>
  <c r="BB77" i="60"/>
  <c r="BK77" i="60"/>
  <c r="BB63" i="60"/>
  <c r="BK63" i="60"/>
  <c r="BB55" i="60"/>
  <c r="BK55" i="60"/>
  <c r="BB9" i="60"/>
  <c r="BK9" i="60"/>
  <c r="BB111" i="60"/>
  <c r="BK111" i="60"/>
  <c r="BB103" i="60"/>
  <c r="BK103" i="60"/>
  <c r="BB97" i="60"/>
  <c r="BK97" i="60"/>
  <c r="BB93" i="60"/>
  <c r="BK93" i="60"/>
  <c r="BB66" i="60"/>
  <c r="BK66" i="60"/>
  <c r="BB28" i="60"/>
  <c r="BK28" i="60"/>
  <c r="BB24" i="60"/>
  <c r="BK24" i="60"/>
  <c r="BB110" i="60"/>
  <c r="BK110" i="60"/>
  <c r="BB92" i="60"/>
  <c r="BK92" i="60"/>
  <c r="BB83" i="60"/>
  <c r="BK83" i="60"/>
  <c r="BB79" i="60"/>
  <c r="BK79" i="60"/>
  <c r="BB75" i="60"/>
  <c r="BK75" i="60"/>
  <c r="BB57" i="60"/>
  <c r="BK57" i="60"/>
  <c r="AR51" i="60"/>
  <c r="AP51" i="60"/>
  <c r="AX51" i="60"/>
  <c r="AZ51" i="60" s="1"/>
  <c r="BB114" i="60"/>
  <c r="BK114" i="60"/>
  <c r="BB95" i="60"/>
  <c r="BK95" i="60"/>
  <c r="BB91" i="60"/>
  <c r="BK91" i="60"/>
  <c r="BB78" i="60"/>
  <c r="BK78" i="60"/>
  <c r="BB43" i="60"/>
  <c r="BK43" i="60"/>
  <c r="BB34" i="60"/>
  <c r="BK34" i="60"/>
  <c r="BB10" i="60"/>
  <c r="BK10" i="60"/>
  <c r="AP113" i="60"/>
  <c r="AX113" i="60"/>
  <c r="AZ113" i="60" s="1"/>
  <c r="AR113" i="60"/>
  <c r="BB67" i="60"/>
  <c r="BK67" i="60"/>
  <c r="BB13" i="60"/>
  <c r="BK13" i="60"/>
  <c r="BB107" i="60"/>
  <c r="BK107" i="60"/>
  <c r="BB80" i="60"/>
  <c r="BK80" i="60"/>
  <c r="BB71" i="60"/>
  <c r="BK71" i="60"/>
  <c r="BB62" i="60"/>
  <c r="BK62" i="60"/>
  <c r="BB8" i="60"/>
  <c r="BK8" i="60"/>
  <c r="BB115" i="60"/>
  <c r="BK115" i="60"/>
  <c r="BB96" i="60"/>
  <c r="BK96" i="60"/>
  <c r="BB61" i="60"/>
  <c r="BK61" i="60"/>
  <c r="BB35" i="60"/>
  <c r="BK35" i="60"/>
  <c r="BB15" i="60"/>
  <c r="BK15" i="60"/>
  <c r="BB11" i="60"/>
  <c r="BK11" i="60"/>
  <c r="BB118" i="60"/>
  <c r="BK118" i="60"/>
  <c r="BB69" i="60"/>
  <c r="BK69" i="60"/>
  <c r="BB64" i="60"/>
  <c r="BK64" i="60"/>
  <c r="BB72" i="60"/>
  <c r="BK72" i="60"/>
  <c r="AX59" i="60"/>
  <c r="AZ59" i="60" s="1"/>
  <c r="AP59" i="60"/>
  <c r="AR59" i="60"/>
  <c r="BB50" i="60"/>
  <c r="BK50" i="60"/>
  <c r="BB29" i="60"/>
  <c r="BK29" i="60"/>
  <c r="BB25" i="60"/>
  <c r="BK25" i="60"/>
  <c r="BB17" i="60"/>
  <c r="BK17" i="60"/>
  <c r="BB84" i="60"/>
  <c r="BK84" i="60"/>
  <c r="BB76" i="60"/>
  <c r="BK76" i="60"/>
  <c r="BB54" i="60"/>
  <c r="BK54" i="60"/>
  <c r="BB49" i="60"/>
  <c r="BK49" i="60"/>
  <c r="BB12" i="60"/>
  <c r="BK12" i="60"/>
  <c r="BB102" i="60"/>
  <c r="BK102" i="60"/>
  <c r="BB65" i="60"/>
  <c r="BK65" i="60"/>
  <c r="BB53" i="60"/>
  <c r="BK53" i="60"/>
  <c r="BB48" i="60"/>
  <c r="BK48" i="60"/>
  <c r="BB40" i="60"/>
  <c r="BK40" i="60"/>
  <c r="BB22" i="60"/>
  <c r="BK22" i="60"/>
  <c r="BB81" i="60"/>
  <c r="BK81" i="60"/>
  <c r="BB109" i="60"/>
  <c r="BK109" i="60"/>
  <c r="BB105" i="60"/>
  <c r="BK105" i="60"/>
  <c r="BB87" i="60"/>
  <c r="BK87" i="60"/>
  <c r="BB82" i="60"/>
  <c r="BK82" i="60"/>
  <c r="AX74" i="60"/>
  <c r="AZ74" i="60" s="1"/>
  <c r="AR74" i="60"/>
  <c r="AP74" i="60"/>
  <c r="BB52" i="60"/>
  <c r="BK52" i="60"/>
  <c r="AP39" i="60"/>
  <c r="AR39" i="60"/>
  <c r="AX39" i="60"/>
  <c r="AZ39" i="60" s="1"/>
  <c r="BB14" i="60"/>
  <c r="BK14" i="60"/>
  <c r="BB117" i="60"/>
  <c r="BK117" i="60"/>
  <c r="BB94" i="60"/>
  <c r="BK94" i="60"/>
  <c r="BB46" i="60"/>
  <c r="BK46" i="60"/>
  <c r="BB89" i="60"/>
  <c r="BK89" i="60"/>
  <c r="BB58" i="60"/>
  <c r="BK58" i="60"/>
  <c r="BK45" i="60"/>
  <c r="BB45" i="60"/>
  <c r="BB41" i="60"/>
  <c r="BK41" i="60"/>
  <c r="BK16" i="60"/>
  <c r="BB16" i="60"/>
  <c r="BK106" i="60"/>
  <c r="BB106" i="60"/>
  <c r="BB88" i="60"/>
  <c r="BK88" i="60"/>
  <c r="BB70" i="60"/>
  <c r="BK70" i="60"/>
  <c r="BB44" i="60"/>
  <c r="BK44" i="60"/>
  <c r="AX68" i="60"/>
  <c r="AZ68" i="60" s="1"/>
  <c r="AR68" i="60"/>
  <c r="AP68" i="60"/>
  <c r="BB116" i="60"/>
  <c r="U97" i="28"/>
  <c r="BK33" i="60" l="1"/>
  <c r="BK116" i="60"/>
  <c r="BB33" i="60"/>
  <c r="BP75" i="60"/>
  <c r="BM75" i="60"/>
  <c r="BP17" i="60"/>
  <c r="BM17" i="60"/>
  <c r="BP117" i="60"/>
  <c r="BM117" i="60"/>
  <c r="BP14" i="60"/>
  <c r="BM14" i="60"/>
  <c r="BP87" i="60"/>
  <c r="BM87" i="60"/>
  <c r="BP48" i="60"/>
  <c r="BM48" i="60"/>
  <c r="BP49" i="60"/>
  <c r="BM49" i="60"/>
  <c r="BP29" i="60"/>
  <c r="BM29" i="60"/>
  <c r="AM51" i="60"/>
  <c r="AK51" i="60"/>
  <c r="BP70" i="60"/>
  <c r="BM70" i="60"/>
  <c r="BP58" i="60"/>
  <c r="BM58" i="60"/>
  <c r="BP105" i="60"/>
  <c r="BM105" i="60"/>
  <c r="BP53" i="60"/>
  <c r="BM53" i="60"/>
  <c r="BP54" i="60"/>
  <c r="BM54" i="60"/>
  <c r="BP10" i="60"/>
  <c r="BM10" i="60"/>
  <c r="BP95" i="60"/>
  <c r="BM95" i="60"/>
  <c r="BP104" i="60"/>
  <c r="BM104" i="60"/>
  <c r="BP96" i="60"/>
  <c r="BM96" i="60"/>
  <c r="BP88" i="60"/>
  <c r="BM88" i="60"/>
  <c r="BP89" i="60"/>
  <c r="BM89" i="60"/>
  <c r="BP109" i="60"/>
  <c r="BM109" i="60"/>
  <c r="BP65" i="60"/>
  <c r="BM65" i="60"/>
  <c r="BP76" i="60"/>
  <c r="BM76" i="60"/>
  <c r="BP50" i="60"/>
  <c r="BM50" i="60"/>
  <c r="BP114" i="60"/>
  <c r="BM114" i="60"/>
  <c r="AM68" i="60"/>
  <c r="AK68" i="60"/>
  <c r="V59" i="60"/>
  <c r="X59" i="60"/>
  <c r="X81" i="60"/>
  <c r="V81" i="60"/>
  <c r="X116" i="60"/>
  <c r="V116" i="60"/>
  <c r="BP45" i="60"/>
  <c r="BM45" i="60"/>
  <c r="BP69" i="60"/>
  <c r="BM69" i="60"/>
  <c r="BP9" i="60"/>
  <c r="BM9" i="60"/>
  <c r="X51" i="60"/>
  <c r="V51" i="60"/>
  <c r="BP118" i="60"/>
  <c r="BM118" i="60"/>
  <c r="BP115" i="60"/>
  <c r="BM115" i="60"/>
  <c r="BP93" i="60"/>
  <c r="BM93" i="60"/>
  <c r="BP63" i="60"/>
  <c r="BM63" i="60"/>
  <c r="V73" i="60"/>
  <c r="X73" i="60"/>
  <c r="BP55" i="60"/>
  <c r="BM55" i="60"/>
  <c r="BP11" i="60"/>
  <c r="BM11" i="60"/>
  <c r="BP13" i="60"/>
  <c r="BM13" i="60"/>
  <c r="BP83" i="60"/>
  <c r="BM83" i="60"/>
  <c r="BP26" i="60"/>
  <c r="BM26" i="60"/>
  <c r="BP81" i="60"/>
  <c r="BM81" i="60"/>
  <c r="BP102" i="60"/>
  <c r="BM102" i="60"/>
  <c r="BP84" i="60"/>
  <c r="BM84" i="60"/>
  <c r="BP34" i="60"/>
  <c r="BM34" i="60"/>
  <c r="AM73" i="60"/>
  <c r="AK73" i="60"/>
  <c r="AM81" i="60"/>
  <c r="AK81" i="60"/>
  <c r="BP61" i="60"/>
  <c r="BM61" i="60"/>
  <c r="BP107" i="60"/>
  <c r="BM107" i="60"/>
  <c r="BP52" i="60"/>
  <c r="BM52" i="60"/>
  <c r="BP116" i="60"/>
  <c r="BM116" i="60"/>
  <c r="BP106" i="60"/>
  <c r="BM106" i="60"/>
  <c r="BP15" i="60"/>
  <c r="BM15" i="60"/>
  <c r="BP33" i="60"/>
  <c r="BM33" i="60"/>
  <c r="BP92" i="60"/>
  <c r="BM92" i="60"/>
  <c r="BP97" i="60"/>
  <c r="BM97" i="60"/>
  <c r="BP77" i="60"/>
  <c r="BM77" i="60"/>
  <c r="BP56" i="60"/>
  <c r="BM56" i="60"/>
  <c r="BP94" i="60"/>
  <c r="BM94" i="60"/>
  <c r="V113" i="60"/>
  <c r="X113" i="60"/>
  <c r="BP28" i="60"/>
  <c r="BM28" i="60"/>
  <c r="BP12" i="60"/>
  <c r="BM12" i="60"/>
  <c r="BP43" i="60"/>
  <c r="BM43" i="60"/>
  <c r="BP16" i="60"/>
  <c r="BM16" i="60"/>
  <c r="BP67" i="60"/>
  <c r="BM67" i="60"/>
  <c r="BP110" i="60"/>
  <c r="BM110" i="60"/>
  <c r="BP103" i="60"/>
  <c r="BM103" i="60"/>
  <c r="BP85" i="60"/>
  <c r="BM85" i="60"/>
  <c r="BP60" i="60"/>
  <c r="BM60" i="60"/>
  <c r="AM59" i="60"/>
  <c r="AK59" i="60"/>
  <c r="BP80" i="60"/>
  <c r="BM80" i="60"/>
  <c r="BP22" i="60"/>
  <c r="BM22" i="60"/>
  <c r="BP41" i="60"/>
  <c r="BM41" i="60"/>
  <c r="BP82" i="60"/>
  <c r="BM82" i="60"/>
  <c r="BP25" i="60"/>
  <c r="BM25" i="60"/>
  <c r="BP78" i="60"/>
  <c r="BM78" i="60"/>
  <c r="AW21" i="60"/>
  <c r="AU21" i="60"/>
  <c r="AX21" i="60"/>
  <c r="BP64" i="60"/>
  <c r="BM64" i="60"/>
  <c r="BP35" i="60"/>
  <c r="BM35" i="60"/>
  <c r="BP71" i="60"/>
  <c r="BM71" i="60"/>
  <c r="BP57" i="60"/>
  <c r="BM57" i="60"/>
  <c r="BP24" i="60"/>
  <c r="BM24" i="60"/>
  <c r="BP111" i="60"/>
  <c r="BM111" i="60"/>
  <c r="BP90" i="60"/>
  <c r="BM90" i="60"/>
  <c r="X68" i="60"/>
  <c r="V68" i="60"/>
  <c r="BP46" i="60"/>
  <c r="BM46" i="60"/>
  <c r="BP40" i="60"/>
  <c r="BM40" i="60"/>
  <c r="BP8" i="60"/>
  <c r="BM8" i="60"/>
  <c r="BP79" i="60"/>
  <c r="BM79" i="60"/>
  <c r="BP66" i="60"/>
  <c r="BM66" i="60"/>
  <c r="BP91" i="60"/>
  <c r="BM91" i="60"/>
  <c r="BP44" i="60"/>
  <c r="BM44" i="60"/>
  <c r="BP72" i="60"/>
  <c r="BM72" i="60"/>
  <c r="BP62" i="60"/>
  <c r="BM62" i="60"/>
  <c r="BB59" i="60"/>
  <c r="BK59" i="60"/>
  <c r="BK68" i="60"/>
  <c r="BB68" i="60"/>
  <c r="BB39" i="60"/>
  <c r="BK39" i="60"/>
  <c r="BK74" i="60"/>
  <c r="BB74" i="60"/>
  <c r="BK113" i="60"/>
  <c r="BB113" i="60"/>
  <c r="BB51" i="60"/>
  <c r="BK51" i="60"/>
  <c r="BB73" i="60"/>
  <c r="BK73" i="60"/>
  <c r="BN120" i="60"/>
  <c r="BN121" i="60" s="1"/>
  <c r="BL120" i="60"/>
  <c r="BL121" i="60" s="1"/>
  <c r="BP73" i="60" l="1"/>
  <c r="BM73" i="60"/>
  <c r="AZ21" i="60"/>
  <c r="BB21" i="60"/>
  <c r="BK21" i="60"/>
  <c r="BP113" i="60"/>
  <c r="BM113" i="60"/>
  <c r="BP74" i="60"/>
  <c r="BM74" i="60"/>
  <c r="BP51" i="60"/>
  <c r="BM51" i="60"/>
  <c r="BP39" i="60"/>
  <c r="BM39" i="60"/>
  <c r="BP59" i="60"/>
  <c r="BM59" i="60"/>
  <c r="BP68" i="60"/>
  <c r="BM68" i="60"/>
  <c r="BO33" i="60"/>
  <c r="BO13" i="60"/>
  <c r="BO29" i="60"/>
  <c r="BP21" i="60" l="1"/>
  <c r="BM21" i="60"/>
  <c r="BO22" i="60"/>
  <c r="BO75" i="60"/>
  <c r="BO109" i="60"/>
  <c r="BO17" i="60"/>
  <c r="BO45" i="60"/>
  <c r="BO117" i="60"/>
  <c r="BO78" i="60"/>
  <c r="BO62" i="60"/>
  <c r="BO91" i="60"/>
  <c r="BO92" i="60"/>
  <c r="BO94" i="60"/>
  <c r="BO60" i="60"/>
  <c r="BO97" i="60"/>
  <c r="BO65" i="60"/>
  <c r="BO76" i="60"/>
  <c r="BO89" i="60"/>
  <c r="BO57" i="60"/>
  <c r="BO93" i="60"/>
  <c r="BO77" i="60"/>
  <c r="BO61" i="60"/>
  <c r="BO34" i="60"/>
  <c r="BO105" i="60"/>
  <c r="BO70" i="60"/>
  <c r="BO118" i="60"/>
  <c r="BO107" i="60"/>
  <c r="BO111" i="60"/>
  <c r="BO64" i="60"/>
  <c r="BO53" i="60"/>
  <c r="BO114" i="60"/>
  <c r="BO106" i="60"/>
  <c r="BO95" i="60"/>
  <c r="BO85" i="60"/>
  <c r="BO50" i="60"/>
  <c r="BO83" i="60"/>
  <c r="BO43" i="60"/>
  <c r="BO11" i="60"/>
  <c r="BO87" i="60"/>
  <c r="BO55" i="60"/>
  <c r="BO48" i="60"/>
  <c r="BO16" i="60"/>
  <c r="BO56" i="60"/>
  <c r="BO14" i="60"/>
  <c r="BO25" i="60"/>
  <c r="BO15" i="60"/>
  <c r="BO88" i="60"/>
  <c r="BO9" i="60"/>
  <c r="BO115" i="60"/>
  <c r="BO104" i="60"/>
  <c r="BO96" i="60"/>
  <c r="BO82" i="60"/>
  <c r="BO79" i="60"/>
  <c r="BO69" i="60"/>
  <c r="BO110" i="60"/>
  <c r="BO54" i="60"/>
  <c r="BO39" i="60"/>
  <c r="BO90" i="60"/>
  <c r="BO58" i="60"/>
  <c r="BO44" i="60"/>
  <c r="BO28" i="60"/>
  <c r="BO12" i="60"/>
  <c r="BO84" i="60"/>
  <c r="BO10" i="60"/>
  <c r="BO72" i="60"/>
  <c r="BO41" i="60"/>
  <c r="BO74" i="60"/>
  <c r="BO21" i="60"/>
  <c r="BO103" i="60"/>
  <c r="BO102" i="60"/>
  <c r="BO80" i="60"/>
  <c r="BO66" i="60"/>
  <c r="BO63" i="60"/>
  <c r="BO67" i="60"/>
  <c r="BO49" i="60"/>
  <c r="BO35" i="60"/>
  <c r="BO71" i="60"/>
  <c r="BO40" i="60"/>
  <c r="BO24" i="60"/>
  <c r="BO8" i="60"/>
  <c r="BO26" i="60"/>
  <c r="BO46" i="60"/>
  <c r="BO52" i="60"/>
  <c r="BT61" i="60" l="1"/>
  <c r="BR61" i="60"/>
  <c r="BT13" i="60"/>
  <c r="BR13" i="60"/>
  <c r="BT77" i="60"/>
  <c r="BR77" i="60"/>
  <c r="BT22" i="60"/>
  <c r="BR22" i="60"/>
  <c r="BT34" i="60"/>
  <c r="BR34" i="60"/>
  <c r="BT93" i="60"/>
  <c r="BR93" i="60"/>
  <c r="BT33" i="60"/>
  <c r="BR33" i="60"/>
  <c r="BT29" i="60"/>
  <c r="BR29" i="60"/>
  <c r="BR8" i="60"/>
  <c r="BT8" i="60"/>
  <c r="BR55" i="60" l="1"/>
  <c r="BT55" i="60"/>
  <c r="BT25" i="60"/>
  <c r="BR25" i="60"/>
  <c r="BT103" i="60"/>
  <c r="BR103" i="60"/>
  <c r="BT90" i="60"/>
  <c r="BR90" i="60"/>
  <c r="BR84" i="60"/>
  <c r="BT84" i="60"/>
  <c r="BT102" i="60"/>
  <c r="BR102" i="60"/>
  <c r="BT10" i="60"/>
  <c r="BR10" i="60"/>
  <c r="BT109" i="60"/>
  <c r="BR109" i="60"/>
  <c r="BT66" i="60"/>
  <c r="BR66" i="60"/>
  <c r="BT72" i="60"/>
  <c r="BR72" i="60"/>
  <c r="BR39" i="60"/>
  <c r="BT39" i="60"/>
  <c r="BR44" i="60"/>
  <c r="BT44" i="60"/>
  <c r="BT110" i="60"/>
  <c r="BR110" i="60"/>
  <c r="BR43" i="60"/>
  <c r="BT43" i="60"/>
  <c r="BR11" i="60"/>
  <c r="BT11" i="60"/>
  <c r="BR76" i="60"/>
  <c r="BT76" i="60"/>
  <c r="BR35" i="60"/>
  <c r="BT35" i="60"/>
  <c r="BT114" i="60"/>
  <c r="BR114" i="60"/>
  <c r="BT91" i="60"/>
  <c r="BR91" i="60"/>
  <c r="BT87" i="60"/>
  <c r="BR87" i="60"/>
  <c r="BR24" i="60"/>
  <c r="BT24" i="60"/>
  <c r="BT9" i="60"/>
  <c r="BR9" i="60"/>
  <c r="BR56" i="60"/>
  <c r="BT56" i="60"/>
  <c r="BT41" i="60"/>
  <c r="BR41" i="60"/>
  <c r="BR104" i="60"/>
  <c r="BT104" i="60"/>
  <c r="BR60" i="60"/>
  <c r="BT60" i="60"/>
  <c r="BT79" i="60"/>
  <c r="BR79" i="60"/>
  <c r="BT97" i="60"/>
  <c r="BR97" i="60"/>
  <c r="BT54" i="60"/>
  <c r="BR54" i="60"/>
  <c r="BR52" i="60"/>
  <c r="BT52" i="60"/>
  <c r="BT118" i="60"/>
  <c r="BR118" i="60"/>
  <c r="BT21" i="60"/>
  <c r="BR21" i="60"/>
  <c r="BT53" i="60"/>
  <c r="BR53" i="60"/>
  <c r="BR67" i="60"/>
  <c r="BT67" i="60"/>
  <c r="BR107" i="60"/>
  <c r="BT107" i="60"/>
  <c r="BR40" i="60"/>
  <c r="BT40" i="60"/>
  <c r="BT65" i="60"/>
  <c r="BR65" i="60"/>
  <c r="BT26" i="60"/>
  <c r="BR26" i="60"/>
  <c r="BR96" i="60"/>
  <c r="BT96" i="60"/>
  <c r="BR75" i="60"/>
  <c r="BT75" i="60"/>
  <c r="BR71" i="60"/>
  <c r="BT71" i="60"/>
  <c r="BT45" i="60"/>
  <c r="BR45" i="60"/>
  <c r="BT106" i="60"/>
  <c r="BR106" i="60"/>
  <c r="BT50" i="60"/>
  <c r="BR50" i="60"/>
  <c r="BT17" i="60"/>
  <c r="BR17" i="60"/>
  <c r="BR95" i="60"/>
  <c r="BT95" i="60"/>
  <c r="BT70" i="60"/>
  <c r="BR70" i="60"/>
  <c r="BT63" i="60"/>
  <c r="BR63" i="60"/>
  <c r="BT89" i="60"/>
  <c r="BR89" i="60"/>
  <c r="BR28" i="60"/>
  <c r="BT28" i="60"/>
  <c r="BR12" i="60"/>
  <c r="BT12" i="60"/>
  <c r="BT69" i="60"/>
  <c r="BR69" i="60"/>
  <c r="BT85" i="60"/>
  <c r="BR85" i="60"/>
  <c r="BT78" i="60"/>
  <c r="BR78" i="60"/>
  <c r="BT62" i="60"/>
  <c r="BR62" i="60"/>
  <c r="BT58" i="60"/>
  <c r="BR58" i="60"/>
  <c r="BT74" i="60"/>
  <c r="BR74" i="60"/>
  <c r="BT111" i="60"/>
  <c r="BR111" i="60"/>
  <c r="BT105" i="60"/>
  <c r="BR105" i="60"/>
  <c r="BT46" i="60"/>
  <c r="BR46" i="60"/>
  <c r="BR48" i="60"/>
  <c r="BT48" i="60"/>
  <c r="BR92" i="60"/>
  <c r="BT92" i="60"/>
  <c r="BT94" i="60"/>
  <c r="BR94" i="60"/>
  <c r="BT49" i="60"/>
  <c r="BR49" i="60"/>
  <c r="BR88" i="60"/>
  <c r="BT88" i="60"/>
  <c r="BR83" i="60"/>
  <c r="BT83" i="60"/>
  <c r="BT117" i="60"/>
  <c r="BR117" i="60"/>
  <c r="BT14" i="60"/>
  <c r="BR14" i="60"/>
  <c r="BR16" i="60"/>
  <c r="BT16" i="60"/>
  <c r="BT82" i="60"/>
  <c r="BR82" i="60"/>
  <c r="BR15" i="60"/>
  <c r="BT15" i="60"/>
  <c r="BT57" i="60"/>
  <c r="BR57" i="60"/>
  <c r="BT115" i="60"/>
  <c r="BR115" i="60"/>
  <c r="BR64" i="60"/>
  <c r="BT64" i="60"/>
  <c r="BR80" i="60"/>
  <c r="BT80" i="60"/>
  <c r="K107" i="3" l="1"/>
  <c r="W107" i="3" s="1"/>
  <c r="BF108" i="60" s="1"/>
  <c r="K107" i="28"/>
  <c r="W107" i="28" s="1"/>
  <c r="E108" i="60" s="1"/>
  <c r="K107" i="30"/>
  <c r="W107" i="30" s="1"/>
  <c r="J108" i="60" s="1"/>
  <c r="K107" i="31"/>
  <c r="W107" i="31" s="1"/>
  <c r="O108" i="60" s="1"/>
  <c r="K107" i="50"/>
  <c r="W107" i="50" s="1"/>
  <c r="AD108" i="60" s="1"/>
  <c r="K107" i="51"/>
  <c r="W107" i="51" s="1"/>
  <c r="AN108" i="60" s="1"/>
  <c r="K107" i="52"/>
  <c r="W107" i="52" s="1"/>
  <c r="AS108" i="60" s="1"/>
  <c r="K100" i="3"/>
  <c r="K100" i="28"/>
  <c r="K100" i="30"/>
  <c r="K100" i="31"/>
  <c r="K100" i="50"/>
  <c r="K100" i="51"/>
  <c r="K100" i="52"/>
  <c r="K85" i="3"/>
  <c r="W85" i="3" s="1"/>
  <c r="BF86" i="60" s="1"/>
  <c r="K85" i="28"/>
  <c r="W85" i="28" s="1"/>
  <c r="E86" i="60" s="1"/>
  <c r="K85" i="30"/>
  <c r="W85" i="30" s="1"/>
  <c r="J86" i="60" s="1"/>
  <c r="K85" i="31"/>
  <c r="W85" i="31" s="1"/>
  <c r="O86" i="60" s="1"/>
  <c r="K85" i="50"/>
  <c r="W85" i="50" s="1"/>
  <c r="AD86" i="60" s="1"/>
  <c r="K85" i="51"/>
  <c r="W85" i="51" s="1"/>
  <c r="AN86" i="60" s="1"/>
  <c r="K85" i="52"/>
  <c r="W85" i="52" s="1"/>
  <c r="AS86" i="60" s="1"/>
  <c r="K41" i="3"/>
  <c r="W41" i="3" s="1"/>
  <c r="BF42" i="60" s="1"/>
  <c r="K41" i="28"/>
  <c r="W41" i="28" s="1"/>
  <c r="E42" i="60" s="1"/>
  <c r="K41" i="30"/>
  <c r="W41" i="30" s="1"/>
  <c r="J42" i="60" s="1"/>
  <c r="K41" i="31"/>
  <c r="W41" i="31" s="1"/>
  <c r="O42" i="60" s="1"/>
  <c r="K41" i="50"/>
  <c r="W41" i="50" s="1"/>
  <c r="AD42" i="60" s="1"/>
  <c r="K41" i="51"/>
  <c r="W41" i="51" s="1"/>
  <c r="AN42" i="60" s="1"/>
  <c r="K41" i="52"/>
  <c r="W41" i="52" s="1"/>
  <c r="AS42" i="60" s="1"/>
  <c r="K31" i="3"/>
  <c r="W31" i="3" s="1"/>
  <c r="BF32" i="60" s="1"/>
  <c r="K31" i="28"/>
  <c r="W31" i="28" s="1"/>
  <c r="E32" i="60" s="1"/>
  <c r="K31" i="30"/>
  <c r="W31" i="30" s="1"/>
  <c r="J32" i="60" s="1"/>
  <c r="K31" i="31"/>
  <c r="W31" i="31" s="1"/>
  <c r="O32" i="60" s="1"/>
  <c r="K31" i="50"/>
  <c r="K31" i="51"/>
  <c r="W31" i="51" s="1"/>
  <c r="K31" i="52"/>
  <c r="K22" i="3"/>
  <c r="K19" i="3" s="1"/>
  <c r="K22" i="28"/>
  <c r="K22" i="30"/>
  <c r="K22" i="31"/>
  <c r="K22" i="51"/>
  <c r="K22" i="52"/>
  <c r="K6" i="3"/>
  <c r="W6" i="3" s="1"/>
  <c r="BF7" i="60" s="1"/>
  <c r="K6" i="28"/>
  <c r="W6" i="28" s="1"/>
  <c r="E7" i="60" s="1"/>
  <c r="K6" i="30"/>
  <c r="W6" i="30" s="1"/>
  <c r="J7" i="60" s="1"/>
  <c r="K6" i="31"/>
  <c r="W6" i="31" s="1"/>
  <c r="O7" i="60" s="1"/>
  <c r="K6" i="50"/>
  <c r="W6" i="50" s="1"/>
  <c r="AD7" i="60" s="1"/>
  <c r="K6" i="51"/>
  <c r="W6" i="51" s="1"/>
  <c r="K6" i="52"/>
  <c r="W6" i="52" s="1"/>
  <c r="AS7" i="60" s="1"/>
  <c r="K26" i="52"/>
  <c r="W26" i="52" s="1"/>
  <c r="X26" i="51" s="1"/>
  <c r="X19" i="51" s="1"/>
  <c r="K19" i="30" l="1"/>
  <c r="K19" i="28"/>
  <c r="W19" i="28" s="1"/>
  <c r="K19" i="52"/>
  <c r="W31" i="50"/>
  <c r="AD32" i="60" s="1"/>
  <c r="AI32" i="60" s="1"/>
  <c r="K19" i="50"/>
  <c r="K19" i="51"/>
  <c r="W19" i="51" s="1"/>
  <c r="AU108" i="60"/>
  <c r="AW108" i="60"/>
  <c r="L7" i="60"/>
  <c r="N7" i="60"/>
  <c r="BJ32" i="60"/>
  <c r="BH32" i="60"/>
  <c r="W100" i="52"/>
  <c r="AS101" i="60" s="1"/>
  <c r="K99" i="52"/>
  <c r="W99" i="52" s="1"/>
  <c r="AS100" i="60" s="1"/>
  <c r="S7" i="60"/>
  <c r="Q7" i="60"/>
  <c r="I7" i="60"/>
  <c r="T7" i="60"/>
  <c r="G7" i="60"/>
  <c r="W22" i="3"/>
  <c r="BF23" i="60" s="1"/>
  <c r="W19" i="3"/>
  <c r="BF20" i="60" s="1"/>
  <c r="AW86" i="60"/>
  <c r="AU86" i="60"/>
  <c r="AF108" i="60"/>
  <c r="AH108" i="60"/>
  <c r="AI108" i="60"/>
  <c r="BJ7" i="60"/>
  <c r="BH7" i="60"/>
  <c r="AW42" i="60"/>
  <c r="AU42" i="60"/>
  <c r="W100" i="50"/>
  <c r="AD101" i="60" s="1"/>
  <c r="K99" i="50"/>
  <c r="W99" i="50" s="1"/>
  <c r="AD100" i="60" s="1"/>
  <c r="BH42" i="60"/>
  <c r="BJ42" i="60"/>
  <c r="AH86" i="60"/>
  <c r="AI86" i="60"/>
  <c r="AF86" i="60"/>
  <c r="G32" i="60"/>
  <c r="T32" i="60"/>
  <c r="I32" i="60"/>
  <c r="S108" i="60"/>
  <c r="Q108" i="60"/>
  <c r="Y17" i="51"/>
  <c r="K99" i="31"/>
  <c r="W99" i="31" s="1"/>
  <c r="O100" i="60" s="1"/>
  <c r="W100" i="31"/>
  <c r="O101" i="60" s="1"/>
  <c r="L108" i="60"/>
  <c r="N108" i="60"/>
  <c r="AW7" i="60"/>
  <c r="AU7" i="60"/>
  <c r="AH7" i="60"/>
  <c r="AI7" i="60"/>
  <c r="AF7" i="60"/>
  <c r="S86" i="60"/>
  <c r="Q86" i="60"/>
  <c r="W100" i="30"/>
  <c r="J101" i="60" s="1"/>
  <c r="K99" i="30"/>
  <c r="W99" i="30" s="1"/>
  <c r="J100" i="60" s="1"/>
  <c r="T108" i="60"/>
  <c r="I108" i="60"/>
  <c r="G108" i="60"/>
  <c r="Q42" i="60"/>
  <c r="S42" i="60"/>
  <c r="N86" i="60"/>
  <c r="L86" i="60"/>
  <c r="W100" i="28"/>
  <c r="E101" i="60" s="1"/>
  <c r="K99" i="28"/>
  <c r="W99" i="28" s="1"/>
  <c r="E100" i="60" s="1"/>
  <c r="BJ108" i="60"/>
  <c r="BH108" i="60"/>
  <c r="L42" i="60"/>
  <c r="N42" i="60"/>
  <c r="I86" i="60"/>
  <c r="T86" i="60"/>
  <c r="G86" i="60"/>
  <c r="K99" i="3"/>
  <c r="W99" i="3" s="1"/>
  <c r="BF100" i="60" s="1"/>
  <c r="W100" i="3"/>
  <c r="BF101" i="60" s="1"/>
  <c r="AH42" i="60"/>
  <c r="AI42" i="60"/>
  <c r="AF42" i="60"/>
  <c r="Q32" i="60"/>
  <c r="S32" i="60"/>
  <c r="W22" i="31"/>
  <c r="O23" i="60" s="1"/>
  <c r="N32" i="60"/>
  <c r="L32" i="60"/>
  <c r="I42" i="60"/>
  <c r="T42" i="60"/>
  <c r="G42" i="60"/>
  <c r="BH86" i="60"/>
  <c r="BJ86" i="60"/>
  <c r="AN7" i="60"/>
  <c r="AX42" i="60"/>
  <c r="AZ42" i="60" s="1"/>
  <c r="AP42" i="60"/>
  <c r="AR42" i="60"/>
  <c r="AP108" i="60"/>
  <c r="AX108" i="60"/>
  <c r="AZ108" i="60" s="1"/>
  <c r="AR108" i="60"/>
  <c r="AP86" i="60"/>
  <c r="AX86" i="60"/>
  <c r="AZ86" i="60" s="1"/>
  <c r="AR86" i="60"/>
  <c r="W100" i="51"/>
  <c r="AN101" i="60" s="1"/>
  <c r="K99" i="51"/>
  <c r="W31" i="52"/>
  <c r="W22" i="52"/>
  <c r="W19" i="52"/>
  <c r="W22" i="51"/>
  <c r="W22" i="30"/>
  <c r="J23" i="60" s="1"/>
  <c r="W19" i="30"/>
  <c r="J20" i="60" s="1"/>
  <c r="W22" i="28"/>
  <c r="E23" i="60" s="1"/>
  <c r="W22" i="50"/>
  <c r="AD23" i="60" s="1"/>
  <c r="AH32" i="60" l="1"/>
  <c r="AF32" i="60"/>
  <c r="Y33" i="51"/>
  <c r="X33" i="52" s="1"/>
  <c r="Y24" i="51"/>
  <c r="Y28" i="51"/>
  <c r="X28" i="52" s="1"/>
  <c r="Y26" i="51"/>
  <c r="Y30" i="51"/>
  <c r="Y25" i="51"/>
  <c r="X25" i="52" s="1"/>
  <c r="Y35" i="51"/>
  <c r="Y27" i="51"/>
  <c r="X27" i="52" s="1"/>
  <c r="Y36" i="51"/>
  <c r="Y29" i="51"/>
  <c r="Y34" i="51"/>
  <c r="X34" i="52" s="1"/>
  <c r="Y32" i="51"/>
  <c r="X42" i="60"/>
  <c r="V42" i="60"/>
  <c r="AH23" i="60"/>
  <c r="AF23" i="60"/>
  <c r="AI23" i="60"/>
  <c r="AI101" i="60"/>
  <c r="AH101" i="60"/>
  <c r="AF101" i="60"/>
  <c r="BJ101" i="60"/>
  <c r="BH101" i="60"/>
  <c r="AU100" i="60"/>
  <c r="AW100" i="60"/>
  <c r="BJ100" i="60"/>
  <c r="BH100" i="60"/>
  <c r="AM7" i="60"/>
  <c r="AK7" i="60"/>
  <c r="S101" i="60"/>
  <c r="Q101" i="60"/>
  <c r="BJ20" i="60"/>
  <c r="BH20" i="60"/>
  <c r="AW101" i="60"/>
  <c r="AU101" i="60"/>
  <c r="N20" i="60"/>
  <c r="L20" i="60"/>
  <c r="V86" i="60"/>
  <c r="X86" i="60"/>
  <c r="I101" i="60"/>
  <c r="G101" i="60"/>
  <c r="T101" i="60"/>
  <c r="S23" i="60"/>
  <c r="Q23" i="60"/>
  <c r="AM86" i="60"/>
  <c r="AK86" i="60"/>
  <c r="N23" i="60"/>
  <c r="L23" i="60"/>
  <c r="X7" i="60"/>
  <c r="V7" i="60"/>
  <c r="V108" i="60"/>
  <c r="X108" i="60"/>
  <c r="AK32" i="60"/>
  <c r="AM32" i="60"/>
  <c r="N100" i="60"/>
  <c r="L100" i="60"/>
  <c r="AK108" i="60"/>
  <c r="AM108" i="60"/>
  <c r="I23" i="60"/>
  <c r="T23" i="60"/>
  <c r="G23" i="60"/>
  <c r="I100" i="60"/>
  <c r="G100" i="60"/>
  <c r="T100" i="60"/>
  <c r="S100" i="60"/>
  <c r="Q100" i="60"/>
  <c r="BJ23" i="60"/>
  <c r="BH23" i="60"/>
  <c r="AK42" i="60"/>
  <c r="AM42" i="60"/>
  <c r="N101" i="60"/>
  <c r="L101" i="60"/>
  <c r="V32" i="60"/>
  <c r="X32" i="60"/>
  <c r="AF100" i="60"/>
  <c r="AH100" i="60"/>
  <c r="AI100" i="60"/>
  <c r="AP101" i="60"/>
  <c r="AR101" i="60"/>
  <c r="AX101" i="60"/>
  <c r="AZ101" i="60" s="1"/>
  <c r="BB42" i="60"/>
  <c r="BK42" i="60"/>
  <c r="BO42" i="60" s="1"/>
  <c r="BB108" i="60"/>
  <c r="BK108" i="60"/>
  <c r="AP7" i="60"/>
  <c r="AX7" i="60"/>
  <c r="AZ7" i="60" s="1"/>
  <c r="AR7" i="60"/>
  <c r="BB86" i="60"/>
  <c r="BK86" i="60"/>
  <c r="W99" i="51"/>
  <c r="E20" i="60"/>
  <c r="W19" i="50"/>
  <c r="AD20" i="60" s="1"/>
  <c r="BO116" i="60"/>
  <c r="BO113" i="60"/>
  <c r="BO81" i="60"/>
  <c r="BO73" i="60"/>
  <c r="BO68" i="60"/>
  <c r="BO59" i="60"/>
  <c r="BO51" i="60"/>
  <c r="X24" i="52" l="1"/>
  <c r="Y22" i="51"/>
  <c r="BK7" i="60"/>
  <c r="BM7" i="60" s="1"/>
  <c r="AM100" i="60"/>
  <c r="AK100" i="60"/>
  <c r="AN30" i="60"/>
  <c r="X29" i="52"/>
  <c r="AS30" i="60" s="1"/>
  <c r="V23" i="60"/>
  <c r="X23" i="60"/>
  <c r="AN37" i="60"/>
  <c r="X36" i="52"/>
  <c r="AS37" i="60" s="1"/>
  <c r="AF20" i="60"/>
  <c r="AI20" i="60"/>
  <c r="AH20" i="60"/>
  <c r="BP108" i="60"/>
  <c r="BM108" i="60"/>
  <c r="AN36" i="60"/>
  <c r="X35" i="52"/>
  <c r="AS36" i="60" s="1"/>
  <c r="I20" i="60"/>
  <c r="G20" i="60"/>
  <c r="AM101" i="60"/>
  <c r="AK101" i="60"/>
  <c r="AM23" i="60"/>
  <c r="AK23" i="60"/>
  <c r="AN31" i="60"/>
  <c r="X30" i="52"/>
  <c r="AS31" i="60" s="1"/>
  <c r="AN27" i="60"/>
  <c r="X26" i="52"/>
  <c r="AS27" i="60" s="1"/>
  <c r="X100" i="60"/>
  <c r="V100" i="60"/>
  <c r="V101" i="60"/>
  <c r="X101" i="60"/>
  <c r="Y31" i="51"/>
  <c r="X32" i="52"/>
  <c r="X23" i="52"/>
  <c r="BP42" i="60"/>
  <c r="BM42" i="60"/>
  <c r="BP86" i="60"/>
  <c r="BM86" i="60"/>
  <c r="BO108" i="60"/>
  <c r="BO86" i="60"/>
  <c r="BB101" i="60"/>
  <c r="BK101" i="60"/>
  <c r="BM101" i="60" s="1"/>
  <c r="AN100" i="60"/>
  <c r="BB7" i="60"/>
  <c r="Y19" i="51" l="1"/>
  <c r="AN23" i="60"/>
  <c r="X22" i="52"/>
  <c r="AS23" i="60" s="1"/>
  <c r="AP37" i="60"/>
  <c r="AR37" i="60"/>
  <c r="AX37" i="60"/>
  <c r="AW36" i="60"/>
  <c r="AU36" i="60"/>
  <c r="AP36" i="60"/>
  <c r="AX36" i="60"/>
  <c r="AR36" i="60"/>
  <c r="AN32" i="60"/>
  <c r="X31" i="52"/>
  <c r="AS32" i="60" s="1"/>
  <c r="AP31" i="60"/>
  <c r="AX31" i="60"/>
  <c r="AR31" i="60"/>
  <c r="AU30" i="60"/>
  <c r="AW30" i="60"/>
  <c r="AW27" i="60"/>
  <c r="AU27" i="60"/>
  <c r="AM20" i="60"/>
  <c r="AK20" i="60"/>
  <c r="AP30" i="60"/>
  <c r="AX30" i="60"/>
  <c r="AR30" i="60"/>
  <c r="AR27" i="60"/>
  <c r="AX27" i="60"/>
  <c r="AP27" i="60"/>
  <c r="AW31" i="60"/>
  <c r="AU31" i="60"/>
  <c r="AW37" i="60"/>
  <c r="AU37" i="60"/>
  <c r="BP101" i="60"/>
  <c r="BO101" i="60"/>
  <c r="BP7" i="60"/>
  <c r="BR7" i="60" s="1"/>
  <c r="BO7" i="60"/>
  <c r="AX100" i="60"/>
  <c r="AZ100" i="60" s="1"/>
  <c r="AR100" i="60"/>
  <c r="AP100" i="60"/>
  <c r="AZ30" i="60" l="1"/>
  <c r="BB30" i="60"/>
  <c r="BK30" i="60"/>
  <c r="AZ31" i="60"/>
  <c r="BB31" i="60"/>
  <c r="BK31" i="60"/>
  <c r="AZ37" i="60"/>
  <c r="BB37" i="60"/>
  <c r="BK37" i="60"/>
  <c r="AW32" i="60"/>
  <c r="AU32" i="60"/>
  <c r="AX32" i="60"/>
  <c r="AR32" i="60"/>
  <c r="AP32" i="60"/>
  <c r="AW23" i="60"/>
  <c r="AU23" i="60"/>
  <c r="AP23" i="60"/>
  <c r="AX23" i="60"/>
  <c r="AR23" i="60"/>
  <c r="AZ36" i="60"/>
  <c r="BB36" i="60"/>
  <c r="BK36" i="60"/>
  <c r="AN20" i="60"/>
  <c r="X19" i="52"/>
  <c r="AS20" i="60" s="1"/>
  <c r="AZ27" i="60"/>
  <c r="BB27" i="60"/>
  <c r="BK100" i="60"/>
  <c r="BM100" i="60" s="1"/>
  <c r="BB100" i="60"/>
  <c r="BT86" i="60"/>
  <c r="BR86" i="60"/>
  <c r="BR116" i="60"/>
  <c r="BT116" i="60"/>
  <c r="BR59" i="60"/>
  <c r="BT59" i="60"/>
  <c r="BT7" i="60"/>
  <c r="BT73" i="60"/>
  <c r="BR73" i="60"/>
  <c r="BT42" i="60"/>
  <c r="BR42" i="60"/>
  <c r="BT113" i="60"/>
  <c r="BR113" i="60"/>
  <c r="BT68" i="60"/>
  <c r="BR68" i="60"/>
  <c r="BT101" i="60"/>
  <c r="BR101" i="60"/>
  <c r="BR108" i="60"/>
  <c r="BT108" i="60"/>
  <c r="BT51" i="60"/>
  <c r="BR51" i="60"/>
  <c r="BT81" i="60"/>
  <c r="BR81" i="60"/>
  <c r="AX20" i="60" l="1"/>
  <c r="AZ32" i="60"/>
  <c r="BB32" i="60"/>
  <c r="BK32" i="60"/>
  <c r="AZ23" i="60"/>
  <c r="BK23" i="60"/>
  <c r="BB23" i="60"/>
  <c r="AW20" i="60"/>
  <c r="AU20" i="60"/>
  <c r="AR20" i="60"/>
  <c r="AP20" i="60"/>
  <c r="BM30" i="60"/>
  <c r="BP30" i="60"/>
  <c r="BO30" i="60"/>
  <c r="BM37" i="60"/>
  <c r="BP37" i="60"/>
  <c r="BO37" i="60"/>
  <c r="BP36" i="60"/>
  <c r="BM36" i="60"/>
  <c r="BO36" i="60"/>
  <c r="BP31" i="60"/>
  <c r="BM31" i="60"/>
  <c r="BO31" i="60"/>
  <c r="BP100" i="60"/>
  <c r="BO100" i="60"/>
  <c r="BT37" i="60" l="1"/>
  <c r="BR37" i="60"/>
  <c r="BT30" i="60"/>
  <c r="BR30" i="60"/>
  <c r="BR31" i="60"/>
  <c r="BT31" i="60"/>
  <c r="BM23" i="60"/>
  <c r="BP23" i="60"/>
  <c r="BO23" i="60"/>
  <c r="AZ20" i="60"/>
  <c r="BB20" i="60"/>
  <c r="BO32" i="60"/>
  <c r="BP32" i="60"/>
  <c r="BM32" i="60"/>
  <c r="BR36" i="60"/>
  <c r="BT36" i="60"/>
  <c r="BR100" i="60"/>
  <c r="BT100" i="60"/>
  <c r="BR23" i="60" l="1"/>
  <c r="BT23" i="60"/>
  <c r="BR32" i="60"/>
  <c r="BT32" i="60"/>
  <c r="K46" i="52" l="1"/>
  <c r="W46" i="52" s="1"/>
  <c r="AS47" i="60" s="1"/>
  <c r="K18" i="52"/>
  <c r="P17" i="52"/>
  <c r="P18" i="52" s="1"/>
  <c r="P98" i="52" s="1"/>
  <c r="P111" i="52" s="1"/>
  <c r="P118" i="52" s="1"/>
  <c r="O17" i="52"/>
  <c r="O18" i="52" s="1"/>
  <c r="O98" i="52" s="1"/>
  <c r="O111" i="52" s="1"/>
  <c r="O118" i="52" s="1"/>
  <c r="N17" i="52"/>
  <c r="N18" i="52" s="1"/>
  <c r="N98" i="52" s="1"/>
  <c r="N111" i="52" s="1"/>
  <c r="N118" i="52" s="1"/>
  <c r="M17" i="52"/>
  <c r="M18" i="52" s="1"/>
  <c r="M98" i="52" s="1"/>
  <c r="M111" i="52" s="1"/>
  <c r="M118" i="52" s="1"/>
  <c r="L17" i="52"/>
  <c r="K46" i="51"/>
  <c r="V17" i="51"/>
  <c r="V18" i="51" s="1"/>
  <c r="V98" i="51" s="1"/>
  <c r="V111" i="51" s="1"/>
  <c r="V118" i="51" s="1"/>
  <c r="U17" i="51"/>
  <c r="U18" i="51" s="1"/>
  <c r="U98" i="51" s="1"/>
  <c r="U111" i="51" s="1"/>
  <c r="U118" i="51" s="1"/>
  <c r="T17" i="51"/>
  <c r="T18" i="51" s="1"/>
  <c r="T98" i="51" s="1"/>
  <c r="T111" i="51" s="1"/>
  <c r="T118" i="51" s="1"/>
  <c r="S17" i="51"/>
  <c r="S18" i="51" s="1"/>
  <c r="S98" i="51" s="1"/>
  <c r="S111" i="51" s="1"/>
  <c r="S118" i="51" s="1"/>
  <c r="R17" i="51"/>
  <c r="R18" i="51" s="1"/>
  <c r="R98" i="51" s="1"/>
  <c r="R111" i="51" s="1"/>
  <c r="R118" i="51" s="1"/>
  <c r="Q17" i="51"/>
  <c r="Q18" i="51" s="1"/>
  <c r="Q98" i="51" s="1"/>
  <c r="Q111" i="51" s="1"/>
  <c r="Q118" i="51" s="1"/>
  <c r="P17" i="51"/>
  <c r="P18" i="51" s="1"/>
  <c r="P98" i="51" s="1"/>
  <c r="P111" i="51" s="1"/>
  <c r="P118" i="51" s="1"/>
  <c r="O17" i="51"/>
  <c r="O18" i="51" s="1"/>
  <c r="O98" i="51" s="1"/>
  <c r="O111" i="51" s="1"/>
  <c r="O118" i="51" s="1"/>
  <c r="N17" i="51"/>
  <c r="N18" i="51" s="1"/>
  <c r="N98" i="51" s="1"/>
  <c r="N111" i="51" s="1"/>
  <c r="N118" i="51" s="1"/>
  <c r="M17" i="51"/>
  <c r="M18" i="51" s="1"/>
  <c r="M98" i="51" s="1"/>
  <c r="M111" i="51" s="1"/>
  <c r="M118" i="51" s="1"/>
  <c r="L17" i="51"/>
  <c r="L18" i="51" s="1"/>
  <c r="L98" i="51" s="1"/>
  <c r="L111" i="51" s="1"/>
  <c r="L118" i="51" s="1"/>
  <c r="K17" i="51"/>
  <c r="K46" i="50"/>
  <c r="W46" i="50" s="1"/>
  <c r="AD47" i="60" s="1"/>
  <c r="V17" i="50"/>
  <c r="V18" i="50" s="1"/>
  <c r="V98" i="50" s="1"/>
  <c r="V111" i="50" s="1"/>
  <c r="V118" i="50" s="1"/>
  <c r="U17" i="50"/>
  <c r="U18" i="50" s="1"/>
  <c r="U98" i="50" s="1"/>
  <c r="U111" i="50" s="1"/>
  <c r="U118" i="50" s="1"/>
  <c r="T17" i="50"/>
  <c r="T18" i="50" s="1"/>
  <c r="T98" i="50" s="1"/>
  <c r="T111" i="50" s="1"/>
  <c r="T118" i="50" s="1"/>
  <c r="S17" i="50"/>
  <c r="S18" i="50" s="1"/>
  <c r="S98" i="50" s="1"/>
  <c r="S111" i="50" s="1"/>
  <c r="S118" i="50" s="1"/>
  <c r="R17" i="50"/>
  <c r="R18" i="50" s="1"/>
  <c r="R98" i="50" s="1"/>
  <c r="R111" i="50" s="1"/>
  <c r="R118" i="50" s="1"/>
  <c r="Q17" i="50"/>
  <c r="Q18" i="50" s="1"/>
  <c r="Q98" i="50" s="1"/>
  <c r="Q111" i="50" s="1"/>
  <c r="Q118" i="50" s="1"/>
  <c r="P17" i="50"/>
  <c r="P18" i="50" s="1"/>
  <c r="P98" i="50" s="1"/>
  <c r="P111" i="50" s="1"/>
  <c r="P118" i="50" s="1"/>
  <c r="O17" i="50"/>
  <c r="O18" i="50" s="1"/>
  <c r="O98" i="50" s="1"/>
  <c r="O111" i="50" s="1"/>
  <c r="O118" i="50" s="1"/>
  <c r="N17" i="50"/>
  <c r="N18" i="50" s="1"/>
  <c r="N98" i="50" s="1"/>
  <c r="N111" i="50" s="1"/>
  <c r="N118" i="50" s="1"/>
  <c r="M17" i="50"/>
  <c r="M18" i="50" s="1"/>
  <c r="M98" i="50" s="1"/>
  <c r="M111" i="50" s="1"/>
  <c r="M118" i="50" s="1"/>
  <c r="L17" i="50"/>
  <c r="L18" i="50" s="1"/>
  <c r="L98" i="50" s="1"/>
  <c r="L111" i="50" s="1"/>
  <c r="L118" i="50" s="1"/>
  <c r="K17" i="50"/>
  <c r="K18" i="50" s="1"/>
  <c r="K46" i="31"/>
  <c r="W46" i="31" s="1"/>
  <c r="O47" i="60" s="1"/>
  <c r="K26" i="31"/>
  <c r="K19" i="31" s="1"/>
  <c r="V17" i="31"/>
  <c r="V18" i="31" s="1"/>
  <c r="V98" i="31" s="1"/>
  <c r="V111" i="31" s="1"/>
  <c r="V118" i="31" s="1"/>
  <c r="U17" i="31"/>
  <c r="U18" i="31" s="1"/>
  <c r="U98" i="31" s="1"/>
  <c r="U111" i="31" s="1"/>
  <c r="U118" i="31" s="1"/>
  <c r="T17" i="31"/>
  <c r="T18" i="31" s="1"/>
  <c r="T98" i="31" s="1"/>
  <c r="T111" i="31" s="1"/>
  <c r="T118" i="31" s="1"/>
  <c r="S17" i="31"/>
  <c r="S18" i="31" s="1"/>
  <c r="S98" i="31" s="1"/>
  <c r="S111" i="31" s="1"/>
  <c r="S118" i="31" s="1"/>
  <c r="R17" i="31"/>
  <c r="R18" i="31" s="1"/>
  <c r="R98" i="31" s="1"/>
  <c r="R111" i="31" s="1"/>
  <c r="R118" i="31" s="1"/>
  <c r="Q17" i="31"/>
  <c r="Q18" i="31" s="1"/>
  <c r="Q98" i="31" s="1"/>
  <c r="Q111" i="31" s="1"/>
  <c r="Q118" i="31" s="1"/>
  <c r="P17" i="31"/>
  <c r="P18" i="31" s="1"/>
  <c r="P98" i="31" s="1"/>
  <c r="P111" i="31" s="1"/>
  <c r="P118" i="31" s="1"/>
  <c r="O17" i="31"/>
  <c r="O18" i="31" s="1"/>
  <c r="O98" i="31" s="1"/>
  <c r="O111" i="31" s="1"/>
  <c r="O118" i="31" s="1"/>
  <c r="N17" i="31"/>
  <c r="N18" i="31" s="1"/>
  <c r="N98" i="31" s="1"/>
  <c r="N111" i="31" s="1"/>
  <c r="N118" i="31" s="1"/>
  <c r="M17" i="31"/>
  <c r="M18" i="31" s="1"/>
  <c r="M98" i="31" s="1"/>
  <c r="M111" i="31" s="1"/>
  <c r="M118" i="31" s="1"/>
  <c r="L17" i="31"/>
  <c r="L18" i="31" s="1"/>
  <c r="L98" i="31" s="1"/>
  <c r="L111" i="31" s="1"/>
  <c r="L118" i="31" s="1"/>
  <c r="K17" i="31"/>
  <c r="K18" i="31" s="1"/>
  <c r="K46" i="30"/>
  <c r="W46" i="30" s="1"/>
  <c r="J47" i="60" s="1"/>
  <c r="V17" i="30"/>
  <c r="U17" i="30"/>
  <c r="T17" i="30"/>
  <c r="S17" i="30"/>
  <c r="R17" i="30"/>
  <c r="Q17" i="30"/>
  <c r="P17" i="30"/>
  <c r="O17" i="30"/>
  <c r="N17" i="30"/>
  <c r="M17" i="30"/>
  <c r="L17" i="30"/>
  <c r="K17" i="30"/>
  <c r="K46" i="28"/>
  <c r="W46" i="28" s="1"/>
  <c r="E47" i="60" s="1"/>
  <c r="V17" i="28"/>
  <c r="U17" i="28"/>
  <c r="T17" i="28"/>
  <c r="S17" i="28"/>
  <c r="R17" i="28"/>
  <c r="Q17" i="28"/>
  <c r="P17" i="28"/>
  <c r="O17" i="28"/>
  <c r="N17" i="28"/>
  <c r="M17" i="28"/>
  <c r="L17" i="28"/>
  <c r="K17" i="28"/>
  <c r="K18" i="28"/>
  <c r="K46" i="3"/>
  <c r="K37" i="3" s="1"/>
  <c r="K97" i="3" s="1"/>
  <c r="W97" i="3" s="1"/>
  <c r="K18" i="3"/>
  <c r="W17" i="52" l="1"/>
  <c r="AS18" i="60" s="1"/>
  <c r="L18" i="52"/>
  <c r="L98" i="52" s="1"/>
  <c r="L111" i="52" s="1"/>
  <c r="L118" i="52" s="1"/>
  <c r="U18" i="28"/>
  <c r="L47" i="60"/>
  <c r="N47" i="60"/>
  <c r="W18" i="31"/>
  <c r="O19" i="60" s="1"/>
  <c r="N18" i="28"/>
  <c r="W17" i="31"/>
  <c r="O18" i="60" s="1"/>
  <c r="W26" i="31"/>
  <c r="Q47" i="60"/>
  <c r="S47" i="60"/>
  <c r="AW47" i="60"/>
  <c r="AU47" i="60"/>
  <c r="W37" i="3"/>
  <c r="K37" i="31"/>
  <c r="K37" i="52"/>
  <c r="K97" i="52" s="1"/>
  <c r="W97" i="52" s="1"/>
  <c r="O18" i="28"/>
  <c r="Q18" i="28"/>
  <c r="I47" i="60"/>
  <c r="T47" i="60"/>
  <c r="G47" i="60"/>
  <c r="P18" i="28"/>
  <c r="R18" i="28"/>
  <c r="W17" i="50"/>
  <c r="AD18" i="60" s="1"/>
  <c r="K37" i="50"/>
  <c r="K97" i="50" s="1"/>
  <c r="W97" i="50" s="1"/>
  <c r="AD98" i="60" s="1"/>
  <c r="V18" i="28"/>
  <c r="W18" i="3"/>
  <c r="S18" i="28"/>
  <c r="AH47" i="60"/>
  <c r="AI47" i="60"/>
  <c r="AF47" i="60"/>
  <c r="W17" i="28"/>
  <c r="L18" i="28"/>
  <c r="M18" i="28"/>
  <c r="W46" i="3"/>
  <c r="T18" i="28"/>
  <c r="W17" i="51"/>
  <c r="AN18" i="60" s="1"/>
  <c r="AX18" i="60" s="1"/>
  <c r="AZ18" i="60" s="1"/>
  <c r="W46" i="51"/>
  <c r="K18" i="51"/>
  <c r="W18" i="50"/>
  <c r="AD19" i="60" s="1"/>
  <c r="S18" i="30"/>
  <c r="T18" i="30"/>
  <c r="O18" i="30"/>
  <c r="M18" i="30"/>
  <c r="U18" i="30"/>
  <c r="W17" i="30"/>
  <c r="J18" i="60" s="1"/>
  <c r="L18" i="30"/>
  <c r="P18" i="30"/>
  <c r="Q18" i="30"/>
  <c r="K18" i="30"/>
  <c r="N18" i="30"/>
  <c r="R18" i="30"/>
  <c r="V18" i="30"/>
  <c r="K37" i="51"/>
  <c r="K97" i="51" s="1"/>
  <c r="W97" i="51" s="1"/>
  <c r="K37" i="30"/>
  <c r="K37" i="28"/>
  <c r="W37" i="31" l="1"/>
  <c r="O38" i="60" s="1"/>
  <c r="K97" i="31"/>
  <c r="W97" i="31" s="1"/>
  <c r="O98" i="60" s="1"/>
  <c r="W37" i="50"/>
  <c r="AD38" i="60" s="1"/>
  <c r="AI38" i="60" s="1"/>
  <c r="K97" i="28"/>
  <c r="W97" i="28" s="1"/>
  <c r="W37" i="30"/>
  <c r="J38" i="60" s="1"/>
  <c r="L38" i="60" s="1"/>
  <c r="K97" i="30"/>
  <c r="W97" i="30" s="1"/>
  <c r="W18" i="28"/>
  <c r="E19" i="60" s="1"/>
  <c r="I19" i="60" s="1"/>
  <c r="W18" i="52"/>
  <c r="AS19" i="60" s="1"/>
  <c r="AW19" i="60" s="1"/>
  <c r="W37" i="52"/>
  <c r="AS38" i="60" s="1"/>
  <c r="AW38" i="60" s="1"/>
  <c r="G19" i="60"/>
  <c r="R98" i="28"/>
  <c r="Q38" i="60"/>
  <c r="S38" i="60"/>
  <c r="N98" i="28"/>
  <c r="P98" i="28"/>
  <c r="BF38" i="60"/>
  <c r="S98" i="28"/>
  <c r="X47" i="60"/>
  <c r="V47" i="60"/>
  <c r="BF47" i="60"/>
  <c r="U98" i="28"/>
  <c r="BF19" i="60"/>
  <c r="Q98" i="28"/>
  <c r="N18" i="60"/>
  <c r="L18" i="60"/>
  <c r="T98" i="28"/>
  <c r="V98" i="28"/>
  <c r="W19" i="31"/>
  <c r="AK47" i="60"/>
  <c r="AM47" i="60"/>
  <c r="S98" i="60"/>
  <c r="Q98" i="60"/>
  <c r="O98" i="28"/>
  <c r="M98" i="28"/>
  <c r="AI98" i="60"/>
  <c r="AH98" i="60"/>
  <c r="AF98" i="60"/>
  <c r="AP18" i="60"/>
  <c r="O27" i="60"/>
  <c r="S19" i="60"/>
  <c r="Q19" i="60"/>
  <c r="AH19" i="60"/>
  <c r="AI19" i="60"/>
  <c r="AF19" i="60"/>
  <c r="L98" i="28"/>
  <c r="AR18" i="60"/>
  <c r="E18" i="60"/>
  <c r="AH18" i="60"/>
  <c r="AI18" i="60"/>
  <c r="AF18" i="60"/>
  <c r="S18" i="60"/>
  <c r="Q18" i="60"/>
  <c r="AW18" i="60"/>
  <c r="AU18" i="60"/>
  <c r="AN47" i="60"/>
  <c r="BB18" i="60"/>
  <c r="W18" i="51"/>
  <c r="AN19" i="60" s="1"/>
  <c r="N98" i="30"/>
  <c r="W18" i="30"/>
  <c r="J19" i="60" s="1"/>
  <c r="P98" i="30"/>
  <c r="M98" i="30"/>
  <c r="T98" i="30"/>
  <c r="V98" i="30"/>
  <c r="R98" i="30"/>
  <c r="Q98" i="30"/>
  <c r="L98" i="30"/>
  <c r="U98" i="30"/>
  <c r="O98" i="30"/>
  <c r="S98" i="30"/>
  <c r="W37" i="51"/>
  <c r="AN38" i="60" s="1"/>
  <c r="W37" i="28"/>
  <c r="E38" i="60" s="1"/>
  <c r="K98" i="50"/>
  <c r="K98" i="31"/>
  <c r="W98" i="31" s="1"/>
  <c r="O99" i="60" s="1"/>
  <c r="K98" i="3"/>
  <c r="AF38" i="60" l="1"/>
  <c r="AH38" i="60"/>
  <c r="N38" i="60"/>
  <c r="AU19" i="60"/>
  <c r="AS98" i="60"/>
  <c r="AS99" i="60" s="1"/>
  <c r="AU99" i="60" s="1"/>
  <c r="AU38" i="60"/>
  <c r="BJ47" i="60"/>
  <c r="BH47" i="60"/>
  <c r="S99" i="60"/>
  <c r="Q99" i="60"/>
  <c r="L111" i="28"/>
  <c r="AM98" i="60"/>
  <c r="AK98" i="60"/>
  <c r="N111" i="28"/>
  <c r="Q111" i="28"/>
  <c r="M111" i="28"/>
  <c r="O20" i="60"/>
  <c r="S111" i="28"/>
  <c r="BJ19" i="60"/>
  <c r="BH19" i="60"/>
  <c r="AK18" i="60"/>
  <c r="AM18" i="60"/>
  <c r="BF98" i="60"/>
  <c r="V111" i="28"/>
  <c r="R111" i="28"/>
  <c r="AK19" i="60"/>
  <c r="AM19" i="60"/>
  <c r="N19" i="60"/>
  <c r="L19" i="60"/>
  <c r="AM38" i="60"/>
  <c r="AK38" i="60"/>
  <c r="AN98" i="60"/>
  <c r="AN99" i="60" s="1"/>
  <c r="AN112" i="60" s="1"/>
  <c r="AN119" i="60" s="1"/>
  <c r="O111" i="28"/>
  <c r="BH38" i="60"/>
  <c r="BJ38" i="60"/>
  <c r="I18" i="60"/>
  <c r="G18" i="60"/>
  <c r="T18" i="60"/>
  <c r="S27" i="60"/>
  <c r="Q27" i="60"/>
  <c r="T27" i="60"/>
  <c r="U111" i="28"/>
  <c r="T19" i="60"/>
  <c r="G38" i="60"/>
  <c r="T38" i="60"/>
  <c r="I38" i="60"/>
  <c r="W98" i="3"/>
  <c r="T111" i="28"/>
  <c r="P111" i="28"/>
  <c r="AR38" i="60"/>
  <c r="AX38" i="60"/>
  <c r="AZ38" i="60" s="1"/>
  <c r="AP38" i="60"/>
  <c r="AP19" i="60"/>
  <c r="AR19" i="60"/>
  <c r="AX19" i="60"/>
  <c r="AZ19" i="60" s="1"/>
  <c r="AP47" i="60"/>
  <c r="AR47" i="60"/>
  <c r="AX47" i="60"/>
  <c r="AZ47" i="60" s="1"/>
  <c r="O111" i="30"/>
  <c r="L111" i="30"/>
  <c r="R111" i="30"/>
  <c r="T111" i="30"/>
  <c r="S111" i="30"/>
  <c r="U111" i="30"/>
  <c r="Q111" i="30"/>
  <c r="V111" i="30"/>
  <c r="M111" i="30"/>
  <c r="P111" i="30"/>
  <c r="N111" i="30"/>
  <c r="J98" i="60"/>
  <c r="E98" i="60"/>
  <c r="W98" i="50"/>
  <c r="AD99" i="60" s="1"/>
  <c r="K111" i="50"/>
  <c r="K111" i="31"/>
  <c r="K98" i="52"/>
  <c r="K98" i="51"/>
  <c r="K98" i="30"/>
  <c r="K98" i="28"/>
  <c r="K111" i="3"/>
  <c r="AU98" i="60" l="1"/>
  <c r="AW99" i="60"/>
  <c r="AS112" i="60"/>
  <c r="AW112" i="60" s="1"/>
  <c r="AW98" i="60"/>
  <c r="T118" i="28"/>
  <c r="V18" i="60"/>
  <c r="X18" i="60"/>
  <c r="BK18" i="60"/>
  <c r="BO18" i="60" s="1"/>
  <c r="Q118" i="28"/>
  <c r="BF99" i="60"/>
  <c r="G98" i="60"/>
  <c r="T98" i="60"/>
  <c r="I98" i="60"/>
  <c r="X38" i="60"/>
  <c r="V38" i="60"/>
  <c r="R118" i="28"/>
  <c r="N118" i="28"/>
  <c r="V19" i="60"/>
  <c r="X19" i="60"/>
  <c r="O118" i="28"/>
  <c r="S118" i="28"/>
  <c r="AF99" i="60"/>
  <c r="AH99" i="60"/>
  <c r="AI99" i="60"/>
  <c r="L118" i="28"/>
  <c r="U118" i="28"/>
  <c r="K118" i="31"/>
  <c r="W118" i="31" s="1"/>
  <c r="O119" i="60" s="1"/>
  <c r="W111" i="31"/>
  <c r="O112" i="60" s="1"/>
  <c r="X27" i="60"/>
  <c r="V27" i="60"/>
  <c r="BK27" i="60"/>
  <c r="V118" i="28"/>
  <c r="S20" i="60"/>
  <c r="Q20" i="60"/>
  <c r="T20" i="60"/>
  <c r="N98" i="60"/>
  <c r="L98" i="60"/>
  <c r="P118" i="28"/>
  <c r="BH98" i="60"/>
  <c r="BJ98" i="60"/>
  <c r="M118" i="28"/>
  <c r="BB19" i="60"/>
  <c r="BK19" i="60"/>
  <c r="BB38" i="60"/>
  <c r="BK38" i="60"/>
  <c r="BB47" i="60"/>
  <c r="BK47" i="60"/>
  <c r="BM47" i="60" s="1"/>
  <c r="AX98" i="60"/>
  <c r="AZ98" i="60" s="1"/>
  <c r="AR98" i="60"/>
  <c r="AP98" i="60"/>
  <c r="R118" i="30"/>
  <c r="O118" i="30"/>
  <c r="N118" i="30"/>
  <c r="M118" i="30"/>
  <c r="Q118" i="30"/>
  <c r="S118" i="30"/>
  <c r="T118" i="30"/>
  <c r="L118" i="30"/>
  <c r="P118" i="30"/>
  <c r="V118" i="30"/>
  <c r="U118" i="30"/>
  <c r="W98" i="52"/>
  <c r="W98" i="51"/>
  <c r="K118" i="3"/>
  <c r="W111" i="3"/>
  <c r="W98" i="30"/>
  <c r="J99" i="60" s="1"/>
  <c r="W98" i="28"/>
  <c r="E99" i="60" s="1"/>
  <c r="W111" i="50"/>
  <c r="AD112" i="60" s="1"/>
  <c r="K118" i="50"/>
  <c r="W118" i="50" s="1"/>
  <c r="AD119" i="60" s="1"/>
  <c r="K111" i="52"/>
  <c r="K111" i="51"/>
  <c r="K111" i="30"/>
  <c r="K111" i="28"/>
  <c r="AS119" i="60" l="1"/>
  <c r="AU119" i="60" s="1"/>
  <c r="AU112" i="60"/>
  <c r="BF112" i="60"/>
  <c r="AI112" i="60"/>
  <c r="AF112" i="60"/>
  <c r="AH112" i="60"/>
  <c r="AW119" i="60"/>
  <c r="X98" i="60"/>
  <c r="V98" i="60"/>
  <c r="L99" i="60"/>
  <c r="N99" i="60"/>
  <c r="S112" i="60"/>
  <c r="Q112" i="60"/>
  <c r="W118" i="3"/>
  <c r="BJ99" i="60"/>
  <c r="BH99" i="60"/>
  <c r="I99" i="60"/>
  <c r="T99" i="60"/>
  <c r="G99" i="60"/>
  <c r="V20" i="60"/>
  <c r="X20" i="60"/>
  <c r="BK20" i="60"/>
  <c r="BP18" i="60"/>
  <c r="BM18" i="60"/>
  <c r="AM99" i="60"/>
  <c r="AK99" i="60"/>
  <c r="S119" i="60"/>
  <c r="Q119" i="60"/>
  <c r="AH119" i="60"/>
  <c r="AF119" i="60"/>
  <c r="AI119" i="60"/>
  <c r="BP27" i="60"/>
  <c r="BM27" i="60"/>
  <c r="BO27" i="60"/>
  <c r="BP38" i="60"/>
  <c r="BM38" i="60"/>
  <c r="BO38" i="60"/>
  <c r="BO19" i="60"/>
  <c r="BM19" i="60"/>
  <c r="BP47" i="60"/>
  <c r="BO47" i="60"/>
  <c r="BP19" i="60"/>
  <c r="AX99" i="60"/>
  <c r="AZ99" i="60" s="1"/>
  <c r="AR99" i="60"/>
  <c r="AP99" i="60"/>
  <c r="BB98" i="60"/>
  <c r="BK98" i="60"/>
  <c r="BM98" i="60" s="1"/>
  <c r="W111" i="52"/>
  <c r="K118" i="52"/>
  <c r="W118" i="52" s="1"/>
  <c r="W111" i="51"/>
  <c r="K118" i="51"/>
  <c r="W118" i="51" s="1"/>
  <c r="K118" i="30"/>
  <c r="W118" i="30" s="1"/>
  <c r="J119" i="60" s="1"/>
  <c r="W111" i="30"/>
  <c r="J112" i="60" s="1"/>
  <c r="W111" i="28"/>
  <c r="E112" i="60" s="1"/>
  <c r="K118" i="28"/>
  <c r="W118" i="28" s="1"/>
  <c r="E119" i="60" s="1"/>
  <c r="N112" i="60" l="1"/>
  <c r="L112" i="60"/>
  <c r="BR27" i="60"/>
  <c r="BT27" i="60"/>
  <c r="N119" i="60"/>
  <c r="L119" i="60"/>
  <c r="X99" i="60"/>
  <c r="V99" i="60"/>
  <c r="AM119" i="60"/>
  <c r="AK119" i="60"/>
  <c r="BF119" i="60"/>
  <c r="AK112" i="60"/>
  <c r="AM112" i="60"/>
  <c r="I119" i="60"/>
  <c r="T119" i="60"/>
  <c r="G119" i="60"/>
  <c r="T112" i="60"/>
  <c r="I112" i="60"/>
  <c r="G112" i="60"/>
  <c r="BM20" i="60"/>
  <c r="BO20" i="60"/>
  <c r="BP20" i="60"/>
  <c r="BJ112" i="60"/>
  <c r="BH112" i="60"/>
  <c r="BT47" i="60"/>
  <c r="BR47" i="60"/>
  <c r="AP119" i="60"/>
  <c r="AX119" i="60"/>
  <c r="AZ119" i="60" s="1"/>
  <c r="AR119" i="60"/>
  <c r="BP98" i="60"/>
  <c r="BO98" i="60"/>
  <c r="AR112" i="60"/>
  <c r="AX112" i="60"/>
  <c r="AZ112" i="60" s="1"/>
  <c r="AP112" i="60"/>
  <c r="BB99" i="60"/>
  <c r="BK99" i="60"/>
  <c r="BM99" i="60" s="1"/>
  <c r="BR19" i="60"/>
  <c r="BT19" i="60"/>
  <c r="BK120" i="60"/>
  <c r="X112" i="60" l="1"/>
  <c r="V112" i="60"/>
  <c r="X119" i="60"/>
  <c r="V119" i="60"/>
  <c r="BR20" i="60"/>
  <c r="BT20" i="60"/>
  <c r="BH119" i="60"/>
  <c r="BJ119" i="60"/>
  <c r="BB119" i="60"/>
  <c r="BK119" i="60"/>
  <c r="BP99" i="60"/>
  <c r="BB112" i="60"/>
  <c r="BK112" i="60"/>
  <c r="BM112" i="60" s="1"/>
  <c r="BO99" i="60"/>
  <c r="BT38" i="60"/>
  <c r="BR38" i="60"/>
  <c r="BT18" i="60"/>
  <c r="BR18" i="60"/>
  <c r="BO120" i="60"/>
  <c r="BM120" i="60"/>
  <c r="BM119" i="60" l="1"/>
  <c r="BM122" i="60" s="1"/>
  <c r="BK122" i="60"/>
  <c r="BO119" i="60"/>
  <c r="BO122" i="60" s="1"/>
  <c r="BO112" i="60"/>
  <c r="BP119" i="60"/>
  <c r="BP112" i="60"/>
  <c r="BK121" i="60"/>
  <c r="BT98" i="60"/>
  <c r="BR98" i="60"/>
  <c r="BO121" i="60" l="1"/>
  <c r="BM121" i="60"/>
  <c r="BS121" i="60"/>
  <c r="BT99" i="60"/>
  <c r="BR99" i="60"/>
  <c r="BR112" i="60" l="1"/>
  <c r="BT112" i="60"/>
  <c r="BR119" i="60"/>
  <c r="BT119" i="60"/>
  <c r="BP121" i="60"/>
  <c r="BT121" i="60" l="1"/>
  <c r="BR121" i="60"/>
  <c r="BQ121" i="6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浅川 航太</author>
  </authors>
  <commentList>
    <comment ref="BP6" authorId="0" shapeId="0" xr:uid="{12DFD6C3-661C-4A70-B2C5-19EAEC5CA93E}">
      <text>
        <r>
          <rPr>
            <sz val="9"/>
            <color rgb="FF000000"/>
            <rFont val="MS P ゴシック"/>
            <charset val="128"/>
          </rPr>
          <t>赤れんが</t>
        </r>
        <r>
          <rPr>
            <sz val="9"/>
            <color rgb="FF000000"/>
            <rFont val="MS P ゴシック"/>
            <charset val="128"/>
          </rPr>
          <t xml:space="preserve">
</t>
        </r>
        <r>
          <rPr>
            <sz val="9"/>
            <color rgb="FF000000"/>
            <rFont val="MS P ゴシック"/>
            <charset val="128"/>
          </rPr>
          <t>除く</t>
        </r>
      </text>
    </comment>
    <comment ref="BQ6" authorId="0" shapeId="0" xr:uid="{3C6069FC-88D4-4CBA-B2BA-B493646788FD}">
      <text>
        <r>
          <rPr>
            <sz val="9"/>
            <color rgb="FF000000"/>
            <rFont val="MS P ゴシック"/>
            <charset val="128"/>
          </rPr>
          <t>ﾛｯｼﾞ食堂</t>
        </r>
        <r>
          <rPr>
            <sz val="9"/>
            <color rgb="FF000000"/>
            <rFont val="MS P ゴシック"/>
            <charset val="128"/>
          </rPr>
          <t xml:space="preserve">
</t>
        </r>
        <r>
          <rPr>
            <sz val="9"/>
            <color rgb="FF000000"/>
            <rFont val="MS P ゴシック"/>
            <charset val="128"/>
          </rPr>
          <t>除く</t>
        </r>
      </text>
    </comment>
    <comment ref="BS6" authorId="0" shapeId="0" xr:uid="{E5BE65BF-C5BE-4AD9-A99D-198C114FC504}">
      <text>
        <r>
          <rPr>
            <sz val="9"/>
            <color rgb="FF000000"/>
            <rFont val="MS P ゴシック"/>
            <charset val="128"/>
          </rPr>
          <t>ﾛｯｼﾞ食堂</t>
        </r>
        <r>
          <rPr>
            <sz val="9"/>
            <color rgb="FF000000"/>
            <rFont val="MS P ゴシック"/>
            <charset val="128"/>
          </rPr>
          <t xml:space="preserve">
</t>
        </r>
        <r>
          <rPr>
            <sz val="9"/>
            <color rgb="FF000000"/>
            <rFont val="MS P ゴシック"/>
            <charset val="128"/>
          </rPr>
          <t>除く</t>
        </r>
      </text>
    </comment>
  </commentList>
</comments>
</file>

<file path=xl/sharedStrings.xml><?xml version="1.0" encoding="utf-8"?>
<sst xmlns="http://schemas.openxmlformats.org/spreadsheetml/2006/main" count="2435" uniqueCount="326">
  <si>
    <t>コード</t>
  </si>
  <si>
    <t>名称</t>
  </si>
  <si>
    <t>①当期実績</t>
  </si>
  <si>
    <t>10000</t>
  </si>
  <si>
    <t>総売上高</t>
  </si>
  <si>
    <t>10001</t>
  </si>
  <si>
    <t>売上</t>
  </si>
  <si>
    <t>10002</t>
  </si>
  <si>
    <t>損保代理店収入</t>
  </si>
  <si>
    <t>10003</t>
  </si>
  <si>
    <t>販売手数料収入</t>
  </si>
  <si>
    <t>10004</t>
  </si>
  <si>
    <t>索道収入</t>
  </si>
  <si>
    <t>10005</t>
  </si>
  <si>
    <t>地代収入</t>
  </si>
  <si>
    <t>10006</t>
  </si>
  <si>
    <t>家賃収入</t>
  </si>
  <si>
    <t>10007</t>
  </si>
  <si>
    <t>駐車場収入</t>
  </si>
  <si>
    <t>10008</t>
  </si>
  <si>
    <t>受託料</t>
  </si>
  <si>
    <t>10009</t>
  </si>
  <si>
    <t>利用料金収入</t>
  </si>
  <si>
    <t>10010</t>
  </si>
  <si>
    <t>管理手数料収入</t>
  </si>
  <si>
    <t>20000</t>
  </si>
  <si>
    <t>売上原価</t>
  </si>
  <si>
    <t>30000</t>
  </si>
  <si>
    <t>売上総利益</t>
  </si>
  <si>
    <t>41000</t>
  </si>
  <si>
    <t>人件費</t>
  </si>
  <si>
    <t>41010</t>
  </si>
  <si>
    <t>役員報酬</t>
  </si>
  <si>
    <t>41020</t>
  </si>
  <si>
    <t>社員給与費</t>
  </si>
  <si>
    <t>41030</t>
  </si>
  <si>
    <t>専門等給与費</t>
  </si>
  <si>
    <t>41031</t>
  </si>
  <si>
    <t>専門</t>
  </si>
  <si>
    <t>41032</t>
  </si>
  <si>
    <t>臨時</t>
  </si>
  <si>
    <t>41033</t>
  </si>
  <si>
    <t>パート</t>
  </si>
  <si>
    <t>41040</t>
  </si>
  <si>
    <t>退職金</t>
  </si>
  <si>
    <t>41041</t>
  </si>
  <si>
    <t>役員</t>
  </si>
  <si>
    <t>41042</t>
  </si>
  <si>
    <t>社員</t>
  </si>
  <si>
    <t>41050</t>
  </si>
  <si>
    <t>法定福利費</t>
  </si>
  <si>
    <t>41060</t>
  </si>
  <si>
    <t>退職年金掛金</t>
  </si>
  <si>
    <t>41070</t>
  </si>
  <si>
    <t>福利厚生費</t>
  </si>
  <si>
    <t>41071</t>
  </si>
  <si>
    <t>41072</t>
  </si>
  <si>
    <t>被服費</t>
  </si>
  <si>
    <t>41073</t>
  </si>
  <si>
    <t>研修費</t>
  </si>
  <si>
    <t>41080</t>
  </si>
  <si>
    <t>通勤費</t>
  </si>
  <si>
    <t>41090</t>
  </si>
  <si>
    <t>引当金繰入額</t>
  </si>
  <si>
    <t>42000</t>
  </si>
  <si>
    <t>物件費</t>
  </si>
  <si>
    <t>42010</t>
  </si>
  <si>
    <t>消耗品費</t>
  </si>
  <si>
    <t>42020</t>
  </si>
  <si>
    <t>事務用品費</t>
  </si>
  <si>
    <t>42030</t>
  </si>
  <si>
    <t>図書購入費</t>
  </si>
  <si>
    <t>42040</t>
  </si>
  <si>
    <t>賃借料</t>
  </si>
  <si>
    <t>42041</t>
  </si>
  <si>
    <t>土地使用料</t>
  </si>
  <si>
    <t>42042</t>
  </si>
  <si>
    <t>建物使用料</t>
  </si>
  <si>
    <t>42043</t>
  </si>
  <si>
    <t>施設使用料</t>
  </si>
  <si>
    <t>42044</t>
  </si>
  <si>
    <t>リース料</t>
  </si>
  <si>
    <t>42050</t>
  </si>
  <si>
    <t>保険料</t>
  </si>
  <si>
    <t>42051</t>
  </si>
  <si>
    <t>火災保険料</t>
  </si>
  <si>
    <t>42052</t>
  </si>
  <si>
    <t>賠償保険料</t>
  </si>
  <si>
    <t>42053</t>
  </si>
  <si>
    <t>動産保険料</t>
  </si>
  <si>
    <t>42060</t>
  </si>
  <si>
    <t>修繕費</t>
  </si>
  <si>
    <t>42061</t>
  </si>
  <si>
    <t>建物</t>
  </si>
  <si>
    <t>42062</t>
  </si>
  <si>
    <t>建物付属設備</t>
  </si>
  <si>
    <t>42063</t>
  </si>
  <si>
    <t>構築物</t>
  </si>
  <si>
    <t>42064</t>
  </si>
  <si>
    <t>機械</t>
  </si>
  <si>
    <t>42065</t>
  </si>
  <si>
    <t>器具備品</t>
  </si>
  <si>
    <t>42066</t>
  </si>
  <si>
    <t>車両</t>
  </si>
  <si>
    <t>42070</t>
  </si>
  <si>
    <t>車両運搬費</t>
  </si>
  <si>
    <t>42080</t>
  </si>
  <si>
    <t>印刷製本費</t>
  </si>
  <si>
    <t>42081</t>
  </si>
  <si>
    <t>42082</t>
  </si>
  <si>
    <t>乗車券帳票費</t>
  </si>
  <si>
    <t>42090</t>
  </si>
  <si>
    <t>清掃衛生費</t>
  </si>
  <si>
    <t>42100</t>
  </si>
  <si>
    <t>事務会議費</t>
  </si>
  <si>
    <t>42110</t>
  </si>
  <si>
    <t>租税公課</t>
  </si>
  <si>
    <t>42120</t>
  </si>
  <si>
    <t>会費負担金</t>
  </si>
  <si>
    <t>42130</t>
  </si>
  <si>
    <t>委託料</t>
  </si>
  <si>
    <t>42140</t>
  </si>
  <si>
    <t>除雪費</t>
  </si>
  <si>
    <t>42150</t>
  </si>
  <si>
    <t>販売促進費</t>
  </si>
  <si>
    <t>42151</t>
  </si>
  <si>
    <t>42152</t>
  </si>
  <si>
    <t>乗車券販売手数料</t>
  </si>
  <si>
    <t>42160</t>
  </si>
  <si>
    <t>旅費交通費</t>
  </si>
  <si>
    <t>42170</t>
  </si>
  <si>
    <t>通信連絡費</t>
  </si>
  <si>
    <t>42180</t>
  </si>
  <si>
    <t>水道光熱費</t>
  </si>
  <si>
    <t>42181</t>
  </si>
  <si>
    <t>電灯使用料</t>
  </si>
  <si>
    <t>42182</t>
  </si>
  <si>
    <t>水道使用料</t>
  </si>
  <si>
    <t>42183</t>
  </si>
  <si>
    <t>ガス使用料</t>
  </si>
  <si>
    <t>42184</t>
  </si>
  <si>
    <t>暖房燃料費</t>
  </si>
  <si>
    <t>42185</t>
  </si>
  <si>
    <t>電力使用料</t>
  </si>
  <si>
    <t>42190</t>
  </si>
  <si>
    <t>諸手数料</t>
  </si>
  <si>
    <t>42200</t>
  </si>
  <si>
    <t>広告宣伝費</t>
  </si>
  <si>
    <t>42210</t>
  </si>
  <si>
    <t>交際費</t>
  </si>
  <si>
    <t>42211</t>
  </si>
  <si>
    <t>接待交際費</t>
  </si>
  <si>
    <t>42212</t>
  </si>
  <si>
    <t>贈答用品費</t>
  </si>
  <si>
    <t>42220</t>
  </si>
  <si>
    <t>寄付金</t>
  </si>
  <si>
    <t>42230</t>
  </si>
  <si>
    <t>雑費用</t>
  </si>
  <si>
    <t>43000</t>
  </si>
  <si>
    <t>減価償却費</t>
  </si>
  <si>
    <t>43010</t>
  </si>
  <si>
    <t>43020</t>
  </si>
  <si>
    <t>建物附属設備</t>
  </si>
  <si>
    <t>43030</t>
  </si>
  <si>
    <t>43040</t>
  </si>
  <si>
    <t>機械・装置</t>
  </si>
  <si>
    <t>43050</t>
  </si>
  <si>
    <t>43060</t>
  </si>
  <si>
    <t>43070</t>
  </si>
  <si>
    <t>少額資産</t>
  </si>
  <si>
    <t>43080</t>
  </si>
  <si>
    <t>商標権</t>
  </si>
  <si>
    <t>43090</t>
  </si>
  <si>
    <t>ソフトウェア</t>
  </si>
  <si>
    <t>43100</t>
  </si>
  <si>
    <t>長期前払費用</t>
  </si>
  <si>
    <t>43110</t>
  </si>
  <si>
    <t>リース資産</t>
  </si>
  <si>
    <t>40000</t>
  </si>
  <si>
    <t>販売費・一般管理費</t>
  </si>
  <si>
    <t>50000</t>
  </si>
  <si>
    <t>営業利益</t>
  </si>
  <si>
    <t>61000</t>
  </si>
  <si>
    <t>営業外収益</t>
  </si>
  <si>
    <t>61010</t>
  </si>
  <si>
    <t>受取利息</t>
  </si>
  <si>
    <t>61011</t>
  </si>
  <si>
    <t>定期預金</t>
  </si>
  <si>
    <t>61012</t>
  </si>
  <si>
    <t>有価証券</t>
  </si>
  <si>
    <t>61013</t>
  </si>
  <si>
    <t>その他</t>
  </si>
  <si>
    <t>61020</t>
  </si>
  <si>
    <t>受取配当金</t>
  </si>
  <si>
    <t>61030</t>
  </si>
  <si>
    <t>雑収入</t>
  </si>
  <si>
    <t>61040</t>
  </si>
  <si>
    <t>62000</t>
  </si>
  <si>
    <t>営業外費用</t>
  </si>
  <si>
    <t>62010</t>
  </si>
  <si>
    <t>支払利息</t>
  </si>
  <si>
    <t>62020</t>
  </si>
  <si>
    <t>雑損失</t>
  </si>
  <si>
    <t>62030</t>
  </si>
  <si>
    <t>70000</t>
  </si>
  <si>
    <t>経常利益</t>
  </si>
  <si>
    <t>81000</t>
  </si>
  <si>
    <t>特別利益</t>
  </si>
  <si>
    <t>81010</t>
  </si>
  <si>
    <t>固定資産売却益</t>
  </si>
  <si>
    <t>81020</t>
  </si>
  <si>
    <t>82000</t>
  </si>
  <si>
    <t>特別損失</t>
  </si>
  <si>
    <t>82010</t>
  </si>
  <si>
    <t>固定資産除却損</t>
  </si>
  <si>
    <t>82020</t>
  </si>
  <si>
    <t>90000</t>
  </si>
  <si>
    <t>税引前当期利益</t>
  </si>
  <si>
    <t>部門                      料飲共通</t>
  </si>
  <si>
    <t>部門                      ﾇｰﾍﾞﾙﾌﾟｰｽ</t>
  </si>
  <si>
    <t>部門                      ｶﾌｪﾙﾎﾟ</t>
  </si>
  <si>
    <t>部門                      ｶﾌｪｾﾚｽﾃ</t>
  </si>
  <si>
    <t>部門                      ｼﾞｭｴﾙｽﾞ</t>
  </si>
  <si>
    <t>部門                      ｶﾞｰﾃﾞﾝ</t>
  </si>
  <si>
    <t>部門                      ﾋﾞｱｶﾞｰﾃﾞﾝ</t>
  </si>
  <si>
    <t>合計</t>
    <rPh sb="0" eb="2">
      <t>ゴウケイ</t>
    </rPh>
    <phoneticPr fontId="2"/>
  </si>
  <si>
    <t>■（Ｒ７年度）事業予算入力用</t>
    <rPh sb="7" eb="11">
      <t>ジギョウヨサン</t>
    </rPh>
    <phoneticPr fontId="2"/>
  </si>
  <si>
    <t>令和  7年  4月</t>
    <phoneticPr fontId="2"/>
  </si>
  <si>
    <t>令和  7年  5月</t>
  </si>
  <si>
    <t>令和  7年  6月</t>
  </si>
  <si>
    <t>令和  7年  7月</t>
  </si>
  <si>
    <t>令和  7年  8月</t>
  </si>
  <si>
    <t>令和  7年  9月</t>
  </si>
  <si>
    <t>令和  7年  10月</t>
  </si>
  <si>
    <t>令和  7年  11月</t>
  </si>
  <si>
    <t>令和  7年  12月</t>
  </si>
  <si>
    <t>令和  8年  1月</t>
    <phoneticPr fontId="2"/>
  </si>
  <si>
    <t>令和  8年  2月</t>
  </si>
  <si>
    <t>令和  8年  3月</t>
  </si>
  <si>
    <t>0</t>
    <phoneticPr fontId="2"/>
  </si>
  <si>
    <t>①R6決見</t>
    <rPh sb="3" eb="5">
      <t>ケツミ</t>
    </rPh>
    <phoneticPr fontId="2"/>
  </si>
  <si>
    <t>①－②</t>
  </si>
  <si>
    <t>①－③</t>
  </si>
  <si>
    <t>管理手数料収入</t>
    <rPh sb="0" eb="7">
      <t>カンリテスウリョウシュウニュウ</t>
    </rPh>
    <phoneticPr fontId="2"/>
  </si>
  <si>
    <t>料飲共通</t>
  </si>
  <si>
    <t>ﾇｰﾍﾞﾙﾌﾟｰｽ</t>
  </si>
  <si>
    <t>大倉山ｶﾌｪ</t>
  </si>
  <si>
    <t>大倉山ﾗｳﾝｼﾞ</t>
  </si>
  <si>
    <t>ｽｷｰﾛｯｼﾞ食堂</t>
  </si>
  <si>
    <t>藻岩山レストラン</t>
  </si>
  <si>
    <t>ｶﾞｰﾃﾞﾝ</t>
  </si>
  <si>
    <t>ﾋﾞｱｶﾞｰﾃﾞﾝ</t>
  </si>
  <si>
    <t>①R7予算</t>
    <rPh sb="3" eb="5">
      <t>ヨサン</t>
    </rPh>
    <phoneticPr fontId="2"/>
  </si>
  <si>
    <t>③R6予算</t>
    <phoneticPr fontId="2"/>
  </si>
  <si>
    <t>②R6決見</t>
    <rPh sb="3" eb="5">
      <t>ケツミ</t>
    </rPh>
    <phoneticPr fontId="2"/>
  </si>
  <si>
    <t>③R6予算</t>
    <rPh sb="3" eb="5">
      <t>ヨサン</t>
    </rPh>
    <phoneticPr fontId="2"/>
  </si>
  <si>
    <t>令和７年度（第69期）事業予算　損益計算書</t>
  </si>
  <si>
    <t>大倉山</t>
    <rPh sb="0" eb="3">
      <t>オオクラヤマ</t>
    </rPh>
    <phoneticPr fontId="2"/>
  </si>
  <si>
    <t>藻岩山</t>
    <phoneticPr fontId="2"/>
  </si>
  <si>
    <t>テレビ塔</t>
    <rPh sb="3" eb="4">
      <t>トウ</t>
    </rPh>
    <phoneticPr fontId="2"/>
  </si>
  <si>
    <t>赤れんがテラス飲食事業　収支検討資料</t>
    <rPh sb="0" eb="1">
      <t>アカ</t>
    </rPh>
    <rPh sb="7" eb="9">
      <t>インショク</t>
    </rPh>
    <rPh sb="9" eb="11">
      <t>ジギョウ</t>
    </rPh>
    <rPh sb="12" eb="14">
      <t>シュウシ</t>
    </rPh>
    <rPh sb="14" eb="16">
      <t>ケントウ</t>
    </rPh>
    <rPh sb="16" eb="18">
      <t>シリョウ</t>
    </rPh>
    <phoneticPr fontId="2"/>
  </si>
  <si>
    <t>（１）ＷｉｎｅＢａｎｋ現状収支</t>
    <rPh sb="11" eb="13">
      <t>ゲンジョウ</t>
    </rPh>
    <rPh sb="13" eb="15">
      <t>シュウシ</t>
    </rPh>
    <phoneticPr fontId="2"/>
  </si>
  <si>
    <t>[単位：円(税抜)]</t>
    <rPh sb="1" eb="3">
      <t>タンイ</t>
    </rPh>
    <rPh sb="4" eb="5">
      <t>エン</t>
    </rPh>
    <rPh sb="6" eb="8">
      <t>ゼイヌ</t>
    </rPh>
    <phoneticPr fontId="2"/>
  </si>
  <si>
    <t>（２）当社想定収支</t>
    <rPh sb="3" eb="5">
      <t>トウシャ</t>
    </rPh>
    <rPh sb="5" eb="7">
      <t>ソウテイ</t>
    </rPh>
    <rPh sb="7" eb="9">
      <t>シュウシ</t>
    </rPh>
    <phoneticPr fontId="2"/>
  </si>
  <si>
    <t>（参考）当社既存レストラン収支</t>
    <rPh sb="1" eb="3">
      <t>サンコウ</t>
    </rPh>
    <rPh sb="4" eb="6">
      <t>トウシャ</t>
    </rPh>
    <rPh sb="6" eb="8">
      <t>キゾン</t>
    </rPh>
    <rPh sb="13" eb="15">
      <t>シュウシ</t>
    </rPh>
    <phoneticPr fontId="2"/>
  </si>
  <si>
    <t>項目</t>
    <rPh sb="0" eb="2">
      <t>コウモク</t>
    </rPh>
    <phoneticPr fontId="2"/>
  </si>
  <si>
    <t>ブリック</t>
    <phoneticPr fontId="2"/>
  </si>
  <si>
    <t>黒豚くろまつ</t>
    <rPh sb="0" eb="2">
      <t>クロブタ</t>
    </rPh>
    <phoneticPr fontId="2"/>
  </si>
  <si>
    <t>ブリック＋黒豚くろまつ</t>
    <phoneticPr fontId="2"/>
  </si>
  <si>
    <t>ルスツ羊蹄豚</t>
    <rPh sb="3" eb="5">
      <t>ヨウテイ</t>
    </rPh>
    <rPh sb="5" eb="6">
      <t>ブタ</t>
    </rPh>
    <phoneticPr fontId="2"/>
  </si>
  <si>
    <t>ブリック＋ルスツ羊蹄豚</t>
    <rPh sb="8" eb="10">
      <t>ヨウテイ</t>
    </rPh>
    <rPh sb="10" eb="11">
      <t>ブタ</t>
    </rPh>
    <phoneticPr fontId="2"/>
  </si>
  <si>
    <t>備考</t>
    <rPh sb="0" eb="2">
      <t>ビコウ</t>
    </rPh>
    <phoneticPr fontId="2"/>
  </si>
  <si>
    <t>ジュエルズ</t>
    <phoneticPr fontId="2"/>
  </si>
  <si>
    <t>ヌーベル</t>
    <phoneticPr fontId="2"/>
  </si>
  <si>
    <t>ガーデン</t>
    <phoneticPr fontId="2"/>
  </si>
  <si>
    <t>3店舗平均</t>
    <rPh sb="1" eb="3">
      <t>テンポ</t>
    </rPh>
    <rPh sb="3" eb="5">
      <t>ヘイキン</t>
    </rPh>
    <phoneticPr fontId="2"/>
  </si>
  <si>
    <t>ノルテ</t>
    <phoneticPr fontId="2"/>
  </si>
  <si>
    <t>物件費最小</t>
    <rPh sb="0" eb="2">
      <t>ブッケン</t>
    </rPh>
    <rPh sb="2" eb="3">
      <t>ヒ</t>
    </rPh>
    <rPh sb="3" eb="5">
      <t>サイショウ</t>
    </rPh>
    <phoneticPr fontId="2"/>
  </si>
  <si>
    <t>2021.10-2022.9</t>
    <phoneticPr fontId="2"/>
  </si>
  <si>
    <t>2022.10-2023.9</t>
    <phoneticPr fontId="2"/>
  </si>
  <si>
    <t>2023.10-2024.9</t>
    <phoneticPr fontId="2"/>
  </si>
  <si>
    <t>直近3年平均</t>
    <rPh sb="0" eb="2">
      <t>チョッキン</t>
    </rPh>
    <rPh sb="3" eb="4">
      <t>ネン</t>
    </rPh>
    <rPh sb="4" eb="6">
      <t>ヘイキン</t>
    </rPh>
    <phoneticPr fontId="2"/>
  </si>
  <si>
    <t>R7</t>
    <phoneticPr fontId="2"/>
  </si>
  <si>
    <t>R6決見　※特例支出除く</t>
    <rPh sb="2" eb="3">
      <t>ケツ</t>
    </rPh>
    <rPh sb="3" eb="4">
      <t>ミ</t>
    </rPh>
    <rPh sb="6" eb="8">
      <t>トクレイ</t>
    </rPh>
    <rPh sb="8" eb="10">
      <t>シシュツ</t>
    </rPh>
    <rPh sb="10" eb="11">
      <t>ノゾ</t>
    </rPh>
    <phoneticPr fontId="2"/>
  </si>
  <si>
    <t>5年平均</t>
    <rPh sb="1" eb="2">
      <t>ネン</t>
    </rPh>
    <rPh sb="2" eb="4">
      <t>ヘイキン</t>
    </rPh>
    <phoneticPr fontId="2"/>
  </si>
  <si>
    <t>R6決見　※特例支出除く</t>
    <rPh sb="6" eb="8">
      <t>トクレイ</t>
    </rPh>
    <phoneticPr fontId="2"/>
  </si>
  <si>
    <t>5年平均</t>
    <phoneticPr fontId="2"/>
  </si>
  <si>
    <t>3年目-2年目</t>
    <rPh sb="1" eb="2">
      <t>ネン</t>
    </rPh>
    <rPh sb="2" eb="3">
      <t>メ</t>
    </rPh>
    <rPh sb="5" eb="7">
      <t>ネンメ</t>
    </rPh>
    <phoneticPr fontId="2"/>
  </si>
  <si>
    <t>平均-JW</t>
    <rPh sb="0" eb="2">
      <t>ヘイキン</t>
    </rPh>
    <phoneticPr fontId="2"/>
  </si>
  <si>
    <t>収支</t>
    <rPh sb="0" eb="2">
      <t>シュウシ</t>
    </rPh>
    <phoneticPr fontId="2"/>
  </si>
  <si>
    <t>構成比</t>
    <rPh sb="0" eb="3">
      <t>コウセイヒ</t>
    </rPh>
    <phoneticPr fontId="2"/>
  </si>
  <si>
    <t>料飲部試算　　　　カツ46,371千円＋ソフト11,299千円</t>
    <rPh sb="0" eb="2">
      <t>リョウイン</t>
    </rPh>
    <rPh sb="2" eb="3">
      <t>ブ</t>
    </rPh>
    <rPh sb="3" eb="5">
      <t>シサン</t>
    </rPh>
    <rPh sb="17" eb="19">
      <t>センエン</t>
    </rPh>
    <phoneticPr fontId="2"/>
  </si>
  <si>
    <t>損保代理店収入</t>
    <rPh sb="0" eb="2">
      <t>ソンポ</t>
    </rPh>
    <rPh sb="2" eb="5">
      <t>ダイリテン</t>
    </rPh>
    <rPh sb="5" eb="7">
      <t>シュウニュウ</t>
    </rPh>
    <phoneticPr fontId="2"/>
  </si>
  <si>
    <t>管理手数料収入</t>
    <rPh sb="0" eb="2">
      <t>カンリ</t>
    </rPh>
    <rPh sb="2" eb="5">
      <t>テスウリョウ</t>
    </rPh>
    <phoneticPr fontId="2"/>
  </si>
  <si>
    <t>料飲部試算</t>
    <rPh sb="0" eb="2">
      <t>リョウイン</t>
    </rPh>
    <rPh sb="2" eb="3">
      <t>ブ</t>
    </rPh>
    <rPh sb="3" eb="5">
      <t>シサン</t>
    </rPh>
    <phoneticPr fontId="2"/>
  </si>
  <si>
    <t>雑給</t>
    <rPh sb="0" eb="2">
      <t>ザッキュウ</t>
    </rPh>
    <phoneticPr fontId="2"/>
  </si>
  <si>
    <t>　 ガーデン参考　　　　　 ジュエルズ参考（一部*50%）</t>
    <rPh sb="6" eb="8">
      <t>サンコウ</t>
    </rPh>
    <rPh sb="19" eb="21">
      <t>サンコウ</t>
    </rPh>
    <rPh sb="22" eb="24">
      <t>イチブ</t>
    </rPh>
    <phoneticPr fontId="2"/>
  </si>
  <si>
    <t>食器、グラス、調理器具、レジロール等</t>
    <rPh sb="0" eb="2">
      <t>ショッキ</t>
    </rPh>
    <rPh sb="7" eb="9">
      <t>チョウリ</t>
    </rPh>
    <rPh sb="9" eb="11">
      <t>キグ</t>
    </rPh>
    <rPh sb="17" eb="18">
      <t>トウ</t>
    </rPh>
    <phoneticPr fontId="2"/>
  </si>
  <si>
    <t>コピーカウンター料、コピー用紙</t>
    <rPh sb="8" eb="9">
      <t>リョウ</t>
    </rPh>
    <rPh sb="13" eb="15">
      <t>ヨウシ</t>
    </rPh>
    <phoneticPr fontId="2"/>
  </si>
  <si>
    <t>賃借料：売上の　　10.5%、　　13.0%</t>
    <phoneticPr fontId="2"/>
  </si>
  <si>
    <t>倉庫使用料、ロッカー使用料、端末使用料等</t>
    <phoneticPr fontId="2"/>
  </si>
  <si>
    <t>　 マット、おしぼり等        ジュエルズ参考*50%</t>
    <rPh sb="10" eb="11">
      <t>トウ</t>
    </rPh>
    <rPh sb="24" eb="26">
      <t>サンコウ</t>
    </rPh>
    <phoneticPr fontId="2"/>
  </si>
  <si>
    <t>初年度０</t>
    <rPh sb="0" eb="3">
      <t>ショネンド</t>
    </rPh>
    <phoneticPr fontId="2"/>
  </si>
  <si>
    <t>名刺、オーダー用紙、招待券等</t>
    <rPh sb="0" eb="2">
      <t>メイシ</t>
    </rPh>
    <rPh sb="7" eb="9">
      <t>ヨウシ</t>
    </rPh>
    <rPh sb="10" eb="13">
      <t>ショウタイケン</t>
    </rPh>
    <rPh sb="13" eb="14">
      <t>トウ</t>
    </rPh>
    <phoneticPr fontId="2"/>
  </si>
  <si>
    <t xml:space="preserve"> 　洗剤、廃棄物収集等       ジュエルズ参考*50%</t>
    <rPh sb="2" eb="4">
      <t>センザイ</t>
    </rPh>
    <rPh sb="5" eb="8">
      <t>ハイキブツ</t>
    </rPh>
    <rPh sb="8" eb="10">
      <t>シュウシュウ</t>
    </rPh>
    <rPh sb="10" eb="11">
      <t>トウ</t>
    </rPh>
    <rPh sb="23" eb="25">
      <t>サンコウ</t>
    </rPh>
    <phoneticPr fontId="2"/>
  </si>
  <si>
    <t>償却資産税、収入印紙</t>
    <phoneticPr fontId="2"/>
  </si>
  <si>
    <t>ｸﾘｰﾆﾝｸﾞ、SNS運用費、衛生点検、定期清掃、ｼｽﾃﾑ利用料等</t>
    <rPh sb="11" eb="13">
      <t>ウンヨウ</t>
    </rPh>
    <rPh sb="13" eb="14">
      <t>ヒ</t>
    </rPh>
    <rPh sb="15" eb="17">
      <t>エイセイ</t>
    </rPh>
    <rPh sb="17" eb="19">
      <t>テンケン</t>
    </rPh>
    <rPh sb="20" eb="22">
      <t>テイキ</t>
    </rPh>
    <rPh sb="22" eb="24">
      <t>セイソウ</t>
    </rPh>
    <rPh sb="29" eb="31">
      <t>リヨウ</t>
    </rPh>
    <rPh sb="31" eb="32">
      <t>リョウ</t>
    </rPh>
    <rPh sb="32" eb="33">
      <t>トウ</t>
    </rPh>
    <phoneticPr fontId="2"/>
  </si>
  <si>
    <t>クレジット手数料＋三井不動産への販促費（売上の0.5%）含む</t>
    <rPh sb="5" eb="8">
      <t>テスウリョウ</t>
    </rPh>
    <phoneticPr fontId="2"/>
  </si>
  <si>
    <t>三井不動産への販促費（売上の0.5%）含む</t>
    <rPh sb="0" eb="2">
      <t>ミツイ</t>
    </rPh>
    <rPh sb="2" eb="5">
      <t>フドウサン</t>
    </rPh>
    <rPh sb="7" eb="9">
      <t>ハンソク</t>
    </rPh>
    <rPh sb="9" eb="10">
      <t>ヒ</t>
    </rPh>
    <rPh sb="19" eb="20">
      <t>フク</t>
    </rPh>
    <phoneticPr fontId="2"/>
  </si>
  <si>
    <t>　 USEN、フレッツ光、郵送料、納品送料等    ジュエルズ参考*50%</t>
    <rPh sb="11" eb="12">
      <t>ヒカリ</t>
    </rPh>
    <rPh sb="13" eb="16">
      <t>ユウソウリョウ</t>
    </rPh>
    <rPh sb="17" eb="19">
      <t>ノウヒン</t>
    </rPh>
    <rPh sb="19" eb="21">
      <t>ソウリョウ</t>
    </rPh>
    <rPh sb="21" eb="22">
      <t>トウ</t>
    </rPh>
    <phoneticPr fontId="2"/>
  </si>
  <si>
    <t>実績ベース</t>
    <rPh sb="0" eb="2">
      <t>ジッセキ</t>
    </rPh>
    <phoneticPr fontId="2"/>
  </si>
  <si>
    <t>両替手数料、振込手数料</t>
    <rPh sb="0" eb="2">
      <t>リョウガエ</t>
    </rPh>
    <rPh sb="2" eb="5">
      <t>テスウリョウ</t>
    </rPh>
    <rPh sb="6" eb="8">
      <t>フリコミ</t>
    </rPh>
    <rPh sb="8" eb="11">
      <t>テスウリョウ</t>
    </rPh>
    <phoneticPr fontId="2"/>
  </si>
  <si>
    <t>料飲全共費用整理＋三井不動産による宣伝</t>
    <rPh sb="0" eb="2">
      <t>リョウイン</t>
    </rPh>
    <rPh sb="2" eb="4">
      <t>ゼンキョウ</t>
    </rPh>
    <rPh sb="4" eb="6">
      <t>ヒヨウ</t>
    </rPh>
    <rPh sb="6" eb="8">
      <t>セイリ</t>
    </rPh>
    <rPh sb="9" eb="11">
      <t>ミツイ</t>
    </rPh>
    <rPh sb="11" eb="14">
      <t>フドウサン</t>
    </rPh>
    <rPh sb="17" eb="19">
      <t>センデン</t>
    </rPh>
    <phoneticPr fontId="2"/>
  </si>
  <si>
    <t>内装改修費（　　10百万円、　1.5百万円）耐用年数：39年</t>
    <phoneticPr fontId="2"/>
  </si>
  <si>
    <t>内装改修費（　　10百万円、　1.5百万円）耐用年数：10年</t>
    <phoneticPr fontId="2"/>
  </si>
  <si>
    <t>厨房機器更新費（ 　3百万円）耐用年数： 6年</t>
    <phoneticPr fontId="2"/>
  </si>
  <si>
    <t>事業譲渡費（　　10百万円、　3百万円）</t>
    <rPh sb="0" eb="2">
      <t>ジギョウ</t>
    </rPh>
    <rPh sb="2" eb="4">
      <t>ジョウト</t>
    </rPh>
    <phoneticPr fontId="2"/>
  </si>
  <si>
    <t>【ブリック】※初期費用除く（仲介手数料200,000円、資産振替分371,700円、内装管理費596,610円、案内板書換手数料600,000円）</t>
    <phoneticPr fontId="2"/>
  </si>
  <si>
    <t>【羊蹄豚】※初期費用除く（仲介手数料60,000円、内装管理費270,000円、案内板書換手数料600,000円）</t>
    <rPh sb="1" eb="2">
      <t>ヒツジ</t>
    </rPh>
    <rPh sb="2" eb="3">
      <t>ヒヅメ</t>
    </rPh>
    <rPh sb="3" eb="4">
      <t>ブタ</t>
    </rPh>
    <phoneticPr fontId="2"/>
  </si>
  <si>
    <t>ブリック</t>
    <phoneticPr fontId="2"/>
  </si>
  <si>
    <t>ルスツ羊蹄豚</t>
    <rPh sb="3" eb="4">
      <t>ヒツジ</t>
    </rPh>
    <rPh sb="4" eb="5">
      <t>ヒヅメ</t>
    </rPh>
    <rPh sb="5" eb="6">
      <t>ブタ</t>
    </rPh>
    <phoneticPr fontId="2"/>
  </si>
  <si>
    <t>赤れんが
テラス</t>
    <rPh sb="0" eb="1">
      <t>アカ</t>
    </rPh>
    <phoneticPr fontId="2"/>
  </si>
  <si>
    <t>料飲部合計</t>
    <rPh sb="0" eb="2">
      <t>リョウイン</t>
    </rPh>
    <rPh sb="2" eb="3">
      <t>ブ</t>
    </rPh>
    <rPh sb="3" eb="5">
      <t>ゴウケイ</t>
    </rPh>
    <phoneticPr fontId="2"/>
  </si>
  <si>
    <t>[単位：千円(税抜)]</t>
    <phoneticPr fontId="2"/>
  </si>
  <si>
    <t>案分率</t>
    <rPh sb="0" eb="3">
      <t>アンブンリツ</t>
    </rPh>
    <phoneticPr fontId="2"/>
  </si>
  <si>
    <t>人件費割合　ｶﾞｰﾃﾞﾝ７：ﾋﾞｱｶﾞ３</t>
    <rPh sb="0" eb="3">
      <t>ジンケンヒ</t>
    </rPh>
    <rPh sb="3" eb="5">
      <t>ワリアイ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</si>
</sst>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176" formatCode="#,##0_ ;\-#,##0\ "/>
    <numFmt numFmtId="177" formatCode="#,##0_ "/>
    <numFmt numFmtId="178" formatCode="0.0%"/>
    <numFmt numFmtId="179" formatCode="#,##0,"/>
    <numFmt numFmtId="180" formatCode="#,##0.0000000_ ;\-#,##0.0000000\ "/>
  </numFmts>
  <fonts count="26">
    <font>
      <sz val="11"/>
      <color theme="1"/>
      <name val="游ゴシック"/>
      <family val="2"/>
      <charset val="128"/>
      <scheme val="minor"/>
    </font>
    <font>
      <sz val="14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9"/>
      <color theme="1"/>
      <name val="ＭＳ ゴシック"/>
      <family val="3"/>
      <charset val="128"/>
    </font>
    <font>
      <sz val="9"/>
      <color rgb="FF000000"/>
      <name val="ＭＳ ゴシック"/>
      <family val="3"/>
      <charset val="128"/>
    </font>
    <font>
      <sz val="11"/>
      <name val="ＭＳ Ｐゴシック"/>
      <family val="3"/>
      <charset val="128"/>
    </font>
    <font>
      <b/>
      <u/>
      <sz val="18"/>
      <color theme="1"/>
      <name val="游ゴシック"/>
      <family val="3"/>
      <charset val="128"/>
      <scheme val="minor"/>
    </font>
    <font>
      <sz val="10.4"/>
      <color theme="1"/>
      <name val="游ゴシック"/>
      <family val="2"/>
      <charset val="128"/>
      <scheme val="minor"/>
    </font>
    <font>
      <sz val="10.4"/>
      <color rgb="FF000000"/>
      <name val="游ゴシック"/>
      <family val="2"/>
      <charset val="128"/>
      <scheme val="minor"/>
    </font>
    <font>
      <sz val="10.4"/>
      <color theme="1"/>
      <name val="ＭＳ ゴシック"/>
      <family val="3"/>
      <charset val="128"/>
    </font>
    <font>
      <sz val="10.4"/>
      <color rgb="FF000000"/>
      <name val="ＭＳ ゴシック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2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12"/>
      <color rgb="FF000000"/>
      <name val="ＭＳ ゴシック"/>
      <family val="3"/>
      <charset val="128"/>
    </font>
    <font>
      <sz val="12"/>
      <color rgb="FF000000"/>
      <name val="游ゴシック"/>
      <family val="2"/>
      <charset val="128"/>
      <scheme val="minor"/>
    </font>
    <font>
      <sz val="12"/>
      <name val="ＭＳ ゴシック"/>
      <family val="3"/>
      <charset val="128"/>
    </font>
    <font>
      <sz val="12"/>
      <color rgb="FFFF0000"/>
      <name val="ＭＳ ゴシック"/>
      <family val="3"/>
      <charset val="128"/>
    </font>
    <font>
      <sz val="10.4"/>
      <name val="ＭＳ ゴシック"/>
      <family val="3"/>
      <charset val="128"/>
    </font>
    <font>
      <sz val="10.4"/>
      <color rgb="FFFF0000"/>
      <name val="ＭＳ 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2"/>
      <name val="游ゴシック"/>
      <family val="2"/>
      <charset val="128"/>
      <scheme val="minor"/>
    </font>
    <font>
      <b/>
      <sz val="9"/>
      <color rgb="FFFF0000"/>
      <name val="ＭＳ ゴシック"/>
      <family val="3"/>
      <charset val="128"/>
    </font>
    <font>
      <sz val="9"/>
      <color rgb="FF000000"/>
      <name val="MS P ゴシック"/>
      <charset val="128"/>
    </font>
  </fonts>
  <fills count="1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0C2D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theme="1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auto="1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auto="1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38" fontId="13" fillId="0" borderId="0" applyFont="0" applyFill="0" applyBorder="0" applyAlignment="0" applyProtection="0">
      <alignment vertical="center"/>
    </xf>
  </cellStyleXfs>
  <cellXfs count="632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49" fontId="4" fillId="0" borderId="1" xfId="0" applyNumberFormat="1" applyFont="1" applyBorder="1">
      <alignment vertical="center"/>
    </xf>
    <xf numFmtId="49" fontId="4" fillId="2" borderId="5" xfId="0" applyNumberFormat="1" applyFont="1" applyFill="1" applyBorder="1">
      <alignment vertical="center"/>
    </xf>
    <xf numFmtId="49" fontId="4" fillId="2" borderId="12" xfId="0" applyNumberFormat="1" applyFont="1" applyFill="1" applyBorder="1">
      <alignment vertical="center"/>
    </xf>
    <xf numFmtId="49" fontId="4" fillId="2" borderId="6" xfId="0" applyNumberFormat="1" applyFont="1" applyFill="1" applyBorder="1">
      <alignment vertical="center"/>
    </xf>
    <xf numFmtId="176" fontId="4" fillId="2" borderId="11" xfId="0" applyNumberFormat="1" applyFont="1" applyFill="1" applyBorder="1">
      <alignment vertical="center"/>
    </xf>
    <xf numFmtId="0" fontId="5" fillId="0" borderId="0" xfId="0" applyFont="1">
      <alignment vertical="center"/>
    </xf>
    <xf numFmtId="49" fontId="4" fillId="0" borderId="13" xfId="0" applyNumberFormat="1" applyFont="1" applyBorder="1">
      <alignment vertical="center"/>
    </xf>
    <xf numFmtId="49" fontId="4" fillId="0" borderId="2" xfId="0" applyNumberFormat="1" applyFont="1" applyBorder="1">
      <alignment vertical="center"/>
    </xf>
    <xf numFmtId="49" fontId="4" fillId="0" borderId="14" xfId="0" applyNumberFormat="1" applyFont="1" applyBorder="1">
      <alignment vertical="center"/>
    </xf>
    <xf numFmtId="176" fontId="4" fillId="0" borderId="13" xfId="0" applyNumberFormat="1" applyFont="1" applyBorder="1">
      <alignment vertical="center"/>
    </xf>
    <xf numFmtId="49" fontId="4" fillId="0" borderId="15" xfId="0" applyNumberFormat="1" applyFont="1" applyBorder="1">
      <alignment vertical="center"/>
    </xf>
    <xf numFmtId="49" fontId="4" fillId="3" borderId="16" xfId="0" applyNumberFormat="1" applyFont="1" applyFill="1" applyBorder="1">
      <alignment vertical="center"/>
    </xf>
    <xf numFmtId="49" fontId="4" fillId="3" borderId="17" xfId="0" applyNumberFormat="1" applyFont="1" applyFill="1" applyBorder="1">
      <alignment vertical="center"/>
    </xf>
    <xf numFmtId="49" fontId="4" fillId="3" borderId="18" xfId="0" applyNumberFormat="1" applyFont="1" applyFill="1" applyBorder="1">
      <alignment vertical="center"/>
    </xf>
    <xf numFmtId="176" fontId="4" fillId="3" borderId="19" xfId="0" applyNumberFormat="1" applyFont="1" applyFill="1" applyBorder="1">
      <alignment vertical="center"/>
    </xf>
    <xf numFmtId="49" fontId="4" fillId="4" borderId="2" xfId="0" applyNumberFormat="1" applyFont="1" applyFill="1" applyBorder="1">
      <alignment vertical="center"/>
    </xf>
    <xf numFmtId="49" fontId="4" fillId="4" borderId="3" xfId="0" applyNumberFormat="1" applyFont="1" applyFill="1" applyBorder="1">
      <alignment vertical="center"/>
    </xf>
    <xf numFmtId="49" fontId="4" fillId="4" borderId="4" xfId="0" applyNumberFormat="1" applyFont="1" applyFill="1" applyBorder="1">
      <alignment vertical="center"/>
    </xf>
    <xf numFmtId="176" fontId="4" fillId="4" borderId="1" xfId="0" applyNumberFormat="1" applyFont="1" applyFill="1" applyBorder="1">
      <alignment vertical="center"/>
    </xf>
    <xf numFmtId="49" fontId="4" fillId="4" borderId="5" xfId="0" applyNumberFormat="1" applyFont="1" applyFill="1" applyBorder="1">
      <alignment vertical="center"/>
    </xf>
    <xf numFmtId="49" fontId="4" fillId="4" borderId="12" xfId="0" applyNumberFormat="1" applyFont="1" applyFill="1" applyBorder="1">
      <alignment vertical="center"/>
    </xf>
    <xf numFmtId="49" fontId="4" fillId="4" borderId="6" xfId="0" applyNumberFormat="1" applyFont="1" applyFill="1" applyBorder="1">
      <alignment vertical="center"/>
    </xf>
    <xf numFmtId="176" fontId="4" fillId="4" borderId="11" xfId="0" applyNumberFormat="1" applyFont="1" applyFill="1" applyBorder="1">
      <alignment vertical="center"/>
    </xf>
    <xf numFmtId="49" fontId="4" fillId="5" borderId="16" xfId="0" applyNumberFormat="1" applyFont="1" applyFill="1" applyBorder="1">
      <alignment vertical="center"/>
    </xf>
    <xf numFmtId="49" fontId="4" fillId="5" borderId="17" xfId="0" applyNumberFormat="1" applyFont="1" applyFill="1" applyBorder="1">
      <alignment vertical="center"/>
    </xf>
    <xf numFmtId="49" fontId="4" fillId="5" borderId="18" xfId="0" applyNumberFormat="1" applyFont="1" applyFill="1" applyBorder="1">
      <alignment vertical="center"/>
    </xf>
    <xf numFmtId="176" fontId="4" fillId="5" borderId="19" xfId="0" applyNumberFormat="1" applyFont="1" applyFill="1" applyBorder="1">
      <alignment vertical="center"/>
    </xf>
    <xf numFmtId="49" fontId="4" fillId="6" borderId="20" xfId="0" applyNumberFormat="1" applyFont="1" applyFill="1" applyBorder="1">
      <alignment vertical="center"/>
    </xf>
    <xf numFmtId="49" fontId="4" fillId="6" borderId="21" xfId="0" applyNumberFormat="1" applyFont="1" applyFill="1" applyBorder="1">
      <alignment vertical="center"/>
    </xf>
    <xf numFmtId="49" fontId="4" fillId="6" borderId="22" xfId="0" applyNumberFormat="1" applyFont="1" applyFill="1" applyBorder="1">
      <alignment vertical="center"/>
    </xf>
    <xf numFmtId="176" fontId="4" fillId="6" borderId="23" xfId="0" applyNumberFormat="1" applyFont="1" applyFill="1" applyBorder="1">
      <alignment vertical="center"/>
    </xf>
    <xf numFmtId="49" fontId="4" fillId="7" borderId="24" xfId="0" applyNumberFormat="1" applyFont="1" applyFill="1" applyBorder="1">
      <alignment vertical="center"/>
    </xf>
    <xf numFmtId="49" fontId="4" fillId="7" borderId="25" xfId="0" applyNumberFormat="1" applyFont="1" applyFill="1" applyBorder="1">
      <alignment vertical="center"/>
    </xf>
    <xf numFmtId="49" fontId="4" fillId="7" borderId="26" xfId="0" applyNumberFormat="1" applyFont="1" applyFill="1" applyBorder="1">
      <alignment vertical="center"/>
    </xf>
    <xf numFmtId="176" fontId="4" fillId="7" borderId="27" xfId="0" applyNumberFormat="1" applyFont="1" applyFill="1" applyBorder="1">
      <alignment vertical="center"/>
    </xf>
    <xf numFmtId="49" fontId="4" fillId="7" borderId="5" xfId="0" applyNumberFormat="1" applyFont="1" applyFill="1" applyBorder="1">
      <alignment vertical="center"/>
    </xf>
    <xf numFmtId="49" fontId="4" fillId="7" borderId="12" xfId="0" applyNumberFormat="1" applyFont="1" applyFill="1" applyBorder="1">
      <alignment vertical="center"/>
    </xf>
    <xf numFmtId="49" fontId="4" fillId="7" borderId="6" xfId="0" applyNumberFormat="1" applyFont="1" applyFill="1" applyBorder="1">
      <alignment vertical="center"/>
    </xf>
    <xf numFmtId="176" fontId="4" fillId="7" borderId="11" xfId="0" applyNumberFormat="1" applyFont="1" applyFill="1" applyBorder="1">
      <alignment vertical="center"/>
    </xf>
    <xf numFmtId="49" fontId="4" fillId="0" borderId="7" xfId="0" applyNumberFormat="1" applyFont="1" applyBorder="1">
      <alignment vertical="center"/>
    </xf>
    <xf numFmtId="49" fontId="4" fillId="6" borderId="24" xfId="0" applyNumberFormat="1" applyFont="1" applyFill="1" applyBorder="1">
      <alignment vertical="center"/>
    </xf>
    <xf numFmtId="49" fontId="4" fillId="6" borderId="25" xfId="0" applyNumberFormat="1" applyFont="1" applyFill="1" applyBorder="1">
      <alignment vertical="center"/>
    </xf>
    <xf numFmtId="49" fontId="4" fillId="6" borderId="26" xfId="0" applyNumberFormat="1" applyFont="1" applyFill="1" applyBorder="1">
      <alignment vertical="center"/>
    </xf>
    <xf numFmtId="176" fontId="4" fillId="6" borderId="27" xfId="0" applyNumberFormat="1" applyFont="1" applyFill="1" applyBorder="1">
      <alignment vertical="center"/>
    </xf>
    <xf numFmtId="176" fontId="4" fillId="0" borderId="13" xfId="0" applyNumberFormat="1" applyFont="1" applyBorder="1" applyProtection="1">
      <alignment vertical="center"/>
      <protection locked="0"/>
    </xf>
    <xf numFmtId="176" fontId="4" fillId="2" borderId="1" xfId="0" applyNumberFormat="1" applyFont="1" applyFill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4" fillId="0" borderId="11" xfId="0" applyNumberFormat="1" applyFont="1" applyBorder="1" applyAlignment="1" applyProtection="1">
      <alignment vertical="top" wrapText="1"/>
      <protection locked="0"/>
    </xf>
    <xf numFmtId="0" fontId="3" fillId="0" borderId="0" xfId="0" applyFont="1" applyProtection="1">
      <alignment vertical="center"/>
      <protection locked="0"/>
    </xf>
    <xf numFmtId="49" fontId="4" fillId="0" borderId="11" xfId="0" applyNumberFormat="1" applyFont="1" applyBorder="1" applyAlignment="1" applyProtection="1">
      <alignment horizontal="center" vertical="top"/>
      <protection locked="0"/>
    </xf>
    <xf numFmtId="176" fontId="4" fillId="0" borderId="7" xfId="0" applyNumberFormat="1" applyFont="1" applyBorder="1" applyProtection="1">
      <alignment vertical="center"/>
      <protection locked="0"/>
    </xf>
    <xf numFmtId="177" fontId="0" fillId="0" borderId="0" xfId="0" applyNumberFormat="1">
      <alignment vertical="center"/>
    </xf>
    <xf numFmtId="49" fontId="4" fillId="0" borderId="5" xfId="0" applyNumberFormat="1" applyFont="1" applyBorder="1" applyAlignment="1" applyProtection="1">
      <alignment vertical="top"/>
      <protection locked="0"/>
    </xf>
    <xf numFmtId="49" fontId="1" fillId="0" borderId="0" xfId="0" applyNumberFormat="1" applyFont="1" applyProtection="1">
      <alignment vertical="center"/>
      <protection locked="0"/>
    </xf>
    <xf numFmtId="49" fontId="4" fillId="0" borderId="0" xfId="0" applyNumberFormat="1" applyFont="1" applyProtection="1">
      <alignment vertical="center"/>
      <protection locked="0"/>
    </xf>
    <xf numFmtId="49" fontId="5" fillId="0" borderId="0" xfId="0" applyNumberFormat="1" applyFont="1" applyProtection="1">
      <alignment vertical="center"/>
      <protection locked="0"/>
    </xf>
    <xf numFmtId="49" fontId="4" fillId="0" borderId="13" xfId="0" applyNumberFormat="1" applyFont="1" applyBorder="1" applyProtection="1">
      <alignment vertical="center"/>
      <protection locked="0"/>
    </xf>
    <xf numFmtId="49" fontId="4" fillId="0" borderId="1" xfId="0" applyNumberFormat="1" applyFont="1" applyBorder="1" applyProtection="1">
      <alignment vertical="center"/>
      <protection locked="0"/>
    </xf>
    <xf numFmtId="49" fontId="4" fillId="0" borderId="2" xfId="0" applyNumberFormat="1" applyFont="1" applyBorder="1" applyProtection="1">
      <alignment vertical="center"/>
      <protection locked="0"/>
    </xf>
    <xf numFmtId="49" fontId="4" fillId="0" borderId="14" xfId="0" applyNumberFormat="1" applyFont="1" applyBorder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49" fontId="4" fillId="0" borderId="15" xfId="0" applyNumberFormat="1" applyFont="1" applyBorder="1" applyProtection="1">
      <alignment vertical="center"/>
      <protection locked="0"/>
    </xf>
    <xf numFmtId="49" fontId="4" fillId="2" borderId="2" xfId="0" applyNumberFormat="1" applyFont="1" applyFill="1" applyBorder="1" applyProtection="1">
      <alignment vertical="center"/>
      <protection locked="0"/>
    </xf>
    <xf numFmtId="49" fontId="4" fillId="2" borderId="3" xfId="0" applyNumberFormat="1" applyFont="1" applyFill="1" applyBorder="1" applyProtection="1">
      <alignment vertical="center"/>
      <protection locked="0"/>
    </xf>
    <xf numFmtId="49" fontId="4" fillId="2" borderId="4" xfId="0" applyNumberFormat="1" applyFont="1" applyFill="1" applyBorder="1" applyProtection="1">
      <alignment vertical="center"/>
      <protection locked="0"/>
    </xf>
    <xf numFmtId="0" fontId="8" fillId="0" borderId="30" xfId="0" applyFont="1" applyBorder="1">
      <alignment vertical="center"/>
    </xf>
    <xf numFmtId="0" fontId="9" fillId="0" borderId="0" xfId="0" applyFont="1">
      <alignment vertical="center"/>
    </xf>
    <xf numFmtId="49" fontId="10" fillId="0" borderId="3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9" xfId="0" applyFont="1" applyBorder="1" applyAlignment="1">
      <alignment horizontal="right" vertical="center"/>
    </xf>
    <xf numFmtId="49" fontId="10" fillId="0" borderId="0" xfId="0" applyNumberFormat="1" applyFont="1" applyAlignment="1">
      <alignment horizontal="center" vertical="center"/>
    </xf>
    <xf numFmtId="49" fontId="10" fillId="0" borderId="34" xfId="0" applyNumberFormat="1" applyFont="1" applyBorder="1" applyAlignment="1">
      <alignment horizontal="center" vertical="center" wrapText="1"/>
    </xf>
    <xf numFmtId="49" fontId="11" fillId="0" borderId="0" xfId="0" applyNumberFormat="1" applyFont="1">
      <alignment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38" xfId="0" applyNumberFormat="1" applyFont="1" applyBorder="1" applyAlignment="1">
      <alignment horizontal="center" vertical="center" wrapText="1"/>
    </xf>
    <xf numFmtId="49" fontId="10" fillId="9" borderId="38" xfId="0" applyNumberFormat="1" applyFont="1" applyFill="1" applyBorder="1" applyAlignment="1">
      <alignment horizontal="center" vertical="center" wrapText="1"/>
    </xf>
    <xf numFmtId="49" fontId="10" fillId="9" borderId="35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49" fontId="10" fillId="2" borderId="42" xfId="0" applyNumberFormat="1" applyFont="1" applyFill="1" applyBorder="1">
      <alignment vertical="center"/>
    </xf>
    <xf numFmtId="49" fontId="10" fillId="2" borderId="12" xfId="0" applyNumberFormat="1" applyFont="1" applyFill="1" applyBorder="1">
      <alignment vertical="center"/>
    </xf>
    <xf numFmtId="177" fontId="10" fillId="2" borderId="40" xfId="0" applyNumberFormat="1" applyFont="1" applyFill="1" applyBorder="1">
      <alignment vertical="center"/>
    </xf>
    <xf numFmtId="177" fontId="10" fillId="2" borderId="39" xfId="0" applyNumberFormat="1" applyFont="1" applyFill="1" applyBorder="1">
      <alignment vertical="center"/>
    </xf>
    <xf numFmtId="177" fontId="10" fillId="2" borderId="41" xfId="0" applyNumberFormat="1" applyFont="1" applyFill="1" applyBorder="1">
      <alignment vertical="center"/>
    </xf>
    <xf numFmtId="177" fontId="10" fillId="2" borderId="12" xfId="0" applyNumberFormat="1" applyFont="1" applyFill="1" applyBorder="1">
      <alignment vertical="center"/>
    </xf>
    <xf numFmtId="0" fontId="11" fillId="0" borderId="0" xfId="0" applyFont="1">
      <alignment vertical="center"/>
    </xf>
    <xf numFmtId="49" fontId="10" fillId="2" borderId="43" xfId="0" applyNumberFormat="1" applyFont="1" applyFill="1" applyBorder="1">
      <alignment vertical="center"/>
    </xf>
    <xf numFmtId="49" fontId="10" fillId="0" borderId="15" xfId="0" applyNumberFormat="1" applyFont="1" applyBorder="1">
      <alignment vertical="center"/>
    </xf>
    <xf numFmtId="49" fontId="10" fillId="0" borderId="0" xfId="0" applyNumberFormat="1" applyFont="1">
      <alignment vertical="center"/>
    </xf>
    <xf numFmtId="177" fontId="10" fillId="0" borderId="33" xfId="0" applyNumberFormat="1" applyFont="1" applyBorder="1">
      <alignment vertical="center"/>
    </xf>
    <xf numFmtId="177" fontId="10" fillId="0" borderId="44" xfId="0" applyNumberFormat="1" applyFont="1" applyBorder="1">
      <alignment vertical="center"/>
    </xf>
    <xf numFmtId="177" fontId="10" fillId="9" borderId="44" xfId="0" applyNumberFormat="1" applyFont="1" applyFill="1" applyBorder="1">
      <alignment vertical="center"/>
    </xf>
    <xf numFmtId="177" fontId="10" fillId="9" borderId="45" xfId="0" applyNumberFormat="1" applyFont="1" applyFill="1" applyBorder="1">
      <alignment vertical="center"/>
    </xf>
    <xf numFmtId="177" fontId="10" fillId="0" borderId="0" xfId="0" applyNumberFormat="1" applyFont="1">
      <alignment vertical="center"/>
    </xf>
    <xf numFmtId="177" fontId="10" fillId="9" borderId="0" xfId="0" applyNumberFormat="1" applyFont="1" applyFill="1">
      <alignment vertical="center"/>
    </xf>
    <xf numFmtId="49" fontId="10" fillId="0" borderId="46" xfId="0" applyNumberFormat="1" applyFont="1" applyBorder="1">
      <alignment vertical="center"/>
    </xf>
    <xf numFmtId="49" fontId="10" fillId="0" borderId="47" xfId="0" applyNumberFormat="1" applyFont="1" applyBorder="1">
      <alignment vertical="center"/>
    </xf>
    <xf numFmtId="177" fontId="10" fillId="0" borderId="48" xfId="0" applyNumberFormat="1" applyFont="1" applyBorder="1">
      <alignment vertical="center"/>
    </xf>
    <xf numFmtId="177" fontId="10" fillId="0" borderId="49" xfId="0" applyNumberFormat="1" applyFont="1" applyBorder="1">
      <alignment vertical="center"/>
    </xf>
    <xf numFmtId="177" fontId="10" fillId="9" borderId="49" xfId="0" applyNumberFormat="1" applyFont="1" applyFill="1" applyBorder="1">
      <alignment vertical="center"/>
    </xf>
    <xf numFmtId="177" fontId="10" fillId="9" borderId="50" xfId="0" applyNumberFormat="1" applyFont="1" applyFill="1" applyBorder="1">
      <alignment vertical="center"/>
    </xf>
    <xf numFmtId="177" fontId="10" fillId="0" borderId="47" xfId="0" applyNumberFormat="1" applyFont="1" applyBorder="1">
      <alignment vertical="center"/>
    </xf>
    <xf numFmtId="177" fontId="10" fillId="9" borderId="47" xfId="0" applyNumberFormat="1" applyFont="1" applyFill="1" applyBorder="1">
      <alignment vertical="center"/>
    </xf>
    <xf numFmtId="49" fontId="10" fillId="10" borderId="42" xfId="0" applyNumberFormat="1" applyFont="1" applyFill="1" applyBorder="1">
      <alignment vertical="center"/>
    </xf>
    <xf numFmtId="49" fontId="10" fillId="10" borderId="3" xfId="0" applyNumberFormat="1" applyFont="1" applyFill="1" applyBorder="1">
      <alignment vertical="center"/>
    </xf>
    <xf numFmtId="177" fontId="10" fillId="10" borderId="42" xfId="0" applyNumberFormat="1" applyFont="1" applyFill="1" applyBorder="1">
      <alignment vertical="center"/>
    </xf>
    <xf numFmtId="177" fontId="10" fillId="10" borderId="51" xfId="0" applyNumberFormat="1" applyFont="1" applyFill="1" applyBorder="1">
      <alignment vertical="center"/>
    </xf>
    <xf numFmtId="177" fontId="10" fillId="10" borderId="52" xfId="0" applyNumberFormat="1" applyFont="1" applyFill="1" applyBorder="1">
      <alignment vertical="center"/>
    </xf>
    <xf numFmtId="177" fontId="10" fillId="10" borderId="3" xfId="0" applyNumberFormat="1" applyFont="1" applyFill="1" applyBorder="1">
      <alignment vertical="center"/>
    </xf>
    <xf numFmtId="49" fontId="10" fillId="3" borderId="53" xfId="0" applyNumberFormat="1" applyFont="1" applyFill="1" applyBorder="1">
      <alignment vertical="center"/>
    </xf>
    <xf numFmtId="49" fontId="10" fillId="3" borderId="17" xfId="0" applyNumberFormat="1" applyFont="1" applyFill="1" applyBorder="1">
      <alignment vertical="center"/>
    </xf>
    <xf numFmtId="177" fontId="10" fillId="3" borderId="53" xfId="0" applyNumberFormat="1" applyFont="1" applyFill="1" applyBorder="1">
      <alignment vertical="center"/>
    </xf>
    <xf numFmtId="177" fontId="10" fillId="3" borderId="54" xfId="0" applyNumberFormat="1" applyFont="1" applyFill="1" applyBorder="1">
      <alignment vertical="center"/>
    </xf>
    <xf numFmtId="177" fontId="10" fillId="3" borderId="55" xfId="0" applyNumberFormat="1" applyFont="1" applyFill="1" applyBorder="1">
      <alignment vertical="center"/>
    </xf>
    <xf numFmtId="177" fontId="10" fillId="3" borderId="17" xfId="0" applyNumberFormat="1" applyFont="1" applyFill="1" applyBorder="1">
      <alignment vertical="center"/>
    </xf>
    <xf numFmtId="49" fontId="10" fillId="4" borderId="31" xfId="0" applyNumberFormat="1" applyFont="1" applyFill="1" applyBorder="1">
      <alignment vertical="center"/>
    </xf>
    <xf numFmtId="49" fontId="10" fillId="4" borderId="25" xfId="0" applyNumberFormat="1" applyFont="1" applyFill="1" applyBorder="1">
      <alignment vertical="center"/>
    </xf>
    <xf numFmtId="177" fontId="10" fillId="4" borderId="36" xfId="0" applyNumberFormat="1" applyFont="1" applyFill="1" applyBorder="1">
      <alignment vertical="center"/>
    </xf>
    <xf numFmtId="177" fontId="10" fillId="4" borderId="56" xfId="0" applyNumberFormat="1" applyFont="1" applyFill="1" applyBorder="1">
      <alignment vertical="center"/>
    </xf>
    <xf numFmtId="177" fontId="10" fillId="4" borderId="37" xfId="0" applyNumberFormat="1" applyFont="1" applyFill="1" applyBorder="1">
      <alignment vertical="center"/>
    </xf>
    <xf numFmtId="177" fontId="10" fillId="4" borderId="25" xfId="0" applyNumberFormat="1" applyFont="1" applyFill="1" applyBorder="1">
      <alignment vertical="center"/>
    </xf>
    <xf numFmtId="49" fontId="10" fillId="4" borderId="43" xfId="0" applyNumberFormat="1" applyFont="1" applyFill="1" applyBorder="1">
      <alignment vertical="center"/>
    </xf>
    <xf numFmtId="49" fontId="10" fillId="0" borderId="57" xfId="0" applyNumberFormat="1" applyFont="1" applyBorder="1">
      <alignment vertical="center"/>
    </xf>
    <xf numFmtId="49" fontId="10" fillId="7" borderId="42" xfId="0" applyNumberFormat="1" applyFont="1" applyFill="1" applyBorder="1">
      <alignment vertical="center"/>
    </xf>
    <xf numFmtId="49" fontId="10" fillId="7" borderId="12" xfId="0" applyNumberFormat="1" applyFont="1" applyFill="1" applyBorder="1">
      <alignment vertical="center"/>
    </xf>
    <xf numFmtId="177" fontId="10" fillId="7" borderId="40" xfId="0" applyNumberFormat="1" applyFont="1" applyFill="1" applyBorder="1">
      <alignment vertical="center"/>
    </xf>
    <xf numFmtId="177" fontId="10" fillId="7" borderId="39" xfId="0" applyNumberFormat="1" applyFont="1" applyFill="1" applyBorder="1">
      <alignment vertical="center"/>
    </xf>
    <xf numFmtId="177" fontId="10" fillId="7" borderId="41" xfId="0" applyNumberFormat="1" applyFont="1" applyFill="1" applyBorder="1">
      <alignment vertical="center"/>
    </xf>
    <xf numFmtId="177" fontId="10" fillId="7" borderId="12" xfId="0" applyNumberFormat="1" applyFont="1" applyFill="1" applyBorder="1">
      <alignment vertical="center"/>
    </xf>
    <xf numFmtId="49" fontId="10" fillId="7" borderId="43" xfId="0" applyNumberFormat="1" applyFont="1" applyFill="1" applyBorder="1">
      <alignment vertical="center"/>
    </xf>
    <xf numFmtId="49" fontId="10" fillId="10" borderId="12" xfId="0" applyNumberFormat="1" applyFont="1" applyFill="1" applyBorder="1">
      <alignment vertical="center"/>
    </xf>
    <xf numFmtId="177" fontId="10" fillId="10" borderId="40" xfId="0" applyNumberFormat="1" applyFont="1" applyFill="1" applyBorder="1">
      <alignment vertical="center"/>
    </xf>
    <xf numFmtId="177" fontId="10" fillId="10" borderId="39" xfId="0" applyNumberFormat="1" applyFont="1" applyFill="1" applyBorder="1">
      <alignment vertical="center"/>
    </xf>
    <xf numFmtId="177" fontId="10" fillId="10" borderId="41" xfId="0" applyNumberFormat="1" applyFont="1" applyFill="1" applyBorder="1">
      <alignment vertical="center"/>
    </xf>
    <xf numFmtId="177" fontId="10" fillId="10" borderId="12" xfId="0" applyNumberFormat="1" applyFont="1" applyFill="1" applyBorder="1">
      <alignment vertical="center"/>
    </xf>
    <xf numFmtId="49" fontId="10" fillId="10" borderId="43" xfId="0" applyNumberFormat="1" applyFont="1" applyFill="1" applyBorder="1">
      <alignment vertical="center"/>
    </xf>
    <xf numFmtId="49" fontId="10" fillId="0" borderId="2" xfId="0" applyNumberFormat="1" applyFont="1" applyBorder="1">
      <alignment vertical="center"/>
    </xf>
    <xf numFmtId="49" fontId="10" fillId="5" borderId="53" xfId="0" applyNumberFormat="1" applyFont="1" applyFill="1" applyBorder="1">
      <alignment vertical="center"/>
    </xf>
    <xf numFmtId="49" fontId="10" fillId="5" borderId="17" xfId="0" applyNumberFormat="1" applyFont="1" applyFill="1" applyBorder="1">
      <alignment vertical="center"/>
    </xf>
    <xf numFmtId="177" fontId="10" fillId="5" borderId="53" xfId="0" applyNumberFormat="1" applyFont="1" applyFill="1" applyBorder="1">
      <alignment vertical="center"/>
    </xf>
    <xf numFmtId="177" fontId="10" fillId="5" borderId="54" xfId="0" applyNumberFormat="1" applyFont="1" applyFill="1" applyBorder="1">
      <alignment vertical="center"/>
    </xf>
    <xf numFmtId="177" fontId="10" fillId="5" borderId="55" xfId="0" applyNumberFormat="1" applyFont="1" applyFill="1" applyBorder="1">
      <alignment vertical="center"/>
    </xf>
    <xf numFmtId="177" fontId="10" fillId="5" borderId="17" xfId="0" applyNumberFormat="1" applyFont="1" applyFill="1" applyBorder="1">
      <alignment vertical="center"/>
    </xf>
    <xf numFmtId="49" fontId="10" fillId="6" borderId="28" xfId="0" applyNumberFormat="1" applyFont="1" applyFill="1" applyBorder="1">
      <alignment vertical="center"/>
    </xf>
    <xf numFmtId="49" fontId="10" fillId="6" borderId="21" xfId="0" applyNumberFormat="1" applyFont="1" applyFill="1" applyBorder="1">
      <alignment vertical="center"/>
    </xf>
    <xf numFmtId="177" fontId="10" fillId="6" borderId="28" xfId="0" applyNumberFormat="1" applyFont="1" applyFill="1" applyBorder="1">
      <alignment vertical="center"/>
    </xf>
    <xf numFmtId="177" fontId="10" fillId="6" borderId="58" xfId="0" applyNumberFormat="1" applyFont="1" applyFill="1" applyBorder="1">
      <alignment vertical="center"/>
    </xf>
    <xf numFmtId="177" fontId="10" fillId="6" borderId="29" xfId="0" applyNumberFormat="1" applyFont="1" applyFill="1" applyBorder="1">
      <alignment vertical="center"/>
    </xf>
    <xf numFmtId="177" fontId="10" fillId="6" borderId="21" xfId="0" applyNumberFormat="1" applyFont="1" applyFill="1" applyBorder="1">
      <alignment vertical="center"/>
    </xf>
    <xf numFmtId="49" fontId="10" fillId="0" borderId="36" xfId="0" applyNumberFormat="1" applyFont="1" applyBorder="1">
      <alignment vertical="center"/>
    </xf>
    <xf numFmtId="49" fontId="10" fillId="0" borderId="25" xfId="0" applyNumberFormat="1" applyFont="1" applyBorder="1">
      <alignment vertical="center"/>
    </xf>
    <xf numFmtId="177" fontId="10" fillId="0" borderId="36" xfId="0" applyNumberFormat="1" applyFont="1" applyBorder="1">
      <alignment vertical="center"/>
    </xf>
    <xf numFmtId="177" fontId="10" fillId="0" borderId="56" xfId="0" applyNumberFormat="1" applyFont="1" applyBorder="1">
      <alignment vertical="center"/>
    </xf>
    <xf numFmtId="177" fontId="10" fillId="9" borderId="56" xfId="0" applyNumberFormat="1" applyFont="1" applyFill="1" applyBorder="1">
      <alignment vertical="center"/>
    </xf>
    <xf numFmtId="177" fontId="10" fillId="9" borderId="37" xfId="0" applyNumberFormat="1" applyFont="1" applyFill="1" applyBorder="1">
      <alignment vertical="center"/>
    </xf>
    <xf numFmtId="177" fontId="10" fillId="0" borderId="25" xfId="0" applyNumberFormat="1" applyFont="1" applyBorder="1">
      <alignment vertical="center"/>
    </xf>
    <xf numFmtId="177" fontId="10" fillId="9" borderId="25" xfId="0" applyNumberFormat="1" applyFont="1" applyFill="1" applyBorder="1">
      <alignment vertical="center"/>
    </xf>
    <xf numFmtId="49" fontId="10" fillId="0" borderId="59" xfId="0" applyNumberFormat="1" applyFont="1" applyBorder="1">
      <alignment vertical="center"/>
    </xf>
    <xf numFmtId="49" fontId="10" fillId="0" borderId="43" xfId="0" applyNumberFormat="1" applyFont="1" applyBorder="1">
      <alignment vertical="center"/>
    </xf>
    <xf numFmtId="49" fontId="10" fillId="0" borderId="13" xfId="0" applyNumberFormat="1" applyFont="1" applyBorder="1">
      <alignment vertical="center"/>
    </xf>
    <xf numFmtId="49" fontId="10" fillId="0" borderId="40" xfId="0" applyNumberFormat="1" applyFont="1" applyBorder="1">
      <alignment vertical="center"/>
    </xf>
    <xf numFmtId="49" fontId="10" fillId="0" borderId="12" xfId="0" applyNumberFormat="1" applyFont="1" applyBorder="1">
      <alignment vertical="center"/>
    </xf>
    <xf numFmtId="177" fontId="10" fillId="0" borderId="40" xfId="0" applyNumberFormat="1" applyFont="1" applyBorder="1">
      <alignment vertical="center"/>
    </xf>
    <xf numFmtId="177" fontId="10" fillId="0" borderId="39" xfId="0" applyNumberFormat="1" applyFont="1" applyBorder="1">
      <alignment vertical="center"/>
    </xf>
    <xf numFmtId="177" fontId="10" fillId="9" borderId="39" xfId="0" applyNumberFormat="1" applyFont="1" applyFill="1" applyBorder="1">
      <alignment vertical="center"/>
    </xf>
    <xf numFmtId="177" fontId="10" fillId="9" borderId="41" xfId="0" applyNumberFormat="1" applyFont="1" applyFill="1" applyBorder="1">
      <alignment vertical="center"/>
    </xf>
    <xf numFmtId="177" fontId="10" fillId="0" borderId="12" xfId="0" applyNumberFormat="1" applyFont="1" applyBorder="1">
      <alignment vertical="center"/>
    </xf>
    <xf numFmtId="177" fontId="10" fillId="9" borderId="12" xfId="0" applyNumberFormat="1" applyFont="1" applyFill="1" applyBorder="1">
      <alignment vertical="center"/>
    </xf>
    <xf numFmtId="177" fontId="10" fillId="0" borderId="45" xfId="0" applyNumberFormat="1" applyFont="1" applyBorder="1">
      <alignment vertical="center"/>
    </xf>
    <xf numFmtId="0" fontId="0" fillId="0" borderId="32" xfId="0" applyBorder="1">
      <alignment vertical="center"/>
    </xf>
    <xf numFmtId="177" fontId="0" fillId="5" borderId="0" xfId="0" applyNumberFormat="1" applyFill="1">
      <alignment vertical="center"/>
    </xf>
    <xf numFmtId="0" fontId="8" fillId="0" borderId="32" xfId="0" applyFont="1" applyBorder="1" applyAlignment="1">
      <alignment horizontal="right" vertical="center"/>
    </xf>
    <xf numFmtId="0" fontId="8" fillId="0" borderId="6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77" fontId="11" fillId="0" borderId="0" xfId="0" applyNumberFormat="1" applyFont="1">
      <alignment vertical="center"/>
    </xf>
    <xf numFmtId="0" fontId="12" fillId="0" borderId="0" xfId="0" applyFont="1">
      <alignment vertical="center"/>
    </xf>
    <xf numFmtId="0" fontId="7" fillId="0" borderId="0" xfId="0" applyFont="1" applyAlignment="1">
      <alignment horizontal="centerContinuous" vertical="center"/>
    </xf>
    <xf numFmtId="0" fontId="8" fillId="0" borderId="28" xfId="0" applyFont="1" applyBorder="1" applyAlignment="1">
      <alignment horizontal="right" vertical="center"/>
    </xf>
    <xf numFmtId="49" fontId="10" fillId="0" borderId="9" xfId="0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right" vertical="center"/>
    </xf>
    <xf numFmtId="0" fontId="8" fillId="0" borderId="45" xfId="0" applyFont="1" applyBorder="1" applyAlignment="1">
      <alignment horizontal="right" vertical="center"/>
    </xf>
    <xf numFmtId="49" fontId="10" fillId="9" borderId="9" xfId="0" applyNumberFormat="1" applyFont="1" applyFill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wrapText="1"/>
    </xf>
    <xf numFmtId="49" fontId="10" fillId="9" borderId="10" xfId="0" applyNumberFormat="1" applyFont="1" applyFill="1" applyBorder="1" applyAlignment="1">
      <alignment horizontal="center" vertical="center" wrapText="1"/>
    </xf>
    <xf numFmtId="177" fontId="10" fillId="2" borderId="5" xfId="0" applyNumberFormat="1" applyFont="1" applyFill="1" applyBorder="1">
      <alignment vertical="center"/>
    </xf>
    <xf numFmtId="177" fontId="10" fillId="2" borderId="6" xfId="0" applyNumberFormat="1" applyFont="1" applyFill="1" applyBorder="1">
      <alignment vertical="center"/>
    </xf>
    <xf numFmtId="177" fontId="10" fillId="0" borderId="15" xfId="0" applyNumberFormat="1" applyFont="1" applyBorder="1">
      <alignment vertical="center"/>
    </xf>
    <xf numFmtId="177" fontId="10" fillId="9" borderId="14" xfId="0" applyNumberFormat="1" applyFont="1" applyFill="1" applyBorder="1">
      <alignment vertical="center"/>
    </xf>
    <xf numFmtId="177" fontId="10" fillId="0" borderId="46" xfId="0" applyNumberFormat="1" applyFont="1" applyBorder="1">
      <alignment vertical="center"/>
    </xf>
    <xf numFmtId="177" fontId="10" fillId="9" borderId="74" xfId="0" applyNumberFormat="1" applyFont="1" applyFill="1" applyBorder="1">
      <alignment vertical="center"/>
    </xf>
    <xf numFmtId="177" fontId="10" fillId="10" borderId="2" xfId="0" applyNumberFormat="1" applyFont="1" applyFill="1" applyBorder="1">
      <alignment vertical="center"/>
    </xf>
    <xf numFmtId="177" fontId="10" fillId="10" borderId="4" xfId="0" applyNumberFormat="1" applyFont="1" applyFill="1" applyBorder="1">
      <alignment vertical="center"/>
    </xf>
    <xf numFmtId="177" fontId="10" fillId="3" borderId="16" xfId="0" applyNumberFormat="1" applyFont="1" applyFill="1" applyBorder="1">
      <alignment vertical="center"/>
    </xf>
    <xf numFmtId="177" fontId="10" fillId="3" borderId="18" xfId="0" applyNumberFormat="1" applyFont="1" applyFill="1" applyBorder="1">
      <alignment vertical="center"/>
    </xf>
    <xf numFmtId="177" fontId="10" fillId="4" borderId="24" xfId="0" applyNumberFormat="1" applyFont="1" applyFill="1" applyBorder="1">
      <alignment vertical="center"/>
    </xf>
    <xf numFmtId="177" fontId="10" fillId="4" borderId="26" xfId="0" applyNumberFormat="1" applyFont="1" applyFill="1" applyBorder="1">
      <alignment vertical="center"/>
    </xf>
    <xf numFmtId="177" fontId="10" fillId="7" borderId="5" xfId="0" applyNumberFormat="1" applyFont="1" applyFill="1" applyBorder="1">
      <alignment vertical="center"/>
    </xf>
    <xf numFmtId="177" fontId="10" fillId="7" borderId="6" xfId="0" applyNumberFormat="1" applyFont="1" applyFill="1" applyBorder="1">
      <alignment vertical="center"/>
    </xf>
    <xf numFmtId="177" fontId="10" fillId="10" borderId="5" xfId="0" applyNumberFormat="1" applyFont="1" applyFill="1" applyBorder="1">
      <alignment vertical="center"/>
    </xf>
    <xf numFmtId="177" fontId="10" fillId="10" borderId="6" xfId="0" applyNumberFormat="1" applyFont="1" applyFill="1" applyBorder="1">
      <alignment vertical="center"/>
    </xf>
    <xf numFmtId="177" fontId="10" fillId="5" borderId="16" xfId="0" applyNumberFormat="1" applyFont="1" applyFill="1" applyBorder="1">
      <alignment vertical="center"/>
    </xf>
    <xf numFmtId="177" fontId="10" fillId="5" borderId="18" xfId="0" applyNumberFormat="1" applyFont="1" applyFill="1" applyBorder="1">
      <alignment vertical="center"/>
    </xf>
    <xf numFmtId="177" fontId="10" fillId="6" borderId="20" xfId="0" applyNumberFormat="1" applyFont="1" applyFill="1" applyBorder="1">
      <alignment vertical="center"/>
    </xf>
    <xf numFmtId="177" fontId="10" fillId="6" borderId="22" xfId="0" applyNumberFormat="1" applyFont="1" applyFill="1" applyBorder="1">
      <alignment vertical="center"/>
    </xf>
    <xf numFmtId="177" fontId="10" fillId="0" borderId="24" xfId="0" applyNumberFormat="1" applyFont="1" applyBorder="1">
      <alignment vertical="center"/>
    </xf>
    <xf numFmtId="177" fontId="10" fillId="9" borderId="26" xfId="0" applyNumberFormat="1" applyFont="1" applyFill="1" applyBorder="1">
      <alignment vertical="center"/>
    </xf>
    <xf numFmtId="177" fontId="10" fillId="0" borderId="5" xfId="0" applyNumberFormat="1" applyFont="1" applyBorder="1">
      <alignment vertical="center"/>
    </xf>
    <xf numFmtId="177" fontId="10" fillId="9" borderId="6" xfId="0" applyNumberFormat="1" applyFont="1" applyFill="1" applyBorder="1">
      <alignment vertical="center"/>
    </xf>
    <xf numFmtId="177" fontId="10" fillId="0" borderId="14" xfId="0" applyNumberFormat="1" applyFont="1" applyBorder="1">
      <alignment vertical="center"/>
    </xf>
    <xf numFmtId="0" fontId="15" fillId="0" borderId="30" xfId="0" applyFont="1" applyBorder="1" applyAlignment="1">
      <alignment horizontal="left" vertical="center"/>
    </xf>
    <xf numFmtId="0" fontId="10" fillId="0" borderId="30" xfId="0" applyFont="1" applyBorder="1">
      <alignment vertical="center"/>
    </xf>
    <xf numFmtId="0" fontId="10" fillId="0" borderId="30" xfId="0" applyFont="1" applyBorder="1" applyAlignment="1">
      <alignment horizontal="right" vertical="center"/>
    </xf>
    <xf numFmtId="0" fontId="10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8" fillId="0" borderId="0" xfId="0" applyFont="1">
      <alignment vertical="center"/>
    </xf>
    <xf numFmtId="0" fontId="17" fillId="0" borderId="0" xfId="0" applyFont="1">
      <alignment vertical="center"/>
    </xf>
    <xf numFmtId="49" fontId="15" fillId="0" borderId="76" xfId="0" applyNumberFormat="1" applyFont="1" applyBorder="1" applyAlignment="1">
      <alignment horizontal="center" vertical="center" wrapText="1"/>
    </xf>
    <xf numFmtId="49" fontId="15" fillId="0" borderId="30" xfId="0" applyNumberFormat="1" applyFont="1" applyBorder="1" applyAlignment="1">
      <alignment horizontal="center" vertical="center" wrapText="1"/>
    </xf>
    <xf numFmtId="49" fontId="16" fillId="0" borderId="0" xfId="0" applyNumberFormat="1" applyFont="1">
      <alignment vertical="center"/>
    </xf>
    <xf numFmtId="49" fontId="15" fillId="0" borderId="80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49" fontId="15" fillId="0" borderId="81" xfId="0" applyNumberFormat="1" applyFont="1" applyBorder="1" applyAlignment="1">
      <alignment horizontal="center" vertical="center" wrapText="1"/>
    </xf>
    <xf numFmtId="49" fontId="10" fillId="0" borderId="78" xfId="0" applyNumberFormat="1" applyFont="1" applyBorder="1" applyAlignment="1">
      <alignment horizontal="center" vertical="center" wrapText="1"/>
    </xf>
    <xf numFmtId="49" fontId="10" fillId="0" borderId="76" xfId="0" applyNumberFormat="1" applyFont="1" applyBorder="1" applyAlignment="1">
      <alignment horizontal="center" vertical="center" wrapText="1"/>
    </xf>
    <xf numFmtId="0" fontId="15" fillId="8" borderId="28" xfId="0" applyFont="1" applyFill="1" applyBorder="1" applyAlignment="1">
      <alignment horizontal="center" vertical="center"/>
    </xf>
    <xf numFmtId="0" fontId="15" fillId="8" borderId="67" xfId="0" applyFont="1" applyFill="1" applyBorder="1" applyAlignment="1">
      <alignment horizontal="center" vertical="center"/>
    </xf>
    <xf numFmtId="0" fontId="18" fillId="12" borderId="21" xfId="0" applyFont="1" applyFill="1" applyBorder="1" applyAlignment="1">
      <alignment horizontal="center" vertical="center"/>
    </xf>
    <xf numFmtId="0" fontId="18" fillId="12" borderId="28" xfId="0" applyFont="1" applyFill="1" applyBorder="1" applyAlignment="1">
      <alignment horizontal="center" vertical="center"/>
    </xf>
    <xf numFmtId="0" fontId="18" fillId="12" borderId="20" xfId="0" applyFont="1" applyFill="1" applyBorder="1" applyAlignment="1">
      <alignment horizontal="center" vertical="center"/>
    </xf>
    <xf numFmtId="0" fontId="15" fillId="8" borderId="28" xfId="0" applyFont="1" applyFill="1" applyBorder="1" applyAlignment="1">
      <alignment horizontal="center" vertical="center" wrapText="1"/>
    </xf>
    <xf numFmtId="0" fontId="15" fillId="12" borderId="68" xfId="0" applyFont="1" applyFill="1" applyBorder="1" applyAlignment="1">
      <alignment horizontal="center" vertical="center"/>
    </xf>
    <xf numFmtId="0" fontId="17" fillId="0" borderId="79" xfId="0" applyFont="1" applyBorder="1">
      <alignment vertical="center"/>
    </xf>
    <xf numFmtId="0" fontId="15" fillId="8" borderId="81" xfId="0" applyFont="1" applyFill="1" applyBorder="1" applyAlignment="1">
      <alignment horizontal="center" vertical="center"/>
    </xf>
    <xf numFmtId="0" fontId="15" fillId="12" borderId="29" xfId="0" applyFont="1" applyFill="1" applyBorder="1" applyAlignment="1">
      <alignment horizontal="center" vertical="center"/>
    </xf>
    <xf numFmtId="0" fontId="15" fillId="8" borderId="67" xfId="0" applyFont="1" applyFill="1" applyBorder="1" applyAlignment="1">
      <alignment horizontal="center" vertical="center" wrapText="1"/>
    </xf>
    <xf numFmtId="0" fontId="10" fillId="12" borderId="0" xfId="0" applyFont="1" applyFill="1" applyAlignment="1">
      <alignment horizontal="center" vertical="center"/>
    </xf>
    <xf numFmtId="0" fontId="8" fillId="0" borderId="33" xfId="0" applyFont="1" applyBorder="1">
      <alignment vertical="center"/>
    </xf>
    <xf numFmtId="49" fontId="15" fillId="2" borderId="33" xfId="0" applyNumberFormat="1" applyFont="1" applyFill="1" applyBorder="1">
      <alignment vertical="center"/>
    </xf>
    <xf numFmtId="49" fontId="15" fillId="2" borderId="9" xfId="0" applyNumberFormat="1" applyFont="1" applyFill="1" applyBorder="1">
      <alignment vertical="center"/>
    </xf>
    <xf numFmtId="41" fontId="15" fillId="2" borderId="34" xfId="0" applyNumberFormat="1" applyFont="1" applyFill="1" applyBorder="1">
      <alignment vertical="center"/>
    </xf>
    <xf numFmtId="41" fontId="15" fillId="2" borderId="7" xfId="0" applyNumberFormat="1" applyFont="1" applyFill="1" applyBorder="1">
      <alignment vertical="center"/>
    </xf>
    <xf numFmtId="41" fontId="15" fillId="2" borderId="9" xfId="0" applyNumberFormat="1" applyFont="1" applyFill="1" applyBorder="1">
      <alignment vertical="center"/>
    </xf>
    <xf numFmtId="41" fontId="15" fillId="2" borderId="69" xfId="0" applyNumberFormat="1" applyFont="1" applyFill="1" applyBorder="1">
      <alignment vertical="center"/>
    </xf>
    <xf numFmtId="178" fontId="15" fillId="2" borderId="85" xfId="0" applyNumberFormat="1" applyFont="1" applyFill="1" applyBorder="1">
      <alignment vertical="center"/>
    </xf>
    <xf numFmtId="178" fontId="18" fillId="2" borderId="86" xfId="0" applyNumberFormat="1" applyFont="1" applyFill="1" applyBorder="1">
      <alignment vertical="center"/>
    </xf>
    <xf numFmtId="41" fontId="15" fillId="2" borderId="87" xfId="0" applyNumberFormat="1" applyFont="1" applyFill="1" applyBorder="1">
      <alignment vertical="center"/>
    </xf>
    <xf numFmtId="178" fontId="15" fillId="2" borderId="87" xfId="0" applyNumberFormat="1" applyFont="1" applyFill="1" applyBorder="1">
      <alignment vertical="center"/>
    </xf>
    <xf numFmtId="178" fontId="15" fillId="2" borderId="37" xfId="0" applyNumberFormat="1" applyFont="1" applyFill="1" applyBorder="1">
      <alignment vertical="center"/>
    </xf>
    <xf numFmtId="41" fontId="15" fillId="2" borderId="88" xfId="0" applyNumberFormat="1" applyFont="1" applyFill="1" applyBorder="1">
      <alignment vertical="center"/>
    </xf>
    <xf numFmtId="41" fontId="15" fillId="2" borderId="35" xfId="0" applyNumberFormat="1" applyFont="1" applyFill="1" applyBorder="1">
      <alignment vertical="center"/>
    </xf>
    <xf numFmtId="49" fontId="10" fillId="2" borderId="33" xfId="0" applyNumberFormat="1" applyFont="1" applyFill="1" applyBorder="1">
      <alignment vertical="center"/>
    </xf>
    <xf numFmtId="49" fontId="10" fillId="2" borderId="9" xfId="0" applyNumberFormat="1" applyFont="1" applyFill="1" applyBorder="1">
      <alignment vertical="center"/>
    </xf>
    <xf numFmtId="41" fontId="10" fillId="2" borderId="73" xfId="0" applyNumberFormat="1" applyFont="1" applyFill="1" applyBorder="1">
      <alignment vertical="center"/>
    </xf>
    <xf numFmtId="178" fontId="10" fillId="2" borderId="87" xfId="0" applyNumberFormat="1" applyFont="1" applyFill="1" applyBorder="1">
      <alignment vertical="center"/>
    </xf>
    <xf numFmtId="41" fontId="11" fillId="0" borderId="0" xfId="0" applyNumberFormat="1" applyFont="1">
      <alignment vertical="center"/>
    </xf>
    <xf numFmtId="49" fontId="15" fillId="2" borderId="43" xfId="0" applyNumberFormat="1" applyFont="1" applyFill="1" applyBorder="1">
      <alignment vertical="center"/>
    </xf>
    <xf numFmtId="49" fontId="15" fillId="0" borderId="15" xfId="0" applyNumberFormat="1" applyFont="1" applyBorder="1">
      <alignment vertical="center"/>
    </xf>
    <xf numFmtId="49" fontId="15" fillId="0" borderId="0" xfId="0" applyNumberFormat="1" applyFont="1">
      <alignment vertical="center"/>
    </xf>
    <xf numFmtId="41" fontId="15" fillId="0" borderId="33" xfId="0" applyNumberFormat="1" applyFont="1" applyBorder="1">
      <alignment vertical="center"/>
    </xf>
    <xf numFmtId="41" fontId="15" fillId="0" borderId="13" xfId="0" applyNumberFormat="1" applyFont="1" applyBorder="1">
      <alignment vertical="center"/>
    </xf>
    <xf numFmtId="41" fontId="15" fillId="0" borderId="0" xfId="0" applyNumberFormat="1" applyFont="1">
      <alignment vertical="center"/>
    </xf>
    <xf numFmtId="41" fontId="15" fillId="0" borderId="43" xfId="0" applyNumberFormat="1" applyFont="1" applyBorder="1">
      <alignment vertical="center"/>
    </xf>
    <xf numFmtId="178" fontId="15" fillId="0" borderId="89" xfId="0" applyNumberFormat="1" applyFont="1" applyBorder="1">
      <alignment vertical="center"/>
    </xf>
    <xf numFmtId="178" fontId="18" fillId="0" borderId="89" xfId="0" applyNumberFormat="1" applyFont="1" applyBorder="1">
      <alignment vertical="center"/>
    </xf>
    <xf numFmtId="41" fontId="15" fillId="0" borderId="79" xfId="0" applyNumberFormat="1" applyFont="1" applyBorder="1">
      <alignment vertical="center"/>
    </xf>
    <xf numFmtId="178" fontId="15" fillId="0" borderId="79" xfId="0" applyNumberFormat="1" applyFont="1" applyBorder="1">
      <alignment vertical="center"/>
    </xf>
    <xf numFmtId="178" fontId="15" fillId="0" borderId="45" xfId="0" applyNumberFormat="1" applyFont="1" applyBorder="1">
      <alignment vertical="center"/>
    </xf>
    <xf numFmtId="41" fontId="15" fillId="0" borderId="45" xfId="0" applyNumberFormat="1" applyFont="1" applyBorder="1">
      <alignment vertical="center"/>
    </xf>
    <xf numFmtId="41" fontId="10" fillId="0" borderId="79" xfId="0" applyNumberFormat="1" applyFont="1" applyBorder="1">
      <alignment vertical="center"/>
    </xf>
    <xf numFmtId="178" fontId="10" fillId="0" borderId="79" xfId="0" applyNumberFormat="1" applyFont="1" applyBorder="1">
      <alignment vertical="center"/>
    </xf>
    <xf numFmtId="49" fontId="18" fillId="0" borderId="46" xfId="0" applyNumberFormat="1" applyFont="1" applyBorder="1">
      <alignment vertical="center"/>
    </xf>
    <xf numFmtId="49" fontId="19" fillId="0" borderId="47" xfId="0" applyNumberFormat="1" applyFont="1" applyBorder="1">
      <alignment vertical="center"/>
    </xf>
    <xf numFmtId="41" fontId="15" fillId="0" borderId="48" xfId="0" applyNumberFormat="1" applyFont="1" applyBorder="1">
      <alignment vertical="center"/>
    </xf>
    <xf numFmtId="41" fontId="18" fillId="0" borderId="57" xfId="0" applyNumberFormat="1" applyFont="1" applyBorder="1">
      <alignment vertical="center"/>
    </xf>
    <xf numFmtId="41" fontId="15" fillId="0" borderId="47" xfId="0" applyNumberFormat="1" applyFont="1" applyBorder="1">
      <alignment vertical="center"/>
    </xf>
    <xf numFmtId="41" fontId="15" fillId="0" borderId="90" xfId="0" applyNumberFormat="1" applyFont="1" applyBorder="1">
      <alignment vertical="center"/>
    </xf>
    <xf numFmtId="41" fontId="15" fillId="0" borderId="91" xfId="0" applyNumberFormat="1" applyFont="1" applyBorder="1">
      <alignment vertical="center"/>
    </xf>
    <xf numFmtId="41" fontId="18" fillId="0" borderId="91" xfId="0" applyNumberFormat="1" applyFont="1" applyBorder="1">
      <alignment vertical="center"/>
    </xf>
    <xf numFmtId="41" fontId="15" fillId="0" borderId="92" xfId="0" applyNumberFormat="1" applyFont="1" applyBorder="1">
      <alignment vertical="center"/>
    </xf>
    <xf numFmtId="41" fontId="15" fillId="0" borderId="93" xfId="0" applyNumberFormat="1" applyFont="1" applyBorder="1">
      <alignment vertical="center"/>
    </xf>
    <xf numFmtId="178" fontId="15" fillId="0" borderId="93" xfId="0" applyNumberFormat="1" applyFont="1" applyBorder="1">
      <alignment vertical="center"/>
    </xf>
    <xf numFmtId="178" fontId="15" fillId="0" borderId="50" xfId="0" applyNumberFormat="1" applyFont="1" applyBorder="1">
      <alignment vertical="center"/>
    </xf>
    <xf numFmtId="41" fontId="19" fillId="0" borderId="50" xfId="0" applyNumberFormat="1" applyFont="1" applyBorder="1">
      <alignment vertical="center"/>
    </xf>
    <xf numFmtId="49" fontId="20" fillId="0" borderId="46" xfId="0" applyNumberFormat="1" applyFont="1" applyBorder="1">
      <alignment vertical="center"/>
    </xf>
    <xf numFmtId="49" fontId="21" fillId="0" borderId="47" xfId="0" applyNumberFormat="1" applyFont="1" applyBorder="1">
      <alignment vertical="center"/>
    </xf>
    <xf numFmtId="41" fontId="10" fillId="0" borderId="93" xfId="0" applyNumberFormat="1" applyFont="1" applyBorder="1">
      <alignment vertical="center"/>
    </xf>
    <xf numFmtId="49" fontId="15" fillId="0" borderId="46" xfId="0" applyNumberFormat="1" applyFont="1" applyBorder="1">
      <alignment vertical="center"/>
    </xf>
    <xf numFmtId="49" fontId="15" fillId="0" borderId="47" xfId="0" applyNumberFormat="1" applyFont="1" applyBorder="1">
      <alignment vertical="center"/>
    </xf>
    <xf numFmtId="41" fontId="15" fillId="0" borderId="57" xfId="0" applyNumberFormat="1" applyFont="1" applyBorder="1">
      <alignment vertical="center"/>
    </xf>
    <xf numFmtId="41" fontId="15" fillId="0" borderId="50" xfId="0" applyNumberFormat="1" applyFont="1" applyBorder="1">
      <alignment vertical="center"/>
    </xf>
    <xf numFmtId="41" fontId="15" fillId="0" borderId="89" xfId="0" applyNumberFormat="1" applyFont="1" applyBorder="1">
      <alignment vertical="center"/>
    </xf>
    <xf numFmtId="41" fontId="18" fillId="0" borderId="89" xfId="0" applyNumberFormat="1" applyFont="1" applyBorder="1">
      <alignment vertical="center"/>
    </xf>
    <xf numFmtId="41" fontId="15" fillId="0" borderId="64" xfId="0" applyNumberFormat="1" applyFont="1" applyBorder="1">
      <alignment vertical="center"/>
    </xf>
    <xf numFmtId="49" fontId="15" fillId="0" borderId="94" xfId="0" applyNumberFormat="1" applyFont="1" applyBorder="1">
      <alignment vertical="center"/>
    </xf>
    <xf numFmtId="49" fontId="15" fillId="0" borderId="95" xfId="0" applyNumberFormat="1" applyFont="1" applyBorder="1">
      <alignment vertical="center"/>
    </xf>
    <xf numFmtId="41" fontId="15" fillId="0" borderId="96" xfId="0" applyNumberFormat="1" applyFont="1" applyBorder="1">
      <alignment vertical="center"/>
    </xf>
    <xf numFmtId="41" fontId="15" fillId="0" borderId="97" xfId="0" applyNumberFormat="1" applyFont="1" applyBorder="1">
      <alignment vertical="center"/>
    </xf>
    <xf numFmtId="41" fontId="15" fillId="0" borderId="95" xfId="0" applyNumberFormat="1" applyFont="1" applyBorder="1">
      <alignment vertical="center"/>
    </xf>
    <xf numFmtId="41" fontId="15" fillId="0" borderId="98" xfId="0" applyNumberFormat="1" applyFont="1" applyBorder="1">
      <alignment vertical="center"/>
    </xf>
    <xf numFmtId="41" fontId="15" fillId="0" borderId="99" xfId="0" applyNumberFormat="1" applyFont="1" applyBorder="1">
      <alignment vertical="center"/>
    </xf>
    <xf numFmtId="41" fontId="18" fillId="0" borderId="99" xfId="0" applyNumberFormat="1" applyFont="1" applyBorder="1">
      <alignment vertical="center"/>
    </xf>
    <xf numFmtId="41" fontId="15" fillId="0" borderId="100" xfId="0" applyNumberFormat="1" applyFont="1" applyBorder="1">
      <alignment vertical="center"/>
    </xf>
    <xf numFmtId="41" fontId="15" fillId="0" borderId="101" xfId="0" applyNumberFormat="1" applyFont="1" applyBorder="1">
      <alignment vertical="center"/>
    </xf>
    <xf numFmtId="178" fontId="15" fillId="0" borderId="101" xfId="0" applyNumberFormat="1" applyFont="1" applyBorder="1">
      <alignment vertical="center"/>
    </xf>
    <xf numFmtId="178" fontId="15" fillId="0" borderId="102" xfId="0" applyNumberFormat="1" applyFont="1" applyBorder="1">
      <alignment vertical="center"/>
    </xf>
    <xf numFmtId="41" fontId="15" fillId="0" borderId="102" xfId="0" applyNumberFormat="1" applyFont="1" applyBorder="1">
      <alignment vertical="center"/>
    </xf>
    <xf numFmtId="49" fontId="10" fillId="0" borderId="94" xfId="0" applyNumberFormat="1" applyFont="1" applyBorder="1">
      <alignment vertical="center"/>
    </xf>
    <xf numFmtId="49" fontId="10" fillId="0" borderId="95" xfId="0" applyNumberFormat="1" applyFont="1" applyBorder="1">
      <alignment vertical="center"/>
    </xf>
    <xf numFmtId="41" fontId="10" fillId="0" borderId="101" xfId="0" applyNumberFormat="1" applyFont="1" applyBorder="1">
      <alignment vertical="center"/>
    </xf>
    <xf numFmtId="177" fontId="11" fillId="0" borderId="95" xfId="0" applyNumberFormat="1" applyFont="1" applyBorder="1">
      <alignment vertical="center"/>
    </xf>
    <xf numFmtId="49" fontId="15" fillId="10" borderId="42" xfId="0" applyNumberFormat="1" applyFont="1" applyFill="1" applyBorder="1">
      <alignment vertical="center"/>
    </xf>
    <xf numFmtId="49" fontId="15" fillId="10" borderId="3" xfId="0" applyNumberFormat="1" applyFont="1" applyFill="1" applyBorder="1">
      <alignment vertical="center"/>
    </xf>
    <xf numFmtId="41" fontId="15" fillId="10" borderId="42" xfId="0" applyNumberFormat="1" applyFont="1" applyFill="1" applyBorder="1">
      <alignment vertical="center"/>
    </xf>
    <xf numFmtId="41" fontId="15" fillId="10" borderId="1" xfId="0" applyNumberFormat="1" applyFont="1" applyFill="1" applyBorder="1">
      <alignment vertical="center"/>
    </xf>
    <xf numFmtId="41" fontId="15" fillId="10" borderId="3" xfId="0" applyNumberFormat="1" applyFont="1" applyFill="1" applyBorder="1">
      <alignment vertical="center"/>
    </xf>
    <xf numFmtId="41" fontId="15" fillId="10" borderId="59" xfId="0" applyNumberFormat="1" applyFont="1" applyFill="1" applyBorder="1">
      <alignment vertical="center"/>
    </xf>
    <xf numFmtId="178" fontId="15" fillId="10" borderId="3" xfId="0" applyNumberFormat="1" applyFont="1" applyFill="1" applyBorder="1">
      <alignment vertical="center"/>
    </xf>
    <xf numFmtId="178" fontId="15" fillId="10" borderId="1" xfId="0" applyNumberFormat="1" applyFont="1" applyFill="1" applyBorder="1">
      <alignment vertical="center"/>
    </xf>
    <xf numFmtId="178" fontId="15" fillId="10" borderId="103" xfId="0" applyNumberFormat="1" applyFont="1" applyFill="1" applyBorder="1">
      <alignment vertical="center"/>
    </xf>
    <xf numFmtId="178" fontId="18" fillId="10" borderId="103" xfId="0" applyNumberFormat="1" applyFont="1" applyFill="1" applyBorder="1">
      <alignment vertical="center"/>
    </xf>
    <xf numFmtId="178" fontId="15" fillId="10" borderId="63" xfId="0" applyNumberFormat="1" applyFont="1" applyFill="1" applyBorder="1">
      <alignment vertical="center"/>
    </xf>
    <xf numFmtId="41" fontId="15" fillId="10" borderId="104" xfId="0" applyNumberFormat="1" applyFont="1" applyFill="1" applyBorder="1">
      <alignment vertical="center"/>
    </xf>
    <xf numFmtId="178" fontId="15" fillId="10" borderId="104" xfId="0" applyNumberFormat="1" applyFont="1" applyFill="1" applyBorder="1">
      <alignment vertical="center"/>
    </xf>
    <xf numFmtId="178" fontId="15" fillId="10" borderId="52" xfId="0" applyNumberFormat="1" applyFont="1" applyFill="1" applyBorder="1">
      <alignment vertical="center"/>
    </xf>
    <xf numFmtId="41" fontId="15" fillId="10" borderId="52" xfId="0" applyNumberFormat="1" applyFont="1" applyFill="1" applyBorder="1">
      <alignment vertical="center"/>
    </xf>
    <xf numFmtId="41" fontId="10" fillId="10" borderId="104" xfId="0" applyNumberFormat="1" applyFont="1" applyFill="1" applyBorder="1">
      <alignment vertical="center"/>
    </xf>
    <xf numFmtId="178" fontId="10" fillId="10" borderId="104" xfId="0" applyNumberFormat="1" applyFont="1" applyFill="1" applyBorder="1">
      <alignment vertical="center"/>
    </xf>
    <xf numFmtId="49" fontId="15" fillId="3" borderId="53" xfId="0" applyNumberFormat="1" applyFont="1" applyFill="1" applyBorder="1">
      <alignment vertical="center"/>
    </xf>
    <xf numFmtId="49" fontId="15" fillId="3" borderId="17" xfId="0" applyNumberFormat="1" applyFont="1" applyFill="1" applyBorder="1">
      <alignment vertical="center"/>
    </xf>
    <xf numFmtId="41" fontId="15" fillId="3" borderId="53" xfId="0" applyNumberFormat="1" applyFont="1" applyFill="1" applyBorder="1">
      <alignment vertical="center"/>
    </xf>
    <xf numFmtId="41" fontId="15" fillId="3" borderId="19" xfId="0" applyNumberFormat="1" applyFont="1" applyFill="1" applyBorder="1">
      <alignment vertical="center"/>
    </xf>
    <xf numFmtId="41" fontId="15" fillId="3" borderId="17" xfId="0" applyNumberFormat="1" applyFont="1" applyFill="1" applyBorder="1">
      <alignment vertical="center"/>
    </xf>
    <xf numFmtId="41" fontId="15" fillId="3" borderId="65" xfId="0" applyNumberFormat="1" applyFont="1" applyFill="1" applyBorder="1">
      <alignment vertical="center"/>
    </xf>
    <xf numFmtId="178" fontId="15" fillId="3" borderId="17" xfId="0" applyNumberFormat="1" applyFont="1" applyFill="1" applyBorder="1">
      <alignment vertical="center"/>
    </xf>
    <xf numFmtId="178" fontId="15" fillId="3" borderId="19" xfId="0" applyNumberFormat="1" applyFont="1" applyFill="1" applyBorder="1">
      <alignment vertical="center"/>
    </xf>
    <xf numFmtId="178" fontId="15" fillId="3" borderId="105" xfId="0" applyNumberFormat="1" applyFont="1" applyFill="1" applyBorder="1">
      <alignment vertical="center"/>
    </xf>
    <xf numFmtId="178" fontId="18" fillId="3" borderId="105" xfId="0" applyNumberFormat="1" applyFont="1" applyFill="1" applyBorder="1">
      <alignment vertical="center"/>
    </xf>
    <xf numFmtId="178" fontId="15" fillId="3" borderId="66" xfId="0" applyNumberFormat="1" applyFont="1" applyFill="1" applyBorder="1">
      <alignment vertical="center"/>
    </xf>
    <xf numFmtId="41" fontId="15" fillId="3" borderId="106" xfId="0" applyNumberFormat="1" applyFont="1" applyFill="1" applyBorder="1">
      <alignment vertical="center"/>
    </xf>
    <xf numFmtId="178" fontId="15" fillId="3" borderId="106" xfId="0" applyNumberFormat="1" applyFont="1" applyFill="1" applyBorder="1">
      <alignment vertical="center"/>
    </xf>
    <xf numFmtId="178" fontId="15" fillId="3" borderId="55" xfId="0" applyNumberFormat="1" applyFont="1" applyFill="1" applyBorder="1">
      <alignment vertical="center"/>
    </xf>
    <xf numFmtId="41" fontId="15" fillId="3" borderId="55" xfId="0" applyNumberFormat="1" applyFont="1" applyFill="1" applyBorder="1">
      <alignment vertical="center"/>
    </xf>
    <xf numFmtId="41" fontId="10" fillId="3" borderId="106" xfId="0" applyNumberFormat="1" applyFont="1" applyFill="1" applyBorder="1">
      <alignment vertical="center"/>
    </xf>
    <xf numFmtId="178" fontId="10" fillId="3" borderId="106" xfId="0" applyNumberFormat="1" applyFont="1" applyFill="1" applyBorder="1">
      <alignment vertical="center"/>
    </xf>
    <xf numFmtId="49" fontId="15" fillId="4" borderId="31" xfId="0" applyNumberFormat="1" applyFont="1" applyFill="1" applyBorder="1">
      <alignment vertical="center"/>
    </xf>
    <xf numFmtId="49" fontId="15" fillId="4" borderId="25" xfId="0" applyNumberFormat="1" applyFont="1" applyFill="1" applyBorder="1">
      <alignment vertical="center"/>
    </xf>
    <xf numFmtId="41" fontId="15" fillId="4" borderId="36" xfId="0" applyNumberFormat="1" applyFont="1" applyFill="1" applyBorder="1">
      <alignment vertical="center"/>
    </xf>
    <xf numFmtId="41" fontId="15" fillId="4" borderId="27" xfId="0" applyNumberFormat="1" applyFont="1" applyFill="1" applyBorder="1">
      <alignment vertical="center"/>
    </xf>
    <xf numFmtId="41" fontId="15" fillId="4" borderId="25" xfId="0" applyNumberFormat="1" applyFont="1" applyFill="1" applyBorder="1">
      <alignment vertical="center"/>
    </xf>
    <xf numFmtId="41" fontId="15" fillId="4" borderId="69" xfId="0" applyNumberFormat="1" applyFont="1" applyFill="1" applyBorder="1">
      <alignment vertical="center"/>
    </xf>
    <xf numFmtId="178" fontId="15" fillId="4" borderId="25" xfId="0" applyNumberFormat="1" applyFont="1" applyFill="1" applyBorder="1">
      <alignment vertical="center"/>
    </xf>
    <xf numFmtId="178" fontId="15" fillId="4" borderId="27" xfId="0" applyNumberFormat="1" applyFont="1" applyFill="1" applyBorder="1">
      <alignment vertical="center"/>
    </xf>
    <xf numFmtId="178" fontId="18" fillId="4" borderId="85" xfId="0" applyNumberFormat="1" applyFont="1" applyFill="1" applyBorder="1">
      <alignment vertical="center"/>
    </xf>
    <xf numFmtId="178" fontId="15" fillId="4" borderId="70" xfId="0" applyNumberFormat="1" applyFont="1" applyFill="1" applyBorder="1">
      <alignment vertical="center"/>
    </xf>
    <xf numFmtId="41" fontId="15" fillId="4" borderId="87" xfId="0" applyNumberFormat="1" applyFont="1" applyFill="1" applyBorder="1">
      <alignment vertical="center"/>
    </xf>
    <xf numFmtId="178" fontId="15" fillId="4" borderId="87" xfId="0" applyNumberFormat="1" applyFont="1" applyFill="1" applyBorder="1">
      <alignment vertical="center"/>
    </xf>
    <xf numFmtId="178" fontId="15" fillId="4" borderId="37" xfId="0" applyNumberFormat="1" applyFont="1" applyFill="1" applyBorder="1">
      <alignment vertical="center"/>
    </xf>
    <xf numFmtId="41" fontId="15" fillId="4" borderId="37" xfId="0" applyNumberFormat="1" applyFont="1" applyFill="1" applyBorder="1">
      <alignment vertical="center"/>
    </xf>
    <xf numFmtId="41" fontId="10" fillId="4" borderId="87" xfId="0" applyNumberFormat="1" applyFont="1" applyFill="1" applyBorder="1">
      <alignment vertical="center"/>
    </xf>
    <xf numFmtId="178" fontId="10" fillId="4" borderId="87" xfId="0" applyNumberFormat="1" applyFont="1" applyFill="1" applyBorder="1">
      <alignment vertical="center"/>
    </xf>
    <xf numFmtId="49" fontId="15" fillId="4" borderId="43" xfId="0" applyNumberFormat="1" applyFont="1" applyFill="1" applyBorder="1">
      <alignment vertical="center"/>
    </xf>
    <xf numFmtId="178" fontId="15" fillId="0" borderId="0" xfId="0" applyNumberFormat="1" applyFont="1">
      <alignment vertical="center"/>
    </xf>
    <xf numFmtId="178" fontId="15" fillId="0" borderId="13" xfId="0" applyNumberFormat="1" applyFont="1" applyBorder="1">
      <alignment vertical="center"/>
    </xf>
    <xf numFmtId="178" fontId="15" fillId="0" borderId="64" xfId="0" applyNumberFormat="1" applyFont="1" applyBorder="1">
      <alignment vertical="center"/>
    </xf>
    <xf numFmtId="178" fontId="15" fillId="0" borderId="47" xfId="0" applyNumberFormat="1" applyFont="1" applyBorder="1">
      <alignment vertical="center"/>
    </xf>
    <xf numFmtId="178" fontId="15" fillId="0" borderId="57" xfId="0" applyNumberFormat="1" applyFont="1" applyBorder="1">
      <alignment vertical="center"/>
    </xf>
    <xf numFmtId="178" fontId="15" fillId="0" borderId="91" xfId="0" applyNumberFormat="1" applyFont="1" applyBorder="1">
      <alignment vertical="center"/>
    </xf>
    <xf numFmtId="178" fontId="18" fillId="0" borderId="91" xfId="0" applyNumberFormat="1" applyFont="1" applyBorder="1">
      <alignment vertical="center"/>
    </xf>
    <xf numFmtId="178" fontId="15" fillId="0" borderId="92" xfId="0" applyNumberFormat="1" applyFont="1" applyBorder="1">
      <alignment vertical="center"/>
    </xf>
    <xf numFmtId="178" fontId="10" fillId="0" borderId="93" xfId="0" applyNumberFormat="1" applyFont="1" applyBorder="1">
      <alignment vertical="center"/>
    </xf>
    <xf numFmtId="49" fontId="15" fillId="0" borderId="57" xfId="0" applyNumberFormat="1" applyFont="1" applyBorder="1">
      <alignment vertical="center"/>
    </xf>
    <xf numFmtId="49" fontId="15" fillId="7" borderId="42" xfId="0" applyNumberFormat="1" applyFont="1" applyFill="1" applyBorder="1">
      <alignment vertical="center"/>
    </xf>
    <xf numFmtId="49" fontId="15" fillId="7" borderId="12" xfId="0" applyNumberFormat="1" applyFont="1" applyFill="1" applyBorder="1">
      <alignment vertical="center"/>
    </xf>
    <xf numFmtId="41" fontId="15" fillId="7" borderId="40" xfId="0" applyNumberFormat="1" applyFont="1" applyFill="1" applyBorder="1">
      <alignment vertical="center"/>
    </xf>
    <xf numFmtId="41" fontId="15" fillId="7" borderId="11" xfId="0" applyNumberFormat="1" applyFont="1" applyFill="1" applyBorder="1">
      <alignment vertical="center"/>
    </xf>
    <xf numFmtId="41" fontId="15" fillId="7" borderId="12" xfId="0" applyNumberFormat="1" applyFont="1" applyFill="1" applyBorder="1">
      <alignment vertical="center"/>
    </xf>
    <xf numFmtId="41" fontId="15" fillId="7" borderId="61" xfId="0" applyNumberFormat="1" applyFont="1" applyFill="1" applyBorder="1">
      <alignment vertical="center"/>
    </xf>
    <xf numFmtId="178" fontId="15" fillId="7" borderId="12" xfId="0" applyNumberFormat="1" applyFont="1" applyFill="1" applyBorder="1">
      <alignment vertical="center"/>
    </xf>
    <xf numFmtId="178" fontId="15" fillId="7" borderId="11" xfId="0" applyNumberFormat="1" applyFont="1" applyFill="1" applyBorder="1">
      <alignment vertical="center"/>
    </xf>
    <xf numFmtId="178" fontId="18" fillId="7" borderId="107" xfId="0" applyNumberFormat="1" applyFont="1" applyFill="1" applyBorder="1">
      <alignment vertical="center"/>
    </xf>
    <xf numFmtId="178" fontId="15" fillId="7" borderId="62" xfId="0" applyNumberFormat="1" applyFont="1" applyFill="1" applyBorder="1">
      <alignment vertical="center"/>
    </xf>
    <xf numFmtId="41" fontId="15" fillId="7" borderId="108" xfId="0" applyNumberFormat="1" applyFont="1" applyFill="1" applyBorder="1">
      <alignment vertical="center"/>
    </xf>
    <xf numFmtId="178" fontId="15" fillId="7" borderId="108" xfId="0" applyNumberFormat="1" applyFont="1" applyFill="1" applyBorder="1">
      <alignment vertical="center"/>
    </xf>
    <xf numFmtId="178" fontId="15" fillId="7" borderId="41" xfId="0" applyNumberFormat="1" applyFont="1" applyFill="1" applyBorder="1">
      <alignment vertical="center"/>
    </xf>
    <xf numFmtId="41" fontId="15" fillId="7" borderId="41" xfId="0" applyNumberFormat="1" applyFont="1" applyFill="1" applyBorder="1">
      <alignment vertical="center"/>
    </xf>
    <xf numFmtId="41" fontId="10" fillId="7" borderId="108" xfId="0" applyNumberFormat="1" applyFont="1" applyFill="1" applyBorder="1">
      <alignment vertical="center"/>
    </xf>
    <xf numFmtId="178" fontId="10" fillId="7" borderId="108" xfId="0" applyNumberFormat="1" applyFont="1" applyFill="1" applyBorder="1">
      <alignment vertical="center"/>
    </xf>
    <xf numFmtId="178" fontId="11" fillId="0" borderId="0" xfId="0" applyNumberFormat="1" applyFont="1">
      <alignment vertical="center"/>
    </xf>
    <xf numFmtId="49" fontId="15" fillId="7" borderId="43" xfId="0" applyNumberFormat="1" applyFont="1" applyFill="1" applyBorder="1">
      <alignment vertical="center"/>
    </xf>
    <xf numFmtId="178" fontId="20" fillId="0" borderId="79" xfId="0" applyNumberFormat="1" applyFont="1" applyBorder="1">
      <alignment vertical="center"/>
    </xf>
    <xf numFmtId="178" fontId="20" fillId="0" borderId="93" xfId="0" applyNumberFormat="1" applyFont="1" applyBorder="1">
      <alignment vertical="center"/>
    </xf>
    <xf numFmtId="41" fontId="18" fillId="0" borderId="48" xfId="0" applyNumberFormat="1" applyFont="1" applyBorder="1">
      <alignment vertical="center"/>
    </xf>
    <xf numFmtId="41" fontId="18" fillId="0" borderId="47" xfId="0" applyNumberFormat="1" applyFont="1" applyBorder="1">
      <alignment vertical="center"/>
    </xf>
    <xf numFmtId="41" fontId="18" fillId="0" borderId="90" xfId="0" applyNumberFormat="1" applyFont="1" applyBorder="1">
      <alignment vertical="center"/>
    </xf>
    <xf numFmtId="178" fontId="18" fillId="0" borderId="47" xfId="0" applyNumberFormat="1" applyFont="1" applyBorder="1">
      <alignment vertical="center"/>
    </xf>
    <xf numFmtId="178" fontId="18" fillId="0" borderId="57" xfId="0" applyNumberFormat="1" applyFont="1" applyBorder="1">
      <alignment vertical="center"/>
    </xf>
    <xf numFmtId="41" fontId="18" fillId="0" borderId="93" xfId="0" applyNumberFormat="1" applyFont="1" applyBorder="1">
      <alignment vertical="center"/>
    </xf>
    <xf numFmtId="178" fontId="18" fillId="0" borderId="93" xfId="0" applyNumberFormat="1" applyFont="1" applyBorder="1">
      <alignment vertical="center"/>
    </xf>
    <xf numFmtId="178" fontId="18" fillId="0" borderId="50" xfId="0" applyNumberFormat="1" applyFont="1" applyBorder="1">
      <alignment vertical="center"/>
    </xf>
    <xf numFmtId="41" fontId="18" fillId="0" borderId="50" xfId="0" applyNumberFormat="1" applyFont="1" applyBorder="1">
      <alignment vertical="center"/>
    </xf>
    <xf numFmtId="49" fontId="15" fillId="10" borderId="12" xfId="0" applyNumberFormat="1" applyFont="1" applyFill="1" applyBorder="1">
      <alignment vertical="center"/>
    </xf>
    <xf numFmtId="41" fontId="15" fillId="10" borderId="40" xfId="0" applyNumberFormat="1" applyFont="1" applyFill="1" applyBorder="1">
      <alignment vertical="center"/>
    </xf>
    <xf numFmtId="41" fontId="15" fillId="10" borderId="11" xfId="0" applyNumberFormat="1" applyFont="1" applyFill="1" applyBorder="1">
      <alignment vertical="center"/>
    </xf>
    <xf numFmtId="41" fontId="15" fillId="10" borderId="12" xfId="0" applyNumberFormat="1" applyFont="1" applyFill="1" applyBorder="1">
      <alignment vertical="center"/>
    </xf>
    <xf numFmtId="41" fontId="15" fillId="10" borderId="61" xfId="0" applyNumberFormat="1" applyFont="1" applyFill="1" applyBorder="1">
      <alignment vertical="center"/>
    </xf>
    <xf numFmtId="178" fontId="15" fillId="10" borderId="12" xfId="0" applyNumberFormat="1" applyFont="1" applyFill="1" applyBorder="1">
      <alignment vertical="center"/>
    </xf>
    <xf numFmtId="178" fontId="15" fillId="10" borderId="11" xfId="0" applyNumberFormat="1" applyFont="1" applyFill="1" applyBorder="1">
      <alignment vertical="center"/>
    </xf>
    <xf numFmtId="178" fontId="15" fillId="10" borderId="107" xfId="0" applyNumberFormat="1" applyFont="1" applyFill="1" applyBorder="1">
      <alignment vertical="center"/>
    </xf>
    <xf numFmtId="178" fontId="18" fillId="10" borderId="107" xfId="0" applyNumberFormat="1" applyFont="1" applyFill="1" applyBorder="1">
      <alignment vertical="center"/>
    </xf>
    <xf numFmtId="178" fontId="15" fillId="10" borderId="62" xfId="0" applyNumberFormat="1" applyFont="1" applyFill="1" applyBorder="1">
      <alignment vertical="center"/>
    </xf>
    <xf numFmtId="41" fontId="15" fillId="10" borderId="108" xfId="0" applyNumberFormat="1" applyFont="1" applyFill="1" applyBorder="1">
      <alignment vertical="center"/>
    </xf>
    <xf numFmtId="178" fontId="15" fillId="10" borderId="108" xfId="0" applyNumberFormat="1" applyFont="1" applyFill="1" applyBorder="1">
      <alignment vertical="center"/>
    </xf>
    <xf numFmtId="178" fontId="15" fillId="10" borderId="41" xfId="0" applyNumberFormat="1" applyFont="1" applyFill="1" applyBorder="1">
      <alignment vertical="center"/>
    </xf>
    <xf numFmtId="41" fontId="15" fillId="10" borderId="41" xfId="0" applyNumberFormat="1" applyFont="1" applyFill="1" applyBorder="1">
      <alignment vertical="center"/>
    </xf>
    <xf numFmtId="41" fontId="10" fillId="10" borderId="108" xfId="0" applyNumberFormat="1" applyFont="1" applyFill="1" applyBorder="1">
      <alignment vertical="center"/>
    </xf>
    <xf numFmtId="178" fontId="10" fillId="10" borderId="108" xfId="0" applyNumberFormat="1" applyFont="1" applyFill="1" applyBorder="1">
      <alignment vertical="center"/>
    </xf>
    <xf numFmtId="49" fontId="15" fillId="10" borderId="43" xfId="0" applyNumberFormat="1" applyFont="1" applyFill="1" applyBorder="1">
      <alignment vertical="center"/>
    </xf>
    <xf numFmtId="49" fontId="15" fillId="0" borderId="2" xfId="0" applyNumberFormat="1" applyFont="1" applyBorder="1">
      <alignment vertical="center"/>
    </xf>
    <xf numFmtId="49" fontId="15" fillId="5" borderId="53" xfId="0" applyNumberFormat="1" applyFont="1" applyFill="1" applyBorder="1">
      <alignment vertical="center"/>
    </xf>
    <xf numFmtId="49" fontId="15" fillId="5" borderId="17" xfId="0" applyNumberFormat="1" applyFont="1" applyFill="1" applyBorder="1">
      <alignment vertical="center"/>
    </xf>
    <xf numFmtId="41" fontId="15" fillId="5" borderId="53" xfId="0" applyNumberFormat="1" applyFont="1" applyFill="1" applyBorder="1">
      <alignment vertical="center"/>
    </xf>
    <xf numFmtId="41" fontId="15" fillId="5" borderId="19" xfId="0" applyNumberFormat="1" applyFont="1" applyFill="1" applyBorder="1">
      <alignment vertical="center"/>
    </xf>
    <xf numFmtId="41" fontId="15" fillId="5" borderId="17" xfId="0" applyNumberFormat="1" applyFont="1" applyFill="1" applyBorder="1">
      <alignment vertical="center"/>
    </xf>
    <xf numFmtId="41" fontId="15" fillId="5" borderId="65" xfId="0" applyNumberFormat="1" applyFont="1" applyFill="1" applyBorder="1">
      <alignment vertical="center"/>
    </xf>
    <xf numFmtId="178" fontId="15" fillId="5" borderId="17" xfId="0" applyNumberFormat="1" applyFont="1" applyFill="1" applyBorder="1">
      <alignment vertical="center"/>
    </xf>
    <xf numFmtId="178" fontId="15" fillId="5" borderId="19" xfId="0" applyNumberFormat="1" applyFont="1" applyFill="1" applyBorder="1">
      <alignment vertical="center"/>
    </xf>
    <xf numFmtId="178" fontId="15" fillId="5" borderId="105" xfId="0" applyNumberFormat="1" applyFont="1" applyFill="1" applyBorder="1">
      <alignment vertical="center"/>
    </xf>
    <xf numFmtId="178" fontId="18" fillId="5" borderId="105" xfId="0" applyNumberFormat="1" applyFont="1" applyFill="1" applyBorder="1">
      <alignment vertical="center"/>
    </xf>
    <xf numFmtId="178" fontId="15" fillId="5" borderId="66" xfId="0" applyNumberFormat="1" applyFont="1" applyFill="1" applyBorder="1">
      <alignment vertical="center"/>
    </xf>
    <xf numFmtId="41" fontId="15" fillId="5" borderId="106" xfId="0" applyNumberFormat="1" applyFont="1" applyFill="1" applyBorder="1">
      <alignment vertical="center"/>
    </xf>
    <xf numFmtId="178" fontId="15" fillId="5" borderId="106" xfId="0" applyNumberFormat="1" applyFont="1" applyFill="1" applyBorder="1">
      <alignment vertical="center"/>
    </xf>
    <xf numFmtId="178" fontId="15" fillId="5" borderId="55" xfId="0" applyNumberFormat="1" applyFont="1" applyFill="1" applyBorder="1">
      <alignment vertical="center"/>
    </xf>
    <xf numFmtId="41" fontId="15" fillId="5" borderId="55" xfId="0" applyNumberFormat="1" applyFont="1" applyFill="1" applyBorder="1">
      <alignment vertical="center"/>
    </xf>
    <xf numFmtId="41" fontId="10" fillId="5" borderId="106" xfId="0" applyNumberFormat="1" applyFont="1" applyFill="1" applyBorder="1">
      <alignment vertical="center"/>
    </xf>
    <xf numFmtId="178" fontId="10" fillId="5" borderId="106" xfId="0" applyNumberFormat="1" applyFont="1" applyFill="1" applyBorder="1">
      <alignment vertical="center"/>
    </xf>
    <xf numFmtId="49" fontId="15" fillId="6" borderId="28" xfId="0" applyNumberFormat="1" applyFont="1" applyFill="1" applyBorder="1">
      <alignment vertical="center"/>
    </xf>
    <xf numFmtId="49" fontId="15" fillId="6" borderId="21" xfId="0" applyNumberFormat="1" applyFont="1" applyFill="1" applyBorder="1">
      <alignment vertical="center"/>
    </xf>
    <xf numFmtId="41" fontId="15" fillId="6" borderId="28" xfId="0" applyNumberFormat="1" applyFont="1" applyFill="1" applyBorder="1">
      <alignment vertical="center"/>
    </xf>
    <xf numFmtId="41" fontId="15" fillId="6" borderId="23" xfId="0" applyNumberFormat="1" applyFont="1" applyFill="1" applyBorder="1">
      <alignment vertical="center"/>
    </xf>
    <xf numFmtId="41" fontId="15" fillId="6" borderId="21" xfId="0" applyNumberFormat="1" applyFont="1" applyFill="1" applyBorder="1">
      <alignment vertical="center"/>
    </xf>
    <xf numFmtId="41" fontId="15" fillId="6" borderId="67" xfId="0" applyNumberFormat="1" applyFont="1" applyFill="1" applyBorder="1">
      <alignment vertical="center"/>
    </xf>
    <xf numFmtId="178" fontId="15" fillId="6" borderId="21" xfId="0" applyNumberFormat="1" applyFont="1" applyFill="1" applyBorder="1">
      <alignment vertical="center"/>
    </xf>
    <xf numFmtId="178" fontId="15" fillId="6" borderId="23" xfId="0" applyNumberFormat="1" applyFont="1" applyFill="1" applyBorder="1">
      <alignment vertical="center"/>
    </xf>
    <xf numFmtId="178" fontId="15" fillId="6" borderId="109" xfId="0" applyNumberFormat="1" applyFont="1" applyFill="1" applyBorder="1">
      <alignment vertical="center"/>
    </xf>
    <xf numFmtId="178" fontId="18" fillId="6" borderId="109" xfId="0" applyNumberFormat="1" applyFont="1" applyFill="1" applyBorder="1">
      <alignment vertical="center"/>
    </xf>
    <xf numFmtId="178" fontId="15" fillId="6" borderId="68" xfId="0" applyNumberFormat="1" applyFont="1" applyFill="1" applyBorder="1">
      <alignment vertical="center"/>
    </xf>
    <xf numFmtId="41" fontId="15" fillId="6" borderId="110" xfId="0" applyNumberFormat="1" applyFont="1" applyFill="1" applyBorder="1">
      <alignment vertical="center"/>
    </xf>
    <xf numFmtId="178" fontId="15" fillId="6" borderId="110" xfId="0" applyNumberFormat="1" applyFont="1" applyFill="1" applyBorder="1">
      <alignment vertical="center"/>
    </xf>
    <xf numFmtId="41" fontId="15" fillId="6" borderId="111" xfId="0" applyNumberFormat="1" applyFont="1" applyFill="1" applyBorder="1">
      <alignment vertical="center"/>
    </xf>
    <xf numFmtId="178" fontId="15" fillId="6" borderId="29" xfId="0" applyNumberFormat="1" applyFont="1" applyFill="1" applyBorder="1">
      <alignment vertical="center"/>
    </xf>
    <xf numFmtId="41" fontId="15" fillId="6" borderId="29" xfId="0" applyNumberFormat="1" applyFont="1" applyFill="1" applyBorder="1">
      <alignment vertical="center"/>
    </xf>
    <xf numFmtId="41" fontId="10" fillId="6" borderId="81" xfId="0" applyNumberFormat="1" applyFont="1" applyFill="1" applyBorder="1">
      <alignment vertical="center"/>
    </xf>
    <xf numFmtId="178" fontId="10" fillId="6" borderId="81" xfId="0" applyNumberFormat="1" applyFont="1" applyFill="1" applyBorder="1">
      <alignment vertical="center"/>
    </xf>
    <xf numFmtId="49" fontId="15" fillId="0" borderId="36" xfId="0" applyNumberFormat="1" applyFont="1" applyBorder="1">
      <alignment vertical="center"/>
    </xf>
    <xf numFmtId="49" fontId="15" fillId="0" borderId="25" xfId="0" applyNumberFormat="1" applyFont="1" applyBorder="1">
      <alignment vertical="center"/>
    </xf>
    <xf numFmtId="41" fontId="15" fillId="0" borderId="36" xfId="0" applyNumberFormat="1" applyFont="1" applyBorder="1">
      <alignment vertical="center"/>
    </xf>
    <xf numFmtId="41" fontId="15" fillId="0" borderId="27" xfId="0" applyNumberFormat="1" applyFont="1" applyBorder="1">
      <alignment vertical="center"/>
    </xf>
    <xf numFmtId="41" fontId="15" fillId="0" borderId="25" xfId="0" applyNumberFormat="1" applyFont="1" applyBorder="1">
      <alignment vertical="center"/>
    </xf>
    <xf numFmtId="41" fontId="15" fillId="0" borderId="112" xfId="0" applyNumberFormat="1" applyFont="1" applyBorder="1">
      <alignment vertical="center"/>
    </xf>
    <xf numFmtId="178" fontId="15" fillId="0" borderId="25" xfId="0" applyNumberFormat="1" applyFont="1" applyBorder="1">
      <alignment vertical="center"/>
    </xf>
    <xf numFmtId="178" fontId="15" fillId="0" borderId="27" xfId="0" applyNumberFormat="1" applyFont="1" applyBorder="1">
      <alignment vertical="center"/>
    </xf>
    <xf numFmtId="178" fontId="15" fillId="0" borderId="112" xfId="0" applyNumberFormat="1" applyFont="1" applyBorder="1">
      <alignment vertical="center"/>
    </xf>
    <xf numFmtId="178" fontId="18" fillId="0" borderId="87" xfId="0" applyNumberFormat="1" applyFont="1" applyBorder="1">
      <alignment vertical="center"/>
    </xf>
    <xf numFmtId="41" fontId="15" fillId="0" borderId="37" xfId="0" applyNumberFormat="1" applyFont="1" applyBorder="1">
      <alignment vertical="center"/>
    </xf>
    <xf numFmtId="178" fontId="15" fillId="0" borderId="87" xfId="0" applyNumberFormat="1" applyFont="1" applyBorder="1">
      <alignment vertical="center"/>
    </xf>
    <xf numFmtId="41" fontId="15" fillId="0" borderId="73" xfId="0" applyNumberFormat="1" applyFont="1" applyBorder="1">
      <alignment vertical="center"/>
    </xf>
    <xf numFmtId="178" fontId="15" fillId="0" borderId="73" xfId="0" applyNumberFormat="1" applyFont="1" applyBorder="1">
      <alignment vertical="center"/>
    </xf>
    <xf numFmtId="41" fontId="15" fillId="0" borderId="35" xfId="0" applyNumberFormat="1" applyFont="1" applyBorder="1">
      <alignment vertical="center"/>
    </xf>
    <xf numFmtId="41" fontId="15" fillId="0" borderId="87" xfId="0" applyNumberFormat="1" applyFont="1" applyBorder="1">
      <alignment vertical="center"/>
    </xf>
    <xf numFmtId="41" fontId="10" fillId="0" borderId="87" xfId="0" applyNumberFormat="1" applyFont="1" applyBorder="1">
      <alignment vertical="center"/>
    </xf>
    <xf numFmtId="178" fontId="10" fillId="0" borderId="87" xfId="0" applyNumberFormat="1" applyFont="1" applyBorder="1">
      <alignment vertical="center"/>
    </xf>
    <xf numFmtId="49" fontId="15" fillId="0" borderId="59" xfId="0" applyNumberFormat="1" applyFont="1" applyBorder="1">
      <alignment vertical="center"/>
    </xf>
    <xf numFmtId="41" fontId="15" fillId="0" borderId="113" xfId="0" applyNumberFormat="1" applyFont="1" applyBorder="1">
      <alignment vertical="center"/>
    </xf>
    <xf numFmtId="178" fontId="15" fillId="0" borderId="113" xfId="0" applyNumberFormat="1" applyFont="1" applyBorder="1">
      <alignment vertical="center"/>
    </xf>
    <xf numFmtId="178" fontId="18" fillId="0" borderId="79" xfId="0" applyNumberFormat="1" applyFont="1" applyBorder="1">
      <alignment vertical="center"/>
    </xf>
    <xf numFmtId="49" fontId="15" fillId="0" borderId="43" xfId="0" applyNumberFormat="1" applyFont="1" applyBorder="1">
      <alignment vertical="center"/>
    </xf>
    <xf numFmtId="49" fontId="15" fillId="0" borderId="13" xfId="0" applyNumberFormat="1" applyFont="1" applyBorder="1">
      <alignment vertical="center"/>
    </xf>
    <xf numFmtId="49" fontId="15" fillId="0" borderId="40" xfId="0" applyNumberFormat="1" applyFont="1" applyBorder="1">
      <alignment vertical="center"/>
    </xf>
    <xf numFmtId="49" fontId="15" fillId="0" borderId="12" xfId="0" applyNumberFormat="1" applyFont="1" applyBorder="1">
      <alignment vertical="center"/>
    </xf>
    <xf numFmtId="41" fontId="15" fillId="0" borderId="40" xfId="0" applyNumberFormat="1" applyFont="1" applyBorder="1">
      <alignment vertical="center"/>
    </xf>
    <xf numFmtId="41" fontId="15" fillId="0" borderId="11" xfId="0" applyNumberFormat="1" applyFont="1" applyBorder="1">
      <alignment vertical="center"/>
    </xf>
    <xf numFmtId="41" fontId="15" fillId="0" borderId="12" xfId="0" applyNumberFormat="1" applyFont="1" applyBorder="1">
      <alignment vertical="center"/>
    </xf>
    <xf numFmtId="41" fontId="15" fillId="0" borderId="114" xfId="0" applyNumberFormat="1" applyFont="1" applyBorder="1">
      <alignment vertical="center"/>
    </xf>
    <xf numFmtId="178" fontId="15" fillId="0" borderId="12" xfId="0" applyNumberFormat="1" applyFont="1" applyBorder="1">
      <alignment vertical="center"/>
    </xf>
    <xf numFmtId="178" fontId="15" fillId="0" borderId="11" xfId="0" applyNumberFormat="1" applyFont="1" applyBorder="1">
      <alignment vertical="center"/>
    </xf>
    <xf numFmtId="178" fontId="15" fillId="0" borderId="114" xfId="0" applyNumberFormat="1" applyFont="1" applyBorder="1">
      <alignment vertical="center"/>
    </xf>
    <xf numFmtId="178" fontId="18" fillId="0" borderId="108" xfId="0" applyNumberFormat="1" applyFont="1" applyBorder="1">
      <alignment vertical="center"/>
    </xf>
    <xf numFmtId="41" fontId="15" fillId="0" borderId="41" xfId="0" applyNumberFormat="1" applyFont="1" applyBorder="1">
      <alignment vertical="center"/>
    </xf>
    <xf numFmtId="178" fontId="15" fillId="0" borderId="108" xfId="0" applyNumberFormat="1" applyFont="1" applyBorder="1">
      <alignment vertical="center"/>
    </xf>
    <xf numFmtId="41" fontId="15" fillId="0" borderId="108" xfId="0" applyNumberFormat="1" applyFont="1" applyBorder="1">
      <alignment vertical="center"/>
    </xf>
    <xf numFmtId="41" fontId="10" fillId="0" borderId="108" xfId="0" applyNumberFormat="1" applyFont="1" applyBorder="1">
      <alignment vertical="center"/>
    </xf>
    <xf numFmtId="178" fontId="10" fillId="0" borderId="108" xfId="0" applyNumberFormat="1" applyFont="1" applyBorder="1">
      <alignment vertical="center"/>
    </xf>
    <xf numFmtId="41" fontId="15" fillId="6" borderId="115" xfId="0" applyNumberFormat="1" applyFont="1" applyFill="1" applyBorder="1">
      <alignment vertical="center"/>
    </xf>
    <xf numFmtId="178" fontId="15" fillId="6" borderId="115" xfId="0" applyNumberFormat="1" applyFont="1" applyFill="1" applyBorder="1">
      <alignment vertical="center"/>
    </xf>
    <xf numFmtId="178" fontId="18" fillId="6" borderId="81" xfId="0" applyNumberFormat="1" applyFont="1" applyFill="1" applyBorder="1">
      <alignment vertical="center"/>
    </xf>
    <xf numFmtId="178" fontId="15" fillId="6" borderId="81" xfId="0" applyNumberFormat="1" applyFont="1" applyFill="1" applyBorder="1">
      <alignment vertical="center"/>
    </xf>
    <xf numFmtId="41" fontId="15" fillId="6" borderId="81" xfId="0" applyNumberFormat="1" applyFont="1" applyFill="1" applyBorder="1">
      <alignment vertical="center"/>
    </xf>
    <xf numFmtId="178" fontId="15" fillId="0" borderId="36" xfId="0" applyNumberFormat="1" applyFont="1" applyBorder="1">
      <alignment vertical="center"/>
    </xf>
    <xf numFmtId="178" fontId="15" fillId="0" borderId="33" xfId="0" applyNumberFormat="1" applyFont="1" applyBorder="1">
      <alignment vertical="center"/>
    </xf>
    <xf numFmtId="178" fontId="15" fillId="0" borderId="40" xfId="0" applyNumberFormat="1" applyFont="1" applyBorder="1">
      <alignment vertical="center"/>
    </xf>
    <xf numFmtId="178" fontId="15" fillId="6" borderId="28" xfId="0" applyNumberFormat="1" applyFont="1" applyFill="1" applyBorder="1">
      <alignment vertical="center"/>
    </xf>
    <xf numFmtId="0" fontId="22" fillId="0" borderId="0" xfId="0" applyFont="1">
      <alignment vertical="center"/>
    </xf>
    <xf numFmtId="0" fontId="15" fillId="0" borderId="32" xfId="0" applyFont="1" applyBorder="1">
      <alignment vertical="center"/>
    </xf>
    <xf numFmtId="0" fontId="22" fillId="0" borderId="0" xfId="0" applyFont="1" applyAlignment="1">
      <alignment horizontal="right" vertical="center"/>
    </xf>
    <xf numFmtId="179" fontId="22" fillId="0" borderId="0" xfId="0" applyNumberFormat="1" applyFont="1">
      <alignment vertical="center"/>
    </xf>
    <xf numFmtId="179" fontId="23" fillId="0" borderId="0" xfId="0" applyNumberFormat="1" applyFont="1">
      <alignment vertical="center"/>
    </xf>
    <xf numFmtId="0" fontId="22" fillId="0" borderId="32" xfId="0" applyFont="1" applyBorder="1">
      <alignment vertical="center"/>
    </xf>
    <xf numFmtId="179" fontId="0" fillId="0" borderId="0" xfId="0" applyNumberFormat="1">
      <alignment vertical="center"/>
    </xf>
    <xf numFmtId="38" fontId="22" fillId="0" borderId="0" xfId="2" applyFont="1" applyFill="1">
      <alignment vertical="center"/>
    </xf>
    <xf numFmtId="179" fontId="12" fillId="0" borderId="0" xfId="0" applyNumberFormat="1" applyFont="1">
      <alignment vertical="center"/>
    </xf>
    <xf numFmtId="49" fontId="10" fillId="0" borderId="116" xfId="0" applyNumberFormat="1" applyFont="1" applyBorder="1" applyAlignment="1">
      <alignment horizontal="center" vertical="center" shrinkToFit="1"/>
    </xf>
    <xf numFmtId="49" fontId="10" fillId="0" borderId="72" xfId="0" applyNumberFormat="1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right" vertical="center"/>
    </xf>
    <xf numFmtId="49" fontId="10" fillId="0" borderId="125" xfId="0" applyNumberFormat="1" applyFont="1" applyBorder="1" applyAlignment="1">
      <alignment horizontal="center" vertical="center" wrapText="1"/>
    </xf>
    <xf numFmtId="49" fontId="10" fillId="9" borderId="125" xfId="0" applyNumberFormat="1" applyFont="1" applyFill="1" applyBorder="1" applyAlignment="1">
      <alignment horizontal="center" vertical="center" wrapText="1"/>
    </xf>
    <xf numFmtId="49" fontId="10" fillId="0" borderId="126" xfId="0" applyNumberFormat="1" applyFont="1" applyBorder="1" applyAlignment="1">
      <alignment horizontal="center" vertical="center" wrapText="1"/>
    </xf>
    <xf numFmtId="49" fontId="10" fillId="9" borderId="127" xfId="0" applyNumberFormat="1" applyFont="1" applyFill="1" applyBorder="1" applyAlignment="1">
      <alignment horizontal="center" vertical="center" wrapText="1"/>
    </xf>
    <xf numFmtId="0" fontId="8" fillId="11" borderId="28" xfId="0" applyFont="1" applyFill="1" applyBorder="1" applyAlignment="1">
      <alignment horizontal="right" vertical="center"/>
    </xf>
    <xf numFmtId="0" fontId="8" fillId="11" borderId="21" xfId="0" applyFont="1" applyFill="1" applyBorder="1" applyAlignment="1">
      <alignment horizontal="right" vertical="center"/>
    </xf>
    <xf numFmtId="0" fontId="8" fillId="13" borderId="31" xfId="0" applyFont="1" applyFill="1" applyBorder="1" applyAlignment="1">
      <alignment horizontal="right" vertical="center"/>
    </xf>
    <xf numFmtId="0" fontId="8" fillId="13" borderId="32" xfId="0" applyFont="1" applyFill="1" applyBorder="1" applyAlignment="1">
      <alignment horizontal="right" vertical="center"/>
    </xf>
    <xf numFmtId="49" fontId="14" fillId="14" borderId="32" xfId="0" applyNumberFormat="1" applyFont="1" applyFill="1" applyBorder="1" applyAlignment="1">
      <alignment horizontal="center" vertical="center" wrapText="1"/>
    </xf>
    <xf numFmtId="0" fontId="8" fillId="15" borderId="32" xfId="0" applyFont="1" applyFill="1" applyBorder="1" applyAlignment="1">
      <alignment horizontal="right" vertical="center"/>
    </xf>
    <xf numFmtId="0" fontId="8" fillId="15" borderId="21" xfId="0" applyFont="1" applyFill="1" applyBorder="1" applyAlignment="1">
      <alignment horizontal="right" vertical="center"/>
    </xf>
    <xf numFmtId="0" fontId="8" fillId="8" borderId="32" xfId="0" applyFont="1" applyFill="1" applyBorder="1" applyAlignment="1">
      <alignment horizontal="right" vertical="center"/>
    </xf>
    <xf numFmtId="0" fontId="8" fillId="8" borderId="60" xfId="0" applyFont="1" applyFill="1" applyBorder="1" applyAlignment="1">
      <alignment horizontal="right" vertical="center"/>
    </xf>
    <xf numFmtId="176" fontId="5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 applyProtection="1">
      <alignment horizontal="center" vertical="top"/>
      <protection locked="0"/>
    </xf>
    <xf numFmtId="49" fontId="4" fillId="0" borderId="0" xfId="0" applyNumberFormat="1" applyFont="1" applyAlignment="1" applyProtection="1">
      <alignment vertical="top" wrapText="1"/>
      <protection locked="0"/>
    </xf>
    <xf numFmtId="176" fontId="4" fillId="0" borderId="0" xfId="0" applyNumberFormat="1" applyFont="1" applyProtection="1">
      <alignment vertical="center"/>
      <protection locked="0"/>
    </xf>
    <xf numFmtId="180" fontId="24" fillId="16" borderId="0" xfId="0" applyNumberFormat="1" applyFont="1" applyFill="1">
      <alignment vertical="center"/>
    </xf>
    <xf numFmtId="0" fontId="24" fillId="0" borderId="0" xfId="0" applyFont="1">
      <alignment vertical="center"/>
    </xf>
    <xf numFmtId="49" fontId="10" fillId="0" borderId="31" xfId="0" applyNumberFormat="1" applyFont="1" applyBorder="1" applyAlignment="1">
      <alignment horizontal="center" vertical="center"/>
    </xf>
    <xf numFmtId="49" fontId="10" fillId="0" borderId="32" xfId="0" applyNumberFormat="1" applyFont="1" applyBorder="1" applyAlignment="1">
      <alignment horizontal="center" vertical="center"/>
    </xf>
    <xf numFmtId="49" fontId="10" fillId="0" borderId="3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34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17" xfId="0" applyNumberFormat="1" applyFont="1" applyBorder="1" applyAlignment="1">
      <alignment horizontal="center" vertical="center" wrapText="1"/>
    </xf>
    <xf numFmtId="0" fontId="8" fillId="0" borderId="117" xfId="0" applyFont="1" applyBorder="1" applyAlignment="1">
      <alignment horizontal="center" vertical="center" wrapText="1"/>
    </xf>
    <xf numFmtId="0" fontId="8" fillId="0" borderId="119" xfId="0" applyFont="1" applyBorder="1" applyAlignment="1">
      <alignment horizontal="center" vertical="center" wrapText="1"/>
    </xf>
    <xf numFmtId="49" fontId="10" fillId="0" borderId="116" xfId="0" applyNumberFormat="1" applyFont="1" applyBorder="1" applyAlignment="1">
      <alignment horizontal="center" vertical="center" wrapText="1"/>
    </xf>
    <xf numFmtId="49" fontId="10" fillId="0" borderId="71" xfId="0" applyNumberFormat="1" applyFont="1" applyBorder="1" applyAlignment="1">
      <alignment horizontal="center" vertical="center" wrapText="1"/>
    </xf>
    <xf numFmtId="49" fontId="10" fillId="0" borderId="122" xfId="0" applyNumberFormat="1" applyFont="1" applyBorder="1" applyAlignment="1">
      <alignment horizontal="center" vertical="center" wrapText="1"/>
    </xf>
    <xf numFmtId="0" fontId="8" fillId="0" borderId="120" xfId="0" applyFont="1" applyBorder="1" applyAlignment="1">
      <alignment horizontal="center" vertical="center" wrapText="1"/>
    </xf>
    <xf numFmtId="49" fontId="10" fillId="0" borderId="123" xfId="0" applyNumberFormat="1" applyFont="1" applyBorder="1" applyAlignment="1">
      <alignment horizontal="center" vertical="center" wrapText="1"/>
    </xf>
    <xf numFmtId="0" fontId="8" fillId="0" borderId="124" xfId="0" applyFont="1" applyBorder="1" applyAlignment="1">
      <alignment horizontal="center" vertical="center" wrapText="1"/>
    </xf>
    <xf numFmtId="49" fontId="14" fillId="11" borderId="32" xfId="0" applyNumberFormat="1" applyFont="1" applyFill="1" applyBorder="1" applyAlignment="1">
      <alignment horizontal="center" vertical="center" wrapText="1"/>
    </xf>
    <xf numFmtId="49" fontId="14" fillId="11" borderId="60" xfId="0" applyNumberFormat="1" applyFont="1" applyFill="1" applyBorder="1" applyAlignment="1">
      <alignment horizontal="center" vertical="center" wrapText="1"/>
    </xf>
    <xf numFmtId="49" fontId="14" fillId="11" borderId="120" xfId="0" applyNumberFormat="1" applyFont="1" applyFill="1" applyBorder="1" applyAlignment="1">
      <alignment horizontal="center" vertical="center" wrapText="1"/>
    </xf>
    <xf numFmtId="49" fontId="14" fillId="11" borderId="121" xfId="0" applyNumberFormat="1" applyFont="1" applyFill="1" applyBorder="1" applyAlignment="1">
      <alignment horizontal="center" vertical="center" wrapText="1"/>
    </xf>
    <xf numFmtId="0" fontId="8" fillId="0" borderId="121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right" vertical="center"/>
    </xf>
    <xf numFmtId="0" fontId="8" fillId="0" borderId="30" xfId="0" applyFont="1" applyBorder="1" applyAlignment="1">
      <alignment horizontal="right" vertical="center"/>
    </xf>
    <xf numFmtId="0" fontId="8" fillId="0" borderId="118" xfId="0" applyFont="1" applyBorder="1" applyAlignment="1">
      <alignment horizontal="center" vertical="center" wrapText="1"/>
    </xf>
    <xf numFmtId="49" fontId="14" fillId="15" borderId="32" xfId="0" applyNumberFormat="1" applyFont="1" applyFill="1" applyBorder="1" applyAlignment="1">
      <alignment horizontal="center" vertical="center" wrapText="1"/>
    </xf>
    <xf numFmtId="49" fontId="14" fillId="15" borderId="60" xfId="0" applyNumberFormat="1" applyFont="1" applyFill="1" applyBorder="1" applyAlignment="1">
      <alignment horizontal="center" vertical="center" wrapText="1"/>
    </xf>
    <xf numFmtId="49" fontId="14" fillId="15" borderId="122" xfId="0" applyNumberFormat="1" applyFont="1" applyFill="1" applyBorder="1" applyAlignment="1">
      <alignment horizontal="center" vertical="center" wrapText="1"/>
    </xf>
    <xf numFmtId="49" fontId="14" fillId="15" borderId="120" xfId="0" applyNumberFormat="1" applyFont="1" applyFill="1" applyBorder="1" applyAlignment="1">
      <alignment horizontal="center" vertical="center" wrapText="1"/>
    </xf>
    <xf numFmtId="49" fontId="14" fillId="15" borderId="121" xfId="0" applyNumberFormat="1" applyFont="1" applyFill="1" applyBorder="1" applyAlignment="1">
      <alignment horizontal="center" vertical="center" wrapText="1"/>
    </xf>
    <xf numFmtId="49" fontId="14" fillId="13" borderId="32" xfId="0" applyNumberFormat="1" applyFont="1" applyFill="1" applyBorder="1" applyAlignment="1">
      <alignment horizontal="center" vertical="center" wrapText="1"/>
    </xf>
    <xf numFmtId="49" fontId="14" fillId="13" borderId="60" xfId="0" applyNumberFormat="1" applyFont="1" applyFill="1" applyBorder="1" applyAlignment="1">
      <alignment horizontal="center" vertical="center" wrapText="1"/>
    </xf>
    <xf numFmtId="49" fontId="14" fillId="13" borderId="120" xfId="0" applyNumberFormat="1" applyFont="1" applyFill="1" applyBorder="1" applyAlignment="1">
      <alignment horizontal="center" vertical="center" wrapText="1"/>
    </xf>
    <xf numFmtId="49" fontId="14" fillId="13" borderId="121" xfId="0" applyNumberFormat="1" applyFont="1" applyFill="1" applyBorder="1" applyAlignment="1">
      <alignment horizontal="center" vertical="center" wrapText="1"/>
    </xf>
    <xf numFmtId="49" fontId="10" fillId="8" borderId="120" xfId="0" applyNumberFormat="1" applyFont="1" applyFill="1" applyBorder="1" applyAlignment="1">
      <alignment horizontal="center" vertical="center" wrapText="1"/>
    </xf>
    <xf numFmtId="0" fontId="8" fillId="8" borderId="120" xfId="0" applyFont="1" applyFill="1" applyBorder="1" applyAlignment="1">
      <alignment horizontal="center" vertical="center" wrapText="1"/>
    </xf>
    <xf numFmtId="0" fontId="8" fillId="8" borderId="121" xfId="0" applyFont="1" applyFill="1" applyBorder="1" applyAlignment="1">
      <alignment horizontal="center" vertical="center" wrapText="1"/>
    </xf>
    <xf numFmtId="49" fontId="14" fillId="14" borderId="60" xfId="0" applyNumberFormat="1" applyFont="1" applyFill="1" applyBorder="1" applyAlignment="1">
      <alignment horizontal="center" vertical="center" wrapText="1"/>
    </xf>
    <xf numFmtId="49" fontId="14" fillId="14" borderId="12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 applyProtection="1">
      <alignment vertical="top"/>
      <protection locked="0"/>
    </xf>
    <xf numFmtId="0" fontId="0" fillId="0" borderId="7" xfId="0" applyBorder="1" applyAlignment="1" applyProtection="1">
      <alignment vertical="top"/>
      <protection locked="0"/>
    </xf>
    <xf numFmtId="49" fontId="4" fillId="0" borderId="2" xfId="0" applyNumberFormat="1" applyFont="1" applyBorder="1" applyAlignment="1" applyProtection="1">
      <alignment vertical="top"/>
      <protection locked="0"/>
    </xf>
    <xf numFmtId="0" fontId="0" fillId="0" borderId="3" xfId="0" applyBorder="1" applyAlignment="1" applyProtection="1">
      <alignment vertical="top"/>
      <protection locked="0"/>
    </xf>
    <xf numFmtId="0" fontId="0" fillId="0" borderId="4" xfId="0" applyBorder="1" applyAlignment="1" applyProtection="1">
      <alignment vertical="top"/>
      <protection locked="0"/>
    </xf>
    <xf numFmtId="0" fontId="0" fillId="0" borderId="8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7" fillId="0" borderId="0" xfId="0" applyFont="1" applyAlignment="1">
      <alignment horizontal="left" vertical="center"/>
    </xf>
    <xf numFmtId="49" fontId="15" fillId="9" borderId="31" xfId="0" applyNumberFormat="1" applyFont="1" applyFill="1" applyBorder="1" applyAlignment="1">
      <alignment horizontal="center" vertical="center"/>
    </xf>
    <xf numFmtId="49" fontId="15" fillId="9" borderId="32" xfId="0" applyNumberFormat="1" applyFont="1" applyFill="1" applyBorder="1" applyAlignment="1">
      <alignment horizontal="center" vertical="center"/>
    </xf>
    <xf numFmtId="49" fontId="15" fillId="9" borderId="60" xfId="0" applyNumberFormat="1" applyFont="1" applyFill="1" applyBorder="1" applyAlignment="1">
      <alignment horizontal="center" vertical="center"/>
    </xf>
    <xf numFmtId="49" fontId="15" fillId="9" borderId="33" xfId="0" applyNumberFormat="1" applyFont="1" applyFill="1" applyBorder="1" applyAlignment="1">
      <alignment horizontal="center" vertical="center"/>
    </xf>
    <xf numFmtId="49" fontId="15" fillId="9" borderId="0" xfId="0" applyNumberFormat="1" applyFont="1" applyFill="1" applyAlignment="1">
      <alignment horizontal="center" vertical="center"/>
    </xf>
    <xf numFmtId="49" fontId="15" fillId="9" borderId="45" xfId="0" applyNumberFormat="1" applyFont="1" applyFill="1" applyBorder="1" applyAlignment="1">
      <alignment horizontal="center" vertical="center"/>
    </xf>
    <xf numFmtId="49" fontId="15" fillId="9" borderId="76" xfId="0" applyNumberFormat="1" applyFont="1" applyFill="1" applyBorder="1" applyAlignment="1">
      <alignment horizontal="center" vertical="center"/>
    </xf>
    <xf numFmtId="49" fontId="15" fillId="9" borderId="30" xfId="0" applyNumberFormat="1" applyFont="1" applyFill="1" applyBorder="1" applyAlignment="1">
      <alignment horizontal="center" vertical="center"/>
    </xf>
    <xf numFmtId="49" fontId="15" fillId="9" borderId="77" xfId="0" applyNumberFormat="1" applyFont="1" applyFill="1" applyBorder="1" applyAlignment="1">
      <alignment horizontal="center" vertical="center"/>
    </xf>
    <xf numFmtId="49" fontId="15" fillId="0" borderId="31" xfId="0" applyNumberFormat="1" applyFont="1" applyBorder="1" applyAlignment="1">
      <alignment horizontal="center" vertical="center" wrapText="1"/>
    </xf>
    <xf numFmtId="49" fontId="15" fillId="0" borderId="76" xfId="0" applyNumberFormat="1" applyFont="1" applyBorder="1" applyAlignment="1">
      <alignment horizontal="center" vertical="center" wrapText="1"/>
    </xf>
    <xf numFmtId="49" fontId="15" fillId="0" borderId="32" xfId="0" applyNumberFormat="1" applyFont="1" applyBorder="1" applyAlignment="1">
      <alignment horizontal="center" vertical="center" wrapText="1"/>
    </xf>
    <xf numFmtId="49" fontId="15" fillId="0" borderId="60" xfId="0" applyNumberFormat="1" applyFont="1" applyBorder="1" applyAlignment="1">
      <alignment horizontal="center" vertical="center" wrapText="1"/>
    </xf>
    <xf numFmtId="49" fontId="15" fillId="0" borderId="30" xfId="0" applyNumberFormat="1" applyFont="1" applyBorder="1" applyAlignment="1">
      <alignment horizontal="center" vertical="center" wrapText="1"/>
    </xf>
    <xf numFmtId="49" fontId="15" fillId="0" borderId="77" xfId="0" applyNumberFormat="1" applyFont="1" applyBorder="1" applyAlignment="1">
      <alignment horizontal="center" vertical="center" wrapText="1"/>
    </xf>
    <xf numFmtId="49" fontId="15" fillId="0" borderId="33" xfId="0" applyNumberFormat="1" applyFont="1" applyBorder="1" applyAlignment="1">
      <alignment horizontal="center" vertical="center" wrapText="1"/>
    </xf>
    <xf numFmtId="49" fontId="15" fillId="0" borderId="45" xfId="0" applyNumberFormat="1" applyFont="1" applyBorder="1" applyAlignment="1">
      <alignment horizontal="center" vertical="center" wrapText="1"/>
    </xf>
    <xf numFmtId="49" fontId="15" fillId="0" borderId="75" xfId="0" applyNumberFormat="1" applyFont="1" applyBorder="1" applyAlignment="1">
      <alignment horizontal="center" vertical="center" wrapText="1"/>
    </xf>
    <xf numFmtId="49" fontId="15" fillId="0" borderId="78" xfId="0" applyNumberFormat="1" applyFont="1" applyBorder="1" applyAlignment="1">
      <alignment horizontal="center" vertical="center" wrapText="1"/>
    </xf>
    <xf numFmtId="49" fontId="10" fillId="0" borderId="75" xfId="0" applyNumberFormat="1" applyFont="1" applyBorder="1" applyAlignment="1">
      <alignment horizontal="center" vertical="center" wrapText="1"/>
    </xf>
    <xf numFmtId="49" fontId="10" fillId="0" borderId="73" xfId="0" applyNumberFormat="1" applyFont="1" applyBorder="1" applyAlignment="1">
      <alignment horizontal="center" vertical="center" wrapText="1"/>
    </xf>
    <xf numFmtId="49" fontId="15" fillId="0" borderId="28" xfId="0" applyNumberFormat="1" applyFont="1" applyBorder="1" applyAlignment="1">
      <alignment horizontal="center" vertical="center" wrapText="1"/>
    </xf>
    <xf numFmtId="49" fontId="15" fillId="0" borderId="21" xfId="0" applyNumberFormat="1" applyFont="1" applyBorder="1" applyAlignment="1">
      <alignment horizontal="center" vertical="center" wrapText="1"/>
    </xf>
    <xf numFmtId="49" fontId="15" fillId="0" borderId="29" xfId="0" applyNumberFormat="1" applyFont="1" applyBorder="1" applyAlignment="1">
      <alignment horizontal="center" vertical="center" wrapText="1"/>
    </xf>
    <xf numFmtId="0" fontId="10" fillId="12" borderId="28" xfId="0" applyFont="1" applyFill="1" applyBorder="1" applyAlignment="1">
      <alignment horizontal="center" vertical="center"/>
    </xf>
    <xf numFmtId="0" fontId="10" fillId="12" borderId="21" xfId="0" applyFont="1" applyFill="1" applyBorder="1" applyAlignment="1">
      <alignment horizontal="center" vertical="center"/>
    </xf>
    <xf numFmtId="0" fontId="10" fillId="12" borderId="29" xfId="0" applyFont="1" applyFill="1" applyBorder="1" applyAlignment="1">
      <alignment horizontal="center" vertical="center"/>
    </xf>
    <xf numFmtId="49" fontId="10" fillId="0" borderId="79" xfId="0" applyNumberFormat="1" applyFont="1" applyBorder="1" applyAlignment="1">
      <alignment horizontal="center" vertical="center" wrapText="1"/>
    </xf>
    <xf numFmtId="49" fontId="10" fillId="0" borderId="78" xfId="0" applyNumberFormat="1" applyFont="1" applyBorder="1" applyAlignment="1">
      <alignment horizontal="center" vertical="center" wrapText="1"/>
    </xf>
    <xf numFmtId="49" fontId="10" fillId="0" borderId="82" xfId="0" applyNumberFormat="1" applyFont="1" applyBorder="1" applyAlignment="1">
      <alignment horizontal="center" vertical="center" wrapText="1"/>
    </xf>
    <xf numFmtId="49" fontId="10" fillId="0" borderId="83" xfId="0" applyNumberFormat="1" applyFont="1" applyBorder="1" applyAlignment="1">
      <alignment horizontal="center" vertical="center" wrapText="1"/>
    </xf>
    <xf numFmtId="49" fontId="10" fillId="0" borderId="84" xfId="0" applyNumberFormat="1" applyFont="1" applyBorder="1" applyAlignment="1">
      <alignment horizontal="center" vertical="center" wrapText="1"/>
    </xf>
    <xf numFmtId="49" fontId="15" fillId="0" borderId="28" xfId="0" applyNumberFormat="1" applyFont="1" applyBorder="1" applyAlignment="1">
      <alignment horizontal="center" vertical="center" shrinkToFit="1"/>
    </xf>
    <xf numFmtId="49" fontId="15" fillId="0" borderId="29" xfId="0" applyNumberFormat="1" applyFont="1" applyBorder="1" applyAlignment="1">
      <alignment horizontal="center" vertical="center" shrinkToFit="1"/>
    </xf>
    <xf numFmtId="49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0" fillId="9" borderId="60" xfId="0" applyNumberFormat="1" applyFont="1" applyFill="1" applyBorder="1" applyAlignment="1">
      <alignment horizontal="center" vertical="center"/>
    </xf>
    <xf numFmtId="49" fontId="10" fillId="9" borderId="33" xfId="0" applyNumberFormat="1" applyFont="1" applyFill="1" applyBorder="1" applyAlignment="1">
      <alignment horizontal="center" vertical="center"/>
    </xf>
    <xf numFmtId="49" fontId="10" fillId="9" borderId="0" xfId="0" applyNumberFormat="1" applyFont="1" applyFill="1" applyAlignment="1">
      <alignment horizontal="center" vertical="center"/>
    </xf>
    <xf numFmtId="49" fontId="10" fillId="9" borderId="45" xfId="0" applyNumberFormat="1" applyFont="1" applyFill="1" applyBorder="1" applyAlignment="1">
      <alignment horizontal="center" vertical="center"/>
    </xf>
    <xf numFmtId="49" fontId="10" fillId="9" borderId="76" xfId="0" applyNumberFormat="1" applyFont="1" applyFill="1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77" xfId="0" applyNumberFormat="1" applyFont="1" applyFill="1" applyBorder="1" applyAlignment="1">
      <alignment horizontal="center" vertical="center"/>
    </xf>
    <xf numFmtId="49" fontId="15" fillId="9" borderId="75" xfId="0" applyNumberFormat="1" applyFont="1" applyFill="1" applyBorder="1" applyAlignment="1">
      <alignment horizontal="center" vertical="center" wrapText="1"/>
    </xf>
    <xf numFmtId="49" fontId="15" fillId="9" borderId="79" xfId="0" applyNumberFormat="1" applyFont="1" applyFill="1" applyBorder="1" applyAlignment="1">
      <alignment horizontal="center" vertical="center" wrapText="1"/>
    </xf>
    <xf numFmtId="49" fontId="15" fillId="9" borderId="78" xfId="0" applyNumberFormat="1" applyFont="1" applyFill="1" applyBorder="1" applyAlignment="1">
      <alignment horizontal="center" vertical="center" wrapText="1"/>
    </xf>
    <xf numFmtId="0" fontId="10" fillId="8" borderId="28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10" fillId="8" borderId="29" xfId="0" applyFont="1" applyFill="1" applyBorder="1" applyAlignment="1">
      <alignment horizontal="center" vertical="center"/>
    </xf>
  </cellXfs>
  <cellStyles count="3">
    <cellStyle name="桁区切り" xfId="2" builtinId="6"/>
    <cellStyle name="標準" xfId="0" builtinId="0"/>
    <cellStyle name="標準 2" xfId="1" xr:uid="{6A2A3D9D-9CF7-406C-AC3F-356BF66FDFAF}"/>
  </cellStyles>
  <dxfs count="0"/>
  <tableStyles count="0" defaultTableStyle="TableStyleMedium2" defaultPivotStyle="PivotStyleLight16"/>
  <colors>
    <mruColors>
      <color rgb="FFE0C2DC"/>
      <color rgb="FFDEBAD7"/>
      <color rgb="FFC5C2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1298759</xdr:colOff>
      <xdr:row>43</xdr:row>
      <xdr:rowOff>137109</xdr:rowOff>
    </xdr:from>
    <xdr:ext cx="192590" cy="188909"/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889DE19E-0D73-483A-8471-BCF42B31DD6B}"/>
            </a:ext>
          </a:extLst>
        </xdr:cNvPr>
        <xdr:cNvSpPr/>
      </xdr:nvSpPr>
      <xdr:spPr>
        <a:xfrm>
          <a:off x="19415309" y="6471234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ブ</a:t>
          </a:r>
        </a:p>
      </xdr:txBody>
    </xdr:sp>
    <xdr:clientData/>
  </xdr:oneCellAnchor>
  <xdr:oneCellAnchor>
    <xdr:from>
      <xdr:col>29</xdr:col>
      <xdr:colOff>2123093</xdr:colOff>
      <xdr:row>43</xdr:row>
      <xdr:rowOff>125903</xdr:rowOff>
    </xdr:from>
    <xdr:ext cx="192590" cy="188909"/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D2F52D2C-B75B-4C59-BE0F-BF81935DAAF6}"/>
            </a:ext>
          </a:extLst>
        </xdr:cNvPr>
        <xdr:cNvSpPr/>
      </xdr:nvSpPr>
      <xdr:spPr>
        <a:xfrm>
          <a:off x="20239643" y="6460028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羊</a:t>
          </a:r>
        </a:p>
      </xdr:txBody>
    </xdr:sp>
    <xdr:clientData/>
  </xdr:oneCellAnchor>
  <xdr:oneCellAnchor>
    <xdr:from>
      <xdr:col>29</xdr:col>
      <xdr:colOff>1109813</xdr:colOff>
      <xdr:row>87</xdr:row>
      <xdr:rowOff>124865</xdr:rowOff>
    </xdr:from>
    <xdr:ext cx="192590" cy="188909"/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F339EADB-C350-4A22-84B9-0F4331F160FC}"/>
            </a:ext>
          </a:extLst>
        </xdr:cNvPr>
        <xdr:cNvSpPr/>
      </xdr:nvSpPr>
      <xdr:spPr>
        <a:xfrm>
          <a:off x="19226363" y="15031490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ブ</a:t>
          </a:r>
        </a:p>
      </xdr:txBody>
    </xdr:sp>
    <xdr:clientData/>
  </xdr:oneCellAnchor>
  <xdr:oneCellAnchor>
    <xdr:from>
      <xdr:col>29</xdr:col>
      <xdr:colOff>2028905</xdr:colOff>
      <xdr:row>87</xdr:row>
      <xdr:rowOff>124865</xdr:rowOff>
    </xdr:from>
    <xdr:ext cx="192590" cy="188909"/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335736B1-B49B-49B8-845C-B767674D05A9}"/>
            </a:ext>
          </a:extLst>
        </xdr:cNvPr>
        <xdr:cNvSpPr/>
      </xdr:nvSpPr>
      <xdr:spPr>
        <a:xfrm>
          <a:off x="20145455" y="15031490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羊</a:t>
          </a:r>
        </a:p>
      </xdr:txBody>
    </xdr:sp>
    <xdr:clientData/>
  </xdr:oneCellAnchor>
  <xdr:oneCellAnchor>
    <xdr:from>
      <xdr:col>29</xdr:col>
      <xdr:colOff>1351410</xdr:colOff>
      <xdr:row>90</xdr:row>
      <xdr:rowOff>122145</xdr:rowOff>
    </xdr:from>
    <xdr:ext cx="192590" cy="188909"/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6C8D0D9D-942F-4048-A46F-2EF54DBDA110}"/>
            </a:ext>
          </a:extLst>
        </xdr:cNvPr>
        <xdr:cNvSpPr/>
      </xdr:nvSpPr>
      <xdr:spPr>
        <a:xfrm>
          <a:off x="19467960" y="15457395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ブ</a:t>
          </a:r>
        </a:p>
      </xdr:txBody>
    </xdr:sp>
    <xdr:clientData/>
  </xdr:oneCellAnchor>
  <xdr:oneCellAnchor>
    <xdr:from>
      <xdr:col>29</xdr:col>
      <xdr:colOff>1111044</xdr:colOff>
      <xdr:row>93</xdr:row>
      <xdr:rowOff>122833</xdr:rowOff>
    </xdr:from>
    <xdr:ext cx="192590" cy="188909"/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3CB419CC-4C64-428A-9A2D-B3AB9D926B69}"/>
            </a:ext>
          </a:extLst>
        </xdr:cNvPr>
        <xdr:cNvSpPr/>
      </xdr:nvSpPr>
      <xdr:spPr>
        <a:xfrm>
          <a:off x="19227594" y="15886708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ブ</a:t>
          </a:r>
        </a:p>
      </xdr:txBody>
    </xdr:sp>
    <xdr:clientData/>
  </xdr:oneCellAnchor>
  <xdr:oneCellAnchor>
    <xdr:from>
      <xdr:col>29</xdr:col>
      <xdr:colOff>2057781</xdr:colOff>
      <xdr:row>93</xdr:row>
      <xdr:rowOff>134039</xdr:rowOff>
    </xdr:from>
    <xdr:ext cx="192590" cy="188909"/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C1B2F5CE-AAD1-40BC-8E93-BBB27451BC08}"/>
            </a:ext>
          </a:extLst>
        </xdr:cNvPr>
        <xdr:cNvSpPr/>
      </xdr:nvSpPr>
      <xdr:spPr>
        <a:xfrm>
          <a:off x="20174331" y="15897914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羊</a:t>
          </a:r>
        </a:p>
      </xdr:txBody>
    </xdr:sp>
    <xdr:clientData/>
  </xdr:oneCellAnchor>
  <xdr:oneCellAnchor>
    <xdr:from>
      <xdr:col>29</xdr:col>
      <xdr:colOff>61800</xdr:colOff>
      <xdr:row>37</xdr:row>
      <xdr:rowOff>118575</xdr:rowOff>
    </xdr:from>
    <xdr:ext cx="192590" cy="188909"/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559D070F-1824-4857-89BA-2557E77C13B5}"/>
            </a:ext>
          </a:extLst>
        </xdr:cNvPr>
        <xdr:cNvSpPr/>
      </xdr:nvSpPr>
      <xdr:spPr>
        <a:xfrm>
          <a:off x="18178350" y="4738200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ブ</a:t>
          </a:r>
        </a:p>
      </xdr:txBody>
    </xdr:sp>
    <xdr:clientData/>
  </xdr:oneCellAnchor>
  <xdr:oneCellAnchor>
    <xdr:from>
      <xdr:col>29</xdr:col>
      <xdr:colOff>1867451</xdr:colOff>
      <xdr:row>37</xdr:row>
      <xdr:rowOff>120977</xdr:rowOff>
    </xdr:from>
    <xdr:ext cx="192590" cy="188909"/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56C8D7E3-4E45-484E-8EDA-C77A6EC95B0A}"/>
            </a:ext>
          </a:extLst>
        </xdr:cNvPr>
        <xdr:cNvSpPr/>
      </xdr:nvSpPr>
      <xdr:spPr>
        <a:xfrm>
          <a:off x="19984001" y="4740602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羊</a:t>
          </a:r>
        </a:p>
      </xdr:txBody>
    </xdr:sp>
    <xdr:clientData/>
  </xdr:oneCellAnchor>
  <xdr:oneCellAnchor>
    <xdr:from>
      <xdr:col>29</xdr:col>
      <xdr:colOff>79568</xdr:colOff>
      <xdr:row>45</xdr:row>
      <xdr:rowOff>129941</xdr:rowOff>
    </xdr:from>
    <xdr:ext cx="192590" cy="188909"/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1C32D85D-C448-4C46-A314-FCB2C041FB97}"/>
            </a:ext>
          </a:extLst>
        </xdr:cNvPr>
        <xdr:cNvSpPr/>
      </xdr:nvSpPr>
      <xdr:spPr>
        <a:xfrm>
          <a:off x="18196118" y="7321316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ブ</a:t>
          </a:r>
        </a:p>
      </xdr:txBody>
    </xdr:sp>
    <xdr:clientData/>
  </xdr:oneCellAnchor>
  <xdr:oneCellAnchor>
    <xdr:from>
      <xdr:col>29</xdr:col>
      <xdr:colOff>2122787</xdr:colOff>
      <xdr:row>45</xdr:row>
      <xdr:rowOff>129781</xdr:rowOff>
    </xdr:from>
    <xdr:ext cx="192590" cy="188909"/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D11CFEAC-242E-48BD-ABB0-1A4682D90C5F}"/>
            </a:ext>
          </a:extLst>
        </xdr:cNvPr>
        <xdr:cNvSpPr/>
      </xdr:nvSpPr>
      <xdr:spPr>
        <a:xfrm>
          <a:off x="20239337" y="7321156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羊</a:t>
          </a:r>
        </a:p>
      </xdr:txBody>
    </xdr:sp>
    <xdr:clientData/>
  </xdr:oneCellAnchor>
  <xdr:oneCellAnchor>
    <xdr:from>
      <xdr:col>29</xdr:col>
      <xdr:colOff>2067875</xdr:colOff>
      <xdr:row>61</xdr:row>
      <xdr:rowOff>121297</xdr:rowOff>
    </xdr:from>
    <xdr:ext cx="192590" cy="188909"/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B40E833F-46C1-4797-8A00-F0F63D96A4CD}"/>
            </a:ext>
          </a:extLst>
        </xdr:cNvPr>
        <xdr:cNvSpPr/>
      </xdr:nvSpPr>
      <xdr:spPr>
        <a:xfrm>
          <a:off x="20184425" y="9027172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羊</a:t>
          </a:r>
        </a:p>
      </xdr:txBody>
    </xdr:sp>
    <xdr:clientData/>
  </xdr:oneCellAnchor>
  <xdr:oneCellAnchor>
    <xdr:from>
      <xdr:col>29</xdr:col>
      <xdr:colOff>3198389</xdr:colOff>
      <xdr:row>71</xdr:row>
      <xdr:rowOff>124019</xdr:rowOff>
    </xdr:from>
    <xdr:ext cx="192590" cy="188909"/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5F08EC92-97A5-4D92-9FD7-C14FBB3CA448}"/>
            </a:ext>
          </a:extLst>
        </xdr:cNvPr>
        <xdr:cNvSpPr/>
      </xdr:nvSpPr>
      <xdr:spPr>
        <a:xfrm>
          <a:off x="21314939" y="11601644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羊</a:t>
          </a:r>
        </a:p>
      </xdr:txBody>
    </xdr:sp>
    <xdr:clientData/>
  </xdr:oneCellAnchor>
  <xdr:oneCellAnchor>
    <xdr:from>
      <xdr:col>29</xdr:col>
      <xdr:colOff>81248</xdr:colOff>
      <xdr:row>71</xdr:row>
      <xdr:rowOff>104728</xdr:rowOff>
    </xdr:from>
    <xdr:ext cx="192590" cy="188909"/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85A8E130-E454-447E-9047-9E3762D8BDF6}"/>
            </a:ext>
          </a:extLst>
        </xdr:cNvPr>
        <xdr:cNvSpPr/>
      </xdr:nvSpPr>
      <xdr:spPr>
        <a:xfrm>
          <a:off x="18197798" y="11582353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ブ</a:t>
          </a:r>
        </a:p>
      </xdr:txBody>
    </xdr:sp>
    <xdr:clientData/>
  </xdr:oneCellAnchor>
  <xdr:oneCellAnchor>
    <xdr:from>
      <xdr:col>29</xdr:col>
      <xdr:colOff>99177</xdr:colOff>
      <xdr:row>61</xdr:row>
      <xdr:rowOff>122659</xdr:rowOff>
    </xdr:from>
    <xdr:ext cx="192590" cy="188909"/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0ADE3663-6101-42EF-9DB1-7BA212B5919B}"/>
            </a:ext>
          </a:extLst>
        </xdr:cNvPr>
        <xdr:cNvSpPr/>
      </xdr:nvSpPr>
      <xdr:spPr>
        <a:xfrm>
          <a:off x="18215727" y="9028534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ブ</a:t>
          </a:r>
        </a:p>
      </xdr:txBody>
    </xdr:sp>
    <xdr:clientData/>
  </xdr:oneCellAnchor>
  <xdr:oneCellAnchor>
    <xdr:from>
      <xdr:col>29</xdr:col>
      <xdr:colOff>1282344</xdr:colOff>
      <xdr:row>7</xdr:row>
      <xdr:rowOff>114173</xdr:rowOff>
    </xdr:from>
    <xdr:ext cx="192590" cy="188909"/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F86A4AC1-87D5-453B-9103-6B3F436381EF}"/>
            </a:ext>
          </a:extLst>
        </xdr:cNvPr>
        <xdr:cNvSpPr/>
      </xdr:nvSpPr>
      <xdr:spPr>
        <a:xfrm>
          <a:off x="19398894" y="3019298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羊</a:t>
          </a:r>
        </a:p>
      </xdr:txBody>
    </xdr:sp>
    <xdr:clientData/>
  </xdr:oneCellAnchor>
  <xdr:oneCellAnchor>
    <xdr:from>
      <xdr:col>29</xdr:col>
      <xdr:colOff>1109813</xdr:colOff>
      <xdr:row>86</xdr:row>
      <xdr:rowOff>124865</xdr:rowOff>
    </xdr:from>
    <xdr:ext cx="192590" cy="188909"/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0810CED9-5494-4A45-A593-7579507D78EA}"/>
            </a:ext>
          </a:extLst>
        </xdr:cNvPr>
        <xdr:cNvSpPr/>
      </xdr:nvSpPr>
      <xdr:spPr>
        <a:xfrm>
          <a:off x="19226363" y="14602865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ブ</a:t>
          </a:r>
        </a:p>
      </xdr:txBody>
    </xdr:sp>
    <xdr:clientData/>
  </xdr:oneCellAnchor>
  <xdr:oneCellAnchor>
    <xdr:from>
      <xdr:col>29</xdr:col>
      <xdr:colOff>2028905</xdr:colOff>
      <xdr:row>86</xdr:row>
      <xdr:rowOff>124865</xdr:rowOff>
    </xdr:from>
    <xdr:ext cx="192590" cy="188909"/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F8D8E8B4-0FB1-41AF-A71B-4279DC04E705}"/>
            </a:ext>
          </a:extLst>
        </xdr:cNvPr>
        <xdr:cNvSpPr/>
      </xdr:nvSpPr>
      <xdr:spPr>
        <a:xfrm>
          <a:off x="20145455" y="14602865"/>
          <a:ext cx="192590" cy="188909"/>
        </a:xfrm>
        <a:prstGeom prst="ellipse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羊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020084/Downloads/&#12502;&#12522;&#12483;&#12463;&#21454;&#25903;.xlsx" TargetMode="External"/><Relationship Id="rId1" Type="http://schemas.openxmlformats.org/officeDocument/2006/relationships/externalLinkPath" Target="file:///C:/Users/020084/Downloads/&#12502;&#12522;&#12483;&#12463;&#21454;&#259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7収支 当社ver"/>
      <sheetName val="Sheet1"/>
      <sheetName val="ノルテソフトクリーム収支"/>
      <sheetName val="R6収支 当社ver (2)"/>
      <sheetName val="R6収支 当社ver"/>
      <sheetName val="R5収支 当社ver"/>
      <sheetName val="R4収支 当社ver"/>
      <sheetName val="伊賀さん用"/>
      <sheetName val="JW、NP分析"/>
      <sheetName val="R3収支 当社ver"/>
      <sheetName val="R2収支 くろまつ追加"/>
      <sheetName val="Sheet4"/>
      <sheetName val="R1収支 店舗運営委託料精算、業務委託料、業務委託料調整分除外"/>
      <sheetName val="R0収支"/>
    </sheetNames>
    <sheetDataSet>
      <sheetData sheetId="0"/>
      <sheetData sheetId="1">
        <row r="12">
          <cell r="C12">
            <v>1206393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23">
          <cell r="E123">
            <v>1154200</v>
          </cell>
        </row>
        <row r="128">
          <cell r="E128">
            <v>1666667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D02B-B5BC-4AEE-98BD-97013239F318}">
  <sheetPr>
    <tabColor rgb="FF00B0F0"/>
    <pageSetUpPr fitToPage="1"/>
  </sheetPr>
  <dimension ref="A1:BT122"/>
  <sheetViews>
    <sheetView showGridLines="0" view="pageBreakPreview" zoomScale="50" zoomScaleNormal="90" zoomScaleSheetLayoutView="90" workbookViewId="0">
      <pane xSplit="4" ySplit="6" topLeftCell="E7" activePane="bottomRight" state="frozen"/>
      <selection activeCell="O16" sqref="O16"/>
      <selection pane="topRight" activeCell="O16" sqref="O16"/>
      <selection pane="bottomLeft" activeCell="O16" sqref="O16"/>
      <selection pane="bottomRight" activeCell="AT8" sqref="AT8"/>
    </sheetView>
  </sheetViews>
  <sheetFormatPr baseColWidth="10" defaultColWidth="9" defaultRowHeight="18" outlineLevelRow="1"/>
  <cols>
    <col min="1" max="1" width="2.33203125" customWidth="1"/>
    <col min="2" max="2" width="3.83203125" customWidth="1"/>
    <col min="3" max="3" width="9.6640625" customWidth="1"/>
    <col min="4" max="4" width="2.1640625" customWidth="1"/>
    <col min="5" max="6" width="8.5" bestFit="1" customWidth="1"/>
    <col min="7" max="7" width="7.6640625" bestFit="1" customWidth="1"/>
    <col min="8" max="8" width="8.5" bestFit="1" customWidth="1"/>
    <col min="9" max="9" width="7.6640625" bestFit="1" customWidth="1"/>
    <col min="10" max="11" width="8.5" bestFit="1" customWidth="1"/>
    <col min="12" max="12" width="6.6640625" bestFit="1" customWidth="1"/>
    <col min="13" max="13" width="8.5" bestFit="1" customWidth="1"/>
    <col min="14" max="14" width="7.6640625" bestFit="1" customWidth="1"/>
    <col min="15" max="16" width="8.5" bestFit="1" customWidth="1"/>
    <col min="17" max="17" width="6.6640625" bestFit="1" customWidth="1"/>
    <col min="18" max="18" width="8.5" bestFit="1" customWidth="1"/>
    <col min="19" max="19" width="6.6640625" bestFit="1" customWidth="1"/>
    <col min="20" max="21" width="8.5" bestFit="1" customWidth="1"/>
    <col min="22" max="22" width="7.6640625" bestFit="1" customWidth="1"/>
    <col min="23" max="23" width="8.5" bestFit="1" customWidth="1"/>
    <col min="24" max="24" width="7.6640625" bestFit="1" customWidth="1"/>
    <col min="25" max="31" width="8.5" bestFit="1" customWidth="1"/>
    <col min="32" max="32" width="7.6640625" bestFit="1" customWidth="1"/>
    <col min="33" max="33" width="8.5" bestFit="1" customWidth="1"/>
    <col min="34" max="34" width="7.6640625" bestFit="1" customWidth="1"/>
    <col min="35" max="41" width="8.5" bestFit="1" customWidth="1"/>
    <col min="42" max="42" width="7.6640625" bestFit="1" customWidth="1"/>
    <col min="43" max="43" width="8.5" bestFit="1" customWidth="1"/>
    <col min="44" max="44" width="7.6640625" bestFit="1" customWidth="1"/>
    <col min="45" max="45" width="8.5" bestFit="1" customWidth="1"/>
    <col min="46" max="46" width="10" customWidth="1"/>
    <col min="47" max="50" width="8.5" bestFit="1" customWidth="1"/>
    <col min="51" max="51" width="12.33203125" customWidth="1"/>
    <col min="52" max="54" width="8.5" bestFit="1" customWidth="1"/>
    <col min="55" max="57" width="14.5" customWidth="1"/>
    <col min="58" max="62" width="8.5" bestFit="1" customWidth="1"/>
    <col min="63" max="67" width="10.83203125" customWidth="1"/>
    <col min="68" max="69" width="10.1640625" bestFit="1" customWidth="1"/>
    <col min="70" max="70" width="9.33203125" bestFit="1" customWidth="1"/>
    <col min="71" max="71" width="10.1640625" bestFit="1" customWidth="1"/>
    <col min="72" max="72" width="9.33203125" bestFit="1" customWidth="1"/>
    <col min="73" max="16384" width="9" style="1"/>
  </cols>
  <sheetData>
    <row r="1" spans="1:72" ht="31">
      <c r="A1" s="179" t="s">
        <v>256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 t="s">
        <v>256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</row>
    <row r="2" spans="1:72" s="69" customFormat="1" ht="19.5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558" t="s">
        <v>323</v>
      </c>
      <c r="AL2" s="558"/>
      <c r="AM2" s="55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558" t="s">
        <v>323</v>
      </c>
      <c r="BN2" s="558"/>
      <c r="BO2" s="558"/>
      <c r="BP2" s="557" t="s">
        <v>323</v>
      </c>
      <c r="BQ2" s="557"/>
      <c r="BR2" s="557"/>
      <c r="BS2" s="557"/>
      <c r="BT2" s="557"/>
    </row>
    <row r="3" spans="1:72" s="69" customFormat="1" ht="22" customHeight="1" thickBot="1">
      <c r="A3" s="537" t="s">
        <v>1</v>
      </c>
      <c r="B3" s="538"/>
      <c r="C3" s="70"/>
      <c r="D3" s="70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71"/>
      <c r="Z3" s="174"/>
      <c r="AA3" s="174"/>
      <c r="AB3" s="174"/>
      <c r="AC3" s="174"/>
      <c r="AD3" s="71"/>
      <c r="AE3" s="174"/>
      <c r="AF3" s="174"/>
      <c r="AG3" s="174"/>
      <c r="AH3" s="71"/>
      <c r="AI3" s="71"/>
      <c r="AJ3" s="174"/>
      <c r="AK3" s="174"/>
      <c r="AL3" s="174"/>
      <c r="AM3" s="73"/>
      <c r="AN3" s="180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/>
      <c r="BF3" s="71"/>
      <c r="BG3" s="174"/>
      <c r="BH3" s="174"/>
      <c r="BI3" s="174"/>
      <c r="BJ3" s="174"/>
      <c r="BK3" s="174"/>
      <c r="BL3" s="174"/>
      <c r="BM3" s="174"/>
      <c r="BN3" s="174"/>
      <c r="BO3" s="175"/>
      <c r="BP3" s="182"/>
      <c r="BQ3" s="174"/>
      <c r="BR3" s="174"/>
      <c r="BS3" s="174"/>
      <c r="BT3" s="175"/>
    </row>
    <row r="4" spans="1:72" s="69" customFormat="1" ht="22" customHeight="1" thickBot="1">
      <c r="A4" s="539"/>
      <c r="B4" s="540"/>
      <c r="C4" s="74"/>
      <c r="D4" s="74"/>
      <c r="E4" s="521"/>
      <c r="F4" s="522"/>
      <c r="G4" s="522"/>
      <c r="H4" s="522"/>
      <c r="I4" s="522"/>
      <c r="J4" s="522"/>
      <c r="K4" s="522"/>
      <c r="L4" s="522"/>
      <c r="M4" s="522"/>
      <c r="N4" s="522"/>
      <c r="O4" s="522"/>
      <c r="P4" s="522"/>
      <c r="Q4" s="522"/>
      <c r="R4" s="522"/>
      <c r="S4" s="522"/>
      <c r="T4" s="552" t="s">
        <v>257</v>
      </c>
      <c r="U4" s="552"/>
      <c r="V4" s="552"/>
      <c r="W4" s="552"/>
      <c r="X4" s="553"/>
      <c r="Y4" s="526"/>
      <c r="Z4" s="526"/>
      <c r="AA4" s="526"/>
      <c r="AB4" s="526"/>
      <c r="AC4" s="526"/>
      <c r="AD4" s="526"/>
      <c r="AE4" s="526"/>
      <c r="AF4" s="526"/>
      <c r="AG4" s="526"/>
      <c r="AH4" s="527"/>
      <c r="AI4" s="560" t="s">
        <v>258</v>
      </c>
      <c r="AJ4" s="560"/>
      <c r="AK4" s="560"/>
      <c r="AL4" s="560"/>
      <c r="AM4" s="561"/>
      <c r="AN4" s="523"/>
      <c r="AO4" s="524"/>
      <c r="AP4" s="524"/>
      <c r="AQ4" s="524"/>
      <c r="AR4" s="524"/>
      <c r="AS4" s="524"/>
      <c r="AT4" s="524"/>
      <c r="AU4" s="524"/>
      <c r="AV4" s="524"/>
      <c r="AW4" s="524"/>
      <c r="AX4" s="565" t="s">
        <v>259</v>
      </c>
      <c r="AY4" s="565"/>
      <c r="AZ4" s="565"/>
      <c r="BA4" s="565"/>
      <c r="BB4" s="566"/>
      <c r="BC4" s="525"/>
      <c r="BD4" s="525"/>
      <c r="BE4" s="572" t="s">
        <v>321</v>
      </c>
      <c r="BF4" s="528"/>
      <c r="BG4" s="528"/>
      <c r="BH4" s="528"/>
      <c r="BI4" s="528"/>
      <c r="BJ4" s="529"/>
      <c r="BK4" s="72"/>
      <c r="BL4" s="72"/>
      <c r="BM4" s="72"/>
      <c r="BN4" s="72"/>
      <c r="BO4" s="183"/>
      <c r="BP4" s="516"/>
      <c r="BQ4" s="72"/>
      <c r="BR4" s="72"/>
      <c r="BS4" s="72"/>
      <c r="BT4" s="183"/>
    </row>
    <row r="5" spans="1:72" s="76" customFormat="1" ht="22" customHeight="1" thickBot="1">
      <c r="A5" s="539"/>
      <c r="B5" s="540"/>
      <c r="C5" s="74"/>
      <c r="D5" s="74"/>
      <c r="E5" s="548" t="s">
        <v>245</v>
      </c>
      <c r="F5" s="549"/>
      <c r="G5" s="549"/>
      <c r="H5" s="549"/>
      <c r="I5" s="549"/>
      <c r="J5" s="550" t="s">
        <v>246</v>
      </c>
      <c r="K5" s="549"/>
      <c r="L5" s="549"/>
      <c r="M5" s="549"/>
      <c r="N5" s="551"/>
      <c r="O5" s="547" t="s">
        <v>247</v>
      </c>
      <c r="P5" s="544"/>
      <c r="Q5" s="544"/>
      <c r="R5" s="544"/>
      <c r="S5" s="545"/>
      <c r="T5" s="554"/>
      <c r="U5" s="554"/>
      <c r="V5" s="554"/>
      <c r="W5" s="554"/>
      <c r="X5" s="555"/>
      <c r="Y5" s="543" t="s">
        <v>248</v>
      </c>
      <c r="Z5" s="544"/>
      <c r="AA5" s="544"/>
      <c r="AB5" s="544"/>
      <c r="AC5" s="559"/>
      <c r="AD5" s="543" t="s">
        <v>249</v>
      </c>
      <c r="AE5" s="544"/>
      <c r="AF5" s="544"/>
      <c r="AG5" s="544"/>
      <c r="AH5" s="545"/>
      <c r="AI5" s="562"/>
      <c r="AJ5" s="563"/>
      <c r="AK5" s="563"/>
      <c r="AL5" s="563"/>
      <c r="AM5" s="564"/>
      <c r="AN5" s="546" t="s">
        <v>250</v>
      </c>
      <c r="AO5" s="544"/>
      <c r="AP5" s="544"/>
      <c r="AQ5" s="544"/>
      <c r="AR5" s="544"/>
      <c r="AS5" s="547" t="s">
        <v>251</v>
      </c>
      <c r="AT5" s="544"/>
      <c r="AU5" s="544"/>
      <c r="AV5" s="544"/>
      <c r="AW5" s="545"/>
      <c r="AX5" s="567"/>
      <c r="AY5" s="567"/>
      <c r="AZ5" s="567"/>
      <c r="BA5" s="567"/>
      <c r="BB5" s="568"/>
      <c r="BC5" s="514" t="s">
        <v>319</v>
      </c>
      <c r="BD5" s="515" t="s">
        <v>320</v>
      </c>
      <c r="BE5" s="573"/>
      <c r="BF5" s="569" t="s">
        <v>244</v>
      </c>
      <c r="BG5" s="570"/>
      <c r="BH5" s="570"/>
      <c r="BI5" s="570"/>
      <c r="BJ5" s="571"/>
      <c r="BK5" s="548" t="s">
        <v>322</v>
      </c>
      <c r="BL5" s="549"/>
      <c r="BM5" s="549"/>
      <c r="BN5" s="549"/>
      <c r="BO5" s="556"/>
      <c r="BP5" s="548" t="s">
        <v>322</v>
      </c>
      <c r="BQ5" s="549"/>
      <c r="BR5" s="549"/>
      <c r="BS5" s="549"/>
      <c r="BT5" s="556"/>
    </row>
    <row r="6" spans="1:72" s="81" customFormat="1" ht="22" customHeight="1" thickTop="1">
      <c r="A6" s="541"/>
      <c r="B6" s="542"/>
      <c r="C6" s="77"/>
      <c r="D6" s="77"/>
      <c r="E6" s="75" t="s">
        <v>252</v>
      </c>
      <c r="F6" s="78" t="s">
        <v>254</v>
      </c>
      <c r="G6" s="79" t="s">
        <v>241</v>
      </c>
      <c r="H6" s="78" t="s">
        <v>253</v>
      </c>
      <c r="I6" s="184" t="s">
        <v>242</v>
      </c>
      <c r="J6" s="185" t="s">
        <v>252</v>
      </c>
      <c r="K6" s="78" t="s">
        <v>254</v>
      </c>
      <c r="L6" s="79" t="s">
        <v>241</v>
      </c>
      <c r="M6" s="78" t="s">
        <v>253</v>
      </c>
      <c r="N6" s="186" t="s">
        <v>242</v>
      </c>
      <c r="O6" s="181" t="s">
        <v>252</v>
      </c>
      <c r="P6" s="78" t="s">
        <v>254</v>
      </c>
      <c r="Q6" s="79" t="s">
        <v>241</v>
      </c>
      <c r="R6" s="78" t="s">
        <v>253</v>
      </c>
      <c r="S6" s="184" t="s">
        <v>242</v>
      </c>
      <c r="T6" s="519" t="s">
        <v>252</v>
      </c>
      <c r="U6" s="517" t="s">
        <v>254</v>
      </c>
      <c r="V6" s="518" t="s">
        <v>241</v>
      </c>
      <c r="W6" s="517" t="s">
        <v>253</v>
      </c>
      <c r="X6" s="520" t="s">
        <v>242</v>
      </c>
      <c r="Y6" s="181" t="s">
        <v>252</v>
      </c>
      <c r="Z6" s="78" t="s">
        <v>254</v>
      </c>
      <c r="AA6" s="79" t="s">
        <v>241</v>
      </c>
      <c r="AB6" s="78" t="s">
        <v>253</v>
      </c>
      <c r="AC6" s="186" t="s">
        <v>242</v>
      </c>
      <c r="AD6" s="181" t="s">
        <v>252</v>
      </c>
      <c r="AE6" s="78" t="s">
        <v>254</v>
      </c>
      <c r="AF6" s="79" t="s">
        <v>241</v>
      </c>
      <c r="AG6" s="78" t="s">
        <v>253</v>
      </c>
      <c r="AH6" s="80" t="s">
        <v>242</v>
      </c>
      <c r="AI6" s="75" t="s">
        <v>252</v>
      </c>
      <c r="AJ6" s="78" t="s">
        <v>254</v>
      </c>
      <c r="AK6" s="79" t="s">
        <v>241</v>
      </c>
      <c r="AL6" s="78" t="s">
        <v>253</v>
      </c>
      <c r="AM6" s="80" t="s">
        <v>242</v>
      </c>
      <c r="AN6" s="75" t="s">
        <v>252</v>
      </c>
      <c r="AO6" s="78" t="s">
        <v>240</v>
      </c>
      <c r="AP6" s="79" t="s">
        <v>241</v>
      </c>
      <c r="AQ6" s="78" t="s">
        <v>253</v>
      </c>
      <c r="AR6" s="184" t="s">
        <v>242</v>
      </c>
      <c r="AS6" s="185" t="s">
        <v>252</v>
      </c>
      <c r="AT6" s="78" t="s">
        <v>240</v>
      </c>
      <c r="AU6" s="79" t="s">
        <v>241</v>
      </c>
      <c r="AV6" s="78" t="s">
        <v>253</v>
      </c>
      <c r="AW6" s="80" t="s">
        <v>242</v>
      </c>
      <c r="AX6" s="75" t="s">
        <v>252</v>
      </c>
      <c r="AY6" s="78" t="s">
        <v>254</v>
      </c>
      <c r="AZ6" s="79" t="s">
        <v>241</v>
      </c>
      <c r="BA6" s="78" t="s">
        <v>253</v>
      </c>
      <c r="BB6" s="80" t="s">
        <v>242</v>
      </c>
      <c r="BC6" s="75" t="s">
        <v>252</v>
      </c>
      <c r="BD6" s="185" t="s">
        <v>252</v>
      </c>
      <c r="BE6" s="75" t="s">
        <v>252</v>
      </c>
      <c r="BF6" s="75" t="s">
        <v>252</v>
      </c>
      <c r="BG6" s="78" t="s">
        <v>254</v>
      </c>
      <c r="BH6" s="79" t="s">
        <v>241</v>
      </c>
      <c r="BI6" s="78" t="s">
        <v>253</v>
      </c>
      <c r="BJ6" s="80" t="s">
        <v>242</v>
      </c>
      <c r="BK6" s="75" t="s">
        <v>252</v>
      </c>
      <c r="BL6" s="78" t="s">
        <v>254</v>
      </c>
      <c r="BM6" s="79" t="s">
        <v>241</v>
      </c>
      <c r="BN6" s="78" t="s">
        <v>255</v>
      </c>
      <c r="BO6" s="80" t="s">
        <v>242</v>
      </c>
      <c r="BP6" s="75" t="s">
        <v>252</v>
      </c>
      <c r="BQ6" s="78" t="s">
        <v>254</v>
      </c>
      <c r="BR6" s="79" t="s">
        <v>241</v>
      </c>
      <c r="BS6" s="78" t="s">
        <v>255</v>
      </c>
      <c r="BT6" s="80" t="s">
        <v>242</v>
      </c>
    </row>
    <row r="7" spans="1:72" s="88" customFormat="1" ht="22" customHeight="1">
      <c r="A7" s="82" t="s">
        <v>4</v>
      </c>
      <c r="B7" s="83"/>
      <c r="C7" s="83"/>
      <c r="D7" s="83"/>
      <c r="E7" s="84">
        <f>+ﾇｰﾍﾞﾙﾌﾟｰｽ!W6/1000</f>
        <v>98216.5</v>
      </c>
      <c r="F7" s="85">
        <v>97828.758000000002</v>
      </c>
      <c r="G7" s="85">
        <f>+E7-F7</f>
        <v>387.74199999999837</v>
      </c>
      <c r="H7" s="85">
        <v>89665</v>
      </c>
      <c r="I7" s="87">
        <f>+E7-H7</f>
        <v>8551.5</v>
      </c>
      <c r="J7" s="187">
        <f>+ｶﾌｪﾙﾎﾟ!W6/1000</f>
        <v>9212.0969999999998</v>
      </c>
      <c r="K7" s="85">
        <v>8192.4230000000007</v>
      </c>
      <c r="L7" s="85">
        <f>+J7-K7</f>
        <v>1019.6739999999991</v>
      </c>
      <c r="M7" s="85">
        <v>10007</v>
      </c>
      <c r="N7" s="188">
        <f>+J7-M7</f>
        <v>-794.90300000000025</v>
      </c>
      <c r="O7" s="87">
        <f>+ｶﾌｪｾﾚｽﾃ!W6/1000</f>
        <v>19649</v>
      </c>
      <c r="P7" s="85">
        <v>18903.478999999999</v>
      </c>
      <c r="Q7" s="85">
        <f>+O7-P7</f>
        <v>745.52100000000064</v>
      </c>
      <c r="R7" s="85">
        <v>15319</v>
      </c>
      <c r="S7" s="87">
        <f>+O7-R7</f>
        <v>4330</v>
      </c>
      <c r="T7" s="84">
        <f>+E7+J7+O7</f>
        <v>127077.59699999999</v>
      </c>
      <c r="U7" s="85">
        <f>+F7+K7+P7</f>
        <v>124924.66</v>
      </c>
      <c r="V7" s="85">
        <f>+T7-U7</f>
        <v>2152.9369999999908</v>
      </c>
      <c r="W7" s="85">
        <f>+H7+M7+R7</f>
        <v>114991</v>
      </c>
      <c r="X7" s="86">
        <f>+T7-W7</f>
        <v>12086.596999999994</v>
      </c>
      <c r="Y7" s="87">
        <v>0</v>
      </c>
      <c r="Z7" s="85">
        <v>23648.19</v>
      </c>
      <c r="AA7" s="85">
        <f>+Y7-Z7</f>
        <v>-23648.19</v>
      </c>
      <c r="AB7" s="85">
        <v>20772</v>
      </c>
      <c r="AC7" s="188">
        <f>+Y7-AB7</f>
        <v>-20772</v>
      </c>
      <c r="AD7" s="87">
        <f>+ｼﾞｭｴﾙｽﾞ!W6/1000</f>
        <v>164317.96599999999</v>
      </c>
      <c r="AE7" s="85">
        <v>157913.606</v>
      </c>
      <c r="AF7" s="85">
        <f>+AD7-AE7</f>
        <v>6404.359999999986</v>
      </c>
      <c r="AG7" s="85">
        <v>141204</v>
      </c>
      <c r="AH7" s="86">
        <f>+AD7-AG7</f>
        <v>23113.965999999986</v>
      </c>
      <c r="AI7" s="84">
        <f>+Y7+AD7</f>
        <v>164317.96599999999</v>
      </c>
      <c r="AJ7" s="85">
        <f>+Z7+AE7</f>
        <v>181561.796</v>
      </c>
      <c r="AK7" s="85">
        <f>+AI7-AJ7</f>
        <v>-17243.830000000016</v>
      </c>
      <c r="AL7" s="85">
        <f>+AB7+AG7</f>
        <v>161976</v>
      </c>
      <c r="AM7" s="86">
        <f>+AI7-AL7</f>
        <v>2341.9659999999858</v>
      </c>
      <c r="AN7" s="84">
        <f>+ｶﾞｰﾃﾞﾝ!W6/1000</f>
        <v>136763.17199999999</v>
      </c>
      <c r="AO7" s="85">
        <v>132999.90700000001</v>
      </c>
      <c r="AP7" s="85">
        <f>+AN7-AO7</f>
        <v>3763.2649999999849</v>
      </c>
      <c r="AQ7" s="85">
        <v>132211</v>
      </c>
      <c r="AR7" s="87">
        <f>+AN7-AQ7</f>
        <v>4552.1719999999914</v>
      </c>
      <c r="AS7" s="187">
        <f>+ﾋﾞｱｶﾞｰﾃﾞﾝ!W6/1000</f>
        <v>154408.29500000001</v>
      </c>
      <c r="AT7" s="85">
        <v>140806.35999999999</v>
      </c>
      <c r="AU7" s="85">
        <f>+AS7-AT7</f>
        <v>13601.935000000027</v>
      </c>
      <c r="AV7" s="85">
        <v>136366</v>
      </c>
      <c r="AW7" s="86">
        <f>+AS7-AV7</f>
        <v>18042.295000000013</v>
      </c>
      <c r="AX7" s="84">
        <f>+AN7+AS7</f>
        <v>291171.467</v>
      </c>
      <c r="AY7" s="85">
        <f>+AO7+AT7</f>
        <v>273806.26699999999</v>
      </c>
      <c r="AZ7" s="85">
        <f>+AX7-AY7</f>
        <v>17365.200000000012</v>
      </c>
      <c r="BA7" s="85">
        <f>+AQ7+AV7</f>
        <v>268577</v>
      </c>
      <c r="BB7" s="86">
        <f>+AX7-BA7</f>
        <v>22594.467000000004</v>
      </c>
      <c r="BC7" s="84">
        <f>SUM(BC8:BC17)</f>
        <v>75365.66</v>
      </c>
      <c r="BD7" s="187">
        <f>SUM(BD8:BD17)</f>
        <v>50302.400000000001</v>
      </c>
      <c r="BE7" s="84">
        <f>+BC7+BD7</f>
        <v>125668.06</v>
      </c>
      <c r="BF7" s="84">
        <f>+料飲共通!W6/1000</f>
        <v>0</v>
      </c>
      <c r="BG7" s="85">
        <v>0</v>
      </c>
      <c r="BH7" s="85">
        <f>+BF7-BG7</f>
        <v>0</v>
      </c>
      <c r="BI7" s="85">
        <v>0</v>
      </c>
      <c r="BJ7" s="86">
        <f>+BF7-BI7</f>
        <v>0</v>
      </c>
      <c r="BK7" s="84">
        <f>+T7+AI7+AX7+BE7+BF7</f>
        <v>708235.09000000008</v>
      </c>
      <c r="BL7" s="85">
        <f>+U7+AJ7+AY7+BG7</f>
        <v>580292.723</v>
      </c>
      <c r="BM7" s="85">
        <f t="shared" ref="BM7:BM70" si="0">+BK7-BL7</f>
        <v>127942.36700000009</v>
      </c>
      <c r="BN7" s="85">
        <f>+W7+AL7+BA7+BI7</f>
        <v>545544</v>
      </c>
      <c r="BO7" s="86">
        <f>+BK7-BN7</f>
        <v>162691.09000000008</v>
      </c>
      <c r="BP7" s="84">
        <f>+BK7-BE7</f>
        <v>582567.03</v>
      </c>
      <c r="BQ7" s="85">
        <f>+BL7-Z7</f>
        <v>556644.53300000005</v>
      </c>
      <c r="BR7" s="85">
        <f>+BP7-BQ7</f>
        <v>25922.496999999974</v>
      </c>
      <c r="BS7" s="85">
        <f>+BN7-AB7</f>
        <v>524772</v>
      </c>
      <c r="BT7" s="86">
        <f>+BP7-BS7</f>
        <v>57795.030000000028</v>
      </c>
    </row>
    <row r="8" spans="1:72" s="88" customFormat="1" ht="22" customHeight="1">
      <c r="A8" s="89"/>
      <c r="B8" s="90" t="s">
        <v>6</v>
      </c>
      <c r="C8" s="91"/>
      <c r="D8" s="91"/>
      <c r="E8" s="92">
        <f>+ﾇｰﾍﾞﾙﾌﾟｰｽ!W7/1000</f>
        <v>98216.5</v>
      </c>
      <c r="F8" s="93">
        <v>97828.758000000002</v>
      </c>
      <c r="G8" s="94">
        <f t="shared" ref="G8:G71" si="1">+E8-F8</f>
        <v>387.74199999999837</v>
      </c>
      <c r="H8" s="93">
        <v>89665</v>
      </c>
      <c r="I8" s="97">
        <f t="shared" ref="I8:I71" si="2">+E8-H8</f>
        <v>8551.5</v>
      </c>
      <c r="J8" s="189">
        <f>+ｶﾌｪﾙﾎﾟ!W7/1000</f>
        <v>9212.0969999999998</v>
      </c>
      <c r="K8" s="93">
        <v>8192.4230000000007</v>
      </c>
      <c r="L8" s="94">
        <f t="shared" ref="L8:L71" si="3">+J8-K8</f>
        <v>1019.6739999999991</v>
      </c>
      <c r="M8" s="93">
        <v>10007</v>
      </c>
      <c r="N8" s="190">
        <f t="shared" ref="N8:N71" si="4">+J8-M8</f>
        <v>-794.90300000000025</v>
      </c>
      <c r="O8" s="96">
        <f>+ｶﾌｪｾﾚｽﾃ!W7/1000</f>
        <v>19649</v>
      </c>
      <c r="P8" s="93">
        <v>18903.478999999999</v>
      </c>
      <c r="Q8" s="94">
        <f t="shared" ref="Q8:Q71" si="5">+O8-P8</f>
        <v>745.52100000000064</v>
      </c>
      <c r="R8" s="93">
        <v>15319</v>
      </c>
      <c r="S8" s="97">
        <f t="shared" ref="S8:S71" si="6">+O8-R8</f>
        <v>4330</v>
      </c>
      <c r="T8" s="92">
        <f t="shared" ref="T8:T71" si="7">+E8+J8+O8</f>
        <v>127077.59699999999</v>
      </c>
      <c r="U8" s="93">
        <f t="shared" ref="U8:U71" si="8">+F8+K8+P8</f>
        <v>124924.66</v>
      </c>
      <c r="V8" s="94">
        <f t="shared" ref="V8:V71" si="9">+T8-U8</f>
        <v>2152.9369999999908</v>
      </c>
      <c r="W8" s="93">
        <f t="shared" ref="W8:W71" si="10">+H8+M8+R8</f>
        <v>114991</v>
      </c>
      <c r="X8" s="95">
        <f t="shared" ref="X8:X71" si="11">+T8-W8</f>
        <v>12086.596999999994</v>
      </c>
      <c r="Y8" s="96">
        <v>0</v>
      </c>
      <c r="Z8" s="93">
        <v>23648.19</v>
      </c>
      <c r="AA8" s="94">
        <f t="shared" ref="AA8:AA71" si="12">+Y8-Z8</f>
        <v>-23648.19</v>
      </c>
      <c r="AB8" s="93">
        <v>20772</v>
      </c>
      <c r="AC8" s="190">
        <f t="shared" ref="AC8:AC71" si="13">+Y8-AB8</f>
        <v>-20772</v>
      </c>
      <c r="AD8" s="96">
        <f>+ｼﾞｭｴﾙｽﾞ!W7/1000</f>
        <v>164317.96599999999</v>
      </c>
      <c r="AE8" s="93">
        <v>157913.606</v>
      </c>
      <c r="AF8" s="94">
        <f t="shared" ref="AF8:AF71" si="14">+AD8-AE8</f>
        <v>6404.359999999986</v>
      </c>
      <c r="AG8" s="93">
        <v>141204</v>
      </c>
      <c r="AH8" s="95">
        <f t="shared" ref="AH8:AH71" si="15">+AD8-AG8</f>
        <v>23113.965999999986</v>
      </c>
      <c r="AI8" s="92">
        <f>+Y8+AD8</f>
        <v>164317.96599999999</v>
      </c>
      <c r="AJ8" s="93">
        <f>+Z8+AE8</f>
        <v>181561.796</v>
      </c>
      <c r="AK8" s="94">
        <f>+AI8-AJ8</f>
        <v>-17243.830000000016</v>
      </c>
      <c r="AL8" s="93">
        <f>+AB8+AG8</f>
        <v>161976</v>
      </c>
      <c r="AM8" s="95">
        <f>+AI8-AL8</f>
        <v>2341.9659999999858</v>
      </c>
      <c r="AN8" s="92">
        <f>+ｶﾞｰﾃﾞﾝ!W7/1000</f>
        <v>136763.17199999999</v>
      </c>
      <c r="AO8" s="93">
        <v>132999.90700000001</v>
      </c>
      <c r="AP8" s="94">
        <f t="shared" ref="AP8:AP71" si="16">+AN8-AO8</f>
        <v>3763.2649999999849</v>
      </c>
      <c r="AQ8" s="93">
        <v>132211</v>
      </c>
      <c r="AR8" s="97">
        <f t="shared" ref="AR8:AR71" si="17">+AN8-AQ8</f>
        <v>4552.1719999999914</v>
      </c>
      <c r="AS8" s="189">
        <f>+ﾋﾞｱｶﾞｰﾃﾞﾝ!W7/1000</f>
        <v>154408.29500000001</v>
      </c>
      <c r="AT8" s="93">
        <v>140806.35999999999</v>
      </c>
      <c r="AU8" s="94">
        <f t="shared" ref="AU8:AU71" si="18">+AS8-AT8</f>
        <v>13601.935000000027</v>
      </c>
      <c r="AV8" s="93">
        <v>136366</v>
      </c>
      <c r="AW8" s="95">
        <f t="shared" ref="AW8:AW71" si="19">+AS8-AV8</f>
        <v>18042.295000000013</v>
      </c>
      <c r="AX8" s="92">
        <f t="shared" ref="AX8:AX71" si="20">+AN8+AS8</f>
        <v>291171.467</v>
      </c>
      <c r="AY8" s="93">
        <f t="shared" ref="AY8:AY39" si="21">+AO8+AT8</f>
        <v>273806.26699999999</v>
      </c>
      <c r="AZ8" s="94">
        <f t="shared" ref="AZ8:AZ71" si="22">+AX8-AY8</f>
        <v>17365.200000000012</v>
      </c>
      <c r="BA8" s="93">
        <f t="shared" ref="BA8:BA71" si="23">+AQ8+AV8</f>
        <v>268577</v>
      </c>
      <c r="BB8" s="95">
        <f t="shared" ref="BB8:BB71" si="24">+AX8-BA8</f>
        <v>22594.467000000004</v>
      </c>
      <c r="BC8" s="92">
        <f>+赤れんが!X8/1000</f>
        <v>75365.66</v>
      </c>
      <c r="BD8" s="189">
        <f>+赤れんが!Z8/1000</f>
        <v>50302.400000000001</v>
      </c>
      <c r="BE8" s="92">
        <f t="shared" ref="BE8:BE71" si="25">+BC8+BD8</f>
        <v>125668.06</v>
      </c>
      <c r="BF8" s="92">
        <f>+料飲共通!W7/1000</f>
        <v>0</v>
      </c>
      <c r="BG8" s="93">
        <v>0</v>
      </c>
      <c r="BH8" s="94">
        <f t="shared" ref="BH8:BH71" si="26">+BF8-BG8</f>
        <v>0</v>
      </c>
      <c r="BI8" s="93">
        <v>0</v>
      </c>
      <c r="BJ8" s="95">
        <f t="shared" ref="BJ8:BJ71" si="27">+BF8-BI8</f>
        <v>0</v>
      </c>
      <c r="BK8" s="92">
        <f t="shared" ref="BK8:BK71" si="28">+T8+AI8+AX8+BE8+BF8</f>
        <v>708235.09000000008</v>
      </c>
      <c r="BL8" s="93">
        <f t="shared" ref="BL8:BL71" si="29">+U8+AJ8+AY8+BG8</f>
        <v>580292.723</v>
      </c>
      <c r="BM8" s="94">
        <f t="shared" si="0"/>
        <v>127942.36700000009</v>
      </c>
      <c r="BN8" s="93">
        <f t="shared" ref="BN8:BN71" si="30">+W8+AL8+BA8+BI8</f>
        <v>545544</v>
      </c>
      <c r="BO8" s="95">
        <f t="shared" ref="BO8:BO71" si="31">+BK8-BN8</f>
        <v>162691.09000000008</v>
      </c>
      <c r="BP8" s="92">
        <f t="shared" ref="BP8:BP71" si="32">+BK8-BE8</f>
        <v>582567.03</v>
      </c>
      <c r="BQ8" s="93">
        <f t="shared" ref="BQ8:BQ71" si="33">+BL8-Z8</f>
        <v>556644.53300000005</v>
      </c>
      <c r="BR8" s="94">
        <f>+BP8-BQ8</f>
        <v>25922.496999999974</v>
      </c>
      <c r="BS8" s="93">
        <f t="shared" ref="BS8:BS71" si="34">+BN8-AB8</f>
        <v>524772</v>
      </c>
      <c r="BT8" s="95">
        <f t="shared" ref="BT8:BT71" si="35">+BP8-BS8</f>
        <v>57795.030000000028</v>
      </c>
    </row>
    <row r="9" spans="1:72" s="88" customFormat="1" ht="22" customHeight="1">
      <c r="A9" s="89"/>
      <c r="B9" s="98" t="s">
        <v>8</v>
      </c>
      <c r="C9" s="99"/>
      <c r="D9" s="99"/>
      <c r="E9" s="100">
        <f>+ﾇｰﾍﾞﾙﾌﾟｰｽ!W8/1000</f>
        <v>0</v>
      </c>
      <c r="F9" s="101">
        <v>0</v>
      </c>
      <c r="G9" s="102">
        <f t="shared" si="1"/>
        <v>0</v>
      </c>
      <c r="H9" s="101">
        <v>0</v>
      </c>
      <c r="I9" s="105">
        <f t="shared" si="2"/>
        <v>0</v>
      </c>
      <c r="J9" s="191">
        <f>+ｶﾌｪﾙﾎﾟ!W8/1000</f>
        <v>0</v>
      </c>
      <c r="K9" s="101">
        <v>0</v>
      </c>
      <c r="L9" s="102">
        <f t="shared" si="3"/>
        <v>0</v>
      </c>
      <c r="M9" s="101">
        <v>0</v>
      </c>
      <c r="N9" s="192">
        <f t="shared" si="4"/>
        <v>0</v>
      </c>
      <c r="O9" s="104">
        <f>+ｶﾌｪｾﾚｽﾃ!W8/1000</f>
        <v>0</v>
      </c>
      <c r="P9" s="101">
        <v>0</v>
      </c>
      <c r="Q9" s="102">
        <f t="shared" si="5"/>
        <v>0</v>
      </c>
      <c r="R9" s="101">
        <v>0</v>
      </c>
      <c r="S9" s="105">
        <f t="shared" si="6"/>
        <v>0</v>
      </c>
      <c r="T9" s="100">
        <f t="shared" si="7"/>
        <v>0</v>
      </c>
      <c r="U9" s="101">
        <f t="shared" si="8"/>
        <v>0</v>
      </c>
      <c r="V9" s="102">
        <f t="shared" si="9"/>
        <v>0</v>
      </c>
      <c r="W9" s="101">
        <f t="shared" si="10"/>
        <v>0</v>
      </c>
      <c r="X9" s="103">
        <f t="shared" si="11"/>
        <v>0</v>
      </c>
      <c r="Y9" s="104">
        <v>0</v>
      </c>
      <c r="Z9" s="101">
        <v>0</v>
      </c>
      <c r="AA9" s="102">
        <f t="shared" si="12"/>
        <v>0</v>
      </c>
      <c r="AB9" s="101">
        <v>0</v>
      </c>
      <c r="AC9" s="192">
        <f t="shared" si="13"/>
        <v>0</v>
      </c>
      <c r="AD9" s="104">
        <f>+ｼﾞｭｴﾙｽﾞ!W8/1000</f>
        <v>0</v>
      </c>
      <c r="AE9" s="101">
        <v>0</v>
      </c>
      <c r="AF9" s="102">
        <f t="shared" si="14"/>
        <v>0</v>
      </c>
      <c r="AG9" s="101">
        <v>0</v>
      </c>
      <c r="AH9" s="103">
        <f t="shared" si="15"/>
        <v>0</v>
      </c>
      <c r="AI9" s="100">
        <f t="shared" ref="AI9:AI71" si="36">+Y9+AD9</f>
        <v>0</v>
      </c>
      <c r="AJ9" s="101">
        <f>+Z9+AE9</f>
        <v>0</v>
      </c>
      <c r="AK9" s="102">
        <f>+AI9-AJ9</f>
        <v>0</v>
      </c>
      <c r="AL9" s="101">
        <f>+AB9+AG9</f>
        <v>0</v>
      </c>
      <c r="AM9" s="103">
        <f>+AI9-AL9</f>
        <v>0</v>
      </c>
      <c r="AN9" s="100">
        <f>+ｶﾞｰﾃﾞﾝ!W8/1000</f>
        <v>0</v>
      </c>
      <c r="AO9" s="101">
        <v>0</v>
      </c>
      <c r="AP9" s="102">
        <f t="shared" si="16"/>
        <v>0</v>
      </c>
      <c r="AQ9" s="101">
        <v>0</v>
      </c>
      <c r="AR9" s="105">
        <f t="shared" si="17"/>
        <v>0</v>
      </c>
      <c r="AS9" s="191">
        <f>+ﾋﾞｱｶﾞｰﾃﾞﾝ!W8/1000</f>
        <v>0</v>
      </c>
      <c r="AT9" s="101">
        <v>0</v>
      </c>
      <c r="AU9" s="102">
        <f t="shared" si="18"/>
        <v>0</v>
      </c>
      <c r="AV9" s="101">
        <v>0</v>
      </c>
      <c r="AW9" s="103">
        <f t="shared" si="19"/>
        <v>0</v>
      </c>
      <c r="AX9" s="100">
        <f t="shared" si="20"/>
        <v>0</v>
      </c>
      <c r="AY9" s="101">
        <f t="shared" si="21"/>
        <v>0</v>
      </c>
      <c r="AZ9" s="102">
        <f t="shared" si="22"/>
        <v>0</v>
      </c>
      <c r="BA9" s="101">
        <f t="shared" si="23"/>
        <v>0</v>
      </c>
      <c r="BB9" s="103">
        <f t="shared" si="24"/>
        <v>0</v>
      </c>
      <c r="BC9" s="100">
        <v>0</v>
      </c>
      <c r="BD9" s="191">
        <v>0</v>
      </c>
      <c r="BE9" s="100">
        <f t="shared" si="25"/>
        <v>0</v>
      </c>
      <c r="BF9" s="100">
        <f>+料飲共通!W8/1000</f>
        <v>0</v>
      </c>
      <c r="BG9" s="101">
        <v>0</v>
      </c>
      <c r="BH9" s="102">
        <f t="shared" si="26"/>
        <v>0</v>
      </c>
      <c r="BI9" s="101">
        <v>0</v>
      </c>
      <c r="BJ9" s="103">
        <f t="shared" si="27"/>
        <v>0</v>
      </c>
      <c r="BK9" s="100">
        <f t="shared" si="28"/>
        <v>0</v>
      </c>
      <c r="BL9" s="101">
        <f t="shared" si="29"/>
        <v>0</v>
      </c>
      <c r="BM9" s="102">
        <f t="shared" si="0"/>
        <v>0</v>
      </c>
      <c r="BN9" s="101">
        <f t="shared" si="30"/>
        <v>0</v>
      </c>
      <c r="BO9" s="103">
        <f t="shared" si="31"/>
        <v>0</v>
      </c>
      <c r="BP9" s="100">
        <f t="shared" si="32"/>
        <v>0</v>
      </c>
      <c r="BQ9" s="101">
        <f t="shared" si="33"/>
        <v>0</v>
      </c>
      <c r="BR9" s="102">
        <f t="shared" ref="BR9:BR72" si="37">+BP9-BQ9</f>
        <v>0</v>
      </c>
      <c r="BS9" s="101">
        <f t="shared" si="34"/>
        <v>0</v>
      </c>
      <c r="BT9" s="103">
        <f t="shared" si="35"/>
        <v>0</v>
      </c>
    </row>
    <row r="10" spans="1:72" s="88" customFormat="1" ht="22" customHeight="1">
      <c r="A10" s="89"/>
      <c r="B10" s="98" t="s">
        <v>10</v>
      </c>
      <c r="C10" s="99"/>
      <c r="D10" s="99"/>
      <c r="E10" s="100">
        <f>+ﾇｰﾍﾞﾙﾌﾟｰｽ!W9/1000</f>
        <v>0</v>
      </c>
      <c r="F10" s="101">
        <v>0</v>
      </c>
      <c r="G10" s="102">
        <f t="shared" si="1"/>
        <v>0</v>
      </c>
      <c r="H10" s="101">
        <v>0</v>
      </c>
      <c r="I10" s="105">
        <f t="shared" si="2"/>
        <v>0</v>
      </c>
      <c r="J10" s="191">
        <f>+ｶﾌｪﾙﾎﾟ!W9/1000</f>
        <v>0</v>
      </c>
      <c r="K10" s="101">
        <v>0</v>
      </c>
      <c r="L10" s="102">
        <f t="shared" si="3"/>
        <v>0</v>
      </c>
      <c r="M10" s="101">
        <v>0</v>
      </c>
      <c r="N10" s="192">
        <f t="shared" si="4"/>
        <v>0</v>
      </c>
      <c r="O10" s="104">
        <f>+ｶﾌｪｾﾚｽﾃ!W9/1000</f>
        <v>0</v>
      </c>
      <c r="P10" s="101">
        <v>0</v>
      </c>
      <c r="Q10" s="102">
        <f t="shared" si="5"/>
        <v>0</v>
      </c>
      <c r="R10" s="101">
        <v>0</v>
      </c>
      <c r="S10" s="105">
        <f t="shared" si="6"/>
        <v>0</v>
      </c>
      <c r="T10" s="100">
        <f t="shared" si="7"/>
        <v>0</v>
      </c>
      <c r="U10" s="101">
        <f t="shared" si="8"/>
        <v>0</v>
      </c>
      <c r="V10" s="102">
        <f t="shared" si="9"/>
        <v>0</v>
      </c>
      <c r="W10" s="101">
        <f t="shared" si="10"/>
        <v>0</v>
      </c>
      <c r="X10" s="103">
        <f t="shared" si="11"/>
        <v>0</v>
      </c>
      <c r="Y10" s="104">
        <v>0</v>
      </c>
      <c r="Z10" s="101">
        <v>0</v>
      </c>
      <c r="AA10" s="102">
        <f t="shared" si="12"/>
        <v>0</v>
      </c>
      <c r="AB10" s="101">
        <v>0</v>
      </c>
      <c r="AC10" s="192">
        <f t="shared" si="13"/>
        <v>0</v>
      </c>
      <c r="AD10" s="104">
        <f>+ｼﾞｭｴﾙｽﾞ!W9/1000</f>
        <v>0</v>
      </c>
      <c r="AE10" s="101">
        <v>0</v>
      </c>
      <c r="AF10" s="102">
        <f t="shared" si="14"/>
        <v>0</v>
      </c>
      <c r="AG10" s="101">
        <v>0</v>
      </c>
      <c r="AH10" s="103">
        <f t="shared" si="15"/>
        <v>0</v>
      </c>
      <c r="AI10" s="100">
        <f t="shared" si="36"/>
        <v>0</v>
      </c>
      <c r="AJ10" s="101">
        <f t="shared" ref="AJ10:AJ71" si="38">+Z10+AE10</f>
        <v>0</v>
      </c>
      <c r="AK10" s="102">
        <f t="shared" ref="AK10:AK71" si="39">+AI10-AJ10</f>
        <v>0</v>
      </c>
      <c r="AL10" s="101">
        <f t="shared" ref="AL10:AL71" si="40">+AB10+AG10</f>
        <v>0</v>
      </c>
      <c r="AM10" s="103">
        <f t="shared" ref="AM10:AM71" si="41">+AI10-AL10</f>
        <v>0</v>
      </c>
      <c r="AN10" s="100">
        <f>+ｶﾞｰﾃﾞﾝ!W9/1000</f>
        <v>0</v>
      </c>
      <c r="AO10" s="101">
        <v>0</v>
      </c>
      <c r="AP10" s="102">
        <f t="shared" si="16"/>
        <v>0</v>
      </c>
      <c r="AQ10" s="101">
        <v>0</v>
      </c>
      <c r="AR10" s="105">
        <f t="shared" si="17"/>
        <v>0</v>
      </c>
      <c r="AS10" s="191">
        <f>+ﾋﾞｱｶﾞｰﾃﾞﾝ!W9/1000</f>
        <v>0</v>
      </c>
      <c r="AT10" s="101">
        <v>0</v>
      </c>
      <c r="AU10" s="102">
        <f t="shared" si="18"/>
        <v>0</v>
      </c>
      <c r="AV10" s="101">
        <v>0</v>
      </c>
      <c r="AW10" s="103">
        <f t="shared" si="19"/>
        <v>0</v>
      </c>
      <c r="AX10" s="100">
        <f t="shared" si="20"/>
        <v>0</v>
      </c>
      <c r="AY10" s="101">
        <f t="shared" si="21"/>
        <v>0</v>
      </c>
      <c r="AZ10" s="102">
        <f t="shared" si="22"/>
        <v>0</v>
      </c>
      <c r="BA10" s="101">
        <f t="shared" si="23"/>
        <v>0</v>
      </c>
      <c r="BB10" s="103">
        <f t="shared" si="24"/>
        <v>0</v>
      </c>
      <c r="BC10" s="100">
        <v>0</v>
      </c>
      <c r="BD10" s="191">
        <v>0</v>
      </c>
      <c r="BE10" s="100">
        <f t="shared" si="25"/>
        <v>0</v>
      </c>
      <c r="BF10" s="100">
        <f>+料飲共通!W9/1000</f>
        <v>0</v>
      </c>
      <c r="BG10" s="101">
        <v>0</v>
      </c>
      <c r="BH10" s="102">
        <f t="shared" si="26"/>
        <v>0</v>
      </c>
      <c r="BI10" s="101">
        <v>0</v>
      </c>
      <c r="BJ10" s="103">
        <f t="shared" si="27"/>
        <v>0</v>
      </c>
      <c r="BK10" s="100">
        <f t="shared" si="28"/>
        <v>0</v>
      </c>
      <c r="BL10" s="101">
        <f t="shared" si="29"/>
        <v>0</v>
      </c>
      <c r="BM10" s="102">
        <f t="shared" si="0"/>
        <v>0</v>
      </c>
      <c r="BN10" s="101">
        <f t="shared" si="30"/>
        <v>0</v>
      </c>
      <c r="BO10" s="103">
        <f t="shared" si="31"/>
        <v>0</v>
      </c>
      <c r="BP10" s="100">
        <f t="shared" si="32"/>
        <v>0</v>
      </c>
      <c r="BQ10" s="101">
        <f t="shared" si="33"/>
        <v>0</v>
      </c>
      <c r="BR10" s="102">
        <f t="shared" si="37"/>
        <v>0</v>
      </c>
      <c r="BS10" s="101">
        <f t="shared" si="34"/>
        <v>0</v>
      </c>
      <c r="BT10" s="103">
        <f t="shared" si="35"/>
        <v>0</v>
      </c>
    </row>
    <row r="11" spans="1:72" s="88" customFormat="1" ht="22" customHeight="1">
      <c r="A11" s="89"/>
      <c r="B11" s="98" t="s">
        <v>12</v>
      </c>
      <c r="C11" s="99"/>
      <c r="D11" s="99"/>
      <c r="E11" s="100">
        <f>+ﾇｰﾍﾞﾙﾌﾟｰｽ!W10/1000</f>
        <v>0</v>
      </c>
      <c r="F11" s="101">
        <v>0</v>
      </c>
      <c r="G11" s="102">
        <f t="shared" si="1"/>
        <v>0</v>
      </c>
      <c r="H11" s="101">
        <v>0</v>
      </c>
      <c r="I11" s="105">
        <f t="shared" si="2"/>
        <v>0</v>
      </c>
      <c r="J11" s="191">
        <f>+ｶﾌｪﾙﾎﾟ!W10/1000</f>
        <v>0</v>
      </c>
      <c r="K11" s="101">
        <v>0</v>
      </c>
      <c r="L11" s="102">
        <f t="shared" si="3"/>
        <v>0</v>
      </c>
      <c r="M11" s="101">
        <v>0</v>
      </c>
      <c r="N11" s="192">
        <f t="shared" si="4"/>
        <v>0</v>
      </c>
      <c r="O11" s="104">
        <f>+ｶﾌｪｾﾚｽﾃ!W10/1000</f>
        <v>0</v>
      </c>
      <c r="P11" s="101">
        <v>0</v>
      </c>
      <c r="Q11" s="102">
        <f t="shared" si="5"/>
        <v>0</v>
      </c>
      <c r="R11" s="101">
        <v>0</v>
      </c>
      <c r="S11" s="105">
        <f t="shared" si="6"/>
        <v>0</v>
      </c>
      <c r="T11" s="100">
        <f t="shared" si="7"/>
        <v>0</v>
      </c>
      <c r="U11" s="101">
        <f t="shared" si="8"/>
        <v>0</v>
      </c>
      <c r="V11" s="102">
        <f t="shared" si="9"/>
        <v>0</v>
      </c>
      <c r="W11" s="101">
        <f t="shared" si="10"/>
        <v>0</v>
      </c>
      <c r="X11" s="103">
        <f t="shared" si="11"/>
        <v>0</v>
      </c>
      <c r="Y11" s="104">
        <v>0</v>
      </c>
      <c r="Z11" s="101">
        <v>0</v>
      </c>
      <c r="AA11" s="102">
        <f t="shared" si="12"/>
        <v>0</v>
      </c>
      <c r="AB11" s="101">
        <v>0</v>
      </c>
      <c r="AC11" s="192">
        <f t="shared" si="13"/>
        <v>0</v>
      </c>
      <c r="AD11" s="104">
        <f>+ｼﾞｭｴﾙｽﾞ!W10/1000</f>
        <v>0</v>
      </c>
      <c r="AE11" s="101">
        <v>0</v>
      </c>
      <c r="AF11" s="102">
        <f t="shared" si="14"/>
        <v>0</v>
      </c>
      <c r="AG11" s="101">
        <v>0</v>
      </c>
      <c r="AH11" s="103">
        <f t="shared" si="15"/>
        <v>0</v>
      </c>
      <c r="AI11" s="100">
        <f t="shared" si="36"/>
        <v>0</v>
      </c>
      <c r="AJ11" s="101">
        <f t="shared" si="38"/>
        <v>0</v>
      </c>
      <c r="AK11" s="102">
        <f t="shared" si="39"/>
        <v>0</v>
      </c>
      <c r="AL11" s="101">
        <f t="shared" si="40"/>
        <v>0</v>
      </c>
      <c r="AM11" s="103">
        <f t="shared" si="41"/>
        <v>0</v>
      </c>
      <c r="AN11" s="100">
        <f>+ｶﾞｰﾃﾞﾝ!W10/1000</f>
        <v>0</v>
      </c>
      <c r="AO11" s="101">
        <v>0</v>
      </c>
      <c r="AP11" s="102">
        <f t="shared" si="16"/>
        <v>0</v>
      </c>
      <c r="AQ11" s="101">
        <v>0</v>
      </c>
      <c r="AR11" s="105">
        <f t="shared" si="17"/>
        <v>0</v>
      </c>
      <c r="AS11" s="191">
        <f>+ﾋﾞｱｶﾞｰﾃﾞﾝ!W10/1000</f>
        <v>0</v>
      </c>
      <c r="AT11" s="101">
        <v>0</v>
      </c>
      <c r="AU11" s="102">
        <f t="shared" si="18"/>
        <v>0</v>
      </c>
      <c r="AV11" s="101">
        <v>0</v>
      </c>
      <c r="AW11" s="103">
        <f t="shared" si="19"/>
        <v>0</v>
      </c>
      <c r="AX11" s="100">
        <f t="shared" si="20"/>
        <v>0</v>
      </c>
      <c r="AY11" s="101">
        <f t="shared" si="21"/>
        <v>0</v>
      </c>
      <c r="AZ11" s="102">
        <f t="shared" si="22"/>
        <v>0</v>
      </c>
      <c r="BA11" s="101">
        <f t="shared" si="23"/>
        <v>0</v>
      </c>
      <c r="BB11" s="103">
        <f t="shared" si="24"/>
        <v>0</v>
      </c>
      <c r="BC11" s="100">
        <v>0</v>
      </c>
      <c r="BD11" s="191">
        <v>0</v>
      </c>
      <c r="BE11" s="100">
        <f t="shared" si="25"/>
        <v>0</v>
      </c>
      <c r="BF11" s="100">
        <f>+料飲共通!W10/1000</f>
        <v>0</v>
      </c>
      <c r="BG11" s="101">
        <v>0</v>
      </c>
      <c r="BH11" s="102">
        <f t="shared" si="26"/>
        <v>0</v>
      </c>
      <c r="BI11" s="101">
        <v>0</v>
      </c>
      <c r="BJ11" s="103">
        <f t="shared" si="27"/>
        <v>0</v>
      </c>
      <c r="BK11" s="100">
        <f t="shared" si="28"/>
        <v>0</v>
      </c>
      <c r="BL11" s="101">
        <f t="shared" si="29"/>
        <v>0</v>
      </c>
      <c r="BM11" s="102">
        <f t="shared" si="0"/>
        <v>0</v>
      </c>
      <c r="BN11" s="101">
        <f t="shared" si="30"/>
        <v>0</v>
      </c>
      <c r="BO11" s="103">
        <f t="shared" si="31"/>
        <v>0</v>
      </c>
      <c r="BP11" s="100">
        <f t="shared" si="32"/>
        <v>0</v>
      </c>
      <c r="BQ11" s="101">
        <f t="shared" si="33"/>
        <v>0</v>
      </c>
      <c r="BR11" s="102">
        <f t="shared" si="37"/>
        <v>0</v>
      </c>
      <c r="BS11" s="101">
        <f t="shared" si="34"/>
        <v>0</v>
      </c>
      <c r="BT11" s="103">
        <f t="shared" si="35"/>
        <v>0</v>
      </c>
    </row>
    <row r="12" spans="1:72" s="88" customFormat="1" ht="22" customHeight="1">
      <c r="A12" s="89"/>
      <c r="B12" s="98" t="s">
        <v>14</v>
      </c>
      <c r="C12" s="99"/>
      <c r="D12" s="99"/>
      <c r="E12" s="100">
        <f>+ﾇｰﾍﾞﾙﾌﾟｰｽ!W11/1000</f>
        <v>0</v>
      </c>
      <c r="F12" s="101">
        <v>0</v>
      </c>
      <c r="G12" s="102">
        <f t="shared" si="1"/>
        <v>0</v>
      </c>
      <c r="H12" s="101">
        <v>0</v>
      </c>
      <c r="I12" s="105">
        <f t="shared" si="2"/>
        <v>0</v>
      </c>
      <c r="J12" s="191">
        <f>+ｶﾌｪﾙﾎﾟ!W11/1000</f>
        <v>0</v>
      </c>
      <c r="K12" s="101">
        <v>0</v>
      </c>
      <c r="L12" s="102">
        <f t="shared" si="3"/>
        <v>0</v>
      </c>
      <c r="M12" s="101">
        <v>0</v>
      </c>
      <c r="N12" s="192">
        <f t="shared" si="4"/>
        <v>0</v>
      </c>
      <c r="O12" s="104">
        <f>+ｶﾌｪｾﾚｽﾃ!W11/1000</f>
        <v>0</v>
      </c>
      <c r="P12" s="101">
        <v>0</v>
      </c>
      <c r="Q12" s="102">
        <f t="shared" si="5"/>
        <v>0</v>
      </c>
      <c r="R12" s="101">
        <v>0</v>
      </c>
      <c r="S12" s="105">
        <f t="shared" si="6"/>
        <v>0</v>
      </c>
      <c r="T12" s="100">
        <f t="shared" si="7"/>
        <v>0</v>
      </c>
      <c r="U12" s="101">
        <f t="shared" si="8"/>
        <v>0</v>
      </c>
      <c r="V12" s="102">
        <f t="shared" si="9"/>
        <v>0</v>
      </c>
      <c r="W12" s="101">
        <f t="shared" si="10"/>
        <v>0</v>
      </c>
      <c r="X12" s="103">
        <f t="shared" si="11"/>
        <v>0</v>
      </c>
      <c r="Y12" s="104">
        <v>0</v>
      </c>
      <c r="Z12" s="101">
        <v>0</v>
      </c>
      <c r="AA12" s="102">
        <f t="shared" si="12"/>
        <v>0</v>
      </c>
      <c r="AB12" s="101">
        <v>0</v>
      </c>
      <c r="AC12" s="192">
        <f t="shared" si="13"/>
        <v>0</v>
      </c>
      <c r="AD12" s="104">
        <f>+ｼﾞｭｴﾙｽﾞ!W11/1000</f>
        <v>0</v>
      </c>
      <c r="AE12" s="101">
        <v>0</v>
      </c>
      <c r="AF12" s="102">
        <f t="shared" si="14"/>
        <v>0</v>
      </c>
      <c r="AG12" s="101">
        <v>0</v>
      </c>
      <c r="AH12" s="103">
        <f t="shared" si="15"/>
        <v>0</v>
      </c>
      <c r="AI12" s="100">
        <f t="shared" si="36"/>
        <v>0</v>
      </c>
      <c r="AJ12" s="101">
        <f t="shared" si="38"/>
        <v>0</v>
      </c>
      <c r="AK12" s="102">
        <f t="shared" si="39"/>
        <v>0</v>
      </c>
      <c r="AL12" s="101">
        <f t="shared" si="40"/>
        <v>0</v>
      </c>
      <c r="AM12" s="103">
        <f t="shared" si="41"/>
        <v>0</v>
      </c>
      <c r="AN12" s="100">
        <f>+ｶﾞｰﾃﾞﾝ!W11/1000</f>
        <v>0</v>
      </c>
      <c r="AO12" s="101">
        <v>0</v>
      </c>
      <c r="AP12" s="102">
        <f t="shared" si="16"/>
        <v>0</v>
      </c>
      <c r="AQ12" s="101">
        <v>0</v>
      </c>
      <c r="AR12" s="105">
        <f t="shared" si="17"/>
        <v>0</v>
      </c>
      <c r="AS12" s="191">
        <f>+ﾋﾞｱｶﾞｰﾃﾞﾝ!W11/1000</f>
        <v>0</v>
      </c>
      <c r="AT12" s="101">
        <v>0</v>
      </c>
      <c r="AU12" s="102">
        <f t="shared" si="18"/>
        <v>0</v>
      </c>
      <c r="AV12" s="101">
        <v>0</v>
      </c>
      <c r="AW12" s="103">
        <f t="shared" si="19"/>
        <v>0</v>
      </c>
      <c r="AX12" s="100">
        <f t="shared" si="20"/>
        <v>0</v>
      </c>
      <c r="AY12" s="101">
        <f t="shared" si="21"/>
        <v>0</v>
      </c>
      <c r="AZ12" s="102">
        <f t="shared" si="22"/>
        <v>0</v>
      </c>
      <c r="BA12" s="101">
        <f t="shared" si="23"/>
        <v>0</v>
      </c>
      <c r="BB12" s="103">
        <f t="shared" si="24"/>
        <v>0</v>
      </c>
      <c r="BC12" s="100">
        <v>0</v>
      </c>
      <c r="BD12" s="191">
        <v>0</v>
      </c>
      <c r="BE12" s="100">
        <f t="shared" si="25"/>
        <v>0</v>
      </c>
      <c r="BF12" s="100">
        <f>+料飲共通!W11/1000</f>
        <v>0</v>
      </c>
      <c r="BG12" s="101">
        <v>0</v>
      </c>
      <c r="BH12" s="102">
        <f t="shared" si="26"/>
        <v>0</v>
      </c>
      <c r="BI12" s="101">
        <v>0</v>
      </c>
      <c r="BJ12" s="103">
        <f t="shared" si="27"/>
        <v>0</v>
      </c>
      <c r="BK12" s="100">
        <f t="shared" si="28"/>
        <v>0</v>
      </c>
      <c r="BL12" s="101">
        <f t="shared" si="29"/>
        <v>0</v>
      </c>
      <c r="BM12" s="102">
        <f t="shared" si="0"/>
        <v>0</v>
      </c>
      <c r="BN12" s="101">
        <f t="shared" si="30"/>
        <v>0</v>
      </c>
      <c r="BO12" s="103">
        <f t="shared" si="31"/>
        <v>0</v>
      </c>
      <c r="BP12" s="100">
        <f t="shared" si="32"/>
        <v>0</v>
      </c>
      <c r="BQ12" s="101">
        <f t="shared" si="33"/>
        <v>0</v>
      </c>
      <c r="BR12" s="102">
        <f t="shared" si="37"/>
        <v>0</v>
      </c>
      <c r="BS12" s="101">
        <f t="shared" si="34"/>
        <v>0</v>
      </c>
      <c r="BT12" s="103">
        <f t="shared" si="35"/>
        <v>0</v>
      </c>
    </row>
    <row r="13" spans="1:72" s="88" customFormat="1" ht="22" customHeight="1">
      <c r="A13" s="89"/>
      <c r="B13" s="98" t="s">
        <v>16</v>
      </c>
      <c r="C13" s="99"/>
      <c r="D13" s="99"/>
      <c r="E13" s="100">
        <f>+ﾇｰﾍﾞﾙﾌﾟｰｽ!W12/1000</f>
        <v>0</v>
      </c>
      <c r="F13" s="101">
        <v>0</v>
      </c>
      <c r="G13" s="102">
        <f t="shared" si="1"/>
        <v>0</v>
      </c>
      <c r="H13" s="101">
        <v>0</v>
      </c>
      <c r="I13" s="105">
        <f t="shared" si="2"/>
        <v>0</v>
      </c>
      <c r="J13" s="191">
        <f>+ｶﾌｪﾙﾎﾟ!W12/1000</f>
        <v>0</v>
      </c>
      <c r="K13" s="101">
        <v>0</v>
      </c>
      <c r="L13" s="102">
        <f t="shared" si="3"/>
        <v>0</v>
      </c>
      <c r="M13" s="101">
        <v>0</v>
      </c>
      <c r="N13" s="192">
        <f t="shared" si="4"/>
        <v>0</v>
      </c>
      <c r="O13" s="104">
        <f>+ｶﾌｪｾﾚｽﾃ!W12/1000</f>
        <v>0</v>
      </c>
      <c r="P13" s="101">
        <v>0</v>
      </c>
      <c r="Q13" s="102">
        <f t="shared" si="5"/>
        <v>0</v>
      </c>
      <c r="R13" s="101">
        <v>0</v>
      </c>
      <c r="S13" s="105">
        <f t="shared" si="6"/>
        <v>0</v>
      </c>
      <c r="T13" s="100">
        <f t="shared" si="7"/>
        <v>0</v>
      </c>
      <c r="U13" s="101">
        <f t="shared" si="8"/>
        <v>0</v>
      </c>
      <c r="V13" s="102">
        <f t="shared" si="9"/>
        <v>0</v>
      </c>
      <c r="W13" s="101">
        <f t="shared" si="10"/>
        <v>0</v>
      </c>
      <c r="X13" s="103">
        <f t="shared" si="11"/>
        <v>0</v>
      </c>
      <c r="Y13" s="104">
        <v>0</v>
      </c>
      <c r="Z13" s="101">
        <v>0</v>
      </c>
      <c r="AA13" s="102">
        <f t="shared" si="12"/>
        <v>0</v>
      </c>
      <c r="AB13" s="101">
        <v>0</v>
      </c>
      <c r="AC13" s="192">
        <f t="shared" si="13"/>
        <v>0</v>
      </c>
      <c r="AD13" s="104">
        <f>+ｼﾞｭｴﾙｽﾞ!W12/1000</f>
        <v>0</v>
      </c>
      <c r="AE13" s="101">
        <v>0</v>
      </c>
      <c r="AF13" s="102">
        <f t="shared" si="14"/>
        <v>0</v>
      </c>
      <c r="AG13" s="101">
        <v>0</v>
      </c>
      <c r="AH13" s="103">
        <f t="shared" si="15"/>
        <v>0</v>
      </c>
      <c r="AI13" s="100">
        <f t="shared" si="36"/>
        <v>0</v>
      </c>
      <c r="AJ13" s="101">
        <f t="shared" si="38"/>
        <v>0</v>
      </c>
      <c r="AK13" s="102">
        <f t="shared" si="39"/>
        <v>0</v>
      </c>
      <c r="AL13" s="101">
        <f t="shared" si="40"/>
        <v>0</v>
      </c>
      <c r="AM13" s="103">
        <f t="shared" si="41"/>
        <v>0</v>
      </c>
      <c r="AN13" s="100">
        <f>+ｶﾞｰﾃﾞﾝ!W12/1000</f>
        <v>0</v>
      </c>
      <c r="AO13" s="101">
        <v>0</v>
      </c>
      <c r="AP13" s="102">
        <f t="shared" si="16"/>
        <v>0</v>
      </c>
      <c r="AQ13" s="101">
        <v>0</v>
      </c>
      <c r="AR13" s="105">
        <f t="shared" si="17"/>
        <v>0</v>
      </c>
      <c r="AS13" s="191">
        <f>+ﾋﾞｱｶﾞｰﾃﾞﾝ!W12/1000</f>
        <v>0</v>
      </c>
      <c r="AT13" s="101">
        <v>0</v>
      </c>
      <c r="AU13" s="102">
        <f t="shared" si="18"/>
        <v>0</v>
      </c>
      <c r="AV13" s="101">
        <v>0</v>
      </c>
      <c r="AW13" s="103">
        <f t="shared" si="19"/>
        <v>0</v>
      </c>
      <c r="AX13" s="100">
        <f t="shared" si="20"/>
        <v>0</v>
      </c>
      <c r="AY13" s="101">
        <f t="shared" si="21"/>
        <v>0</v>
      </c>
      <c r="AZ13" s="102">
        <f t="shared" si="22"/>
        <v>0</v>
      </c>
      <c r="BA13" s="101">
        <f t="shared" si="23"/>
        <v>0</v>
      </c>
      <c r="BB13" s="103">
        <f t="shared" si="24"/>
        <v>0</v>
      </c>
      <c r="BC13" s="100">
        <v>0</v>
      </c>
      <c r="BD13" s="191">
        <v>0</v>
      </c>
      <c r="BE13" s="100">
        <f t="shared" si="25"/>
        <v>0</v>
      </c>
      <c r="BF13" s="100">
        <f>+料飲共通!W12/1000</f>
        <v>0</v>
      </c>
      <c r="BG13" s="101">
        <v>0</v>
      </c>
      <c r="BH13" s="102">
        <f t="shared" si="26"/>
        <v>0</v>
      </c>
      <c r="BI13" s="101">
        <v>0</v>
      </c>
      <c r="BJ13" s="103">
        <f t="shared" si="27"/>
        <v>0</v>
      </c>
      <c r="BK13" s="100">
        <f t="shared" si="28"/>
        <v>0</v>
      </c>
      <c r="BL13" s="101">
        <f t="shared" si="29"/>
        <v>0</v>
      </c>
      <c r="BM13" s="102">
        <f t="shared" si="0"/>
        <v>0</v>
      </c>
      <c r="BN13" s="101">
        <f t="shared" si="30"/>
        <v>0</v>
      </c>
      <c r="BO13" s="103">
        <f t="shared" si="31"/>
        <v>0</v>
      </c>
      <c r="BP13" s="100">
        <f t="shared" si="32"/>
        <v>0</v>
      </c>
      <c r="BQ13" s="101">
        <f t="shared" si="33"/>
        <v>0</v>
      </c>
      <c r="BR13" s="102">
        <f t="shared" si="37"/>
        <v>0</v>
      </c>
      <c r="BS13" s="101">
        <f t="shared" si="34"/>
        <v>0</v>
      </c>
      <c r="BT13" s="103">
        <f t="shared" si="35"/>
        <v>0</v>
      </c>
    </row>
    <row r="14" spans="1:72" s="88" customFormat="1" ht="22" customHeight="1">
      <c r="A14" s="89"/>
      <c r="B14" s="98" t="s">
        <v>18</v>
      </c>
      <c r="C14" s="99"/>
      <c r="D14" s="99"/>
      <c r="E14" s="100">
        <f>+ﾇｰﾍﾞﾙﾌﾟｰｽ!W13/1000</f>
        <v>0</v>
      </c>
      <c r="F14" s="101">
        <v>0</v>
      </c>
      <c r="G14" s="102">
        <f t="shared" si="1"/>
        <v>0</v>
      </c>
      <c r="H14" s="101">
        <v>0</v>
      </c>
      <c r="I14" s="105">
        <f t="shared" si="2"/>
        <v>0</v>
      </c>
      <c r="J14" s="191">
        <f>+ｶﾌｪﾙﾎﾟ!W13/1000</f>
        <v>0</v>
      </c>
      <c r="K14" s="101">
        <v>0</v>
      </c>
      <c r="L14" s="102">
        <f t="shared" si="3"/>
        <v>0</v>
      </c>
      <c r="M14" s="101">
        <v>0</v>
      </c>
      <c r="N14" s="192">
        <f t="shared" si="4"/>
        <v>0</v>
      </c>
      <c r="O14" s="104">
        <f>+ｶﾌｪｾﾚｽﾃ!W13/1000</f>
        <v>0</v>
      </c>
      <c r="P14" s="101">
        <v>0</v>
      </c>
      <c r="Q14" s="102">
        <f t="shared" si="5"/>
        <v>0</v>
      </c>
      <c r="R14" s="101">
        <v>0</v>
      </c>
      <c r="S14" s="105">
        <f t="shared" si="6"/>
        <v>0</v>
      </c>
      <c r="T14" s="100">
        <f t="shared" si="7"/>
        <v>0</v>
      </c>
      <c r="U14" s="101">
        <f t="shared" si="8"/>
        <v>0</v>
      </c>
      <c r="V14" s="102">
        <f t="shared" si="9"/>
        <v>0</v>
      </c>
      <c r="W14" s="101">
        <f t="shared" si="10"/>
        <v>0</v>
      </c>
      <c r="X14" s="103">
        <f t="shared" si="11"/>
        <v>0</v>
      </c>
      <c r="Y14" s="104">
        <v>0</v>
      </c>
      <c r="Z14" s="101">
        <v>0</v>
      </c>
      <c r="AA14" s="102">
        <f t="shared" si="12"/>
        <v>0</v>
      </c>
      <c r="AB14" s="101">
        <v>0</v>
      </c>
      <c r="AC14" s="192">
        <f t="shared" si="13"/>
        <v>0</v>
      </c>
      <c r="AD14" s="104">
        <f>+ｼﾞｭｴﾙｽﾞ!W13/1000</f>
        <v>0</v>
      </c>
      <c r="AE14" s="101">
        <v>0</v>
      </c>
      <c r="AF14" s="102">
        <f t="shared" si="14"/>
        <v>0</v>
      </c>
      <c r="AG14" s="101">
        <v>0</v>
      </c>
      <c r="AH14" s="103">
        <f t="shared" si="15"/>
        <v>0</v>
      </c>
      <c r="AI14" s="100">
        <f t="shared" si="36"/>
        <v>0</v>
      </c>
      <c r="AJ14" s="101">
        <f t="shared" si="38"/>
        <v>0</v>
      </c>
      <c r="AK14" s="102">
        <f t="shared" si="39"/>
        <v>0</v>
      </c>
      <c r="AL14" s="101">
        <f t="shared" si="40"/>
        <v>0</v>
      </c>
      <c r="AM14" s="103">
        <f t="shared" si="41"/>
        <v>0</v>
      </c>
      <c r="AN14" s="100">
        <f>+ｶﾞｰﾃﾞﾝ!W13/1000</f>
        <v>0</v>
      </c>
      <c r="AO14" s="101">
        <v>0</v>
      </c>
      <c r="AP14" s="102">
        <f t="shared" si="16"/>
        <v>0</v>
      </c>
      <c r="AQ14" s="101">
        <v>0</v>
      </c>
      <c r="AR14" s="105">
        <f t="shared" si="17"/>
        <v>0</v>
      </c>
      <c r="AS14" s="191">
        <f>+ﾋﾞｱｶﾞｰﾃﾞﾝ!W13/1000</f>
        <v>0</v>
      </c>
      <c r="AT14" s="101">
        <v>0</v>
      </c>
      <c r="AU14" s="102">
        <f t="shared" si="18"/>
        <v>0</v>
      </c>
      <c r="AV14" s="101">
        <v>0</v>
      </c>
      <c r="AW14" s="103">
        <f t="shared" si="19"/>
        <v>0</v>
      </c>
      <c r="AX14" s="100">
        <f t="shared" si="20"/>
        <v>0</v>
      </c>
      <c r="AY14" s="101">
        <f t="shared" si="21"/>
        <v>0</v>
      </c>
      <c r="AZ14" s="102">
        <f t="shared" si="22"/>
        <v>0</v>
      </c>
      <c r="BA14" s="101">
        <f t="shared" si="23"/>
        <v>0</v>
      </c>
      <c r="BB14" s="103">
        <f t="shared" si="24"/>
        <v>0</v>
      </c>
      <c r="BC14" s="100">
        <v>0</v>
      </c>
      <c r="BD14" s="191">
        <v>0</v>
      </c>
      <c r="BE14" s="100">
        <f t="shared" si="25"/>
        <v>0</v>
      </c>
      <c r="BF14" s="100">
        <f>+料飲共通!W13/1000</f>
        <v>0</v>
      </c>
      <c r="BG14" s="101">
        <v>0</v>
      </c>
      <c r="BH14" s="102">
        <f t="shared" si="26"/>
        <v>0</v>
      </c>
      <c r="BI14" s="101">
        <v>0</v>
      </c>
      <c r="BJ14" s="103">
        <f t="shared" si="27"/>
        <v>0</v>
      </c>
      <c r="BK14" s="100">
        <f t="shared" si="28"/>
        <v>0</v>
      </c>
      <c r="BL14" s="101">
        <f t="shared" si="29"/>
        <v>0</v>
      </c>
      <c r="BM14" s="102">
        <f t="shared" si="0"/>
        <v>0</v>
      </c>
      <c r="BN14" s="101">
        <f t="shared" si="30"/>
        <v>0</v>
      </c>
      <c r="BO14" s="103">
        <f t="shared" si="31"/>
        <v>0</v>
      </c>
      <c r="BP14" s="100">
        <f t="shared" si="32"/>
        <v>0</v>
      </c>
      <c r="BQ14" s="101">
        <f t="shared" si="33"/>
        <v>0</v>
      </c>
      <c r="BR14" s="102">
        <f t="shared" si="37"/>
        <v>0</v>
      </c>
      <c r="BS14" s="101">
        <f t="shared" si="34"/>
        <v>0</v>
      </c>
      <c r="BT14" s="103">
        <f t="shared" si="35"/>
        <v>0</v>
      </c>
    </row>
    <row r="15" spans="1:72" s="88" customFormat="1" ht="22" customHeight="1">
      <c r="A15" s="89"/>
      <c r="B15" s="98" t="s">
        <v>20</v>
      </c>
      <c r="C15" s="99"/>
      <c r="D15" s="99"/>
      <c r="E15" s="100">
        <f>+ﾇｰﾍﾞﾙﾌﾟｰｽ!W14/1000</f>
        <v>0</v>
      </c>
      <c r="F15" s="101">
        <v>0</v>
      </c>
      <c r="G15" s="102">
        <f t="shared" si="1"/>
        <v>0</v>
      </c>
      <c r="H15" s="101">
        <v>0</v>
      </c>
      <c r="I15" s="105">
        <f t="shared" si="2"/>
        <v>0</v>
      </c>
      <c r="J15" s="191">
        <f>+ｶﾌｪﾙﾎﾟ!W14/1000</f>
        <v>0</v>
      </c>
      <c r="K15" s="101">
        <v>0</v>
      </c>
      <c r="L15" s="102">
        <f t="shared" si="3"/>
        <v>0</v>
      </c>
      <c r="M15" s="101">
        <v>0</v>
      </c>
      <c r="N15" s="192">
        <f t="shared" si="4"/>
        <v>0</v>
      </c>
      <c r="O15" s="104">
        <f>+ｶﾌｪｾﾚｽﾃ!W14/1000</f>
        <v>0</v>
      </c>
      <c r="P15" s="101">
        <v>0</v>
      </c>
      <c r="Q15" s="102">
        <f t="shared" si="5"/>
        <v>0</v>
      </c>
      <c r="R15" s="101">
        <v>0</v>
      </c>
      <c r="S15" s="105">
        <f t="shared" si="6"/>
        <v>0</v>
      </c>
      <c r="T15" s="100">
        <f t="shared" si="7"/>
        <v>0</v>
      </c>
      <c r="U15" s="101">
        <f t="shared" si="8"/>
        <v>0</v>
      </c>
      <c r="V15" s="102">
        <f t="shared" si="9"/>
        <v>0</v>
      </c>
      <c r="W15" s="101">
        <f t="shared" si="10"/>
        <v>0</v>
      </c>
      <c r="X15" s="103">
        <f t="shared" si="11"/>
        <v>0</v>
      </c>
      <c r="Y15" s="104">
        <v>0</v>
      </c>
      <c r="Z15" s="101">
        <v>0</v>
      </c>
      <c r="AA15" s="102">
        <f t="shared" si="12"/>
        <v>0</v>
      </c>
      <c r="AB15" s="101">
        <v>0</v>
      </c>
      <c r="AC15" s="192">
        <f t="shared" si="13"/>
        <v>0</v>
      </c>
      <c r="AD15" s="104">
        <f>+ｼﾞｭｴﾙｽﾞ!W14/1000</f>
        <v>0</v>
      </c>
      <c r="AE15" s="101">
        <v>0</v>
      </c>
      <c r="AF15" s="102">
        <f t="shared" si="14"/>
        <v>0</v>
      </c>
      <c r="AG15" s="101">
        <v>0</v>
      </c>
      <c r="AH15" s="103">
        <f t="shared" si="15"/>
        <v>0</v>
      </c>
      <c r="AI15" s="100">
        <f t="shared" si="36"/>
        <v>0</v>
      </c>
      <c r="AJ15" s="101">
        <f t="shared" si="38"/>
        <v>0</v>
      </c>
      <c r="AK15" s="102">
        <f t="shared" si="39"/>
        <v>0</v>
      </c>
      <c r="AL15" s="101">
        <f t="shared" si="40"/>
        <v>0</v>
      </c>
      <c r="AM15" s="103">
        <f t="shared" si="41"/>
        <v>0</v>
      </c>
      <c r="AN15" s="100">
        <f>+ｶﾞｰﾃﾞﾝ!W14/1000</f>
        <v>0</v>
      </c>
      <c r="AO15" s="101">
        <v>0</v>
      </c>
      <c r="AP15" s="102">
        <f t="shared" si="16"/>
        <v>0</v>
      </c>
      <c r="AQ15" s="101">
        <v>0</v>
      </c>
      <c r="AR15" s="105">
        <f t="shared" si="17"/>
        <v>0</v>
      </c>
      <c r="AS15" s="191">
        <f>+ﾋﾞｱｶﾞｰﾃﾞﾝ!W14/1000</f>
        <v>0</v>
      </c>
      <c r="AT15" s="101">
        <v>0</v>
      </c>
      <c r="AU15" s="102">
        <f t="shared" si="18"/>
        <v>0</v>
      </c>
      <c r="AV15" s="101">
        <v>0</v>
      </c>
      <c r="AW15" s="103">
        <f t="shared" si="19"/>
        <v>0</v>
      </c>
      <c r="AX15" s="100">
        <f t="shared" si="20"/>
        <v>0</v>
      </c>
      <c r="AY15" s="101">
        <f t="shared" si="21"/>
        <v>0</v>
      </c>
      <c r="AZ15" s="102">
        <f t="shared" si="22"/>
        <v>0</v>
      </c>
      <c r="BA15" s="101">
        <f t="shared" si="23"/>
        <v>0</v>
      </c>
      <c r="BB15" s="103">
        <f t="shared" si="24"/>
        <v>0</v>
      </c>
      <c r="BC15" s="100">
        <v>0</v>
      </c>
      <c r="BD15" s="191">
        <v>0</v>
      </c>
      <c r="BE15" s="100">
        <f t="shared" si="25"/>
        <v>0</v>
      </c>
      <c r="BF15" s="100">
        <f>+料飲共通!W14/1000</f>
        <v>0</v>
      </c>
      <c r="BG15" s="101">
        <v>0</v>
      </c>
      <c r="BH15" s="102">
        <f t="shared" si="26"/>
        <v>0</v>
      </c>
      <c r="BI15" s="101">
        <v>0</v>
      </c>
      <c r="BJ15" s="103">
        <f t="shared" si="27"/>
        <v>0</v>
      </c>
      <c r="BK15" s="100">
        <f t="shared" si="28"/>
        <v>0</v>
      </c>
      <c r="BL15" s="101">
        <f t="shared" si="29"/>
        <v>0</v>
      </c>
      <c r="BM15" s="102">
        <f t="shared" si="0"/>
        <v>0</v>
      </c>
      <c r="BN15" s="101">
        <f t="shared" si="30"/>
        <v>0</v>
      </c>
      <c r="BO15" s="103">
        <f t="shared" si="31"/>
        <v>0</v>
      </c>
      <c r="BP15" s="100">
        <f t="shared" si="32"/>
        <v>0</v>
      </c>
      <c r="BQ15" s="101">
        <f t="shared" si="33"/>
        <v>0</v>
      </c>
      <c r="BR15" s="102">
        <f t="shared" si="37"/>
        <v>0</v>
      </c>
      <c r="BS15" s="101">
        <f t="shared" si="34"/>
        <v>0</v>
      </c>
      <c r="BT15" s="103">
        <f t="shared" si="35"/>
        <v>0</v>
      </c>
    </row>
    <row r="16" spans="1:72" s="88" customFormat="1" ht="22" customHeight="1">
      <c r="A16" s="89"/>
      <c r="B16" s="98" t="s">
        <v>22</v>
      </c>
      <c r="C16" s="99"/>
      <c r="D16" s="99"/>
      <c r="E16" s="100">
        <f>+ﾇｰﾍﾞﾙﾌﾟｰｽ!W15/1000</f>
        <v>0</v>
      </c>
      <c r="F16" s="101">
        <v>0</v>
      </c>
      <c r="G16" s="102">
        <f t="shared" si="1"/>
        <v>0</v>
      </c>
      <c r="H16" s="101">
        <v>0</v>
      </c>
      <c r="I16" s="105">
        <f t="shared" si="2"/>
        <v>0</v>
      </c>
      <c r="J16" s="191">
        <f>+ｶﾌｪﾙﾎﾟ!W15/1000</f>
        <v>0</v>
      </c>
      <c r="K16" s="101">
        <v>0</v>
      </c>
      <c r="L16" s="102">
        <f t="shared" si="3"/>
        <v>0</v>
      </c>
      <c r="M16" s="101">
        <v>0</v>
      </c>
      <c r="N16" s="192">
        <f t="shared" si="4"/>
        <v>0</v>
      </c>
      <c r="O16" s="104">
        <f>+ｶﾌｪｾﾚｽﾃ!W15/1000</f>
        <v>0</v>
      </c>
      <c r="P16" s="101">
        <v>0</v>
      </c>
      <c r="Q16" s="102">
        <f t="shared" si="5"/>
        <v>0</v>
      </c>
      <c r="R16" s="101">
        <v>0</v>
      </c>
      <c r="S16" s="105">
        <f t="shared" si="6"/>
        <v>0</v>
      </c>
      <c r="T16" s="100">
        <f t="shared" si="7"/>
        <v>0</v>
      </c>
      <c r="U16" s="101">
        <f t="shared" si="8"/>
        <v>0</v>
      </c>
      <c r="V16" s="102">
        <f t="shared" si="9"/>
        <v>0</v>
      </c>
      <c r="W16" s="101">
        <f t="shared" si="10"/>
        <v>0</v>
      </c>
      <c r="X16" s="103">
        <f t="shared" si="11"/>
        <v>0</v>
      </c>
      <c r="Y16" s="104">
        <v>0</v>
      </c>
      <c r="Z16" s="101">
        <v>0</v>
      </c>
      <c r="AA16" s="102">
        <f t="shared" si="12"/>
        <v>0</v>
      </c>
      <c r="AB16" s="101">
        <v>0</v>
      </c>
      <c r="AC16" s="192">
        <f t="shared" si="13"/>
        <v>0</v>
      </c>
      <c r="AD16" s="104">
        <f>+ｼﾞｭｴﾙｽﾞ!W15/1000</f>
        <v>0</v>
      </c>
      <c r="AE16" s="101">
        <v>0</v>
      </c>
      <c r="AF16" s="102">
        <f t="shared" si="14"/>
        <v>0</v>
      </c>
      <c r="AG16" s="101">
        <v>0</v>
      </c>
      <c r="AH16" s="103">
        <f t="shared" si="15"/>
        <v>0</v>
      </c>
      <c r="AI16" s="100">
        <f t="shared" si="36"/>
        <v>0</v>
      </c>
      <c r="AJ16" s="101">
        <f t="shared" si="38"/>
        <v>0</v>
      </c>
      <c r="AK16" s="102">
        <f t="shared" si="39"/>
        <v>0</v>
      </c>
      <c r="AL16" s="101">
        <f t="shared" si="40"/>
        <v>0</v>
      </c>
      <c r="AM16" s="103">
        <f t="shared" si="41"/>
        <v>0</v>
      </c>
      <c r="AN16" s="100">
        <f>+ｶﾞｰﾃﾞﾝ!W15/1000</f>
        <v>0</v>
      </c>
      <c r="AO16" s="101">
        <v>0</v>
      </c>
      <c r="AP16" s="102">
        <f t="shared" si="16"/>
        <v>0</v>
      </c>
      <c r="AQ16" s="101">
        <v>0</v>
      </c>
      <c r="AR16" s="105">
        <f t="shared" si="17"/>
        <v>0</v>
      </c>
      <c r="AS16" s="191">
        <f>+ﾋﾞｱｶﾞｰﾃﾞﾝ!W15/1000</f>
        <v>0</v>
      </c>
      <c r="AT16" s="101">
        <v>0</v>
      </c>
      <c r="AU16" s="102">
        <f t="shared" si="18"/>
        <v>0</v>
      </c>
      <c r="AV16" s="101">
        <v>0</v>
      </c>
      <c r="AW16" s="103">
        <f t="shared" si="19"/>
        <v>0</v>
      </c>
      <c r="AX16" s="100">
        <f t="shared" si="20"/>
        <v>0</v>
      </c>
      <c r="AY16" s="101">
        <f t="shared" si="21"/>
        <v>0</v>
      </c>
      <c r="AZ16" s="102">
        <f t="shared" si="22"/>
        <v>0</v>
      </c>
      <c r="BA16" s="101">
        <f t="shared" si="23"/>
        <v>0</v>
      </c>
      <c r="BB16" s="103">
        <f t="shared" si="24"/>
        <v>0</v>
      </c>
      <c r="BC16" s="100">
        <v>0</v>
      </c>
      <c r="BD16" s="191">
        <v>0</v>
      </c>
      <c r="BE16" s="100">
        <f t="shared" si="25"/>
        <v>0</v>
      </c>
      <c r="BF16" s="100">
        <f>+料飲共通!W15/1000</f>
        <v>0</v>
      </c>
      <c r="BG16" s="101">
        <v>0</v>
      </c>
      <c r="BH16" s="102">
        <f t="shared" si="26"/>
        <v>0</v>
      </c>
      <c r="BI16" s="101">
        <v>0</v>
      </c>
      <c r="BJ16" s="103">
        <f t="shared" si="27"/>
        <v>0</v>
      </c>
      <c r="BK16" s="100">
        <f t="shared" si="28"/>
        <v>0</v>
      </c>
      <c r="BL16" s="101">
        <f t="shared" si="29"/>
        <v>0</v>
      </c>
      <c r="BM16" s="102">
        <f t="shared" si="0"/>
        <v>0</v>
      </c>
      <c r="BN16" s="101">
        <f t="shared" si="30"/>
        <v>0</v>
      </c>
      <c r="BO16" s="103">
        <f t="shared" si="31"/>
        <v>0</v>
      </c>
      <c r="BP16" s="100">
        <f t="shared" si="32"/>
        <v>0</v>
      </c>
      <c r="BQ16" s="101">
        <f t="shared" si="33"/>
        <v>0</v>
      </c>
      <c r="BR16" s="102">
        <f t="shared" si="37"/>
        <v>0</v>
      </c>
      <c r="BS16" s="101">
        <f t="shared" si="34"/>
        <v>0</v>
      </c>
      <c r="BT16" s="103">
        <f t="shared" si="35"/>
        <v>0</v>
      </c>
    </row>
    <row r="17" spans="1:72" s="88" customFormat="1" ht="22" customHeight="1">
      <c r="A17" s="89"/>
      <c r="B17" s="98" t="s">
        <v>243</v>
      </c>
      <c r="C17" s="99"/>
      <c r="D17" s="99"/>
      <c r="E17" s="100">
        <f>+ﾇｰﾍﾞﾙﾌﾟｰｽ!W16/1000</f>
        <v>0</v>
      </c>
      <c r="F17" s="101">
        <v>0</v>
      </c>
      <c r="G17" s="102">
        <f t="shared" si="1"/>
        <v>0</v>
      </c>
      <c r="H17" s="101">
        <v>0</v>
      </c>
      <c r="I17" s="105">
        <f t="shared" si="2"/>
        <v>0</v>
      </c>
      <c r="J17" s="191">
        <f>+ｶﾌｪﾙﾎﾟ!W16/1000</f>
        <v>0</v>
      </c>
      <c r="K17" s="101">
        <v>0</v>
      </c>
      <c r="L17" s="102">
        <f t="shared" si="3"/>
        <v>0</v>
      </c>
      <c r="M17" s="101">
        <v>0</v>
      </c>
      <c r="N17" s="192">
        <f t="shared" si="4"/>
        <v>0</v>
      </c>
      <c r="O17" s="104">
        <f>+ｶﾌｪｾﾚｽﾃ!W16/1000</f>
        <v>0</v>
      </c>
      <c r="P17" s="101">
        <v>0</v>
      </c>
      <c r="Q17" s="102">
        <f t="shared" si="5"/>
        <v>0</v>
      </c>
      <c r="R17" s="101">
        <v>0</v>
      </c>
      <c r="S17" s="105">
        <f t="shared" si="6"/>
        <v>0</v>
      </c>
      <c r="T17" s="100">
        <f t="shared" si="7"/>
        <v>0</v>
      </c>
      <c r="U17" s="101">
        <f t="shared" si="8"/>
        <v>0</v>
      </c>
      <c r="V17" s="102">
        <f t="shared" si="9"/>
        <v>0</v>
      </c>
      <c r="W17" s="101">
        <f t="shared" si="10"/>
        <v>0</v>
      </c>
      <c r="X17" s="103">
        <f t="shared" si="11"/>
        <v>0</v>
      </c>
      <c r="Y17" s="104">
        <v>0</v>
      </c>
      <c r="Z17" s="101">
        <v>0</v>
      </c>
      <c r="AA17" s="102">
        <f t="shared" si="12"/>
        <v>0</v>
      </c>
      <c r="AB17" s="101">
        <v>0</v>
      </c>
      <c r="AC17" s="192">
        <f t="shared" si="13"/>
        <v>0</v>
      </c>
      <c r="AD17" s="104">
        <f>+ｼﾞｭｴﾙｽﾞ!W16/1000</f>
        <v>0</v>
      </c>
      <c r="AE17" s="101">
        <v>0</v>
      </c>
      <c r="AF17" s="102">
        <f t="shared" si="14"/>
        <v>0</v>
      </c>
      <c r="AG17" s="101">
        <v>0</v>
      </c>
      <c r="AH17" s="103">
        <f t="shared" si="15"/>
        <v>0</v>
      </c>
      <c r="AI17" s="100">
        <f t="shared" si="36"/>
        <v>0</v>
      </c>
      <c r="AJ17" s="101">
        <f t="shared" si="38"/>
        <v>0</v>
      </c>
      <c r="AK17" s="102">
        <f t="shared" si="39"/>
        <v>0</v>
      </c>
      <c r="AL17" s="101">
        <f t="shared" si="40"/>
        <v>0</v>
      </c>
      <c r="AM17" s="103">
        <f t="shared" si="41"/>
        <v>0</v>
      </c>
      <c r="AN17" s="100">
        <f>+ｶﾞｰﾃﾞﾝ!W16/1000</f>
        <v>0</v>
      </c>
      <c r="AO17" s="101">
        <v>0</v>
      </c>
      <c r="AP17" s="102">
        <f t="shared" si="16"/>
        <v>0</v>
      </c>
      <c r="AQ17" s="101">
        <v>0</v>
      </c>
      <c r="AR17" s="105">
        <f t="shared" si="17"/>
        <v>0</v>
      </c>
      <c r="AS17" s="191">
        <f>+ﾋﾞｱｶﾞｰﾃﾞﾝ!W16/1000</f>
        <v>0</v>
      </c>
      <c r="AT17" s="101">
        <v>0</v>
      </c>
      <c r="AU17" s="102">
        <f t="shared" si="18"/>
        <v>0</v>
      </c>
      <c r="AV17" s="101">
        <v>0</v>
      </c>
      <c r="AW17" s="103">
        <f t="shared" si="19"/>
        <v>0</v>
      </c>
      <c r="AX17" s="100">
        <f t="shared" si="20"/>
        <v>0</v>
      </c>
      <c r="AY17" s="101">
        <f t="shared" si="21"/>
        <v>0</v>
      </c>
      <c r="AZ17" s="102">
        <f t="shared" si="22"/>
        <v>0</v>
      </c>
      <c r="BA17" s="101">
        <f t="shared" si="23"/>
        <v>0</v>
      </c>
      <c r="BB17" s="103">
        <f t="shared" si="24"/>
        <v>0</v>
      </c>
      <c r="BC17" s="100">
        <v>0</v>
      </c>
      <c r="BD17" s="191">
        <v>0</v>
      </c>
      <c r="BE17" s="100">
        <f t="shared" si="25"/>
        <v>0</v>
      </c>
      <c r="BF17" s="100">
        <f>+料飲共通!W16/1000</f>
        <v>0</v>
      </c>
      <c r="BG17" s="101">
        <v>0</v>
      </c>
      <c r="BH17" s="102">
        <f t="shared" si="26"/>
        <v>0</v>
      </c>
      <c r="BI17" s="101">
        <v>0</v>
      </c>
      <c r="BJ17" s="103">
        <f t="shared" si="27"/>
        <v>0</v>
      </c>
      <c r="BK17" s="100">
        <f t="shared" si="28"/>
        <v>0</v>
      </c>
      <c r="BL17" s="101">
        <f t="shared" si="29"/>
        <v>0</v>
      </c>
      <c r="BM17" s="102">
        <f t="shared" si="0"/>
        <v>0</v>
      </c>
      <c r="BN17" s="101">
        <f t="shared" si="30"/>
        <v>0</v>
      </c>
      <c r="BO17" s="103">
        <f t="shared" si="31"/>
        <v>0</v>
      </c>
      <c r="BP17" s="100">
        <f t="shared" si="32"/>
        <v>0</v>
      </c>
      <c r="BQ17" s="101">
        <f t="shared" si="33"/>
        <v>0</v>
      </c>
      <c r="BR17" s="102">
        <f t="shared" si="37"/>
        <v>0</v>
      </c>
      <c r="BS17" s="101">
        <f t="shared" si="34"/>
        <v>0</v>
      </c>
      <c r="BT17" s="103">
        <f t="shared" si="35"/>
        <v>0</v>
      </c>
    </row>
    <row r="18" spans="1:72" s="88" customFormat="1" ht="22" customHeight="1" thickBot="1">
      <c r="A18" s="106" t="s">
        <v>26</v>
      </c>
      <c r="B18" s="107"/>
      <c r="C18" s="107"/>
      <c r="D18" s="107"/>
      <c r="E18" s="108">
        <f>+ﾇｰﾍﾞﾙﾌﾟｰｽ!W17/1000</f>
        <v>28482.785</v>
      </c>
      <c r="F18" s="109">
        <v>28320.083310000002</v>
      </c>
      <c r="G18" s="109">
        <f t="shared" si="1"/>
        <v>162.70168999999805</v>
      </c>
      <c r="H18" s="109">
        <v>26899</v>
      </c>
      <c r="I18" s="111">
        <f t="shared" si="2"/>
        <v>1583.7849999999999</v>
      </c>
      <c r="J18" s="193">
        <f>+ｶﾌｪﾙﾎﾟ!W17/1000</f>
        <v>2947.87104</v>
      </c>
      <c r="K18" s="109">
        <v>2580.2876243999995</v>
      </c>
      <c r="L18" s="109">
        <f t="shared" si="3"/>
        <v>367.58341560000054</v>
      </c>
      <c r="M18" s="109">
        <v>3102</v>
      </c>
      <c r="N18" s="194">
        <f t="shared" si="4"/>
        <v>-154.12896000000001</v>
      </c>
      <c r="O18" s="111">
        <f>+ｶﾌｪｾﾚｽﾃ!W17/1000</f>
        <v>5992.9449999999997</v>
      </c>
      <c r="P18" s="109">
        <v>5770.5787407000007</v>
      </c>
      <c r="Q18" s="109">
        <f t="shared" si="5"/>
        <v>222.366259299999</v>
      </c>
      <c r="R18" s="109">
        <v>4519</v>
      </c>
      <c r="S18" s="111">
        <f t="shared" si="6"/>
        <v>1473.9449999999997</v>
      </c>
      <c r="T18" s="108">
        <f t="shared" si="7"/>
        <v>37423.601040000001</v>
      </c>
      <c r="U18" s="109">
        <f t="shared" si="8"/>
        <v>36670.949675100004</v>
      </c>
      <c r="V18" s="109">
        <f t="shared" si="9"/>
        <v>752.65136489999713</v>
      </c>
      <c r="W18" s="109">
        <f t="shared" si="10"/>
        <v>34520</v>
      </c>
      <c r="X18" s="110">
        <f t="shared" si="11"/>
        <v>2903.6010400000014</v>
      </c>
      <c r="Y18" s="111">
        <v>0</v>
      </c>
      <c r="Z18" s="109">
        <v>7881.9417270000004</v>
      </c>
      <c r="AA18" s="109">
        <f t="shared" si="12"/>
        <v>-7881.9417270000004</v>
      </c>
      <c r="AB18" s="109">
        <v>6854</v>
      </c>
      <c r="AC18" s="194">
        <f t="shared" si="13"/>
        <v>-6854</v>
      </c>
      <c r="AD18" s="111">
        <f>+ｼﾞｭｴﾙｽﾞ!W17/1000</f>
        <v>47241.415224999997</v>
      </c>
      <c r="AE18" s="109">
        <v>44933.766557999996</v>
      </c>
      <c r="AF18" s="109">
        <f t="shared" si="14"/>
        <v>2307.6486670000013</v>
      </c>
      <c r="AG18" s="109">
        <v>42361</v>
      </c>
      <c r="AH18" s="110">
        <f t="shared" si="15"/>
        <v>4880.415224999997</v>
      </c>
      <c r="AI18" s="108">
        <f t="shared" si="36"/>
        <v>47241.415224999997</v>
      </c>
      <c r="AJ18" s="109">
        <f t="shared" si="38"/>
        <v>52815.708284999993</v>
      </c>
      <c r="AK18" s="109">
        <f t="shared" si="39"/>
        <v>-5574.2930599999963</v>
      </c>
      <c r="AL18" s="109">
        <f t="shared" si="40"/>
        <v>49215</v>
      </c>
      <c r="AM18" s="110">
        <f t="shared" si="41"/>
        <v>-1973.584775000003</v>
      </c>
      <c r="AN18" s="108">
        <f>+ｶﾞｰﾃﾞﾝ!W17/1000</f>
        <v>42396.583319999998</v>
      </c>
      <c r="AO18" s="109">
        <v>42039.850216000006</v>
      </c>
      <c r="AP18" s="109">
        <f t="shared" si="16"/>
        <v>356.73310399999173</v>
      </c>
      <c r="AQ18" s="109">
        <v>39663</v>
      </c>
      <c r="AR18" s="111">
        <f t="shared" si="17"/>
        <v>2733.5833199999979</v>
      </c>
      <c r="AS18" s="193">
        <f>+ﾋﾞｱｶﾞｰﾃﾞﾝ!W17/1000</f>
        <v>49044.3666725</v>
      </c>
      <c r="AT18" s="109">
        <v>43689.866000000002</v>
      </c>
      <c r="AU18" s="109">
        <f t="shared" si="18"/>
        <v>5354.5006724999985</v>
      </c>
      <c r="AV18" s="109">
        <v>40909</v>
      </c>
      <c r="AW18" s="110">
        <f t="shared" si="19"/>
        <v>8135.3666725000003</v>
      </c>
      <c r="AX18" s="108">
        <f>+AN18+AS18</f>
        <v>91440.949992499998</v>
      </c>
      <c r="AY18" s="109">
        <f t="shared" si="21"/>
        <v>85729.716216000001</v>
      </c>
      <c r="AZ18" s="109">
        <f t="shared" si="22"/>
        <v>5711.2337764999975</v>
      </c>
      <c r="BA18" s="109">
        <f t="shared" si="23"/>
        <v>80572</v>
      </c>
      <c r="BB18" s="110">
        <f t="shared" si="24"/>
        <v>10868.949992499998</v>
      </c>
      <c r="BC18" s="108">
        <f>+赤れんが!X18/1000</f>
        <v>21479</v>
      </c>
      <c r="BD18" s="193">
        <f>+赤れんが!Z18/1000</f>
        <v>17605.84</v>
      </c>
      <c r="BE18" s="108">
        <f t="shared" si="25"/>
        <v>39084.839999999997</v>
      </c>
      <c r="BF18" s="108">
        <f>+料飲共通!W17/1000</f>
        <v>0</v>
      </c>
      <c r="BG18" s="109">
        <v>0</v>
      </c>
      <c r="BH18" s="109">
        <f t="shared" si="26"/>
        <v>0</v>
      </c>
      <c r="BI18" s="109">
        <v>0</v>
      </c>
      <c r="BJ18" s="110">
        <f t="shared" si="27"/>
        <v>0</v>
      </c>
      <c r="BK18" s="108">
        <f t="shared" si="28"/>
        <v>215190.80625749999</v>
      </c>
      <c r="BL18" s="109">
        <f t="shared" si="29"/>
        <v>175216.37417610001</v>
      </c>
      <c r="BM18" s="109">
        <f t="shared" si="0"/>
        <v>39974.43208139998</v>
      </c>
      <c r="BN18" s="109">
        <f t="shared" si="30"/>
        <v>164307</v>
      </c>
      <c r="BO18" s="110">
        <f t="shared" si="31"/>
        <v>50883.806257499993</v>
      </c>
      <c r="BP18" s="108">
        <f t="shared" si="32"/>
        <v>176105.9662575</v>
      </c>
      <c r="BQ18" s="109">
        <f t="shared" si="33"/>
        <v>167334.43244910002</v>
      </c>
      <c r="BR18" s="109">
        <f t="shared" si="37"/>
        <v>8771.5338083999814</v>
      </c>
      <c r="BS18" s="109">
        <f t="shared" si="34"/>
        <v>157453</v>
      </c>
      <c r="BT18" s="110">
        <f t="shared" si="35"/>
        <v>18652.966257499997</v>
      </c>
    </row>
    <row r="19" spans="1:72" s="88" customFormat="1" ht="22" customHeight="1" thickTop="1" thickBot="1">
      <c r="A19" s="112" t="s">
        <v>28</v>
      </c>
      <c r="B19" s="113"/>
      <c r="C19" s="113"/>
      <c r="D19" s="113"/>
      <c r="E19" s="114">
        <f>+ﾇｰﾍﾞﾙﾌﾟｰｽ!W18/1000</f>
        <v>69733.714999999997</v>
      </c>
      <c r="F19" s="115">
        <v>69508.674690000014</v>
      </c>
      <c r="G19" s="115">
        <f t="shared" si="1"/>
        <v>225.04030999998213</v>
      </c>
      <c r="H19" s="115">
        <v>62765</v>
      </c>
      <c r="I19" s="117">
        <f t="shared" si="2"/>
        <v>6968.7149999999965</v>
      </c>
      <c r="J19" s="195">
        <f>+ｶﾌｪﾙﾎﾟ!W18/1000</f>
        <v>6264.2259599999988</v>
      </c>
      <c r="K19" s="115">
        <v>5612.1353755999999</v>
      </c>
      <c r="L19" s="115">
        <f t="shared" si="3"/>
        <v>652.09058439999899</v>
      </c>
      <c r="M19" s="115">
        <v>6905</v>
      </c>
      <c r="N19" s="196">
        <f t="shared" si="4"/>
        <v>-640.77404000000115</v>
      </c>
      <c r="O19" s="117">
        <f>+ｶﾌｪｾﾚｽﾃ!W18/1000</f>
        <v>13656.055</v>
      </c>
      <c r="P19" s="115">
        <v>13132.9002593</v>
      </c>
      <c r="Q19" s="115">
        <f t="shared" si="5"/>
        <v>523.15474069999982</v>
      </c>
      <c r="R19" s="115">
        <v>10800</v>
      </c>
      <c r="S19" s="117">
        <f t="shared" si="6"/>
        <v>2856.0550000000003</v>
      </c>
      <c r="T19" s="114">
        <f t="shared" si="7"/>
        <v>89653.99596</v>
      </c>
      <c r="U19" s="115">
        <f t="shared" si="8"/>
        <v>88253.710324900021</v>
      </c>
      <c r="V19" s="115">
        <f t="shared" si="9"/>
        <v>1400.2856350999791</v>
      </c>
      <c r="W19" s="115">
        <f t="shared" si="10"/>
        <v>80470</v>
      </c>
      <c r="X19" s="116">
        <f t="shared" si="11"/>
        <v>9183.9959600000002</v>
      </c>
      <c r="Y19" s="117">
        <v>0</v>
      </c>
      <c r="Z19" s="115">
        <v>15766.248272999997</v>
      </c>
      <c r="AA19" s="115">
        <f t="shared" si="12"/>
        <v>-15766.248272999997</v>
      </c>
      <c r="AB19" s="115">
        <v>13917</v>
      </c>
      <c r="AC19" s="196">
        <f t="shared" si="13"/>
        <v>-13917</v>
      </c>
      <c r="AD19" s="117">
        <f>+ｼﾞｭｴﾙｽﾞ!W18/1000</f>
        <v>117076.55077500001</v>
      </c>
      <c r="AE19" s="115">
        <v>112979.839442</v>
      </c>
      <c r="AF19" s="115">
        <f t="shared" si="14"/>
        <v>4096.7113330000138</v>
      </c>
      <c r="AG19" s="115">
        <v>98842</v>
      </c>
      <c r="AH19" s="116">
        <f t="shared" si="15"/>
        <v>18234.550775000011</v>
      </c>
      <c r="AI19" s="114">
        <f t="shared" si="36"/>
        <v>117076.55077500001</v>
      </c>
      <c r="AJ19" s="115">
        <f t="shared" si="38"/>
        <v>128746.087715</v>
      </c>
      <c r="AK19" s="115">
        <f t="shared" si="39"/>
        <v>-11669.536939999991</v>
      </c>
      <c r="AL19" s="115">
        <f t="shared" si="40"/>
        <v>112759</v>
      </c>
      <c r="AM19" s="116">
        <f t="shared" si="41"/>
        <v>4317.5507750000106</v>
      </c>
      <c r="AN19" s="114">
        <f>+ｶﾞｰﾃﾞﾝ!W18/1000</f>
        <v>94366.588679999986</v>
      </c>
      <c r="AO19" s="115">
        <v>90960.056784000015</v>
      </c>
      <c r="AP19" s="115">
        <f t="shared" si="16"/>
        <v>3406.5318959999713</v>
      </c>
      <c r="AQ19" s="115">
        <v>92548</v>
      </c>
      <c r="AR19" s="117">
        <f t="shared" si="17"/>
        <v>1818.5886799999862</v>
      </c>
      <c r="AS19" s="195">
        <f>+ﾋﾞｱｶﾞｰﾃﾞﾝ!W18/1000</f>
        <v>105363.92832750001</v>
      </c>
      <c r="AT19" s="115">
        <v>97116.494000000006</v>
      </c>
      <c r="AU19" s="115">
        <f t="shared" si="18"/>
        <v>8247.4343274999992</v>
      </c>
      <c r="AV19" s="115">
        <v>95456</v>
      </c>
      <c r="AW19" s="116">
        <f t="shared" si="19"/>
        <v>9907.9283275000053</v>
      </c>
      <c r="AX19" s="114">
        <f t="shared" si="20"/>
        <v>199730.51700749999</v>
      </c>
      <c r="AY19" s="115">
        <f t="shared" si="21"/>
        <v>188076.55078400002</v>
      </c>
      <c r="AZ19" s="115">
        <f t="shared" si="22"/>
        <v>11653.966223499971</v>
      </c>
      <c r="BA19" s="115">
        <f t="shared" si="23"/>
        <v>188004</v>
      </c>
      <c r="BB19" s="116">
        <f t="shared" si="24"/>
        <v>11726.517007499991</v>
      </c>
      <c r="BC19" s="114">
        <f>+BC7-BC18</f>
        <v>53886.66</v>
      </c>
      <c r="BD19" s="195">
        <f>+BD7-BD18</f>
        <v>32696.560000000001</v>
      </c>
      <c r="BE19" s="114">
        <f t="shared" si="25"/>
        <v>86583.22</v>
      </c>
      <c r="BF19" s="114">
        <f>+料飲共通!W18/1000</f>
        <v>0</v>
      </c>
      <c r="BG19" s="115">
        <v>0</v>
      </c>
      <c r="BH19" s="115">
        <f t="shared" si="26"/>
        <v>0</v>
      </c>
      <c r="BI19" s="115">
        <v>0</v>
      </c>
      <c r="BJ19" s="116">
        <f t="shared" si="27"/>
        <v>0</v>
      </c>
      <c r="BK19" s="114">
        <f t="shared" si="28"/>
        <v>493044.2837425</v>
      </c>
      <c r="BL19" s="115">
        <f t="shared" si="29"/>
        <v>405076.34882390004</v>
      </c>
      <c r="BM19" s="115">
        <f t="shared" si="0"/>
        <v>87967.93491859996</v>
      </c>
      <c r="BN19" s="115">
        <f t="shared" si="30"/>
        <v>381233</v>
      </c>
      <c r="BO19" s="116">
        <f t="shared" si="31"/>
        <v>111811.2837425</v>
      </c>
      <c r="BP19" s="114">
        <f t="shared" si="32"/>
        <v>406461.06374250003</v>
      </c>
      <c r="BQ19" s="115">
        <f t="shared" si="33"/>
        <v>389310.10055090004</v>
      </c>
      <c r="BR19" s="115">
        <f t="shared" si="37"/>
        <v>17150.963191599993</v>
      </c>
      <c r="BS19" s="115">
        <f t="shared" si="34"/>
        <v>367316</v>
      </c>
      <c r="BT19" s="116">
        <f t="shared" si="35"/>
        <v>39145.063742500031</v>
      </c>
    </row>
    <row r="20" spans="1:72" s="88" customFormat="1" ht="22" customHeight="1">
      <c r="A20" s="118" t="s">
        <v>30</v>
      </c>
      <c r="B20" s="119"/>
      <c r="C20" s="119"/>
      <c r="D20" s="119"/>
      <c r="E20" s="120">
        <f>+ﾇｰﾍﾞﾙﾌﾟｰｽ!W19/1000</f>
        <v>53667.196979999993</v>
      </c>
      <c r="F20" s="121">
        <v>50619.247000000003</v>
      </c>
      <c r="G20" s="121">
        <f t="shared" si="1"/>
        <v>3047.9499799999903</v>
      </c>
      <c r="H20" s="121">
        <v>50248</v>
      </c>
      <c r="I20" s="123">
        <f t="shared" si="2"/>
        <v>3419.1969799999933</v>
      </c>
      <c r="J20" s="197">
        <f>+ｶﾌｪﾙﾎﾟ!W19/1000</f>
        <v>2876.8739999999998</v>
      </c>
      <c r="K20" s="121">
        <v>3274.7759999999998</v>
      </c>
      <c r="L20" s="121">
        <f t="shared" si="3"/>
        <v>-397.90200000000004</v>
      </c>
      <c r="M20" s="121">
        <v>2838</v>
      </c>
      <c r="N20" s="198">
        <f t="shared" si="4"/>
        <v>38.873999999999796</v>
      </c>
      <c r="O20" s="123">
        <f>+ｶﾌｪｾﾚｽﾃ!W19/1000</f>
        <v>2876.875</v>
      </c>
      <c r="P20" s="121">
        <v>3257.375</v>
      </c>
      <c r="Q20" s="121">
        <f t="shared" si="5"/>
        <v>-380.5</v>
      </c>
      <c r="R20" s="121">
        <v>2838</v>
      </c>
      <c r="S20" s="123">
        <f t="shared" si="6"/>
        <v>38.875</v>
      </c>
      <c r="T20" s="120">
        <f t="shared" si="7"/>
        <v>59420.94597999999</v>
      </c>
      <c r="U20" s="121">
        <f t="shared" si="8"/>
        <v>57151.398000000001</v>
      </c>
      <c r="V20" s="121">
        <f t="shared" si="9"/>
        <v>2269.5479799999885</v>
      </c>
      <c r="W20" s="121">
        <f t="shared" si="10"/>
        <v>55924</v>
      </c>
      <c r="X20" s="122">
        <f t="shared" si="11"/>
        <v>3496.9459799999895</v>
      </c>
      <c r="Y20" s="123">
        <v>0</v>
      </c>
      <c r="Z20" s="121">
        <v>6101.9184000000005</v>
      </c>
      <c r="AA20" s="121">
        <f t="shared" si="12"/>
        <v>-6101.9184000000005</v>
      </c>
      <c r="AB20" s="121">
        <v>9311</v>
      </c>
      <c r="AC20" s="198">
        <f t="shared" si="13"/>
        <v>-9311</v>
      </c>
      <c r="AD20" s="123">
        <f>+ｼﾞｭｴﾙｽﾞ!W19/1000</f>
        <v>66777.382420000009</v>
      </c>
      <c r="AE20" s="121">
        <v>64470.377</v>
      </c>
      <c r="AF20" s="121">
        <f t="shared" si="14"/>
        <v>2307.0054200000086</v>
      </c>
      <c r="AG20" s="121">
        <v>63978</v>
      </c>
      <c r="AH20" s="122">
        <f t="shared" si="15"/>
        <v>2799.382420000009</v>
      </c>
      <c r="AI20" s="120">
        <f t="shared" si="36"/>
        <v>66777.382420000009</v>
      </c>
      <c r="AJ20" s="121">
        <f t="shared" si="38"/>
        <v>70572.295400000003</v>
      </c>
      <c r="AK20" s="121">
        <f t="shared" si="39"/>
        <v>-3794.9129799999937</v>
      </c>
      <c r="AL20" s="121">
        <f t="shared" si="40"/>
        <v>73289</v>
      </c>
      <c r="AM20" s="122">
        <f t="shared" si="41"/>
        <v>-6511.617579999991</v>
      </c>
      <c r="AN20" s="120">
        <f>+ｶﾞｰﾃﾞﾝ!Y19/1000</f>
        <v>58176.027999999998</v>
      </c>
      <c r="AO20" s="121">
        <v>56094.852000000006</v>
      </c>
      <c r="AP20" s="121">
        <f t="shared" si="16"/>
        <v>2081.1759999999922</v>
      </c>
      <c r="AQ20" s="121">
        <v>61992</v>
      </c>
      <c r="AR20" s="123">
        <f t="shared" si="17"/>
        <v>-3815.9720000000016</v>
      </c>
      <c r="AS20" s="197">
        <f>+ﾋﾞｱｶﾞｰﾃﾞﾝ!X19/1000</f>
        <v>24932.582371999993</v>
      </c>
      <c r="AT20" s="121">
        <v>24040.651000000002</v>
      </c>
      <c r="AU20" s="121">
        <f t="shared" si="18"/>
        <v>891.93137199999182</v>
      </c>
      <c r="AV20" s="121">
        <v>7352</v>
      </c>
      <c r="AW20" s="122">
        <f t="shared" si="19"/>
        <v>17580.582371999993</v>
      </c>
      <c r="AX20" s="120">
        <f>+AN20+AS20</f>
        <v>83108.610371999996</v>
      </c>
      <c r="AY20" s="121">
        <f t="shared" si="21"/>
        <v>80135.503000000012</v>
      </c>
      <c r="AZ20" s="121">
        <f t="shared" si="22"/>
        <v>2973.107371999984</v>
      </c>
      <c r="BA20" s="121">
        <f t="shared" si="23"/>
        <v>69344</v>
      </c>
      <c r="BB20" s="122">
        <f t="shared" si="24"/>
        <v>13764.610371999996</v>
      </c>
      <c r="BC20" s="120">
        <f>+BC21+BC22+BC23+BC27+BC30+BC31+BC32+BC36+BC37</f>
        <v>30146</v>
      </c>
      <c r="BD20" s="197">
        <f>+BD21+BD22+BD23+BD27+BD30+BD31+BD32+BD36+BD37</f>
        <v>16230</v>
      </c>
      <c r="BE20" s="120">
        <f>+BC20+BD20</f>
        <v>46376</v>
      </c>
      <c r="BF20" s="120">
        <f>+料飲共通!W19/1000</f>
        <v>25580.282447999998</v>
      </c>
      <c r="BG20" s="121">
        <v>25495.928</v>
      </c>
      <c r="BH20" s="121">
        <f t="shared" si="26"/>
        <v>84.354447999998229</v>
      </c>
      <c r="BI20" s="121">
        <v>28147</v>
      </c>
      <c r="BJ20" s="122">
        <f t="shared" si="27"/>
        <v>-2566.7175520000019</v>
      </c>
      <c r="BK20" s="120">
        <f t="shared" si="28"/>
        <v>281263.22122000001</v>
      </c>
      <c r="BL20" s="121">
        <f t="shared" si="29"/>
        <v>233355.12440000003</v>
      </c>
      <c r="BM20" s="121">
        <f t="shared" si="0"/>
        <v>47908.096819999977</v>
      </c>
      <c r="BN20" s="121">
        <f t="shared" si="30"/>
        <v>226704</v>
      </c>
      <c r="BO20" s="122">
        <f t="shared" si="31"/>
        <v>54559.221220000007</v>
      </c>
      <c r="BP20" s="120">
        <f t="shared" si="32"/>
        <v>234887.22122000001</v>
      </c>
      <c r="BQ20" s="121">
        <f t="shared" si="33"/>
        <v>227253.20600000003</v>
      </c>
      <c r="BR20" s="121">
        <f t="shared" si="37"/>
        <v>7634.015219999972</v>
      </c>
      <c r="BS20" s="121">
        <f t="shared" si="34"/>
        <v>217393</v>
      </c>
      <c r="BT20" s="122">
        <f t="shared" si="35"/>
        <v>17494.221220000007</v>
      </c>
    </row>
    <row r="21" spans="1:72" s="88" customFormat="1" ht="22" customHeight="1">
      <c r="A21" s="124"/>
      <c r="B21" s="90" t="s">
        <v>32</v>
      </c>
      <c r="C21" s="91"/>
      <c r="D21" s="91"/>
      <c r="E21" s="92">
        <f>+ﾇｰﾍﾞﾙﾌﾟｰｽ!W20/1000</f>
        <v>0</v>
      </c>
      <c r="F21" s="93">
        <v>0</v>
      </c>
      <c r="G21" s="94">
        <f t="shared" si="1"/>
        <v>0</v>
      </c>
      <c r="H21" s="93">
        <v>0</v>
      </c>
      <c r="I21" s="97">
        <f t="shared" si="2"/>
        <v>0</v>
      </c>
      <c r="J21" s="189">
        <f>+ｶﾌｪﾙﾎﾟ!W20/1000</f>
        <v>0</v>
      </c>
      <c r="K21" s="93">
        <v>0</v>
      </c>
      <c r="L21" s="94">
        <f t="shared" si="3"/>
        <v>0</v>
      </c>
      <c r="M21" s="93">
        <v>0</v>
      </c>
      <c r="N21" s="190">
        <f t="shared" si="4"/>
        <v>0</v>
      </c>
      <c r="O21" s="96">
        <f>+ｶﾌｪｾﾚｽﾃ!W20/1000</f>
        <v>0</v>
      </c>
      <c r="P21" s="93">
        <v>0</v>
      </c>
      <c r="Q21" s="94">
        <f t="shared" si="5"/>
        <v>0</v>
      </c>
      <c r="R21" s="93">
        <v>0</v>
      </c>
      <c r="S21" s="97">
        <f t="shared" si="6"/>
        <v>0</v>
      </c>
      <c r="T21" s="92">
        <f t="shared" si="7"/>
        <v>0</v>
      </c>
      <c r="U21" s="93">
        <f t="shared" si="8"/>
        <v>0</v>
      </c>
      <c r="V21" s="94">
        <f t="shared" si="9"/>
        <v>0</v>
      </c>
      <c r="W21" s="93">
        <f t="shared" si="10"/>
        <v>0</v>
      </c>
      <c r="X21" s="95">
        <f t="shared" si="11"/>
        <v>0</v>
      </c>
      <c r="Y21" s="96">
        <v>0</v>
      </c>
      <c r="Z21" s="93">
        <v>0</v>
      </c>
      <c r="AA21" s="94">
        <f t="shared" si="12"/>
        <v>0</v>
      </c>
      <c r="AB21" s="93">
        <v>0</v>
      </c>
      <c r="AC21" s="190">
        <f t="shared" si="13"/>
        <v>0</v>
      </c>
      <c r="AD21" s="96">
        <f>+ｼﾞｭｴﾙｽﾞ!W20/1000</f>
        <v>0</v>
      </c>
      <c r="AE21" s="93">
        <v>0</v>
      </c>
      <c r="AF21" s="94">
        <f t="shared" si="14"/>
        <v>0</v>
      </c>
      <c r="AG21" s="93">
        <v>0</v>
      </c>
      <c r="AH21" s="95">
        <f t="shared" si="15"/>
        <v>0</v>
      </c>
      <c r="AI21" s="92">
        <f t="shared" si="36"/>
        <v>0</v>
      </c>
      <c r="AJ21" s="93">
        <f t="shared" si="38"/>
        <v>0</v>
      </c>
      <c r="AK21" s="94">
        <f t="shared" si="39"/>
        <v>0</v>
      </c>
      <c r="AL21" s="93">
        <f t="shared" si="40"/>
        <v>0</v>
      </c>
      <c r="AM21" s="95">
        <f t="shared" si="41"/>
        <v>0</v>
      </c>
      <c r="AN21" s="92">
        <f>+ｶﾞｰﾃﾞﾝ!Y20/1000</f>
        <v>0</v>
      </c>
      <c r="AO21" s="93">
        <v>0</v>
      </c>
      <c r="AP21" s="94">
        <f t="shared" si="16"/>
        <v>0</v>
      </c>
      <c r="AQ21" s="93">
        <v>0</v>
      </c>
      <c r="AR21" s="97">
        <f t="shared" si="17"/>
        <v>0</v>
      </c>
      <c r="AS21" s="189">
        <f>+ﾋﾞｱｶﾞｰﾃﾞﾝ!X20/1000</f>
        <v>0</v>
      </c>
      <c r="AT21" s="93">
        <v>0</v>
      </c>
      <c r="AU21" s="94">
        <f t="shared" si="18"/>
        <v>0</v>
      </c>
      <c r="AV21" s="93">
        <v>0</v>
      </c>
      <c r="AW21" s="95">
        <f t="shared" si="19"/>
        <v>0</v>
      </c>
      <c r="AX21" s="92">
        <f t="shared" si="20"/>
        <v>0</v>
      </c>
      <c r="AY21" s="93">
        <f t="shared" si="21"/>
        <v>0</v>
      </c>
      <c r="AZ21" s="94">
        <f t="shared" si="22"/>
        <v>0</v>
      </c>
      <c r="BA21" s="93">
        <f t="shared" si="23"/>
        <v>0</v>
      </c>
      <c r="BB21" s="95">
        <f t="shared" si="24"/>
        <v>0</v>
      </c>
      <c r="BC21" s="92"/>
      <c r="BD21" s="189">
        <v>0</v>
      </c>
      <c r="BE21" s="92">
        <f t="shared" si="25"/>
        <v>0</v>
      </c>
      <c r="BF21" s="92">
        <f>+料飲共通!W20/1000</f>
        <v>0</v>
      </c>
      <c r="BG21" s="93">
        <v>0</v>
      </c>
      <c r="BH21" s="94">
        <f t="shared" si="26"/>
        <v>0</v>
      </c>
      <c r="BI21" s="93">
        <v>0</v>
      </c>
      <c r="BJ21" s="95">
        <f t="shared" si="27"/>
        <v>0</v>
      </c>
      <c r="BK21" s="92">
        <f t="shared" si="28"/>
        <v>0</v>
      </c>
      <c r="BL21" s="93">
        <f t="shared" si="29"/>
        <v>0</v>
      </c>
      <c r="BM21" s="94">
        <f t="shared" si="0"/>
        <v>0</v>
      </c>
      <c r="BN21" s="93">
        <f t="shared" si="30"/>
        <v>0</v>
      </c>
      <c r="BO21" s="95">
        <f t="shared" si="31"/>
        <v>0</v>
      </c>
      <c r="BP21" s="92">
        <f t="shared" si="32"/>
        <v>0</v>
      </c>
      <c r="BQ21" s="93">
        <f t="shared" si="33"/>
        <v>0</v>
      </c>
      <c r="BR21" s="94">
        <f t="shared" si="37"/>
        <v>0</v>
      </c>
      <c r="BS21" s="93">
        <f t="shared" si="34"/>
        <v>0</v>
      </c>
      <c r="BT21" s="95">
        <f t="shared" si="35"/>
        <v>0</v>
      </c>
    </row>
    <row r="22" spans="1:72" s="88" customFormat="1" ht="22" customHeight="1">
      <c r="A22" s="124"/>
      <c r="B22" s="98" t="s">
        <v>34</v>
      </c>
      <c r="C22" s="99"/>
      <c r="D22" s="99"/>
      <c r="E22" s="100">
        <f>+ﾇｰﾍﾞﾙﾌﾟｰｽ!W21/1000</f>
        <v>0</v>
      </c>
      <c r="F22" s="101">
        <v>0</v>
      </c>
      <c r="G22" s="102">
        <f t="shared" si="1"/>
        <v>0</v>
      </c>
      <c r="H22" s="101">
        <v>0</v>
      </c>
      <c r="I22" s="105">
        <f t="shared" si="2"/>
        <v>0</v>
      </c>
      <c r="J22" s="191">
        <f>+ｶﾌｪﾙﾎﾟ!W21/1000</f>
        <v>0</v>
      </c>
      <c r="K22" s="101">
        <v>0</v>
      </c>
      <c r="L22" s="102">
        <f t="shared" si="3"/>
        <v>0</v>
      </c>
      <c r="M22" s="101">
        <v>0</v>
      </c>
      <c r="N22" s="192">
        <f t="shared" si="4"/>
        <v>0</v>
      </c>
      <c r="O22" s="104">
        <f>+ｶﾌｪｾﾚｽﾃ!W21/1000</f>
        <v>0</v>
      </c>
      <c r="P22" s="101">
        <v>0</v>
      </c>
      <c r="Q22" s="102">
        <f t="shared" si="5"/>
        <v>0</v>
      </c>
      <c r="R22" s="101">
        <v>0</v>
      </c>
      <c r="S22" s="105">
        <f t="shared" si="6"/>
        <v>0</v>
      </c>
      <c r="T22" s="100">
        <f t="shared" si="7"/>
        <v>0</v>
      </c>
      <c r="U22" s="101">
        <f t="shared" si="8"/>
        <v>0</v>
      </c>
      <c r="V22" s="102">
        <f t="shared" si="9"/>
        <v>0</v>
      </c>
      <c r="W22" s="101">
        <f t="shared" si="10"/>
        <v>0</v>
      </c>
      <c r="X22" s="103">
        <f t="shared" si="11"/>
        <v>0</v>
      </c>
      <c r="Y22" s="104">
        <v>0</v>
      </c>
      <c r="Z22" s="101">
        <v>0</v>
      </c>
      <c r="AA22" s="102">
        <f t="shared" si="12"/>
        <v>0</v>
      </c>
      <c r="AB22" s="101">
        <v>0</v>
      </c>
      <c r="AC22" s="192">
        <f t="shared" si="13"/>
        <v>0</v>
      </c>
      <c r="AD22" s="104">
        <f>+ｼﾞｭｴﾙｽﾞ!W21/1000</f>
        <v>0</v>
      </c>
      <c r="AE22" s="101">
        <v>13.1</v>
      </c>
      <c r="AF22" s="102">
        <f t="shared" si="14"/>
        <v>-13.1</v>
      </c>
      <c r="AG22" s="101">
        <v>0</v>
      </c>
      <c r="AH22" s="103">
        <f t="shared" si="15"/>
        <v>0</v>
      </c>
      <c r="AI22" s="100">
        <f t="shared" si="36"/>
        <v>0</v>
      </c>
      <c r="AJ22" s="101">
        <f t="shared" si="38"/>
        <v>13.1</v>
      </c>
      <c r="AK22" s="102">
        <f t="shared" si="39"/>
        <v>-13.1</v>
      </c>
      <c r="AL22" s="101">
        <f t="shared" si="40"/>
        <v>0</v>
      </c>
      <c r="AM22" s="103">
        <f t="shared" si="41"/>
        <v>0</v>
      </c>
      <c r="AN22" s="100">
        <f>+ｶﾞｰﾃﾞﾝ!Y21/1000</f>
        <v>0</v>
      </c>
      <c r="AO22" s="101">
        <v>0</v>
      </c>
      <c r="AP22" s="102">
        <f t="shared" si="16"/>
        <v>0</v>
      </c>
      <c r="AQ22" s="101">
        <v>0</v>
      </c>
      <c r="AR22" s="105">
        <f t="shared" si="17"/>
        <v>0</v>
      </c>
      <c r="AS22" s="191">
        <f>+ﾋﾞｱｶﾞｰﾃﾞﾝ!X21/1000</f>
        <v>0</v>
      </c>
      <c r="AT22" s="101">
        <v>0</v>
      </c>
      <c r="AU22" s="102">
        <f t="shared" si="18"/>
        <v>0</v>
      </c>
      <c r="AV22" s="101">
        <v>0</v>
      </c>
      <c r="AW22" s="103">
        <f t="shared" si="19"/>
        <v>0</v>
      </c>
      <c r="AX22" s="100">
        <f t="shared" si="20"/>
        <v>0</v>
      </c>
      <c r="AY22" s="101">
        <f t="shared" si="21"/>
        <v>0</v>
      </c>
      <c r="AZ22" s="102">
        <f t="shared" si="22"/>
        <v>0</v>
      </c>
      <c r="BA22" s="101">
        <f t="shared" si="23"/>
        <v>0</v>
      </c>
      <c r="BB22" s="103">
        <f t="shared" si="24"/>
        <v>0</v>
      </c>
      <c r="BC22" s="100">
        <v>0</v>
      </c>
      <c r="BD22" s="191">
        <v>0</v>
      </c>
      <c r="BE22" s="100">
        <f t="shared" si="25"/>
        <v>0</v>
      </c>
      <c r="BF22" s="100">
        <f>+料飲共通!W21/1000</f>
        <v>21846.07</v>
      </c>
      <c r="BG22" s="101">
        <v>21621.517</v>
      </c>
      <c r="BH22" s="102">
        <f t="shared" si="26"/>
        <v>224.55299999999988</v>
      </c>
      <c r="BI22" s="101">
        <v>20811</v>
      </c>
      <c r="BJ22" s="103">
        <f t="shared" si="27"/>
        <v>1035.0699999999997</v>
      </c>
      <c r="BK22" s="100">
        <f t="shared" si="28"/>
        <v>21846.07</v>
      </c>
      <c r="BL22" s="101">
        <f t="shared" si="29"/>
        <v>21634.616999999998</v>
      </c>
      <c r="BM22" s="102">
        <f t="shared" si="0"/>
        <v>211.45300000000134</v>
      </c>
      <c r="BN22" s="101">
        <f t="shared" si="30"/>
        <v>20811</v>
      </c>
      <c r="BO22" s="103">
        <f t="shared" si="31"/>
        <v>1035.0699999999997</v>
      </c>
      <c r="BP22" s="100">
        <f t="shared" si="32"/>
        <v>21846.07</v>
      </c>
      <c r="BQ22" s="101">
        <f t="shared" si="33"/>
        <v>21634.616999999998</v>
      </c>
      <c r="BR22" s="102">
        <f t="shared" si="37"/>
        <v>211.45300000000134</v>
      </c>
      <c r="BS22" s="101">
        <f t="shared" si="34"/>
        <v>20811</v>
      </c>
      <c r="BT22" s="103">
        <f t="shared" si="35"/>
        <v>1035.0699999999997</v>
      </c>
    </row>
    <row r="23" spans="1:72" s="88" customFormat="1" ht="22" customHeight="1">
      <c r="A23" s="124"/>
      <c r="B23" s="98" t="s">
        <v>36</v>
      </c>
      <c r="C23" s="99"/>
      <c r="D23" s="99"/>
      <c r="E23" s="100">
        <f>+ﾇｰﾍﾞﾙﾌﾟｰｽ!W22/1000</f>
        <v>44651.64</v>
      </c>
      <c r="F23" s="101">
        <v>43294.593999999997</v>
      </c>
      <c r="G23" s="102">
        <f t="shared" si="1"/>
        <v>1357.0460000000021</v>
      </c>
      <c r="H23" s="101">
        <v>41992</v>
      </c>
      <c r="I23" s="105">
        <f t="shared" si="2"/>
        <v>2659.6399999999994</v>
      </c>
      <c r="J23" s="191">
        <f>+ｶﾌｪﾙﾎﾟ!W22/1000</f>
        <v>2524.1999999999998</v>
      </c>
      <c r="K23" s="101">
        <v>2933.9940000000001</v>
      </c>
      <c r="L23" s="102">
        <f t="shared" si="3"/>
        <v>-409.79400000000032</v>
      </c>
      <c r="M23" s="101">
        <v>2532</v>
      </c>
      <c r="N23" s="192">
        <f t="shared" si="4"/>
        <v>-7.8000000000001819</v>
      </c>
      <c r="O23" s="104">
        <f>+ｶﾌｪｾﾚｽﾃ!W22/1000</f>
        <v>2524.1999999999998</v>
      </c>
      <c r="P23" s="101">
        <v>2933.9940000000001</v>
      </c>
      <c r="Q23" s="102">
        <f t="shared" si="5"/>
        <v>-409.79400000000032</v>
      </c>
      <c r="R23" s="101">
        <v>2532</v>
      </c>
      <c r="S23" s="105">
        <f t="shared" si="6"/>
        <v>-7.8000000000001819</v>
      </c>
      <c r="T23" s="100">
        <f t="shared" si="7"/>
        <v>49700.039999999994</v>
      </c>
      <c r="U23" s="101">
        <f t="shared" si="8"/>
        <v>49162.581999999995</v>
      </c>
      <c r="V23" s="102">
        <f t="shared" si="9"/>
        <v>537.45799999999872</v>
      </c>
      <c r="W23" s="101">
        <f t="shared" si="10"/>
        <v>47056</v>
      </c>
      <c r="X23" s="103">
        <f t="shared" si="11"/>
        <v>2644.0399999999936</v>
      </c>
      <c r="Y23" s="104">
        <v>0</v>
      </c>
      <c r="Z23" s="101">
        <v>5497.3054000000002</v>
      </c>
      <c r="AA23" s="102">
        <f t="shared" si="12"/>
        <v>-5497.3054000000002</v>
      </c>
      <c r="AB23" s="101">
        <v>8241</v>
      </c>
      <c r="AC23" s="192">
        <f t="shared" si="13"/>
        <v>-8241</v>
      </c>
      <c r="AD23" s="104">
        <f>+ｼﾞｭｴﾙｽﾞ!W22/1000</f>
        <v>55698.34</v>
      </c>
      <c r="AE23" s="101">
        <v>55178.98</v>
      </c>
      <c r="AF23" s="102">
        <f t="shared" si="14"/>
        <v>519.35999999999331</v>
      </c>
      <c r="AG23" s="101">
        <v>54040</v>
      </c>
      <c r="AH23" s="103">
        <f t="shared" si="15"/>
        <v>1658.3399999999965</v>
      </c>
      <c r="AI23" s="100">
        <f t="shared" si="36"/>
        <v>55698.34</v>
      </c>
      <c r="AJ23" s="101">
        <f t="shared" si="38"/>
        <v>60676.285400000001</v>
      </c>
      <c r="AK23" s="102">
        <f t="shared" si="39"/>
        <v>-4977.9454000000042</v>
      </c>
      <c r="AL23" s="101">
        <f t="shared" si="40"/>
        <v>62281</v>
      </c>
      <c r="AM23" s="103">
        <f t="shared" si="41"/>
        <v>-6582.6600000000035</v>
      </c>
      <c r="AN23" s="100">
        <f>+ｶﾞｰﾃﾞﾝ!Y22/1000</f>
        <v>49303.667000000001</v>
      </c>
      <c r="AO23" s="101">
        <v>48006.785000000003</v>
      </c>
      <c r="AP23" s="102">
        <f t="shared" si="16"/>
        <v>1296.8819999999978</v>
      </c>
      <c r="AQ23" s="101">
        <v>53804</v>
      </c>
      <c r="AR23" s="105">
        <f t="shared" si="17"/>
        <v>-4500.3329999999987</v>
      </c>
      <c r="AS23" s="191">
        <f>+ﾋﾞｱｶﾞｰﾃﾞﾝ!X22/1000</f>
        <v>21130.143</v>
      </c>
      <c r="AT23" s="101">
        <v>20574.337</v>
      </c>
      <c r="AU23" s="102">
        <f t="shared" si="18"/>
        <v>555.80600000000049</v>
      </c>
      <c r="AV23" s="101">
        <v>6340</v>
      </c>
      <c r="AW23" s="103">
        <f t="shared" si="19"/>
        <v>14790.143</v>
      </c>
      <c r="AX23" s="100">
        <f t="shared" si="20"/>
        <v>70433.81</v>
      </c>
      <c r="AY23" s="101">
        <f t="shared" si="21"/>
        <v>68581.122000000003</v>
      </c>
      <c r="AZ23" s="102">
        <f t="shared" si="22"/>
        <v>1852.6879999999946</v>
      </c>
      <c r="BA23" s="101">
        <f t="shared" si="23"/>
        <v>60144</v>
      </c>
      <c r="BB23" s="103">
        <f t="shared" si="24"/>
        <v>10289.809999999998</v>
      </c>
      <c r="BC23" s="100">
        <f>+赤れんが!X20/1000</f>
        <v>30146</v>
      </c>
      <c r="BD23" s="191">
        <f>+赤れんが!Z20/1000</f>
        <v>16230</v>
      </c>
      <c r="BE23" s="100">
        <f>+BC23+BD23</f>
        <v>46376</v>
      </c>
      <c r="BF23" s="100">
        <f>+料飲共通!W22/1000</f>
        <v>0</v>
      </c>
      <c r="BG23" s="101">
        <v>0</v>
      </c>
      <c r="BH23" s="102">
        <f t="shared" si="26"/>
        <v>0</v>
      </c>
      <c r="BI23" s="101">
        <v>3150</v>
      </c>
      <c r="BJ23" s="103">
        <f t="shared" si="27"/>
        <v>-3150</v>
      </c>
      <c r="BK23" s="100">
        <f t="shared" si="28"/>
        <v>222208.19</v>
      </c>
      <c r="BL23" s="101">
        <f t="shared" si="29"/>
        <v>178419.98939999999</v>
      </c>
      <c r="BM23" s="102">
        <f t="shared" si="0"/>
        <v>43788.200600000011</v>
      </c>
      <c r="BN23" s="101">
        <f t="shared" si="30"/>
        <v>172631</v>
      </c>
      <c r="BO23" s="103">
        <f t="shared" si="31"/>
        <v>49577.19</v>
      </c>
      <c r="BP23" s="100">
        <f t="shared" si="32"/>
        <v>175832.19</v>
      </c>
      <c r="BQ23" s="101">
        <f t="shared" si="33"/>
        <v>172922.68399999998</v>
      </c>
      <c r="BR23" s="102">
        <f t="shared" si="37"/>
        <v>2909.5060000000231</v>
      </c>
      <c r="BS23" s="101">
        <f t="shared" si="34"/>
        <v>164390</v>
      </c>
      <c r="BT23" s="103">
        <f t="shared" si="35"/>
        <v>11442.190000000002</v>
      </c>
    </row>
    <row r="24" spans="1:72" s="88" customFormat="1" ht="22" hidden="1" customHeight="1" outlineLevel="1">
      <c r="A24" s="124"/>
      <c r="B24" s="125"/>
      <c r="C24" s="99" t="s">
        <v>38</v>
      </c>
      <c r="D24" s="99"/>
      <c r="E24" s="100">
        <f>+ﾇｰﾍﾞﾙﾌﾟｰｽ!W23/1000</f>
        <v>44462.64</v>
      </c>
      <c r="F24" s="101">
        <v>41495.923999999999</v>
      </c>
      <c r="G24" s="102">
        <f t="shared" si="1"/>
        <v>2966.7160000000003</v>
      </c>
      <c r="H24" s="101">
        <v>41110</v>
      </c>
      <c r="I24" s="105">
        <f t="shared" si="2"/>
        <v>3352.6399999999994</v>
      </c>
      <c r="J24" s="191">
        <f>+ｶﾌｪﾙﾎﾟ!W23/1000</f>
        <v>0</v>
      </c>
      <c r="K24" s="101">
        <v>0</v>
      </c>
      <c r="L24" s="102">
        <f t="shared" si="3"/>
        <v>0</v>
      </c>
      <c r="M24" s="101">
        <v>0</v>
      </c>
      <c r="N24" s="192">
        <f t="shared" si="4"/>
        <v>0</v>
      </c>
      <c r="O24" s="104">
        <f>+ｶﾌｪｾﾚｽﾃ!W23/1000</f>
        <v>0</v>
      </c>
      <c r="P24" s="101">
        <v>0</v>
      </c>
      <c r="Q24" s="102">
        <f t="shared" si="5"/>
        <v>0</v>
      </c>
      <c r="R24" s="101">
        <v>0</v>
      </c>
      <c r="S24" s="105">
        <f t="shared" si="6"/>
        <v>0</v>
      </c>
      <c r="T24" s="100">
        <f t="shared" si="7"/>
        <v>44462.64</v>
      </c>
      <c r="U24" s="101">
        <f t="shared" si="8"/>
        <v>41495.923999999999</v>
      </c>
      <c r="V24" s="102">
        <f t="shared" si="9"/>
        <v>2966.7160000000003</v>
      </c>
      <c r="W24" s="101">
        <f t="shared" si="10"/>
        <v>41110</v>
      </c>
      <c r="X24" s="103">
        <f t="shared" si="11"/>
        <v>3352.6399999999994</v>
      </c>
      <c r="Y24" s="104">
        <v>0</v>
      </c>
      <c r="Z24" s="101">
        <v>2105.471</v>
      </c>
      <c r="AA24" s="102">
        <f t="shared" si="12"/>
        <v>-2105.471</v>
      </c>
      <c r="AB24" s="101">
        <v>3747</v>
      </c>
      <c r="AC24" s="192">
        <f t="shared" si="13"/>
        <v>-3747</v>
      </c>
      <c r="AD24" s="104">
        <f>+ｼﾞｭｴﾙｽﾞ!W23/1000</f>
        <v>50391.64</v>
      </c>
      <c r="AE24" s="101">
        <v>49336.023000000001</v>
      </c>
      <c r="AF24" s="102">
        <f t="shared" si="14"/>
        <v>1055.6169999999984</v>
      </c>
      <c r="AG24" s="101">
        <v>46648</v>
      </c>
      <c r="AH24" s="103">
        <f t="shared" si="15"/>
        <v>3743.6399999999994</v>
      </c>
      <c r="AI24" s="100">
        <f t="shared" si="36"/>
        <v>50391.64</v>
      </c>
      <c r="AJ24" s="101">
        <f t="shared" si="38"/>
        <v>51441.493999999999</v>
      </c>
      <c r="AK24" s="102">
        <f t="shared" si="39"/>
        <v>-1049.8539999999994</v>
      </c>
      <c r="AL24" s="101">
        <f t="shared" si="40"/>
        <v>50395</v>
      </c>
      <c r="AM24" s="103">
        <f t="shared" si="41"/>
        <v>-3.3600000000005821</v>
      </c>
      <c r="AN24" s="100">
        <f>+ｶﾞｰﾃﾞﾝ!W23/1000</f>
        <v>63275.81</v>
      </c>
      <c r="AO24" s="101">
        <v>40063.794000000002</v>
      </c>
      <c r="AP24" s="102">
        <f t="shared" si="16"/>
        <v>23212.015999999996</v>
      </c>
      <c r="AQ24" s="101">
        <v>43908</v>
      </c>
      <c r="AR24" s="105">
        <f t="shared" si="17"/>
        <v>19367.809999999998</v>
      </c>
      <c r="AS24" s="191">
        <f>+ﾋﾞｱｶﾞｰﾃﾞﾝ!W23/1000</f>
        <v>0</v>
      </c>
      <c r="AT24" s="101">
        <v>17170.198</v>
      </c>
      <c r="AU24" s="102">
        <f t="shared" si="18"/>
        <v>-17170.198</v>
      </c>
      <c r="AV24" s="101">
        <v>6340</v>
      </c>
      <c r="AW24" s="103">
        <f t="shared" si="19"/>
        <v>-6340</v>
      </c>
      <c r="AX24" s="100">
        <f t="shared" si="20"/>
        <v>63275.81</v>
      </c>
      <c r="AY24" s="101">
        <f t="shared" si="21"/>
        <v>57233.991999999998</v>
      </c>
      <c r="AZ24" s="102">
        <f t="shared" si="22"/>
        <v>6041.8179999999993</v>
      </c>
      <c r="BA24" s="101">
        <f t="shared" si="23"/>
        <v>50248</v>
      </c>
      <c r="BB24" s="103">
        <f t="shared" si="24"/>
        <v>13027.809999999998</v>
      </c>
      <c r="BC24" s="100">
        <v>0</v>
      </c>
      <c r="BD24" s="191">
        <v>0</v>
      </c>
      <c r="BE24" s="100">
        <f t="shared" si="25"/>
        <v>0</v>
      </c>
      <c r="BF24" s="100">
        <f>+料飲共通!W23/1000</f>
        <v>0</v>
      </c>
      <c r="BG24" s="101">
        <v>0</v>
      </c>
      <c r="BH24" s="102">
        <f t="shared" si="26"/>
        <v>0</v>
      </c>
      <c r="BI24" s="101">
        <v>0</v>
      </c>
      <c r="BJ24" s="103">
        <f t="shared" si="27"/>
        <v>0</v>
      </c>
      <c r="BK24" s="100">
        <f t="shared" si="28"/>
        <v>158130.09</v>
      </c>
      <c r="BL24" s="101">
        <f t="shared" si="29"/>
        <v>150171.41</v>
      </c>
      <c r="BM24" s="102">
        <f t="shared" si="0"/>
        <v>7958.679999999993</v>
      </c>
      <c r="BN24" s="101">
        <f t="shared" si="30"/>
        <v>141753</v>
      </c>
      <c r="BO24" s="103">
        <f t="shared" si="31"/>
        <v>16377.089999999997</v>
      </c>
      <c r="BP24" s="100">
        <f t="shared" si="32"/>
        <v>158130.09</v>
      </c>
      <c r="BQ24" s="101">
        <f t="shared" si="33"/>
        <v>148065.93900000001</v>
      </c>
      <c r="BR24" s="102">
        <f t="shared" si="37"/>
        <v>10064.150999999983</v>
      </c>
      <c r="BS24" s="101">
        <f t="shared" si="34"/>
        <v>138006</v>
      </c>
      <c r="BT24" s="103">
        <f t="shared" si="35"/>
        <v>20124.089999999997</v>
      </c>
    </row>
    <row r="25" spans="1:72" s="88" customFormat="1" ht="22" hidden="1" customHeight="1" outlineLevel="1">
      <c r="A25" s="124"/>
      <c r="B25" s="125"/>
      <c r="C25" s="99" t="s">
        <v>40</v>
      </c>
      <c r="D25" s="99"/>
      <c r="E25" s="100">
        <f>+ﾇｰﾍﾞﾙﾌﾟｰｽ!W24/1000</f>
        <v>0</v>
      </c>
      <c r="F25" s="101">
        <v>0</v>
      </c>
      <c r="G25" s="102">
        <f t="shared" si="1"/>
        <v>0</v>
      </c>
      <c r="H25" s="101">
        <v>0</v>
      </c>
      <c r="I25" s="105">
        <f t="shared" si="2"/>
        <v>0</v>
      </c>
      <c r="J25" s="191">
        <f>+ｶﾌｪﾙﾎﾟ!W24/1000</f>
        <v>0</v>
      </c>
      <c r="K25" s="101">
        <v>0</v>
      </c>
      <c r="L25" s="102">
        <f t="shared" si="3"/>
        <v>0</v>
      </c>
      <c r="M25" s="101">
        <v>0</v>
      </c>
      <c r="N25" s="192">
        <f t="shared" si="4"/>
        <v>0</v>
      </c>
      <c r="O25" s="104">
        <f>+ｶﾌｪｾﾚｽﾃ!W24/1000</f>
        <v>0</v>
      </c>
      <c r="P25" s="101">
        <v>0</v>
      </c>
      <c r="Q25" s="102">
        <f t="shared" si="5"/>
        <v>0</v>
      </c>
      <c r="R25" s="101">
        <v>0</v>
      </c>
      <c r="S25" s="105">
        <f t="shared" si="6"/>
        <v>0</v>
      </c>
      <c r="T25" s="100">
        <f t="shared" si="7"/>
        <v>0</v>
      </c>
      <c r="U25" s="101">
        <f t="shared" si="8"/>
        <v>0</v>
      </c>
      <c r="V25" s="102">
        <f t="shared" si="9"/>
        <v>0</v>
      </c>
      <c r="W25" s="101">
        <f t="shared" si="10"/>
        <v>0</v>
      </c>
      <c r="X25" s="103">
        <f t="shared" si="11"/>
        <v>0</v>
      </c>
      <c r="Y25" s="104">
        <v>0</v>
      </c>
      <c r="Z25" s="101">
        <v>0</v>
      </c>
      <c r="AA25" s="102">
        <f t="shared" si="12"/>
        <v>0</v>
      </c>
      <c r="AB25" s="101">
        <v>0</v>
      </c>
      <c r="AC25" s="192">
        <f t="shared" si="13"/>
        <v>0</v>
      </c>
      <c r="AD25" s="104">
        <f>+ｼﾞｭｴﾙｽﾞ!W24/1000</f>
        <v>0</v>
      </c>
      <c r="AE25" s="101">
        <v>0</v>
      </c>
      <c r="AF25" s="102">
        <f t="shared" si="14"/>
        <v>0</v>
      </c>
      <c r="AG25" s="101">
        <v>0</v>
      </c>
      <c r="AH25" s="103">
        <f t="shared" si="15"/>
        <v>0</v>
      </c>
      <c r="AI25" s="100">
        <f t="shared" si="36"/>
        <v>0</v>
      </c>
      <c r="AJ25" s="101">
        <f t="shared" si="38"/>
        <v>0</v>
      </c>
      <c r="AK25" s="102">
        <f t="shared" si="39"/>
        <v>0</v>
      </c>
      <c r="AL25" s="101">
        <f t="shared" si="40"/>
        <v>0</v>
      </c>
      <c r="AM25" s="103">
        <f t="shared" si="41"/>
        <v>0</v>
      </c>
      <c r="AN25" s="100">
        <f>+ｶﾞｰﾃﾞﾝ!W24/1000</f>
        <v>0</v>
      </c>
      <c r="AO25" s="101">
        <v>0</v>
      </c>
      <c r="AP25" s="102">
        <f t="shared" si="16"/>
        <v>0</v>
      </c>
      <c r="AQ25" s="101">
        <v>0</v>
      </c>
      <c r="AR25" s="105">
        <f t="shared" si="17"/>
        <v>0</v>
      </c>
      <c r="AS25" s="191">
        <f>+ﾋﾞｱｶﾞｰﾃﾞﾝ!W24/1000</f>
        <v>0</v>
      </c>
      <c r="AT25" s="101">
        <v>0</v>
      </c>
      <c r="AU25" s="102">
        <f t="shared" si="18"/>
        <v>0</v>
      </c>
      <c r="AV25" s="101">
        <v>0</v>
      </c>
      <c r="AW25" s="103">
        <f t="shared" si="19"/>
        <v>0</v>
      </c>
      <c r="AX25" s="100">
        <f t="shared" si="20"/>
        <v>0</v>
      </c>
      <c r="AY25" s="101">
        <f t="shared" si="21"/>
        <v>0</v>
      </c>
      <c r="AZ25" s="102">
        <f t="shared" si="22"/>
        <v>0</v>
      </c>
      <c r="BA25" s="101">
        <f t="shared" si="23"/>
        <v>0</v>
      </c>
      <c r="BB25" s="103">
        <f t="shared" si="24"/>
        <v>0</v>
      </c>
      <c r="BC25" s="100">
        <v>0</v>
      </c>
      <c r="BD25" s="191">
        <v>0</v>
      </c>
      <c r="BE25" s="100">
        <f t="shared" si="25"/>
        <v>0</v>
      </c>
      <c r="BF25" s="100">
        <f>+料飲共通!W24/1000</f>
        <v>0</v>
      </c>
      <c r="BG25" s="101">
        <v>0</v>
      </c>
      <c r="BH25" s="102">
        <f t="shared" si="26"/>
        <v>0</v>
      </c>
      <c r="BI25" s="101">
        <v>0</v>
      </c>
      <c r="BJ25" s="103">
        <f t="shared" si="27"/>
        <v>0</v>
      </c>
      <c r="BK25" s="100">
        <f t="shared" si="28"/>
        <v>0</v>
      </c>
      <c r="BL25" s="101">
        <f t="shared" si="29"/>
        <v>0</v>
      </c>
      <c r="BM25" s="102">
        <f t="shared" si="0"/>
        <v>0</v>
      </c>
      <c r="BN25" s="101">
        <f t="shared" si="30"/>
        <v>0</v>
      </c>
      <c r="BO25" s="103">
        <f t="shared" si="31"/>
        <v>0</v>
      </c>
      <c r="BP25" s="100">
        <f t="shared" si="32"/>
        <v>0</v>
      </c>
      <c r="BQ25" s="101">
        <f t="shared" si="33"/>
        <v>0</v>
      </c>
      <c r="BR25" s="102">
        <f t="shared" si="37"/>
        <v>0</v>
      </c>
      <c r="BS25" s="101">
        <f t="shared" si="34"/>
        <v>0</v>
      </c>
      <c r="BT25" s="103">
        <f t="shared" si="35"/>
        <v>0</v>
      </c>
    </row>
    <row r="26" spans="1:72" s="88" customFormat="1" ht="22" hidden="1" customHeight="1" outlineLevel="1">
      <c r="A26" s="124"/>
      <c r="B26" s="125"/>
      <c r="C26" s="99" t="s">
        <v>42</v>
      </c>
      <c r="D26" s="99"/>
      <c r="E26" s="100">
        <f>+ﾇｰﾍﾞﾙﾌﾟｰｽ!W25/1000</f>
        <v>189</v>
      </c>
      <c r="F26" s="101">
        <v>1798.67</v>
      </c>
      <c r="G26" s="102">
        <f t="shared" si="1"/>
        <v>-1609.67</v>
      </c>
      <c r="H26" s="101">
        <v>882</v>
      </c>
      <c r="I26" s="105">
        <f t="shared" si="2"/>
        <v>-693</v>
      </c>
      <c r="J26" s="191">
        <f>+ｶﾌｪﾙﾎﾟ!W25/1000</f>
        <v>2524.1999999999998</v>
      </c>
      <c r="K26" s="101">
        <v>2933.9940000000001</v>
      </c>
      <c r="L26" s="102">
        <f t="shared" si="3"/>
        <v>-409.79400000000032</v>
      </c>
      <c r="M26" s="101">
        <v>2532</v>
      </c>
      <c r="N26" s="192">
        <f t="shared" si="4"/>
        <v>-7.8000000000001819</v>
      </c>
      <c r="O26" s="104">
        <f>+ｶﾌｪｾﾚｽﾃ!W25/1000</f>
        <v>2524.1999999999998</v>
      </c>
      <c r="P26" s="101">
        <v>2933.9940000000001</v>
      </c>
      <c r="Q26" s="102">
        <f t="shared" si="5"/>
        <v>-409.79400000000032</v>
      </c>
      <c r="R26" s="101">
        <v>2532</v>
      </c>
      <c r="S26" s="105">
        <f t="shared" si="6"/>
        <v>-7.8000000000001819</v>
      </c>
      <c r="T26" s="100">
        <f t="shared" si="7"/>
        <v>5237.3999999999996</v>
      </c>
      <c r="U26" s="101">
        <f t="shared" si="8"/>
        <v>7666.6580000000013</v>
      </c>
      <c r="V26" s="102">
        <f t="shared" si="9"/>
        <v>-2429.2580000000016</v>
      </c>
      <c r="W26" s="101">
        <f t="shared" si="10"/>
        <v>5946</v>
      </c>
      <c r="X26" s="103">
        <f t="shared" si="11"/>
        <v>-708.60000000000036</v>
      </c>
      <c r="Y26" s="104">
        <v>0</v>
      </c>
      <c r="Z26" s="101">
        <v>3391.8344000000002</v>
      </c>
      <c r="AA26" s="102">
        <f t="shared" si="12"/>
        <v>-3391.8344000000002</v>
      </c>
      <c r="AB26" s="101">
        <v>4494</v>
      </c>
      <c r="AC26" s="192">
        <f t="shared" si="13"/>
        <v>-4494</v>
      </c>
      <c r="AD26" s="104">
        <f>+ｼﾞｭｴﾙｽﾞ!W25/1000</f>
        <v>5306.7</v>
      </c>
      <c r="AE26" s="101">
        <v>5842.9570000000003</v>
      </c>
      <c r="AF26" s="102">
        <f t="shared" si="14"/>
        <v>-536.25700000000052</v>
      </c>
      <c r="AG26" s="101">
        <v>7392</v>
      </c>
      <c r="AH26" s="103">
        <f t="shared" si="15"/>
        <v>-2085.3000000000002</v>
      </c>
      <c r="AI26" s="100">
        <f t="shared" si="36"/>
        <v>5306.7</v>
      </c>
      <c r="AJ26" s="101">
        <f t="shared" si="38"/>
        <v>9234.7914000000001</v>
      </c>
      <c r="AK26" s="102">
        <f t="shared" si="39"/>
        <v>-3928.0914000000002</v>
      </c>
      <c r="AL26" s="101">
        <f t="shared" si="40"/>
        <v>11886</v>
      </c>
      <c r="AM26" s="103">
        <f t="shared" si="41"/>
        <v>-6579.3</v>
      </c>
      <c r="AN26" s="100">
        <f>+ｶﾞｰﾃﾞﾝ!W25/1000</f>
        <v>3528</v>
      </c>
      <c r="AO26" s="101">
        <v>7942.991</v>
      </c>
      <c r="AP26" s="102">
        <f t="shared" si="16"/>
        <v>-4414.991</v>
      </c>
      <c r="AQ26" s="101">
        <v>9896</v>
      </c>
      <c r="AR26" s="105">
        <f t="shared" si="17"/>
        <v>-6368</v>
      </c>
      <c r="AS26" s="191">
        <f>+ﾋﾞｱｶﾞｰﾃﾞﾝ!W25/1000</f>
        <v>3630</v>
      </c>
      <c r="AT26" s="101">
        <v>3404.1390000000001</v>
      </c>
      <c r="AU26" s="102">
        <f t="shared" si="18"/>
        <v>225.86099999999988</v>
      </c>
      <c r="AV26" s="101">
        <v>0</v>
      </c>
      <c r="AW26" s="103">
        <f t="shared" si="19"/>
        <v>3630</v>
      </c>
      <c r="AX26" s="100">
        <f t="shared" si="20"/>
        <v>7158</v>
      </c>
      <c r="AY26" s="101">
        <f t="shared" si="21"/>
        <v>11347.130000000001</v>
      </c>
      <c r="AZ26" s="102">
        <f t="shared" si="22"/>
        <v>-4189.130000000001</v>
      </c>
      <c r="BA26" s="101">
        <f t="shared" si="23"/>
        <v>9896</v>
      </c>
      <c r="BB26" s="103">
        <f t="shared" si="24"/>
        <v>-2738</v>
      </c>
      <c r="BC26" s="100">
        <v>0</v>
      </c>
      <c r="BD26" s="191">
        <v>0</v>
      </c>
      <c r="BE26" s="100">
        <f t="shared" si="25"/>
        <v>0</v>
      </c>
      <c r="BF26" s="100">
        <f>+料飲共通!W25/1000</f>
        <v>0</v>
      </c>
      <c r="BG26" s="101">
        <v>0</v>
      </c>
      <c r="BH26" s="102">
        <f t="shared" si="26"/>
        <v>0</v>
      </c>
      <c r="BI26" s="101">
        <v>3150</v>
      </c>
      <c r="BJ26" s="103">
        <f t="shared" si="27"/>
        <v>-3150</v>
      </c>
      <c r="BK26" s="100">
        <f t="shared" si="28"/>
        <v>17702.099999999999</v>
      </c>
      <c r="BL26" s="101">
        <f t="shared" si="29"/>
        <v>28248.579400000002</v>
      </c>
      <c r="BM26" s="102">
        <f t="shared" si="0"/>
        <v>-10546.479400000004</v>
      </c>
      <c r="BN26" s="101">
        <f t="shared" si="30"/>
        <v>30878</v>
      </c>
      <c r="BO26" s="103">
        <f t="shared" si="31"/>
        <v>-13175.900000000001</v>
      </c>
      <c r="BP26" s="100">
        <f t="shared" si="32"/>
        <v>17702.099999999999</v>
      </c>
      <c r="BQ26" s="101">
        <f t="shared" si="33"/>
        <v>24856.745000000003</v>
      </c>
      <c r="BR26" s="102">
        <f t="shared" si="37"/>
        <v>-7154.6450000000041</v>
      </c>
      <c r="BS26" s="101">
        <f t="shared" si="34"/>
        <v>26384</v>
      </c>
      <c r="BT26" s="103">
        <f t="shared" si="35"/>
        <v>-8681.9000000000015</v>
      </c>
    </row>
    <row r="27" spans="1:72" s="88" customFormat="1" ht="22" customHeight="1" collapsed="1">
      <c r="A27" s="124"/>
      <c r="B27" s="98" t="s">
        <v>44</v>
      </c>
      <c r="C27" s="99"/>
      <c r="D27" s="99"/>
      <c r="E27" s="100">
        <f>+ﾇｰﾍﾞﾙﾌﾟｰｽ!W26/1000</f>
        <v>0</v>
      </c>
      <c r="F27" s="101">
        <v>0</v>
      </c>
      <c r="G27" s="102">
        <f t="shared" si="1"/>
        <v>0</v>
      </c>
      <c r="H27" s="101">
        <v>0</v>
      </c>
      <c r="I27" s="105">
        <f t="shared" si="2"/>
        <v>0</v>
      </c>
      <c r="J27" s="191">
        <f>+ｶﾌｪﾙﾎﾟ!W26/1000</f>
        <v>0</v>
      </c>
      <c r="K27" s="101">
        <v>0</v>
      </c>
      <c r="L27" s="102">
        <f t="shared" si="3"/>
        <v>0</v>
      </c>
      <c r="M27" s="101">
        <v>0</v>
      </c>
      <c r="N27" s="192">
        <f t="shared" si="4"/>
        <v>0</v>
      </c>
      <c r="O27" s="104">
        <f>+ｶﾌｪｾﾚｽﾃ!W26/1000</f>
        <v>0</v>
      </c>
      <c r="P27" s="101">
        <v>0</v>
      </c>
      <c r="Q27" s="102">
        <f t="shared" si="5"/>
        <v>0</v>
      </c>
      <c r="R27" s="101">
        <v>0</v>
      </c>
      <c r="S27" s="105">
        <f t="shared" si="6"/>
        <v>0</v>
      </c>
      <c r="T27" s="100">
        <f t="shared" si="7"/>
        <v>0</v>
      </c>
      <c r="U27" s="101">
        <f t="shared" si="8"/>
        <v>0</v>
      </c>
      <c r="V27" s="102">
        <f t="shared" si="9"/>
        <v>0</v>
      </c>
      <c r="W27" s="101">
        <f t="shared" si="10"/>
        <v>0</v>
      </c>
      <c r="X27" s="103">
        <f t="shared" si="11"/>
        <v>0</v>
      </c>
      <c r="Y27" s="104">
        <v>0</v>
      </c>
      <c r="Z27" s="101">
        <v>0</v>
      </c>
      <c r="AA27" s="102">
        <f t="shared" si="12"/>
        <v>0</v>
      </c>
      <c r="AB27" s="101">
        <v>0</v>
      </c>
      <c r="AC27" s="192">
        <f t="shared" si="13"/>
        <v>0</v>
      </c>
      <c r="AD27" s="104">
        <f>+ｼﾞｭｴﾙｽﾞ!W26/1000</f>
        <v>0</v>
      </c>
      <c r="AE27" s="101">
        <v>0</v>
      </c>
      <c r="AF27" s="102">
        <f t="shared" si="14"/>
        <v>0</v>
      </c>
      <c r="AG27" s="101">
        <v>0</v>
      </c>
      <c r="AH27" s="103">
        <f t="shared" si="15"/>
        <v>0</v>
      </c>
      <c r="AI27" s="100">
        <f t="shared" si="36"/>
        <v>0</v>
      </c>
      <c r="AJ27" s="101">
        <f t="shared" si="38"/>
        <v>0</v>
      </c>
      <c r="AK27" s="102">
        <f t="shared" si="39"/>
        <v>0</v>
      </c>
      <c r="AL27" s="101">
        <f t="shared" si="40"/>
        <v>0</v>
      </c>
      <c r="AM27" s="103">
        <f t="shared" si="41"/>
        <v>0</v>
      </c>
      <c r="AN27" s="100">
        <f>+ｶﾞｰﾃﾞﾝ!Y26/1000</f>
        <v>0</v>
      </c>
      <c r="AO27" s="101">
        <v>0</v>
      </c>
      <c r="AP27" s="102">
        <f t="shared" si="16"/>
        <v>0</v>
      </c>
      <c r="AQ27" s="101">
        <v>0</v>
      </c>
      <c r="AR27" s="105">
        <f t="shared" si="17"/>
        <v>0</v>
      </c>
      <c r="AS27" s="191">
        <f>+ﾋﾞｱｶﾞｰﾃﾞﾝ!X26/1000</f>
        <v>0</v>
      </c>
      <c r="AT27" s="101">
        <v>0</v>
      </c>
      <c r="AU27" s="102">
        <f t="shared" si="18"/>
        <v>0</v>
      </c>
      <c r="AV27" s="101">
        <v>0</v>
      </c>
      <c r="AW27" s="103">
        <f t="shared" si="19"/>
        <v>0</v>
      </c>
      <c r="AX27" s="100">
        <f t="shared" si="20"/>
        <v>0</v>
      </c>
      <c r="AY27" s="101">
        <f t="shared" si="21"/>
        <v>0</v>
      </c>
      <c r="AZ27" s="102">
        <f t="shared" si="22"/>
        <v>0</v>
      </c>
      <c r="BA27" s="101">
        <f t="shared" si="23"/>
        <v>0</v>
      </c>
      <c r="BB27" s="103">
        <f t="shared" si="24"/>
        <v>0</v>
      </c>
      <c r="BC27" s="100">
        <v>0</v>
      </c>
      <c r="BD27" s="191">
        <v>0</v>
      </c>
      <c r="BE27" s="100">
        <f t="shared" si="25"/>
        <v>0</v>
      </c>
      <c r="BF27" s="100">
        <f>+料飲共通!W26/1000</f>
        <v>0</v>
      </c>
      <c r="BG27" s="101">
        <v>0</v>
      </c>
      <c r="BH27" s="102">
        <f t="shared" si="26"/>
        <v>0</v>
      </c>
      <c r="BI27" s="101">
        <v>0</v>
      </c>
      <c r="BJ27" s="103">
        <f t="shared" si="27"/>
        <v>0</v>
      </c>
      <c r="BK27" s="100">
        <f t="shared" si="28"/>
        <v>0</v>
      </c>
      <c r="BL27" s="101">
        <f t="shared" si="29"/>
        <v>0</v>
      </c>
      <c r="BM27" s="102">
        <f t="shared" si="0"/>
        <v>0</v>
      </c>
      <c r="BN27" s="101">
        <f t="shared" si="30"/>
        <v>0</v>
      </c>
      <c r="BO27" s="103">
        <f t="shared" si="31"/>
        <v>0</v>
      </c>
      <c r="BP27" s="100">
        <f t="shared" si="32"/>
        <v>0</v>
      </c>
      <c r="BQ27" s="101">
        <f t="shared" si="33"/>
        <v>0</v>
      </c>
      <c r="BR27" s="102">
        <f t="shared" si="37"/>
        <v>0</v>
      </c>
      <c r="BS27" s="101">
        <f t="shared" si="34"/>
        <v>0</v>
      </c>
      <c r="BT27" s="103">
        <f t="shared" si="35"/>
        <v>0</v>
      </c>
    </row>
    <row r="28" spans="1:72" s="88" customFormat="1" ht="22" hidden="1" customHeight="1" outlineLevel="1">
      <c r="A28" s="124"/>
      <c r="B28" s="125"/>
      <c r="C28" s="99" t="s">
        <v>46</v>
      </c>
      <c r="D28" s="99"/>
      <c r="E28" s="100">
        <f>+ﾇｰﾍﾞﾙﾌﾟｰｽ!W27/1000</f>
        <v>0</v>
      </c>
      <c r="F28" s="101">
        <v>0</v>
      </c>
      <c r="G28" s="102">
        <f t="shared" si="1"/>
        <v>0</v>
      </c>
      <c r="H28" s="101">
        <v>0</v>
      </c>
      <c r="I28" s="105">
        <f t="shared" si="2"/>
        <v>0</v>
      </c>
      <c r="J28" s="191">
        <f>+ｶﾌｪﾙﾎﾟ!W27/1000</f>
        <v>0</v>
      </c>
      <c r="K28" s="101">
        <v>0</v>
      </c>
      <c r="L28" s="102">
        <f t="shared" si="3"/>
        <v>0</v>
      </c>
      <c r="M28" s="101">
        <v>0</v>
      </c>
      <c r="N28" s="192">
        <f t="shared" si="4"/>
        <v>0</v>
      </c>
      <c r="O28" s="104">
        <f>+ｶﾌｪｾﾚｽﾃ!W27/1000</f>
        <v>0</v>
      </c>
      <c r="P28" s="101">
        <v>0</v>
      </c>
      <c r="Q28" s="102">
        <f t="shared" si="5"/>
        <v>0</v>
      </c>
      <c r="R28" s="101">
        <v>0</v>
      </c>
      <c r="S28" s="105">
        <f t="shared" si="6"/>
        <v>0</v>
      </c>
      <c r="T28" s="100">
        <f t="shared" si="7"/>
        <v>0</v>
      </c>
      <c r="U28" s="101">
        <f t="shared" si="8"/>
        <v>0</v>
      </c>
      <c r="V28" s="102">
        <f t="shared" si="9"/>
        <v>0</v>
      </c>
      <c r="W28" s="101">
        <f t="shared" si="10"/>
        <v>0</v>
      </c>
      <c r="X28" s="103">
        <f t="shared" si="11"/>
        <v>0</v>
      </c>
      <c r="Y28" s="104">
        <v>0</v>
      </c>
      <c r="Z28" s="101">
        <v>0</v>
      </c>
      <c r="AA28" s="102">
        <f t="shared" si="12"/>
        <v>0</v>
      </c>
      <c r="AB28" s="101">
        <v>0</v>
      </c>
      <c r="AC28" s="192">
        <f t="shared" si="13"/>
        <v>0</v>
      </c>
      <c r="AD28" s="104">
        <f>+ｼﾞｭｴﾙｽﾞ!W27/1000</f>
        <v>0</v>
      </c>
      <c r="AE28" s="101">
        <v>0</v>
      </c>
      <c r="AF28" s="102">
        <f t="shared" si="14"/>
        <v>0</v>
      </c>
      <c r="AG28" s="101">
        <v>0</v>
      </c>
      <c r="AH28" s="103">
        <f t="shared" si="15"/>
        <v>0</v>
      </c>
      <c r="AI28" s="100">
        <f t="shared" si="36"/>
        <v>0</v>
      </c>
      <c r="AJ28" s="101">
        <f t="shared" si="38"/>
        <v>0</v>
      </c>
      <c r="AK28" s="102">
        <f t="shared" si="39"/>
        <v>0</v>
      </c>
      <c r="AL28" s="101">
        <f t="shared" si="40"/>
        <v>0</v>
      </c>
      <c r="AM28" s="103">
        <f t="shared" si="41"/>
        <v>0</v>
      </c>
      <c r="AN28" s="100">
        <f>+ｶﾞｰﾃﾞﾝ!W27/1000</f>
        <v>0</v>
      </c>
      <c r="AO28" s="101">
        <v>0</v>
      </c>
      <c r="AP28" s="102">
        <f t="shared" si="16"/>
        <v>0</v>
      </c>
      <c r="AQ28" s="101">
        <v>0</v>
      </c>
      <c r="AR28" s="105">
        <f t="shared" si="17"/>
        <v>0</v>
      </c>
      <c r="AS28" s="191">
        <f>+ﾋﾞｱｶﾞｰﾃﾞﾝ!W27/1000</f>
        <v>0</v>
      </c>
      <c r="AT28" s="101">
        <v>0</v>
      </c>
      <c r="AU28" s="102">
        <f t="shared" si="18"/>
        <v>0</v>
      </c>
      <c r="AV28" s="101">
        <v>0</v>
      </c>
      <c r="AW28" s="103">
        <f t="shared" si="19"/>
        <v>0</v>
      </c>
      <c r="AX28" s="100">
        <f t="shared" si="20"/>
        <v>0</v>
      </c>
      <c r="AY28" s="101">
        <f t="shared" si="21"/>
        <v>0</v>
      </c>
      <c r="AZ28" s="102">
        <f t="shared" si="22"/>
        <v>0</v>
      </c>
      <c r="BA28" s="101">
        <f t="shared" si="23"/>
        <v>0</v>
      </c>
      <c r="BB28" s="103">
        <f t="shared" si="24"/>
        <v>0</v>
      </c>
      <c r="BC28" s="100">
        <v>0</v>
      </c>
      <c r="BD28" s="191">
        <v>0</v>
      </c>
      <c r="BE28" s="100">
        <f t="shared" si="25"/>
        <v>0</v>
      </c>
      <c r="BF28" s="100">
        <f>+料飲共通!W27/1000</f>
        <v>0</v>
      </c>
      <c r="BG28" s="101">
        <v>0</v>
      </c>
      <c r="BH28" s="102">
        <f t="shared" si="26"/>
        <v>0</v>
      </c>
      <c r="BI28" s="101">
        <v>0</v>
      </c>
      <c r="BJ28" s="103">
        <f t="shared" si="27"/>
        <v>0</v>
      </c>
      <c r="BK28" s="100">
        <f t="shared" si="28"/>
        <v>0</v>
      </c>
      <c r="BL28" s="101">
        <f t="shared" si="29"/>
        <v>0</v>
      </c>
      <c r="BM28" s="102">
        <f t="shared" si="0"/>
        <v>0</v>
      </c>
      <c r="BN28" s="101">
        <f t="shared" si="30"/>
        <v>0</v>
      </c>
      <c r="BO28" s="103">
        <f t="shared" si="31"/>
        <v>0</v>
      </c>
      <c r="BP28" s="100">
        <f t="shared" si="32"/>
        <v>0</v>
      </c>
      <c r="BQ28" s="101">
        <f t="shared" si="33"/>
        <v>0</v>
      </c>
      <c r="BR28" s="102">
        <f t="shared" si="37"/>
        <v>0</v>
      </c>
      <c r="BS28" s="101">
        <f t="shared" si="34"/>
        <v>0</v>
      </c>
      <c r="BT28" s="103">
        <f t="shared" si="35"/>
        <v>0</v>
      </c>
    </row>
    <row r="29" spans="1:72" s="88" customFormat="1" ht="22" hidden="1" customHeight="1" outlineLevel="1">
      <c r="A29" s="124"/>
      <c r="B29" s="125"/>
      <c r="C29" s="99" t="s">
        <v>48</v>
      </c>
      <c r="D29" s="99"/>
      <c r="E29" s="100">
        <f>+ﾇｰﾍﾞﾙﾌﾟｰｽ!W28/1000</f>
        <v>0</v>
      </c>
      <c r="F29" s="101">
        <v>0</v>
      </c>
      <c r="G29" s="102">
        <f t="shared" si="1"/>
        <v>0</v>
      </c>
      <c r="H29" s="101">
        <v>0</v>
      </c>
      <c r="I29" s="105">
        <f t="shared" si="2"/>
        <v>0</v>
      </c>
      <c r="J29" s="191">
        <f>+ｶﾌｪﾙﾎﾟ!W28/1000</f>
        <v>0</v>
      </c>
      <c r="K29" s="101">
        <v>0</v>
      </c>
      <c r="L29" s="102">
        <f t="shared" si="3"/>
        <v>0</v>
      </c>
      <c r="M29" s="101">
        <v>0</v>
      </c>
      <c r="N29" s="192">
        <f t="shared" si="4"/>
        <v>0</v>
      </c>
      <c r="O29" s="104">
        <f>+ｶﾌｪｾﾚｽﾃ!W28/1000</f>
        <v>0</v>
      </c>
      <c r="P29" s="101">
        <v>0</v>
      </c>
      <c r="Q29" s="102">
        <f t="shared" si="5"/>
        <v>0</v>
      </c>
      <c r="R29" s="101">
        <v>0</v>
      </c>
      <c r="S29" s="105">
        <f t="shared" si="6"/>
        <v>0</v>
      </c>
      <c r="T29" s="100">
        <f t="shared" si="7"/>
        <v>0</v>
      </c>
      <c r="U29" s="101">
        <f t="shared" si="8"/>
        <v>0</v>
      </c>
      <c r="V29" s="102">
        <f t="shared" si="9"/>
        <v>0</v>
      </c>
      <c r="W29" s="101">
        <f t="shared" si="10"/>
        <v>0</v>
      </c>
      <c r="X29" s="103">
        <f t="shared" si="11"/>
        <v>0</v>
      </c>
      <c r="Y29" s="104">
        <v>0</v>
      </c>
      <c r="Z29" s="101">
        <v>0</v>
      </c>
      <c r="AA29" s="102">
        <f t="shared" si="12"/>
        <v>0</v>
      </c>
      <c r="AB29" s="101">
        <v>0</v>
      </c>
      <c r="AC29" s="192">
        <f t="shared" si="13"/>
        <v>0</v>
      </c>
      <c r="AD29" s="104">
        <f>+ｼﾞｭｴﾙｽﾞ!W28/1000</f>
        <v>0</v>
      </c>
      <c r="AE29" s="101">
        <v>0</v>
      </c>
      <c r="AF29" s="102">
        <f t="shared" si="14"/>
        <v>0</v>
      </c>
      <c r="AG29" s="101">
        <v>0</v>
      </c>
      <c r="AH29" s="103">
        <f t="shared" si="15"/>
        <v>0</v>
      </c>
      <c r="AI29" s="100">
        <f t="shared" si="36"/>
        <v>0</v>
      </c>
      <c r="AJ29" s="101">
        <f t="shared" si="38"/>
        <v>0</v>
      </c>
      <c r="AK29" s="102">
        <f t="shared" si="39"/>
        <v>0</v>
      </c>
      <c r="AL29" s="101">
        <f t="shared" si="40"/>
        <v>0</v>
      </c>
      <c r="AM29" s="103">
        <f t="shared" si="41"/>
        <v>0</v>
      </c>
      <c r="AN29" s="100">
        <f>+ｶﾞｰﾃﾞﾝ!W28/1000</f>
        <v>0</v>
      </c>
      <c r="AO29" s="101">
        <v>0</v>
      </c>
      <c r="AP29" s="102">
        <f t="shared" si="16"/>
        <v>0</v>
      </c>
      <c r="AQ29" s="101">
        <v>0</v>
      </c>
      <c r="AR29" s="105">
        <f t="shared" si="17"/>
        <v>0</v>
      </c>
      <c r="AS29" s="191">
        <f>+ﾋﾞｱｶﾞｰﾃﾞﾝ!W28/1000</f>
        <v>0</v>
      </c>
      <c r="AT29" s="101">
        <v>0</v>
      </c>
      <c r="AU29" s="102">
        <f t="shared" si="18"/>
        <v>0</v>
      </c>
      <c r="AV29" s="101">
        <v>0</v>
      </c>
      <c r="AW29" s="103">
        <f t="shared" si="19"/>
        <v>0</v>
      </c>
      <c r="AX29" s="100">
        <f t="shared" si="20"/>
        <v>0</v>
      </c>
      <c r="AY29" s="101">
        <f t="shared" si="21"/>
        <v>0</v>
      </c>
      <c r="AZ29" s="102">
        <f t="shared" si="22"/>
        <v>0</v>
      </c>
      <c r="BA29" s="101">
        <f t="shared" si="23"/>
        <v>0</v>
      </c>
      <c r="BB29" s="103">
        <f t="shared" si="24"/>
        <v>0</v>
      </c>
      <c r="BC29" s="100">
        <v>0</v>
      </c>
      <c r="BD29" s="191">
        <v>0</v>
      </c>
      <c r="BE29" s="100">
        <f t="shared" si="25"/>
        <v>0</v>
      </c>
      <c r="BF29" s="100">
        <f>+料飲共通!W28/1000</f>
        <v>0</v>
      </c>
      <c r="BG29" s="101">
        <v>0</v>
      </c>
      <c r="BH29" s="102">
        <f t="shared" si="26"/>
        <v>0</v>
      </c>
      <c r="BI29" s="101">
        <v>0</v>
      </c>
      <c r="BJ29" s="103">
        <f t="shared" si="27"/>
        <v>0</v>
      </c>
      <c r="BK29" s="100">
        <f t="shared" si="28"/>
        <v>0</v>
      </c>
      <c r="BL29" s="101">
        <f t="shared" si="29"/>
        <v>0</v>
      </c>
      <c r="BM29" s="102">
        <f t="shared" si="0"/>
        <v>0</v>
      </c>
      <c r="BN29" s="101">
        <f t="shared" si="30"/>
        <v>0</v>
      </c>
      <c r="BO29" s="103">
        <f t="shared" si="31"/>
        <v>0</v>
      </c>
      <c r="BP29" s="100">
        <f t="shared" si="32"/>
        <v>0</v>
      </c>
      <c r="BQ29" s="101">
        <f t="shared" si="33"/>
        <v>0</v>
      </c>
      <c r="BR29" s="102">
        <f t="shared" si="37"/>
        <v>0</v>
      </c>
      <c r="BS29" s="101">
        <f t="shared" si="34"/>
        <v>0</v>
      </c>
      <c r="BT29" s="103">
        <f t="shared" si="35"/>
        <v>0</v>
      </c>
    </row>
    <row r="30" spans="1:72" s="88" customFormat="1" ht="22" customHeight="1" collapsed="1">
      <c r="A30" s="124"/>
      <c r="B30" s="98" t="s">
        <v>50</v>
      </c>
      <c r="C30" s="99"/>
      <c r="D30" s="99"/>
      <c r="E30" s="100">
        <f>+ﾇｰﾍﾞﾙﾌﾟｰｽ!W29/1000</f>
        <v>7178.6849799999991</v>
      </c>
      <c r="F30" s="101">
        <v>5733.7929999999997</v>
      </c>
      <c r="G30" s="102">
        <f t="shared" si="1"/>
        <v>1444.8919799999994</v>
      </c>
      <c r="H30" s="101">
        <v>6921</v>
      </c>
      <c r="I30" s="105">
        <f t="shared" si="2"/>
        <v>257.68497999999909</v>
      </c>
      <c r="J30" s="191">
        <f>+ｶﾌｪﾙﾎﾟ!W29/1000</f>
        <v>241.66399999999999</v>
      </c>
      <c r="K30" s="101">
        <v>245.15600000000001</v>
      </c>
      <c r="L30" s="102">
        <f t="shared" si="3"/>
        <v>-3.4920000000000186</v>
      </c>
      <c r="M30" s="101">
        <v>240</v>
      </c>
      <c r="N30" s="192">
        <f t="shared" si="4"/>
        <v>1.6639999999999873</v>
      </c>
      <c r="O30" s="104">
        <f>+ｶﾌｪｾﾚｽﾃ!W29/1000</f>
        <v>241.66499999999999</v>
      </c>
      <c r="P30" s="101">
        <v>245.15600000000001</v>
      </c>
      <c r="Q30" s="102">
        <f t="shared" si="5"/>
        <v>-3.4910000000000139</v>
      </c>
      <c r="R30" s="101">
        <v>240</v>
      </c>
      <c r="S30" s="105">
        <f t="shared" si="6"/>
        <v>1.664999999999992</v>
      </c>
      <c r="T30" s="100">
        <f t="shared" si="7"/>
        <v>7662.0139799999988</v>
      </c>
      <c r="U30" s="101">
        <f t="shared" si="8"/>
        <v>6224.1049999999996</v>
      </c>
      <c r="V30" s="102">
        <f t="shared" si="9"/>
        <v>1437.9089799999992</v>
      </c>
      <c r="W30" s="101">
        <f t="shared" si="10"/>
        <v>7401</v>
      </c>
      <c r="X30" s="103">
        <f t="shared" si="11"/>
        <v>261.01397999999881</v>
      </c>
      <c r="Y30" s="104">
        <v>0</v>
      </c>
      <c r="Z30" s="101">
        <v>361.25400000000002</v>
      </c>
      <c r="AA30" s="102">
        <f t="shared" si="12"/>
        <v>-361.25400000000002</v>
      </c>
      <c r="AB30" s="101">
        <v>689</v>
      </c>
      <c r="AC30" s="192">
        <f t="shared" si="13"/>
        <v>-689</v>
      </c>
      <c r="AD30" s="104">
        <f>+ｼﾞｭｴﾙｽﾞ!W29/1000</f>
        <v>8543.7104199999994</v>
      </c>
      <c r="AE30" s="101">
        <v>7112.7910000000002</v>
      </c>
      <c r="AF30" s="102">
        <f t="shared" si="14"/>
        <v>1430.9194199999993</v>
      </c>
      <c r="AG30" s="101">
        <v>7741</v>
      </c>
      <c r="AH30" s="103">
        <f t="shared" si="15"/>
        <v>802.71041999999943</v>
      </c>
      <c r="AI30" s="100">
        <f t="shared" si="36"/>
        <v>8543.7104199999994</v>
      </c>
      <c r="AJ30" s="101">
        <f t="shared" si="38"/>
        <v>7474.0450000000001</v>
      </c>
      <c r="AK30" s="102">
        <f t="shared" si="39"/>
        <v>1069.6654199999994</v>
      </c>
      <c r="AL30" s="101">
        <f t="shared" si="40"/>
        <v>8430</v>
      </c>
      <c r="AM30" s="103">
        <f t="shared" si="41"/>
        <v>113.71041999999943</v>
      </c>
      <c r="AN30" s="100">
        <f>+ｶﾞｰﾃﾞﾝ!Y29/1000</f>
        <v>6767.259</v>
      </c>
      <c r="AO30" s="101">
        <v>5805.3729999999996</v>
      </c>
      <c r="AP30" s="102">
        <f t="shared" si="16"/>
        <v>961.88600000000042</v>
      </c>
      <c r="AQ30" s="101">
        <v>7759</v>
      </c>
      <c r="AR30" s="105">
        <f t="shared" si="17"/>
        <v>-991.74099999999999</v>
      </c>
      <c r="AS30" s="191">
        <f>+ﾋﾞｱｶﾞｰﾃﾞﾝ!X29/1000</f>
        <v>2900.2533719999997</v>
      </c>
      <c r="AT30" s="101">
        <v>2488.0169999999998</v>
      </c>
      <c r="AU30" s="102">
        <f t="shared" si="18"/>
        <v>412.23637199999985</v>
      </c>
      <c r="AV30" s="101">
        <v>880</v>
      </c>
      <c r="AW30" s="103">
        <f t="shared" si="19"/>
        <v>2020.2533719999997</v>
      </c>
      <c r="AX30" s="100">
        <f t="shared" si="20"/>
        <v>9667.5123719999992</v>
      </c>
      <c r="AY30" s="101">
        <f t="shared" si="21"/>
        <v>8293.39</v>
      </c>
      <c r="AZ30" s="102">
        <f t="shared" si="22"/>
        <v>1374.1223719999998</v>
      </c>
      <c r="BA30" s="101">
        <f t="shared" si="23"/>
        <v>8639</v>
      </c>
      <c r="BB30" s="103">
        <f t="shared" si="24"/>
        <v>1028.5123719999992</v>
      </c>
      <c r="BC30" s="100">
        <v>0</v>
      </c>
      <c r="BD30" s="191">
        <v>0</v>
      </c>
      <c r="BE30" s="100">
        <f t="shared" si="25"/>
        <v>0</v>
      </c>
      <c r="BF30" s="100">
        <f>+料飲共通!W29/1000</f>
        <v>3421.356448</v>
      </c>
      <c r="BG30" s="101">
        <v>3202.2069999999999</v>
      </c>
      <c r="BH30" s="102">
        <f t="shared" si="26"/>
        <v>219.14944800000012</v>
      </c>
      <c r="BI30" s="101">
        <v>3849</v>
      </c>
      <c r="BJ30" s="103">
        <f t="shared" si="27"/>
        <v>-427.643552</v>
      </c>
      <c r="BK30" s="100">
        <f t="shared" si="28"/>
        <v>29294.593219999995</v>
      </c>
      <c r="BL30" s="101">
        <f t="shared" si="29"/>
        <v>25193.746999999999</v>
      </c>
      <c r="BM30" s="102">
        <f t="shared" si="0"/>
        <v>4100.8462199999958</v>
      </c>
      <c r="BN30" s="101">
        <f t="shared" si="30"/>
        <v>28319</v>
      </c>
      <c r="BO30" s="103">
        <f t="shared" si="31"/>
        <v>975.5932199999952</v>
      </c>
      <c r="BP30" s="100">
        <f t="shared" si="32"/>
        <v>29294.593219999995</v>
      </c>
      <c r="BQ30" s="101">
        <f t="shared" si="33"/>
        <v>24832.492999999999</v>
      </c>
      <c r="BR30" s="102">
        <f t="shared" si="37"/>
        <v>4462.1002199999966</v>
      </c>
      <c r="BS30" s="101">
        <f t="shared" si="34"/>
        <v>27630</v>
      </c>
      <c r="BT30" s="103">
        <f t="shared" si="35"/>
        <v>1664.5932199999952</v>
      </c>
    </row>
    <row r="31" spans="1:72" s="88" customFormat="1" ht="22" customHeight="1">
      <c r="A31" s="124"/>
      <c r="B31" s="98" t="s">
        <v>52</v>
      </c>
      <c r="C31" s="99"/>
      <c r="D31" s="99"/>
      <c r="E31" s="100">
        <f>+ﾇｰﾍﾞﾙﾌﾟｰｽ!W30/1000</f>
        <v>52.8</v>
      </c>
      <c r="F31" s="101">
        <v>43.6</v>
      </c>
      <c r="G31" s="102">
        <f t="shared" si="1"/>
        <v>9.1999999999999957</v>
      </c>
      <c r="H31" s="101">
        <v>48</v>
      </c>
      <c r="I31" s="105">
        <f t="shared" si="2"/>
        <v>4.7999999999999972</v>
      </c>
      <c r="J31" s="191">
        <f>+ｶﾌｪﾙﾎﾟ!W30/1000</f>
        <v>0</v>
      </c>
      <c r="K31" s="101">
        <v>0</v>
      </c>
      <c r="L31" s="102">
        <f t="shared" si="3"/>
        <v>0</v>
      </c>
      <c r="M31" s="101">
        <v>0</v>
      </c>
      <c r="N31" s="192">
        <f t="shared" si="4"/>
        <v>0</v>
      </c>
      <c r="O31" s="104">
        <f>+ｶﾌｪｾﾚｽﾃ!W30/1000</f>
        <v>0</v>
      </c>
      <c r="P31" s="101">
        <v>0</v>
      </c>
      <c r="Q31" s="102">
        <f t="shared" si="5"/>
        <v>0</v>
      </c>
      <c r="R31" s="101">
        <v>0</v>
      </c>
      <c r="S31" s="105">
        <f t="shared" si="6"/>
        <v>0</v>
      </c>
      <c r="T31" s="100">
        <f t="shared" si="7"/>
        <v>52.8</v>
      </c>
      <c r="U31" s="101">
        <f t="shared" si="8"/>
        <v>43.6</v>
      </c>
      <c r="V31" s="102">
        <f t="shared" si="9"/>
        <v>9.1999999999999957</v>
      </c>
      <c r="W31" s="101">
        <f t="shared" si="10"/>
        <v>48</v>
      </c>
      <c r="X31" s="103">
        <f t="shared" si="11"/>
        <v>4.7999999999999972</v>
      </c>
      <c r="Y31" s="104">
        <v>0</v>
      </c>
      <c r="Z31" s="101">
        <v>2.4</v>
      </c>
      <c r="AA31" s="102">
        <f t="shared" si="12"/>
        <v>-2.4</v>
      </c>
      <c r="AB31" s="101">
        <v>3</v>
      </c>
      <c r="AC31" s="192">
        <f t="shared" si="13"/>
        <v>-3</v>
      </c>
      <c r="AD31" s="104">
        <f>+ｼﾞｭｴﾙｽﾞ!W30/1000</f>
        <v>62.4</v>
      </c>
      <c r="AE31" s="101">
        <v>51.2</v>
      </c>
      <c r="AF31" s="102">
        <f t="shared" si="14"/>
        <v>11.199999999999996</v>
      </c>
      <c r="AG31" s="101">
        <v>57</v>
      </c>
      <c r="AH31" s="103">
        <f t="shared" si="15"/>
        <v>5.3999999999999986</v>
      </c>
      <c r="AI31" s="100">
        <f t="shared" si="36"/>
        <v>62.4</v>
      </c>
      <c r="AJ31" s="101">
        <f t="shared" si="38"/>
        <v>53.6</v>
      </c>
      <c r="AK31" s="102">
        <f t="shared" si="39"/>
        <v>8.7999999999999972</v>
      </c>
      <c r="AL31" s="101">
        <f t="shared" si="40"/>
        <v>60</v>
      </c>
      <c r="AM31" s="103">
        <f t="shared" si="41"/>
        <v>2.3999999999999986</v>
      </c>
      <c r="AN31" s="100">
        <f>+ｶﾞｰﾃﾞﾝ!Y30/1000</f>
        <v>50.4</v>
      </c>
      <c r="AO31" s="101">
        <v>50.12</v>
      </c>
      <c r="AP31" s="102">
        <f t="shared" si="16"/>
        <v>0.28000000000000114</v>
      </c>
      <c r="AQ31" s="101">
        <v>52</v>
      </c>
      <c r="AR31" s="105">
        <f t="shared" si="17"/>
        <v>-1.6000000000000014</v>
      </c>
      <c r="AS31" s="191">
        <f>+ﾋﾞｱｶﾞｰﾃﾞﾝ!X30/1000</f>
        <v>21.6</v>
      </c>
      <c r="AT31" s="101">
        <v>21.48</v>
      </c>
      <c r="AU31" s="102">
        <f t="shared" si="18"/>
        <v>0.12000000000000099</v>
      </c>
      <c r="AV31" s="101">
        <v>6</v>
      </c>
      <c r="AW31" s="103">
        <f t="shared" si="19"/>
        <v>15.600000000000001</v>
      </c>
      <c r="AX31" s="100">
        <f t="shared" si="20"/>
        <v>72</v>
      </c>
      <c r="AY31" s="101">
        <f t="shared" si="21"/>
        <v>71.599999999999994</v>
      </c>
      <c r="AZ31" s="102">
        <f t="shared" si="22"/>
        <v>0.40000000000000568</v>
      </c>
      <c r="BA31" s="101">
        <f t="shared" si="23"/>
        <v>58</v>
      </c>
      <c r="BB31" s="103">
        <f t="shared" si="24"/>
        <v>14</v>
      </c>
      <c r="BC31" s="100">
        <v>0</v>
      </c>
      <c r="BD31" s="191">
        <v>0</v>
      </c>
      <c r="BE31" s="100">
        <f t="shared" si="25"/>
        <v>0</v>
      </c>
      <c r="BF31" s="100">
        <f>+料飲共通!W30/1000</f>
        <v>14.4</v>
      </c>
      <c r="BG31" s="101">
        <v>14.4</v>
      </c>
      <c r="BH31" s="102">
        <f t="shared" si="26"/>
        <v>0</v>
      </c>
      <c r="BI31" s="101">
        <v>14</v>
      </c>
      <c r="BJ31" s="103">
        <f t="shared" si="27"/>
        <v>0.40000000000000036</v>
      </c>
      <c r="BK31" s="100">
        <f t="shared" si="28"/>
        <v>201.6</v>
      </c>
      <c r="BL31" s="101">
        <f t="shared" si="29"/>
        <v>183.20000000000002</v>
      </c>
      <c r="BM31" s="102">
        <f t="shared" si="0"/>
        <v>18.399999999999977</v>
      </c>
      <c r="BN31" s="101">
        <f t="shared" si="30"/>
        <v>180</v>
      </c>
      <c r="BO31" s="103">
        <f t="shared" si="31"/>
        <v>21.599999999999994</v>
      </c>
      <c r="BP31" s="100">
        <f t="shared" si="32"/>
        <v>201.6</v>
      </c>
      <c r="BQ31" s="101">
        <f t="shared" si="33"/>
        <v>180.8</v>
      </c>
      <c r="BR31" s="102">
        <f t="shared" si="37"/>
        <v>20.799999999999983</v>
      </c>
      <c r="BS31" s="101">
        <f t="shared" si="34"/>
        <v>177</v>
      </c>
      <c r="BT31" s="103">
        <f t="shared" si="35"/>
        <v>24.599999999999994</v>
      </c>
    </row>
    <row r="32" spans="1:72" s="88" customFormat="1" ht="22" customHeight="1">
      <c r="A32" s="124"/>
      <c r="B32" s="98" t="s">
        <v>54</v>
      </c>
      <c r="C32" s="99"/>
      <c r="D32" s="99"/>
      <c r="E32" s="100">
        <f>+ﾇｰﾍﾞﾙﾌﾟｰｽ!W31/1000</f>
        <v>609.20000000000005</v>
      </c>
      <c r="F32" s="101">
        <v>489.01400000000001</v>
      </c>
      <c r="G32" s="102">
        <f t="shared" si="1"/>
        <v>120.18600000000004</v>
      </c>
      <c r="H32" s="101">
        <v>322</v>
      </c>
      <c r="I32" s="105">
        <f t="shared" si="2"/>
        <v>287.20000000000005</v>
      </c>
      <c r="J32" s="191">
        <f>+ｶﾌｪﾙﾎﾟ!W31/1000</f>
        <v>0</v>
      </c>
      <c r="K32" s="101">
        <v>17.399999999999999</v>
      </c>
      <c r="L32" s="102">
        <f t="shared" si="3"/>
        <v>-17.399999999999999</v>
      </c>
      <c r="M32" s="101">
        <v>0</v>
      </c>
      <c r="N32" s="192">
        <f t="shared" si="4"/>
        <v>0</v>
      </c>
      <c r="O32" s="104">
        <f>+ｶﾌｪｾﾚｽﾃ!W31/1000</f>
        <v>0</v>
      </c>
      <c r="P32" s="101">
        <v>0</v>
      </c>
      <c r="Q32" s="102">
        <f t="shared" si="5"/>
        <v>0</v>
      </c>
      <c r="R32" s="101">
        <v>0</v>
      </c>
      <c r="S32" s="105">
        <f t="shared" si="6"/>
        <v>0</v>
      </c>
      <c r="T32" s="100">
        <f t="shared" si="7"/>
        <v>609.20000000000005</v>
      </c>
      <c r="U32" s="101">
        <f t="shared" si="8"/>
        <v>506.41399999999999</v>
      </c>
      <c r="V32" s="102">
        <f t="shared" si="9"/>
        <v>102.78600000000006</v>
      </c>
      <c r="W32" s="101">
        <f t="shared" si="10"/>
        <v>322</v>
      </c>
      <c r="X32" s="103">
        <f t="shared" si="11"/>
        <v>287.20000000000005</v>
      </c>
      <c r="Y32" s="104">
        <v>0</v>
      </c>
      <c r="Z32" s="101">
        <v>3.6</v>
      </c>
      <c r="AA32" s="102">
        <f t="shared" si="12"/>
        <v>-3.6</v>
      </c>
      <c r="AB32" s="101">
        <v>104</v>
      </c>
      <c r="AC32" s="192">
        <f t="shared" si="13"/>
        <v>-104</v>
      </c>
      <c r="AD32" s="104">
        <f>+ｼﾞｭｴﾙｽﾞ!W31/1000</f>
        <v>623.6</v>
      </c>
      <c r="AE32" s="101">
        <v>514.45399999999995</v>
      </c>
      <c r="AF32" s="102">
        <f t="shared" si="14"/>
        <v>109.14600000000007</v>
      </c>
      <c r="AG32" s="101">
        <v>389</v>
      </c>
      <c r="AH32" s="103">
        <f t="shared" si="15"/>
        <v>234.60000000000002</v>
      </c>
      <c r="AI32" s="100">
        <f t="shared" si="36"/>
        <v>623.6</v>
      </c>
      <c r="AJ32" s="101">
        <f t="shared" si="38"/>
        <v>518.05399999999997</v>
      </c>
      <c r="AK32" s="102">
        <f t="shared" si="39"/>
        <v>105.54600000000005</v>
      </c>
      <c r="AL32" s="101">
        <f t="shared" si="40"/>
        <v>493</v>
      </c>
      <c r="AM32" s="103">
        <f t="shared" si="41"/>
        <v>130.60000000000002</v>
      </c>
      <c r="AN32" s="100">
        <f>+ｶﾞｰﾃﾞﾝ!Y31/1000</f>
        <v>446.6</v>
      </c>
      <c r="AO32" s="101">
        <v>419.84800000000001</v>
      </c>
      <c r="AP32" s="102">
        <f t="shared" si="16"/>
        <v>26.75200000000001</v>
      </c>
      <c r="AQ32" s="101">
        <v>329</v>
      </c>
      <c r="AR32" s="105">
        <f t="shared" si="17"/>
        <v>117.60000000000002</v>
      </c>
      <c r="AS32" s="191">
        <f>+ﾋﾞｱｶﾞｰﾃﾞﾝ!X31/1000</f>
        <v>191.4</v>
      </c>
      <c r="AT32" s="101">
        <v>179.935</v>
      </c>
      <c r="AU32" s="102">
        <f t="shared" si="18"/>
        <v>11.465000000000003</v>
      </c>
      <c r="AV32" s="101">
        <v>9</v>
      </c>
      <c r="AW32" s="103">
        <f t="shared" si="19"/>
        <v>182.4</v>
      </c>
      <c r="AX32" s="100">
        <f t="shared" si="20"/>
        <v>638</v>
      </c>
      <c r="AY32" s="101">
        <f t="shared" si="21"/>
        <v>599.78300000000002</v>
      </c>
      <c r="AZ32" s="102">
        <f t="shared" si="22"/>
        <v>38.216999999999985</v>
      </c>
      <c r="BA32" s="101">
        <f t="shared" si="23"/>
        <v>338</v>
      </c>
      <c r="BB32" s="103">
        <f t="shared" si="24"/>
        <v>300</v>
      </c>
      <c r="BC32" s="100">
        <v>0</v>
      </c>
      <c r="BD32" s="191">
        <v>0</v>
      </c>
      <c r="BE32" s="100">
        <f t="shared" si="25"/>
        <v>0</v>
      </c>
      <c r="BF32" s="100">
        <f>+料飲共通!W31/1000</f>
        <v>61.6</v>
      </c>
      <c r="BG32" s="101">
        <v>424.6</v>
      </c>
      <c r="BH32" s="102">
        <f t="shared" si="26"/>
        <v>-363</v>
      </c>
      <c r="BI32" s="101">
        <v>21</v>
      </c>
      <c r="BJ32" s="103">
        <f t="shared" si="27"/>
        <v>40.6</v>
      </c>
      <c r="BK32" s="100">
        <f t="shared" si="28"/>
        <v>1932.4</v>
      </c>
      <c r="BL32" s="101">
        <f t="shared" si="29"/>
        <v>2048.8509999999997</v>
      </c>
      <c r="BM32" s="102">
        <f t="shared" si="0"/>
        <v>-116.45099999999957</v>
      </c>
      <c r="BN32" s="101">
        <f t="shared" si="30"/>
        <v>1174</v>
      </c>
      <c r="BO32" s="103">
        <f t="shared" si="31"/>
        <v>758.40000000000009</v>
      </c>
      <c r="BP32" s="100">
        <f t="shared" si="32"/>
        <v>1932.4</v>
      </c>
      <c r="BQ32" s="101">
        <f t="shared" si="33"/>
        <v>2045.2509999999997</v>
      </c>
      <c r="BR32" s="102">
        <f t="shared" si="37"/>
        <v>-112.85099999999966</v>
      </c>
      <c r="BS32" s="101">
        <f t="shared" si="34"/>
        <v>1070</v>
      </c>
      <c r="BT32" s="103">
        <f t="shared" si="35"/>
        <v>862.40000000000009</v>
      </c>
    </row>
    <row r="33" spans="1:72" s="88" customFormat="1" ht="22" hidden="1" customHeight="1" outlineLevel="1">
      <c r="A33" s="124"/>
      <c r="B33" s="125"/>
      <c r="C33" s="99" t="s">
        <v>54</v>
      </c>
      <c r="D33" s="99"/>
      <c r="E33" s="100">
        <f>+ﾇｰﾍﾞﾙﾌﾟｰｽ!W32/1000</f>
        <v>79.2</v>
      </c>
      <c r="F33" s="101">
        <v>53.4</v>
      </c>
      <c r="G33" s="102">
        <f t="shared" si="1"/>
        <v>25.800000000000004</v>
      </c>
      <c r="H33" s="101">
        <v>72</v>
      </c>
      <c r="I33" s="105">
        <f t="shared" si="2"/>
        <v>7.2000000000000028</v>
      </c>
      <c r="J33" s="191">
        <f>+ｶﾌｪﾙﾎﾟ!W32/1000</f>
        <v>0</v>
      </c>
      <c r="K33" s="101">
        <v>0</v>
      </c>
      <c r="L33" s="102">
        <f t="shared" si="3"/>
        <v>0</v>
      </c>
      <c r="M33" s="101">
        <v>0</v>
      </c>
      <c r="N33" s="192">
        <f t="shared" si="4"/>
        <v>0</v>
      </c>
      <c r="O33" s="104">
        <f>+ｶﾌｪｾﾚｽﾃ!W32/1000</f>
        <v>0</v>
      </c>
      <c r="P33" s="101">
        <v>0</v>
      </c>
      <c r="Q33" s="102">
        <f t="shared" si="5"/>
        <v>0</v>
      </c>
      <c r="R33" s="101">
        <v>0</v>
      </c>
      <c r="S33" s="105">
        <f t="shared" si="6"/>
        <v>0</v>
      </c>
      <c r="T33" s="100">
        <f t="shared" si="7"/>
        <v>79.2</v>
      </c>
      <c r="U33" s="101">
        <f t="shared" si="8"/>
        <v>53.4</v>
      </c>
      <c r="V33" s="102">
        <f t="shared" si="9"/>
        <v>25.800000000000004</v>
      </c>
      <c r="W33" s="101">
        <f t="shared" si="10"/>
        <v>72</v>
      </c>
      <c r="X33" s="103">
        <f t="shared" si="11"/>
        <v>7.2000000000000028</v>
      </c>
      <c r="Y33" s="104">
        <v>0</v>
      </c>
      <c r="Z33" s="101">
        <v>3.6</v>
      </c>
      <c r="AA33" s="102">
        <f t="shared" si="12"/>
        <v>-3.6</v>
      </c>
      <c r="AB33" s="101">
        <v>4</v>
      </c>
      <c r="AC33" s="192">
        <f t="shared" si="13"/>
        <v>-4</v>
      </c>
      <c r="AD33" s="104">
        <f>+ｼﾞｭｴﾙｽﾞ!W32/1000</f>
        <v>93.6</v>
      </c>
      <c r="AE33" s="101">
        <v>65.400000000000006</v>
      </c>
      <c r="AF33" s="102">
        <f t="shared" si="14"/>
        <v>28.199999999999989</v>
      </c>
      <c r="AG33" s="101">
        <v>86</v>
      </c>
      <c r="AH33" s="103">
        <f t="shared" si="15"/>
        <v>7.5999999999999943</v>
      </c>
      <c r="AI33" s="100">
        <f t="shared" si="36"/>
        <v>93.6</v>
      </c>
      <c r="AJ33" s="101">
        <f t="shared" si="38"/>
        <v>69</v>
      </c>
      <c r="AK33" s="102">
        <f t="shared" si="39"/>
        <v>24.599999999999994</v>
      </c>
      <c r="AL33" s="101">
        <f t="shared" si="40"/>
        <v>90</v>
      </c>
      <c r="AM33" s="103">
        <f t="shared" si="41"/>
        <v>3.5999999999999943</v>
      </c>
      <c r="AN33" s="100">
        <f>+ｶﾞｰﾃﾞﾝ!W32/1000</f>
        <v>108</v>
      </c>
      <c r="AO33" s="101">
        <v>54.18</v>
      </c>
      <c r="AP33" s="102">
        <f t="shared" si="16"/>
        <v>53.82</v>
      </c>
      <c r="AQ33" s="101">
        <v>79</v>
      </c>
      <c r="AR33" s="105">
        <f t="shared" si="17"/>
        <v>29</v>
      </c>
      <c r="AS33" s="191">
        <f>+ﾋﾞｱｶﾞｰﾃﾞﾝ!W32/1000</f>
        <v>0</v>
      </c>
      <c r="AT33" s="101">
        <v>23.22</v>
      </c>
      <c r="AU33" s="102">
        <f t="shared" si="18"/>
        <v>-23.22</v>
      </c>
      <c r="AV33" s="101">
        <v>9</v>
      </c>
      <c r="AW33" s="103">
        <f t="shared" si="19"/>
        <v>-9</v>
      </c>
      <c r="AX33" s="100">
        <f t="shared" si="20"/>
        <v>108</v>
      </c>
      <c r="AY33" s="101">
        <f t="shared" si="21"/>
        <v>77.400000000000006</v>
      </c>
      <c r="AZ33" s="102">
        <f t="shared" si="22"/>
        <v>30.599999999999994</v>
      </c>
      <c r="BA33" s="101">
        <f t="shared" si="23"/>
        <v>88</v>
      </c>
      <c r="BB33" s="103">
        <f t="shared" si="24"/>
        <v>20</v>
      </c>
      <c r="BC33" s="100">
        <v>0</v>
      </c>
      <c r="BD33" s="191">
        <v>0</v>
      </c>
      <c r="BE33" s="100">
        <f t="shared" si="25"/>
        <v>0</v>
      </c>
      <c r="BF33" s="100">
        <f>+料飲共通!W32/1000</f>
        <v>21.6</v>
      </c>
      <c r="BG33" s="101">
        <v>31.6</v>
      </c>
      <c r="BH33" s="102">
        <f t="shared" si="26"/>
        <v>-10</v>
      </c>
      <c r="BI33" s="101">
        <v>21</v>
      </c>
      <c r="BJ33" s="103">
        <f t="shared" si="27"/>
        <v>0.60000000000000142</v>
      </c>
      <c r="BK33" s="100">
        <f t="shared" si="28"/>
        <v>302.40000000000003</v>
      </c>
      <c r="BL33" s="101">
        <f t="shared" si="29"/>
        <v>231.4</v>
      </c>
      <c r="BM33" s="102">
        <f t="shared" si="0"/>
        <v>71.000000000000028</v>
      </c>
      <c r="BN33" s="101">
        <f t="shared" si="30"/>
        <v>271</v>
      </c>
      <c r="BO33" s="103">
        <f t="shared" si="31"/>
        <v>31.400000000000034</v>
      </c>
      <c r="BP33" s="100">
        <f t="shared" si="32"/>
        <v>302.40000000000003</v>
      </c>
      <c r="BQ33" s="101">
        <f t="shared" si="33"/>
        <v>227.8</v>
      </c>
      <c r="BR33" s="102">
        <f t="shared" si="37"/>
        <v>74.600000000000023</v>
      </c>
      <c r="BS33" s="101">
        <f t="shared" si="34"/>
        <v>267</v>
      </c>
      <c r="BT33" s="103">
        <f t="shared" si="35"/>
        <v>35.400000000000034</v>
      </c>
    </row>
    <row r="34" spans="1:72" s="88" customFormat="1" ht="22" hidden="1" customHeight="1" outlineLevel="1">
      <c r="A34" s="124"/>
      <c r="B34" s="125"/>
      <c r="C34" s="99" t="s">
        <v>57</v>
      </c>
      <c r="D34" s="99"/>
      <c r="E34" s="100">
        <f>+ﾇｰﾍﾞﾙﾌﾟｰｽ!W33/1000</f>
        <v>330</v>
      </c>
      <c r="F34" s="101">
        <v>228.34</v>
      </c>
      <c r="G34" s="102">
        <f t="shared" si="1"/>
        <v>101.66</v>
      </c>
      <c r="H34" s="101">
        <v>250</v>
      </c>
      <c r="I34" s="105">
        <f t="shared" si="2"/>
        <v>80</v>
      </c>
      <c r="J34" s="191">
        <f>+ｶﾌｪﾙﾎﾟ!W33/1000</f>
        <v>0</v>
      </c>
      <c r="K34" s="101">
        <v>17.399999999999999</v>
      </c>
      <c r="L34" s="102">
        <f t="shared" si="3"/>
        <v>-17.399999999999999</v>
      </c>
      <c r="M34" s="101">
        <v>0</v>
      </c>
      <c r="N34" s="192">
        <f t="shared" si="4"/>
        <v>0</v>
      </c>
      <c r="O34" s="104">
        <f>+ｶﾌｪｾﾚｽﾃ!W33/1000</f>
        <v>0</v>
      </c>
      <c r="P34" s="101">
        <v>0</v>
      </c>
      <c r="Q34" s="102">
        <f t="shared" si="5"/>
        <v>0</v>
      </c>
      <c r="R34" s="101">
        <v>0</v>
      </c>
      <c r="S34" s="105">
        <f t="shared" si="6"/>
        <v>0</v>
      </c>
      <c r="T34" s="100">
        <f t="shared" si="7"/>
        <v>330</v>
      </c>
      <c r="U34" s="101">
        <f t="shared" si="8"/>
        <v>245.74</v>
      </c>
      <c r="V34" s="102">
        <f t="shared" si="9"/>
        <v>84.259999999999991</v>
      </c>
      <c r="W34" s="101">
        <f t="shared" si="10"/>
        <v>250</v>
      </c>
      <c r="X34" s="103">
        <f t="shared" si="11"/>
        <v>80</v>
      </c>
      <c r="Y34" s="104">
        <v>0</v>
      </c>
      <c r="Z34" s="101">
        <v>0</v>
      </c>
      <c r="AA34" s="102">
        <f t="shared" si="12"/>
        <v>0</v>
      </c>
      <c r="AB34" s="101">
        <v>100</v>
      </c>
      <c r="AC34" s="192">
        <f t="shared" si="13"/>
        <v>-100</v>
      </c>
      <c r="AD34" s="104">
        <f>+ｼﾞｭｴﾙｽﾞ!W33/1000</f>
        <v>330</v>
      </c>
      <c r="AE34" s="101">
        <v>241.78</v>
      </c>
      <c r="AF34" s="102">
        <f t="shared" si="14"/>
        <v>88.22</v>
      </c>
      <c r="AG34" s="101">
        <v>250</v>
      </c>
      <c r="AH34" s="103">
        <f t="shared" si="15"/>
        <v>80</v>
      </c>
      <c r="AI34" s="100">
        <f t="shared" si="36"/>
        <v>330</v>
      </c>
      <c r="AJ34" s="101">
        <f t="shared" si="38"/>
        <v>241.78</v>
      </c>
      <c r="AK34" s="102">
        <f t="shared" si="39"/>
        <v>88.22</v>
      </c>
      <c r="AL34" s="101">
        <f t="shared" si="40"/>
        <v>350</v>
      </c>
      <c r="AM34" s="103">
        <f t="shared" si="41"/>
        <v>-20</v>
      </c>
      <c r="AN34" s="100">
        <f>+ｶﾞｰﾃﾞﾝ!W33/1000</f>
        <v>330</v>
      </c>
      <c r="AO34" s="101">
        <v>221.85</v>
      </c>
      <c r="AP34" s="102">
        <f t="shared" si="16"/>
        <v>108.15</v>
      </c>
      <c r="AQ34" s="101">
        <v>250</v>
      </c>
      <c r="AR34" s="105">
        <f t="shared" si="17"/>
        <v>80</v>
      </c>
      <c r="AS34" s="191">
        <f>+ﾋﾞｱｶﾞｰﾃﾞﾝ!W33/1000</f>
        <v>0</v>
      </c>
      <c r="AT34" s="101">
        <v>95.078000000000003</v>
      </c>
      <c r="AU34" s="102">
        <f t="shared" si="18"/>
        <v>-95.078000000000003</v>
      </c>
      <c r="AV34" s="101">
        <v>0</v>
      </c>
      <c r="AW34" s="103">
        <f t="shared" si="19"/>
        <v>0</v>
      </c>
      <c r="AX34" s="100">
        <f t="shared" si="20"/>
        <v>330</v>
      </c>
      <c r="AY34" s="101">
        <f t="shared" si="21"/>
        <v>316.928</v>
      </c>
      <c r="AZ34" s="102">
        <f t="shared" si="22"/>
        <v>13.072000000000003</v>
      </c>
      <c r="BA34" s="101">
        <f t="shared" si="23"/>
        <v>250</v>
      </c>
      <c r="BB34" s="103">
        <f t="shared" si="24"/>
        <v>80</v>
      </c>
      <c r="BC34" s="100">
        <v>0</v>
      </c>
      <c r="BD34" s="191">
        <v>0</v>
      </c>
      <c r="BE34" s="100">
        <f t="shared" si="25"/>
        <v>0</v>
      </c>
      <c r="BF34" s="100">
        <f>+料飲共通!W33/1000</f>
        <v>40</v>
      </c>
      <c r="BG34" s="101">
        <v>393</v>
      </c>
      <c r="BH34" s="102">
        <f t="shared" si="26"/>
        <v>-353</v>
      </c>
      <c r="BI34" s="101">
        <v>0</v>
      </c>
      <c r="BJ34" s="103">
        <f t="shared" si="27"/>
        <v>40</v>
      </c>
      <c r="BK34" s="100">
        <f t="shared" si="28"/>
        <v>1030</v>
      </c>
      <c r="BL34" s="101">
        <f t="shared" si="29"/>
        <v>1197.4479999999999</v>
      </c>
      <c r="BM34" s="102">
        <f t="shared" si="0"/>
        <v>-167.44799999999987</v>
      </c>
      <c r="BN34" s="101">
        <f t="shared" si="30"/>
        <v>850</v>
      </c>
      <c r="BO34" s="103">
        <f t="shared" si="31"/>
        <v>180</v>
      </c>
      <c r="BP34" s="100">
        <f t="shared" si="32"/>
        <v>1030</v>
      </c>
      <c r="BQ34" s="101">
        <f t="shared" si="33"/>
        <v>1197.4479999999999</v>
      </c>
      <c r="BR34" s="102">
        <f t="shared" si="37"/>
        <v>-167.44799999999987</v>
      </c>
      <c r="BS34" s="101">
        <f t="shared" si="34"/>
        <v>750</v>
      </c>
      <c r="BT34" s="103">
        <f t="shared" si="35"/>
        <v>280</v>
      </c>
    </row>
    <row r="35" spans="1:72" s="88" customFormat="1" ht="22" hidden="1" customHeight="1" outlineLevel="1">
      <c r="A35" s="124"/>
      <c r="B35" s="125"/>
      <c r="C35" s="99" t="s">
        <v>59</v>
      </c>
      <c r="D35" s="99"/>
      <c r="E35" s="100">
        <f>+ﾇｰﾍﾞﾙﾌﾟｰｽ!W34/1000</f>
        <v>200</v>
      </c>
      <c r="F35" s="101">
        <v>207.274</v>
      </c>
      <c r="G35" s="102">
        <f t="shared" si="1"/>
        <v>-7.2740000000000009</v>
      </c>
      <c r="H35" s="101">
        <v>0</v>
      </c>
      <c r="I35" s="105">
        <f t="shared" si="2"/>
        <v>200</v>
      </c>
      <c r="J35" s="191">
        <f>+ｶﾌｪﾙﾎﾟ!W34/1000</f>
        <v>0</v>
      </c>
      <c r="K35" s="101">
        <v>0</v>
      </c>
      <c r="L35" s="102">
        <f t="shared" si="3"/>
        <v>0</v>
      </c>
      <c r="M35" s="101">
        <v>0</v>
      </c>
      <c r="N35" s="192">
        <f t="shared" si="4"/>
        <v>0</v>
      </c>
      <c r="O35" s="104">
        <f>+ｶﾌｪｾﾚｽﾃ!W34/1000</f>
        <v>0</v>
      </c>
      <c r="P35" s="101">
        <v>0</v>
      </c>
      <c r="Q35" s="102">
        <f t="shared" si="5"/>
        <v>0</v>
      </c>
      <c r="R35" s="101">
        <v>0</v>
      </c>
      <c r="S35" s="105">
        <f t="shared" si="6"/>
        <v>0</v>
      </c>
      <c r="T35" s="100">
        <f t="shared" si="7"/>
        <v>200</v>
      </c>
      <c r="U35" s="101">
        <f t="shared" si="8"/>
        <v>207.274</v>
      </c>
      <c r="V35" s="102">
        <f t="shared" si="9"/>
        <v>-7.2740000000000009</v>
      </c>
      <c r="W35" s="101">
        <f t="shared" si="10"/>
        <v>0</v>
      </c>
      <c r="X35" s="103">
        <f t="shared" si="11"/>
        <v>200</v>
      </c>
      <c r="Y35" s="104">
        <v>0</v>
      </c>
      <c r="Z35" s="101">
        <v>0</v>
      </c>
      <c r="AA35" s="102">
        <f t="shared" si="12"/>
        <v>0</v>
      </c>
      <c r="AB35" s="101">
        <v>0</v>
      </c>
      <c r="AC35" s="192">
        <f t="shared" si="13"/>
        <v>0</v>
      </c>
      <c r="AD35" s="104">
        <f>+ｼﾞｭｴﾙｽﾞ!W34/1000</f>
        <v>200</v>
      </c>
      <c r="AE35" s="101">
        <v>207.274</v>
      </c>
      <c r="AF35" s="102">
        <f t="shared" si="14"/>
        <v>-7.2740000000000009</v>
      </c>
      <c r="AG35" s="101">
        <v>53</v>
      </c>
      <c r="AH35" s="103">
        <f t="shared" si="15"/>
        <v>147</v>
      </c>
      <c r="AI35" s="100">
        <f t="shared" si="36"/>
        <v>200</v>
      </c>
      <c r="AJ35" s="101">
        <f t="shared" si="38"/>
        <v>207.274</v>
      </c>
      <c r="AK35" s="102">
        <f t="shared" si="39"/>
        <v>-7.2740000000000009</v>
      </c>
      <c r="AL35" s="101">
        <f t="shared" si="40"/>
        <v>53</v>
      </c>
      <c r="AM35" s="103">
        <f t="shared" si="41"/>
        <v>147</v>
      </c>
      <c r="AN35" s="100">
        <f>+ｶﾞｰﾃﾞﾝ!W34/1000</f>
        <v>200</v>
      </c>
      <c r="AO35" s="101">
        <v>143.81899999999999</v>
      </c>
      <c r="AP35" s="102">
        <f t="shared" si="16"/>
        <v>56.181000000000012</v>
      </c>
      <c r="AQ35" s="101">
        <v>0</v>
      </c>
      <c r="AR35" s="105">
        <f t="shared" si="17"/>
        <v>200</v>
      </c>
      <c r="AS35" s="191">
        <f>+ﾋﾞｱｶﾞｰﾃﾞﾝ!W34/1000</f>
        <v>0</v>
      </c>
      <c r="AT35" s="101">
        <v>61.636000000000003</v>
      </c>
      <c r="AU35" s="102">
        <f t="shared" si="18"/>
        <v>-61.636000000000003</v>
      </c>
      <c r="AV35" s="101">
        <v>0</v>
      </c>
      <c r="AW35" s="103">
        <f t="shared" si="19"/>
        <v>0</v>
      </c>
      <c r="AX35" s="100">
        <f t="shared" si="20"/>
        <v>200</v>
      </c>
      <c r="AY35" s="101">
        <f t="shared" si="21"/>
        <v>205.45499999999998</v>
      </c>
      <c r="AZ35" s="102">
        <f t="shared" si="22"/>
        <v>-5.4549999999999841</v>
      </c>
      <c r="BA35" s="101">
        <f t="shared" si="23"/>
        <v>0</v>
      </c>
      <c r="BB35" s="103">
        <f t="shared" si="24"/>
        <v>200</v>
      </c>
      <c r="BC35" s="100">
        <v>0</v>
      </c>
      <c r="BD35" s="191">
        <v>0</v>
      </c>
      <c r="BE35" s="100">
        <f t="shared" si="25"/>
        <v>0</v>
      </c>
      <c r="BF35" s="100">
        <f>+料飲共通!W34/1000</f>
        <v>0</v>
      </c>
      <c r="BG35" s="101">
        <v>0</v>
      </c>
      <c r="BH35" s="102">
        <f t="shared" si="26"/>
        <v>0</v>
      </c>
      <c r="BI35" s="101">
        <v>0</v>
      </c>
      <c r="BJ35" s="103">
        <f t="shared" si="27"/>
        <v>0</v>
      </c>
      <c r="BK35" s="100">
        <f t="shared" si="28"/>
        <v>600</v>
      </c>
      <c r="BL35" s="101">
        <f t="shared" si="29"/>
        <v>620.00299999999993</v>
      </c>
      <c r="BM35" s="102">
        <f t="shared" si="0"/>
        <v>-20.002999999999929</v>
      </c>
      <c r="BN35" s="101">
        <f t="shared" si="30"/>
        <v>53</v>
      </c>
      <c r="BO35" s="103">
        <f t="shared" si="31"/>
        <v>547</v>
      </c>
      <c r="BP35" s="100">
        <f t="shared" si="32"/>
        <v>600</v>
      </c>
      <c r="BQ35" s="101">
        <f t="shared" si="33"/>
        <v>620.00299999999993</v>
      </c>
      <c r="BR35" s="102">
        <f t="shared" si="37"/>
        <v>-20.002999999999929</v>
      </c>
      <c r="BS35" s="101">
        <f t="shared" si="34"/>
        <v>53</v>
      </c>
      <c r="BT35" s="103">
        <f t="shared" si="35"/>
        <v>547</v>
      </c>
    </row>
    <row r="36" spans="1:72" s="88" customFormat="1" ht="22" customHeight="1" collapsed="1">
      <c r="A36" s="124"/>
      <c r="B36" s="98" t="s">
        <v>61</v>
      </c>
      <c r="C36" s="99"/>
      <c r="D36" s="99"/>
      <c r="E36" s="100">
        <f>+ﾇｰﾍﾞﾙﾌﾟｰｽ!W35/1000</f>
        <v>1174.8720000000001</v>
      </c>
      <c r="F36" s="101">
        <v>1058.2460000000001</v>
      </c>
      <c r="G36" s="102">
        <f t="shared" si="1"/>
        <v>116.62599999999998</v>
      </c>
      <c r="H36" s="101">
        <v>964</v>
      </c>
      <c r="I36" s="105">
        <f t="shared" si="2"/>
        <v>210.87200000000007</v>
      </c>
      <c r="J36" s="191">
        <f>+ｶﾌｪﾙﾎﾟ!W35/1000</f>
        <v>111.01</v>
      </c>
      <c r="K36" s="101">
        <v>78.225999999999999</v>
      </c>
      <c r="L36" s="102">
        <f t="shared" si="3"/>
        <v>32.784000000000006</v>
      </c>
      <c r="M36" s="101">
        <v>66</v>
      </c>
      <c r="N36" s="192">
        <f t="shared" si="4"/>
        <v>45.010000000000005</v>
      </c>
      <c r="O36" s="104">
        <f>+ｶﾌｪｾﾚｽﾃ!W35/1000</f>
        <v>111.01</v>
      </c>
      <c r="P36" s="101">
        <v>78.224999999999994</v>
      </c>
      <c r="Q36" s="102">
        <f t="shared" si="5"/>
        <v>32.785000000000011</v>
      </c>
      <c r="R36" s="101">
        <v>66</v>
      </c>
      <c r="S36" s="105">
        <f t="shared" si="6"/>
        <v>45.010000000000005</v>
      </c>
      <c r="T36" s="100">
        <f t="shared" si="7"/>
        <v>1396.8920000000001</v>
      </c>
      <c r="U36" s="101">
        <f t="shared" si="8"/>
        <v>1214.6970000000001</v>
      </c>
      <c r="V36" s="102">
        <f t="shared" si="9"/>
        <v>182.19499999999994</v>
      </c>
      <c r="W36" s="101">
        <f t="shared" si="10"/>
        <v>1096</v>
      </c>
      <c r="X36" s="103">
        <f t="shared" si="11"/>
        <v>300.89200000000005</v>
      </c>
      <c r="Y36" s="104">
        <v>0</v>
      </c>
      <c r="Z36" s="101">
        <v>237.35900000000001</v>
      </c>
      <c r="AA36" s="102">
        <f t="shared" si="12"/>
        <v>-237.35900000000001</v>
      </c>
      <c r="AB36" s="101">
        <v>272</v>
      </c>
      <c r="AC36" s="192">
        <f t="shared" si="13"/>
        <v>-272</v>
      </c>
      <c r="AD36" s="104">
        <f>+ｼﾞｭｴﾙｽﾞ!W35/1000</f>
        <v>1849.3320000000001</v>
      </c>
      <c r="AE36" s="101">
        <v>1599.8520000000001</v>
      </c>
      <c r="AF36" s="102">
        <f t="shared" si="14"/>
        <v>249.48000000000002</v>
      </c>
      <c r="AG36" s="101">
        <v>1748</v>
      </c>
      <c r="AH36" s="103">
        <f t="shared" si="15"/>
        <v>101.33200000000011</v>
      </c>
      <c r="AI36" s="100">
        <f t="shared" si="36"/>
        <v>1849.3320000000001</v>
      </c>
      <c r="AJ36" s="101">
        <f t="shared" si="38"/>
        <v>1837.211</v>
      </c>
      <c r="AK36" s="102">
        <f t="shared" si="39"/>
        <v>12.121000000000095</v>
      </c>
      <c r="AL36" s="101">
        <f t="shared" si="40"/>
        <v>2020</v>
      </c>
      <c r="AM36" s="103">
        <f t="shared" si="41"/>
        <v>-170.66799999999989</v>
      </c>
      <c r="AN36" s="100">
        <f>+ｶﾞｰﾃﾞﾝ!Y35/1000</f>
        <v>1608.1020000000001</v>
      </c>
      <c r="AO36" s="101">
        <v>1812.7260000000001</v>
      </c>
      <c r="AP36" s="102">
        <f t="shared" si="16"/>
        <v>-204.62400000000002</v>
      </c>
      <c r="AQ36" s="101">
        <v>45</v>
      </c>
      <c r="AR36" s="105">
        <f t="shared" si="17"/>
        <v>1563.1020000000001</v>
      </c>
      <c r="AS36" s="191">
        <f>+ﾋﾞｱｶﾞｰﾃﾞﾝ!X35/1000</f>
        <v>689.18600000000004</v>
      </c>
      <c r="AT36" s="101">
        <v>776.88199999999995</v>
      </c>
      <c r="AU36" s="102">
        <f t="shared" si="18"/>
        <v>-87.695999999999913</v>
      </c>
      <c r="AV36" s="101">
        <v>115</v>
      </c>
      <c r="AW36" s="103">
        <f t="shared" si="19"/>
        <v>574.18600000000004</v>
      </c>
      <c r="AX36" s="100">
        <f t="shared" si="20"/>
        <v>2297.288</v>
      </c>
      <c r="AY36" s="101">
        <f t="shared" si="21"/>
        <v>2589.6080000000002</v>
      </c>
      <c r="AZ36" s="102">
        <f t="shared" si="22"/>
        <v>-292.32000000000016</v>
      </c>
      <c r="BA36" s="101">
        <f t="shared" si="23"/>
        <v>160</v>
      </c>
      <c r="BB36" s="103">
        <f t="shared" si="24"/>
        <v>2137.288</v>
      </c>
      <c r="BC36" s="100">
        <v>0</v>
      </c>
      <c r="BD36" s="191">
        <v>0</v>
      </c>
      <c r="BE36" s="100">
        <f t="shared" si="25"/>
        <v>0</v>
      </c>
      <c r="BF36" s="100">
        <f>+料飲共通!W35/1000</f>
        <v>236.85599999999999</v>
      </c>
      <c r="BG36" s="101">
        <v>233.20400000000001</v>
      </c>
      <c r="BH36" s="102">
        <f t="shared" si="26"/>
        <v>3.6519999999999868</v>
      </c>
      <c r="BI36" s="101">
        <v>300</v>
      </c>
      <c r="BJ36" s="103">
        <f t="shared" si="27"/>
        <v>-63.144000000000005</v>
      </c>
      <c r="BK36" s="100">
        <f t="shared" si="28"/>
        <v>5780.3680000000004</v>
      </c>
      <c r="BL36" s="101">
        <f t="shared" si="29"/>
        <v>5874.72</v>
      </c>
      <c r="BM36" s="102">
        <f t="shared" si="0"/>
        <v>-94.351999999999862</v>
      </c>
      <c r="BN36" s="101">
        <f t="shared" si="30"/>
        <v>3576</v>
      </c>
      <c r="BO36" s="103">
        <f t="shared" si="31"/>
        <v>2204.3680000000004</v>
      </c>
      <c r="BP36" s="100">
        <f t="shared" si="32"/>
        <v>5780.3680000000004</v>
      </c>
      <c r="BQ36" s="101">
        <f t="shared" si="33"/>
        <v>5637.3609999999999</v>
      </c>
      <c r="BR36" s="102">
        <f t="shared" si="37"/>
        <v>143.00700000000052</v>
      </c>
      <c r="BS36" s="101">
        <f t="shared" si="34"/>
        <v>3304</v>
      </c>
      <c r="BT36" s="103">
        <f t="shared" si="35"/>
        <v>2476.3680000000004</v>
      </c>
    </row>
    <row r="37" spans="1:72" s="88" customFormat="1" ht="22" customHeight="1">
      <c r="A37" s="124"/>
      <c r="B37" s="90" t="s">
        <v>63</v>
      </c>
      <c r="C37" s="91"/>
      <c r="D37" s="91"/>
      <c r="E37" s="92">
        <f>+ﾇｰﾍﾞﾙﾌﾟｰｽ!W36/1000</f>
        <v>0</v>
      </c>
      <c r="F37" s="93">
        <v>0</v>
      </c>
      <c r="G37" s="94">
        <f t="shared" si="1"/>
        <v>0</v>
      </c>
      <c r="H37" s="93">
        <v>0</v>
      </c>
      <c r="I37" s="97">
        <f t="shared" si="2"/>
        <v>0</v>
      </c>
      <c r="J37" s="189">
        <f>+ｶﾌｪﾙﾎﾟ!W36/1000</f>
        <v>0</v>
      </c>
      <c r="K37" s="93">
        <v>0</v>
      </c>
      <c r="L37" s="94">
        <f t="shared" si="3"/>
        <v>0</v>
      </c>
      <c r="M37" s="93">
        <v>0</v>
      </c>
      <c r="N37" s="190">
        <f t="shared" si="4"/>
        <v>0</v>
      </c>
      <c r="O37" s="96">
        <f>+ｶﾌｪｾﾚｽﾃ!W36/1000</f>
        <v>0</v>
      </c>
      <c r="P37" s="93">
        <v>0</v>
      </c>
      <c r="Q37" s="94">
        <f t="shared" si="5"/>
        <v>0</v>
      </c>
      <c r="R37" s="93">
        <v>0</v>
      </c>
      <c r="S37" s="97">
        <f t="shared" si="6"/>
        <v>0</v>
      </c>
      <c r="T37" s="92">
        <f t="shared" si="7"/>
        <v>0</v>
      </c>
      <c r="U37" s="93">
        <f t="shared" si="8"/>
        <v>0</v>
      </c>
      <c r="V37" s="94">
        <f t="shared" si="9"/>
        <v>0</v>
      </c>
      <c r="W37" s="93">
        <f t="shared" si="10"/>
        <v>0</v>
      </c>
      <c r="X37" s="95">
        <f t="shared" si="11"/>
        <v>0</v>
      </c>
      <c r="Y37" s="96">
        <v>0</v>
      </c>
      <c r="Z37" s="93">
        <v>0</v>
      </c>
      <c r="AA37" s="94">
        <f t="shared" si="12"/>
        <v>0</v>
      </c>
      <c r="AB37" s="93">
        <v>0</v>
      </c>
      <c r="AC37" s="190">
        <f t="shared" si="13"/>
        <v>0</v>
      </c>
      <c r="AD37" s="96">
        <f>+ｼﾞｭｴﾙｽﾞ!W36/1000</f>
        <v>0</v>
      </c>
      <c r="AE37" s="93">
        <v>0</v>
      </c>
      <c r="AF37" s="94">
        <f t="shared" si="14"/>
        <v>0</v>
      </c>
      <c r="AG37" s="93">
        <v>0</v>
      </c>
      <c r="AH37" s="95">
        <f t="shared" si="15"/>
        <v>0</v>
      </c>
      <c r="AI37" s="92">
        <f t="shared" si="36"/>
        <v>0</v>
      </c>
      <c r="AJ37" s="93">
        <f t="shared" si="38"/>
        <v>0</v>
      </c>
      <c r="AK37" s="94">
        <f t="shared" si="39"/>
        <v>0</v>
      </c>
      <c r="AL37" s="93">
        <f t="shared" si="40"/>
        <v>0</v>
      </c>
      <c r="AM37" s="95">
        <f t="shared" si="41"/>
        <v>0</v>
      </c>
      <c r="AN37" s="92">
        <f>+ｶﾞｰﾃﾞﾝ!Y36/1000</f>
        <v>0</v>
      </c>
      <c r="AO37" s="93">
        <v>0</v>
      </c>
      <c r="AP37" s="94">
        <f t="shared" si="16"/>
        <v>0</v>
      </c>
      <c r="AQ37" s="93">
        <v>0</v>
      </c>
      <c r="AR37" s="97">
        <f t="shared" si="17"/>
        <v>0</v>
      </c>
      <c r="AS37" s="189">
        <f>+ﾋﾞｱｶﾞｰﾃﾞﾝ!X36/1000</f>
        <v>0</v>
      </c>
      <c r="AT37" s="93">
        <v>0</v>
      </c>
      <c r="AU37" s="94">
        <f t="shared" si="18"/>
        <v>0</v>
      </c>
      <c r="AV37" s="93">
        <v>0</v>
      </c>
      <c r="AW37" s="95">
        <f t="shared" si="19"/>
        <v>0</v>
      </c>
      <c r="AX37" s="92">
        <f t="shared" si="20"/>
        <v>0</v>
      </c>
      <c r="AY37" s="93">
        <f t="shared" si="21"/>
        <v>0</v>
      </c>
      <c r="AZ37" s="94">
        <f t="shared" si="22"/>
        <v>0</v>
      </c>
      <c r="BA37" s="93">
        <f t="shared" si="23"/>
        <v>0</v>
      </c>
      <c r="BB37" s="95">
        <f t="shared" si="24"/>
        <v>0</v>
      </c>
      <c r="BC37" s="92">
        <v>0</v>
      </c>
      <c r="BD37" s="189">
        <v>0</v>
      </c>
      <c r="BE37" s="92">
        <f t="shared" si="25"/>
        <v>0</v>
      </c>
      <c r="BF37" s="92">
        <f>+料飲共通!W36/1000</f>
        <v>0</v>
      </c>
      <c r="BG37" s="93">
        <v>0</v>
      </c>
      <c r="BH37" s="94">
        <f t="shared" si="26"/>
        <v>0</v>
      </c>
      <c r="BI37" s="93">
        <v>0</v>
      </c>
      <c r="BJ37" s="95">
        <f t="shared" si="27"/>
        <v>0</v>
      </c>
      <c r="BK37" s="92">
        <f t="shared" si="28"/>
        <v>0</v>
      </c>
      <c r="BL37" s="93">
        <f t="shared" si="29"/>
        <v>0</v>
      </c>
      <c r="BM37" s="94">
        <f t="shared" si="0"/>
        <v>0</v>
      </c>
      <c r="BN37" s="93">
        <f t="shared" si="30"/>
        <v>0</v>
      </c>
      <c r="BO37" s="95">
        <f t="shared" si="31"/>
        <v>0</v>
      </c>
      <c r="BP37" s="92">
        <f t="shared" si="32"/>
        <v>0</v>
      </c>
      <c r="BQ37" s="93">
        <f t="shared" si="33"/>
        <v>0</v>
      </c>
      <c r="BR37" s="94">
        <f t="shared" si="37"/>
        <v>0</v>
      </c>
      <c r="BS37" s="93">
        <f t="shared" si="34"/>
        <v>0</v>
      </c>
      <c r="BT37" s="95">
        <f t="shared" si="35"/>
        <v>0</v>
      </c>
    </row>
    <row r="38" spans="1:72" s="88" customFormat="1" ht="22" customHeight="1">
      <c r="A38" s="126" t="s">
        <v>65</v>
      </c>
      <c r="B38" s="127"/>
      <c r="C38" s="127"/>
      <c r="D38" s="127"/>
      <c r="E38" s="128">
        <f>+ﾇｰﾍﾞﾙﾌﾟｰｽ!W37/1000</f>
        <v>24819.605</v>
      </c>
      <c r="F38" s="129">
        <v>25544.036</v>
      </c>
      <c r="G38" s="129">
        <f t="shared" si="1"/>
        <v>-724.43100000000049</v>
      </c>
      <c r="H38" s="129">
        <v>25494</v>
      </c>
      <c r="I38" s="131">
        <f t="shared" si="2"/>
        <v>-674.39500000000044</v>
      </c>
      <c r="J38" s="199">
        <f>+ｶﾌｪﾙﾎﾟ!W37/1000</f>
        <v>2843.4050000000002</v>
      </c>
      <c r="K38" s="129">
        <v>2894.3139999999999</v>
      </c>
      <c r="L38" s="129">
        <f t="shared" si="3"/>
        <v>-50.908999999999651</v>
      </c>
      <c r="M38" s="129">
        <v>2427</v>
      </c>
      <c r="N38" s="200">
        <f t="shared" si="4"/>
        <v>416.4050000000002</v>
      </c>
      <c r="O38" s="131">
        <f>+ｶﾌｪｾﾚｽﾃ!W37/1000</f>
        <v>1603.9829999999999</v>
      </c>
      <c r="P38" s="129">
        <v>1689.2139999999999</v>
      </c>
      <c r="Q38" s="129">
        <f t="shared" si="5"/>
        <v>-85.230999999999995</v>
      </c>
      <c r="R38" s="129">
        <v>1603</v>
      </c>
      <c r="S38" s="131">
        <f t="shared" si="6"/>
        <v>0.98299999999994725</v>
      </c>
      <c r="T38" s="128">
        <f t="shared" si="7"/>
        <v>29266.992999999999</v>
      </c>
      <c r="U38" s="129">
        <f t="shared" si="8"/>
        <v>30127.563999999998</v>
      </c>
      <c r="V38" s="129">
        <f t="shared" si="9"/>
        <v>-860.57099999999991</v>
      </c>
      <c r="W38" s="129">
        <f t="shared" si="10"/>
        <v>29524</v>
      </c>
      <c r="X38" s="130">
        <f t="shared" si="11"/>
        <v>-257.00700000000143</v>
      </c>
      <c r="Y38" s="131">
        <v>0</v>
      </c>
      <c r="Z38" s="129">
        <v>1675.444</v>
      </c>
      <c r="AA38" s="129">
        <f t="shared" si="12"/>
        <v>-1675.444</v>
      </c>
      <c r="AB38" s="129">
        <v>4630</v>
      </c>
      <c r="AC38" s="200">
        <f t="shared" si="13"/>
        <v>-4630</v>
      </c>
      <c r="AD38" s="131">
        <f>+ｼﾞｭｴﾙｽﾞ!W37/1000</f>
        <v>22752.677</v>
      </c>
      <c r="AE38" s="129">
        <v>26704.174999999999</v>
      </c>
      <c r="AF38" s="129">
        <f t="shared" si="14"/>
        <v>-3951.4979999999996</v>
      </c>
      <c r="AG38" s="129">
        <v>21572</v>
      </c>
      <c r="AH38" s="130">
        <f t="shared" si="15"/>
        <v>1180.6769999999997</v>
      </c>
      <c r="AI38" s="128">
        <f t="shared" si="36"/>
        <v>22752.677</v>
      </c>
      <c r="AJ38" s="129">
        <f t="shared" si="38"/>
        <v>28379.618999999999</v>
      </c>
      <c r="AK38" s="129">
        <f t="shared" si="39"/>
        <v>-5626.9419999999991</v>
      </c>
      <c r="AL38" s="129">
        <f t="shared" si="40"/>
        <v>26202</v>
      </c>
      <c r="AM38" s="130">
        <f t="shared" si="41"/>
        <v>-3449.3230000000003</v>
      </c>
      <c r="AN38" s="128">
        <f>+ｶﾞｰﾃﾞﾝ!W37/1000</f>
        <v>34114.207999999999</v>
      </c>
      <c r="AO38" s="129">
        <v>33508.396999999997</v>
      </c>
      <c r="AP38" s="129">
        <f t="shared" si="16"/>
        <v>605.81100000000151</v>
      </c>
      <c r="AQ38" s="129">
        <v>40233</v>
      </c>
      <c r="AR38" s="131">
        <f t="shared" si="17"/>
        <v>-6118.7920000000013</v>
      </c>
      <c r="AS38" s="199">
        <f>+ﾋﾞｱｶﾞｰﾃﾞﾝ!W37/1000</f>
        <v>64246.364000000001</v>
      </c>
      <c r="AT38" s="129">
        <v>76309.517000000007</v>
      </c>
      <c r="AU38" s="129">
        <f t="shared" si="18"/>
        <v>-12063.153000000006</v>
      </c>
      <c r="AV38" s="129">
        <v>61193</v>
      </c>
      <c r="AW38" s="130">
        <f t="shared" si="19"/>
        <v>3053.3640000000014</v>
      </c>
      <c r="AX38" s="128">
        <f t="shared" si="20"/>
        <v>98360.572</v>
      </c>
      <c r="AY38" s="129">
        <f t="shared" si="21"/>
        <v>109817.914</v>
      </c>
      <c r="AZ38" s="129">
        <f t="shared" si="22"/>
        <v>-11457.342000000004</v>
      </c>
      <c r="BA38" s="129">
        <f t="shared" si="23"/>
        <v>101426</v>
      </c>
      <c r="BB38" s="130">
        <f t="shared" si="24"/>
        <v>-3065.4279999999999</v>
      </c>
      <c r="BC38" s="128">
        <f>+BC39+BC40+BC41+BC42+BC47+BC51+BC58+BC59+BC62+BC63+BC64+BC65+BC66+BC67+BC68+BC71+BC72+BC73+BC79+BC80+BC81+BC84+BC85</f>
        <v>19363.931344028944</v>
      </c>
      <c r="BD38" s="199">
        <f>+BD39+BD40+BD41+BD42+BD47+BD51+BD58+BD59+BD62+BD63+BD64+BD65+BD66+BD67+BD68+BD71+BD72+BD73+BD79+BD80+BD81+BD84+BD85</f>
        <v>12688.171464049628</v>
      </c>
      <c r="BE38" s="128">
        <f t="shared" si="25"/>
        <v>32052.102808078573</v>
      </c>
      <c r="BF38" s="128">
        <f>+料飲共通!W37/1000</f>
        <v>2443.85</v>
      </c>
      <c r="BG38" s="129">
        <v>6057.29</v>
      </c>
      <c r="BH38" s="129">
        <f t="shared" si="26"/>
        <v>-3613.44</v>
      </c>
      <c r="BI38" s="129">
        <v>254</v>
      </c>
      <c r="BJ38" s="130">
        <f t="shared" si="27"/>
        <v>2189.85</v>
      </c>
      <c r="BK38" s="128">
        <f t="shared" si="28"/>
        <v>184876.19480807858</v>
      </c>
      <c r="BL38" s="129">
        <f t="shared" si="29"/>
        <v>174382.38700000002</v>
      </c>
      <c r="BM38" s="129">
        <f t="shared" si="0"/>
        <v>10493.807808078564</v>
      </c>
      <c r="BN38" s="129">
        <f t="shared" si="30"/>
        <v>157406</v>
      </c>
      <c r="BO38" s="130">
        <f t="shared" si="31"/>
        <v>27470.194808078581</v>
      </c>
      <c r="BP38" s="128">
        <f t="shared" si="32"/>
        <v>152824.092</v>
      </c>
      <c r="BQ38" s="129">
        <f t="shared" si="33"/>
        <v>172706.94300000003</v>
      </c>
      <c r="BR38" s="129">
        <f t="shared" si="37"/>
        <v>-19882.851000000024</v>
      </c>
      <c r="BS38" s="129">
        <f t="shared" si="34"/>
        <v>152776</v>
      </c>
      <c r="BT38" s="130">
        <f t="shared" si="35"/>
        <v>48.092000000004191</v>
      </c>
    </row>
    <row r="39" spans="1:72" s="88" customFormat="1" ht="22" customHeight="1">
      <c r="A39" s="132"/>
      <c r="B39" s="90" t="s">
        <v>67</v>
      </c>
      <c r="C39" s="91"/>
      <c r="D39" s="91"/>
      <c r="E39" s="92">
        <f>+ﾇｰﾍﾞﾙﾌﾟｰｽ!W38/1000</f>
        <v>2520</v>
      </c>
      <c r="F39" s="93">
        <v>2546.953</v>
      </c>
      <c r="G39" s="94">
        <f t="shared" si="1"/>
        <v>-26.952999999999975</v>
      </c>
      <c r="H39" s="93">
        <v>2676</v>
      </c>
      <c r="I39" s="97">
        <f t="shared" si="2"/>
        <v>-156</v>
      </c>
      <c r="J39" s="189">
        <f>+ｶﾌｪﾙﾎﾟ!W38/1000</f>
        <v>560</v>
      </c>
      <c r="K39" s="93">
        <v>459.64499999999998</v>
      </c>
      <c r="L39" s="94">
        <f t="shared" si="3"/>
        <v>100.35500000000002</v>
      </c>
      <c r="M39" s="93">
        <v>566</v>
      </c>
      <c r="N39" s="190">
        <f t="shared" si="4"/>
        <v>-6</v>
      </c>
      <c r="O39" s="96">
        <f>+ｶﾌｪｾﾚｽﾃ!W38/1000</f>
        <v>60</v>
      </c>
      <c r="P39" s="93">
        <v>201.58199999999999</v>
      </c>
      <c r="Q39" s="94">
        <f t="shared" si="5"/>
        <v>-141.58199999999999</v>
      </c>
      <c r="R39" s="93">
        <v>155</v>
      </c>
      <c r="S39" s="97">
        <f t="shared" si="6"/>
        <v>-95</v>
      </c>
      <c r="T39" s="92">
        <f t="shared" si="7"/>
        <v>3140</v>
      </c>
      <c r="U39" s="93">
        <f t="shared" si="8"/>
        <v>3208.18</v>
      </c>
      <c r="V39" s="94">
        <f t="shared" si="9"/>
        <v>-68.179999999999836</v>
      </c>
      <c r="W39" s="93">
        <f t="shared" si="10"/>
        <v>3397</v>
      </c>
      <c r="X39" s="95">
        <f t="shared" si="11"/>
        <v>-257</v>
      </c>
      <c r="Y39" s="96">
        <v>0</v>
      </c>
      <c r="Z39" s="93">
        <v>764.06399999999996</v>
      </c>
      <c r="AA39" s="94">
        <f t="shared" si="12"/>
        <v>-764.06399999999996</v>
      </c>
      <c r="AB39" s="93">
        <v>1387</v>
      </c>
      <c r="AC39" s="190">
        <f t="shared" si="13"/>
        <v>-1387</v>
      </c>
      <c r="AD39" s="96">
        <f>+ｼﾞｭｴﾙｽﾞ!W38/1000</f>
        <v>3813.5</v>
      </c>
      <c r="AE39" s="93">
        <v>5192.9049999999997</v>
      </c>
      <c r="AF39" s="94">
        <f t="shared" si="14"/>
        <v>-1379.4049999999997</v>
      </c>
      <c r="AG39" s="93">
        <v>4159</v>
      </c>
      <c r="AH39" s="95">
        <f t="shared" si="15"/>
        <v>-345.5</v>
      </c>
      <c r="AI39" s="92">
        <f t="shared" si="36"/>
        <v>3813.5</v>
      </c>
      <c r="AJ39" s="93">
        <f t="shared" si="38"/>
        <v>5956.9690000000001</v>
      </c>
      <c r="AK39" s="94">
        <f t="shared" si="39"/>
        <v>-2143.4690000000001</v>
      </c>
      <c r="AL39" s="93">
        <f t="shared" si="40"/>
        <v>5546</v>
      </c>
      <c r="AM39" s="95">
        <f t="shared" si="41"/>
        <v>-1732.5</v>
      </c>
      <c r="AN39" s="92">
        <f>+ｶﾞｰﾃﾞﾝ!W38/1000</f>
        <v>2380</v>
      </c>
      <c r="AO39" s="93">
        <v>3248.6709999999998</v>
      </c>
      <c r="AP39" s="94">
        <f t="shared" si="16"/>
        <v>-868.67099999999982</v>
      </c>
      <c r="AQ39" s="93">
        <v>3763</v>
      </c>
      <c r="AR39" s="97">
        <f t="shared" si="17"/>
        <v>-1383</v>
      </c>
      <c r="AS39" s="189">
        <f>+ﾋﾞｱｶﾞｰﾃﾞﾝ!W38/1000</f>
        <v>4439</v>
      </c>
      <c r="AT39" s="93">
        <v>4335.0330000000004</v>
      </c>
      <c r="AU39" s="94">
        <f t="shared" si="18"/>
        <v>103.96699999999964</v>
      </c>
      <c r="AV39" s="93">
        <v>3276</v>
      </c>
      <c r="AW39" s="95">
        <f t="shared" si="19"/>
        <v>1163</v>
      </c>
      <c r="AX39" s="92">
        <f t="shared" si="20"/>
        <v>6819</v>
      </c>
      <c r="AY39" s="93">
        <f t="shared" si="21"/>
        <v>7583.7039999999997</v>
      </c>
      <c r="AZ39" s="94">
        <f t="shared" si="22"/>
        <v>-764.70399999999972</v>
      </c>
      <c r="BA39" s="93">
        <f t="shared" si="23"/>
        <v>7039</v>
      </c>
      <c r="BB39" s="95">
        <f t="shared" si="24"/>
        <v>-220</v>
      </c>
      <c r="BC39" s="92">
        <f>+赤れんが!X39/1000</f>
        <v>1840.8902649673282</v>
      </c>
      <c r="BD39" s="189">
        <f>+赤れんが!Z39/1000</f>
        <v>1186.5044345323861</v>
      </c>
      <c r="BE39" s="92">
        <f t="shared" si="25"/>
        <v>3027.3946994997141</v>
      </c>
      <c r="BF39" s="92">
        <f>+料飲共通!W38/1000</f>
        <v>0</v>
      </c>
      <c r="BG39" s="93">
        <v>43.38</v>
      </c>
      <c r="BH39" s="94">
        <f t="shared" si="26"/>
        <v>-43.38</v>
      </c>
      <c r="BI39" s="93">
        <v>0</v>
      </c>
      <c r="BJ39" s="95">
        <f t="shared" si="27"/>
        <v>0</v>
      </c>
      <c r="BK39" s="92">
        <f t="shared" si="28"/>
        <v>16799.894699499713</v>
      </c>
      <c r="BL39" s="93">
        <f t="shared" si="29"/>
        <v>16792.233</v>
      </c>
      <c r="BM39" s="94">
        <f t="shared" si="0"/>
        <v>7.661699499712995</v>
      </c>
      <c r="BN39" s="93">
        <f t="shared" si="30"/>
        <v>15982</v>
      </c>
      <c r="BO39" s="95">
        <f t="shared" si="31"/>
        <v>817.89469949971317</v>
      </c>
      <c r="BP39" s="92">
        <f t="shared" si="32"/>
        <v>13772.5</v>
      </c>
      <c r="BQ39" s="93">
        <f t="shared" si="33"/>
        <v>16028.169</v>
      </c>
      <c r="BR39" s="94">
        <f t="shared" si="37"/>
        <v>-2255.6689999999999</v>
      </c>
      <c r="BS39" s="93">
        <f t="shared" si="34"/>
        <v>14595</v>
      </c>
      <c r="BT39" s="95">
        <f t="shared" si="35"/>
        <v>-822.5</v>
      </c>
    </row>
    <row r="40" spans="1:72" s="88" customFormat="1" ht="22" customHeight="1">
      <c r="A40" s="132"/>
      <c r="B40" s="98" t="s">
        <v>69</v>
      </c>
      <c r="C40" s="99"/>
      <c r="D40" s="99"/>
      <c r="E40" s="100">
        <f>+ﾇｰﾍﾞﾙﾌﾟｰｽ!W39/1000</f>
        <v>260</v>
      </c>
      <c r="F40" s="101">
        <v>277.74799999999999</v>
      </c>
      <c r="G40" s="102">
        <f t="shared" si="1"/>
        <v>-17.74799999999999</v>
      </c>
      <c r="H40" s="101">
        <v>240</v>
      </c>
      <c r="I40" s="105">
        <f t="shared" si="2"/>
        <v>20</v>
      </c>
      <c r="J40" s="191">
        <f>+ｶﾌｪﾙﾎﾟ!W39/1000</f>
        <v>0</v>
      </c>
      <c r="K40" s="101">
        <v>19.966000000000001</v>
      </c>
      <c r="L40" s="102">
        <f t="shared" si="3"/>
        <v>-19.966000000000001</v>
      </c>
      <c r="M40" s="101">
        <v>0</v>
      </c>
      <c r="N40" s="192">
        <f t="shared" si="4"/>
        <v>0</v>
      </c>
      <c r="O40" s="104">
        <f>+ｶﾌｪｾﾚｽﾃ!W39/1000</f>
        <v>0</v>
      </c>
      <c r="P40" s="101">
        <v>0</v>
      </c>
      <c r="Q40" s="102">
        <f t="shared" si="5"/>
        <v>0</v>
      </c>
      <c r="R40" s="101">
        <v>0</v>
      </c>
      <c r="S40" s="105">
        <f t="shared" si="6"/>
        <v>0</v>
      </c>
      <c r="T40" s="100">
        <f t="shared" si="7"/>
        <v>260</v>
      </c>
      <c r="U40" s="101">
        <f t="shared" si="8"/>
        <v>297.714</v>
      </c>
      <c r="V40" s="102">
        <f t="shared" si="9"/>
        <v>-37.713999999999999</v>
      </c>
      <c r="W40" s="101">
        <f t="shared" si="10"/>
        <v>240</v>
      </c>
      <c r="X40" s="103">
        <f t="shared" si="11"/>
        <v>20</v>
      </c>
      <c r="Y40" s="104">
        <v>0</v>
      </c>
      <c r="Z40" s="101">
        <v>0</v>
      </c>
      <c r="AA40" s="102">
        <f t="shared" si="12"/>
        <v>0</v>
      </c>
      <c r="AB40" s="101">
        <v>0</v>
      </c>
      <c r="AC40" s="192">
        <f t="shared" si="13"/>
        <v>0</v>
      </c>
      <c r="AD40" s="104">
        <f>+ｼﾞｭｴﾙｽﾞ!W39/1000</f>
        <v>300</v>
      </c>
      <c r="AE40" s="101">
        <v>211.303</v>
      </c>
      <c r="AF40" s="102">
        <f t="shared" si="14"/>
        <v>88.697000000000003</v>
      </c>
      <c r="AG40" s="101">
        <v>260</v>
      </c>
      <c r="AH40" s="103">
        <f t="shared" si="15"/>
        <v>40</v>
      </c>
      <c r="AI40" s="100">
        <f t="shared" si="36"/>
        <v>300</v>
      </c>
      <c r="AJ40" s="101">
        <f t="shared" si="38"/>
        <v>211.303</v>
      </c>
      <c r="AK40" s="102">
        <f t="shared" si="39"/>
        <v>88.697000000000003</v>
      </c>
      <c r="AL40" s="101">
        <f t="shared" si="40"/>
        <v>260</v>
      </c>
      <c r="AM40" s="103">
        <f t="shared" si="41"/>
        <v>40</v>
      </c>
      <c r="AN40" s="100">
        <f>+ｶﾞｰﾃﾞﾝ!W39/1000</f>
        <v>300</v>
      </c>
      <c r="AO40" s="101">
        <v>361.70299999999997</v>
      </c>
      <c r="AP40" s="102">
        <f t="shared" si="16"/>
        <v>-61.702999999999975</v>
      </c>
      <c r="AQ40" s="101">
        <v>300</v>
      </c>
      <c r="AR40" s="105">
        <f t="shared" si="17"/>
        <v>0</v>
      </c>
      <c r="AS40" s="191">
        <f>+ﾋﾞｱｶﾞｰﾃﾞﾝ!W39/1000</f>
        <v>50</v>
      </c>
      <c r="AT40" s="101">
        <v>10.797000000000001</v>
      </c>
      <c r="AU40" s="102">
        <f t="shared" si="18"/>
        <v>39.203000000000003</v>
      </c>
      <c r="AV40" s="101">
        <v>0</v>
      </c>
      <c r="AW40" s="103">
        <f t="shared" si="19"/>
        <v>50</v>
      </c>
      <c r="AX40" s="100">
        <f t="shared" si="20"/>
        <v>350</v>
      </c>
      <c r="AY40" s="101">
        <f t="shared" ref="AY40:AY71" si="42">+AO40+AT40</f>
        <v>372.5</v>
      </c>
      <c r="AZ40" s="102">
        <f t="shared" si="22"/>
        <v>-22.5</v>
      </c>
      <c r="BA40" s="101">
        <f t="shared" si="23"/>
        <v>300</v>
      </c>
      <c r="BB40" s="103">
        <f t="shared" si="24"/>
        <v>50</v>
      </c>
      <c r="BC40" s="100">
        <f>+赤れんが!X40/1000</f>
        <v>204.96243895102873</v>
      </c>
      <c r="BD40" s="191">
        <f>+赤れんが!Z40/1000</f>
        <v>0</v>
      </c>
      <c r="BE40" s="100">
        <f t="shared" si="25"/>
        <v>204.96243895102873</v>
      </c>
      <c r="BF40" s="100">
        <f>+料飲共通!W39/1000</f>
        <v>0</v>
      </c>
      <c r="BG40" s="101">
        <v>0</v>
      </c>
      <c r="BH40" s="102">
        <f t="shared" si="26"/>
        <v>0</v>
      </c>
      <c r="BI40" s="101">
        <v>0</v>
      </c>
      <c r="BJ40" s="103">
        <f t="shared" si="27"/>
        <v>0</v>
      </c>
      <c r="BK40" s="100">
        <f t="shared" si="28"/>
        <v>1114.9624389510286</v>
      </c>
      <c r="BL40" s="101">
        <f t="shared" si="29"/>
        <v>881.51700000000005</v>
      </c>
      <c r="BM40" s="102">
        <f t="shared" si="0"/>
        <v>233.44543895102856</v>
      </c>
      <c r="BN40" s="101">
        <f t="shared" si="30"/>
        <v>800</v>
      </c>
      <c r="BO40" s="103">
        <f t="shared" si="31"/>
        <v>314.96243895102862</v>
      </c>
      <c r="BP40" s="100">
        <f t="shared" si="32"/>
        <v>909.99999999999989</v>
      </c>
      <c r="BQ40" s="101">
        <f t="shared" si="33"/>
        <v>881.51700000000005</v>
      </c>
      <c r="BR40" s="102">
        <f t="shared" si="37"/>
        <v>28.482999999999834</v>
      </c>
      <c r="BS40" s="101">
        <f t="shared" si="34"/>
        <v>800</v>
      </c>
      <c r="BT40" s="103">
        <f t="shared" si="35"/>
        <v>109.99999999999989</v>
      </c>
    </row>
    <row r="41" spans="1:72" s="88" customFormat="1" ht="22" customHeight="1">
      <c r="A41" s="132"/>
      <c r="B41" s="98" t="s">
        <v>71</v>
      </c>
      <c r="C41" s="99"/>
      <c r="D41" s="99"/>
      <c r="E41" s="100">
        <f>+ﾇｰﾍﾞﾙﾌﾟｰｽ!W40/1000</f>
        <v>0</v>
      </c>
      <c r="F41" s="101">
        <v>0</v>
      </c>
      <c r="G41" s="102">
        <f t="shared" si="1"/>
        <v>0</v>
      </c>
      <c r="H41" s="101">
        <v>0</v>
      </c>
      <c r="I41" s="105">
        <f t="shared" si="2"/>
        <v>0</v>
      </c>
      <c r="J41" s="191">
        <f>+ｶﾌｪﾙﾎﾟ!W40/1000</f>
        <v>0</v>
      </c>
      <c r="K41" s="101">
        <v>0</v>
      </c>
      <c r="L41" s="102">
        <f t="shared" si="3"/>
        <v>0</v>
      </c>
      <c r="M41" s="101">
        <v>0</v>
      </c>
      <c r="N41" s="192">
        <f t="shared" si="4"/>
        <v>0</v>
      </c>
      <c r="O41" s="104">
        <f>+ｶﾌｪｾﾚｽﾃ!W40/1000</f>
        <v>0</v>
      </c>
      <c r="P41" s="101">
        <v>0</v>
      </c>
      <c r="Q41" s="102">
        <f t="shared" si="5"/>
        <v>0</v>
      </c>
      <c r="R41" s="101">
        <v>0</v>
      </c>
      <c r="S41" s="105">
        <f t="shared" si="6"/>
        <v>0</v>
      </c>
      <c r="T41" s="100">
        <f t="shared" si="7"/>
        <v>0</v>
      </c>
      <c r="U41" s="101">
        <f t="shared" si="8"/>
        <v>0</v>
      </c>
      <c r="V41" s="102">
        <f t="shared" si="9"/>
        <v>0</v>
      </c>
      <c r="W41" s="101">
        <f t="shared" si="10"/>
        <v>0</v>
      </c>
      <c r="X41" s="103">
        <f t="shared" si="11"/>
        <v>0</v>
      </c>
      <c r="Y41" s="104">
        <v>0</v>
      </c>
      <c r="Z41" s="101">
        <v>0</v>
      </c>
      <c r="AA41" s="102">
        <f t="shared" si="12"/>
        <v>0</v>
      </c>
      <c r="AB41" s="101">
        <v>0</v>
      </c>
      <c r="AC41" s="192">
        <f t="shared" si="13"/>
        <v>0</v>
      </c>
      <c r="AD41" s="104">
        <f>+ｼﾞｭｴﾙｽﾞ!W40/1000</f>
        <v>0</v>
      </c>
      <c r="AE41" s="101">
        <v>0</v>
      </c>
      <c r="AF41" s="102">
        <f t="shared" si="14"/>
        <v>0</v>
      </c>
      <c r="AG41" s="101">
        <v>0</v>
      </c>
      <c r="AH41" s="103">
        <f t="shared" si="15"/>
        <v>0</v>
      </c>
      <c r="AI41" s="100">
        <f t="shared" si="36"/>
        <v>0</v>
      </c>
      <c r="AJ41" s="101">
        <f t="shared" si="38"/>
        <v>0</v>
      </c>
      <c r="AK41" s="102">
        <f t="shared" si="39"/>
        <v>0</v>
      </c>
      <c r="AL41" s="101">
        <f t="shared" si="40"/>
        <v>0</v>
      </c>
      <c r="AM41" s="103">
        <f t="shared" si="41"/>
        <v>0</v>
      </c>
      <c r="AN41" s="100">
        <f>+ｶﾞｰﾃﾞﾝ!W40/1000</f>
        <v>0</v>
      </c>
      <c r="AO41" s="101">
        <v>0</v>
      </c>
      <c r="AP41" s="102">
        <f t="shared" si="16"/>
        <v>0</v>
      </c>
      <c r="AQ41" s="101">
        <v>0</v>
      </c>
      <c r="AR41" s="105">
        <f t="shared" si="17"/>
        <v>0</v>
      </c>
      <c r="AS41" s="191">
        <f>+ﾋﾞｱｶﾞｰﾃﾞﾝ!W40/1000</f>
        <v>0</v>
      </c>
      <c r="AT41" s="101">
        <v>0</v>
      </c>
      <c r="AU41" s="102">
        <f t="shared" si="18"/>
        <v>0</v>
      </c>
      <c r="AV41" s="101">
        <v>0</v>
      </c>
      <c r="AW41" s="103">
        <f t="shared" si="19"/>
        <v>0</v>
      </c>
      <c r="AX41" s="100">
        <f t="shared" si="20"/>
        <v>0</v>
      </c>
      <c r="AY41" s="101">
        <f t="shared" si="42"/>
        <v>0</v>
      </c>
      <c r="AZ41" s="102">
        <f t="shared" si="22"/>
        <v>0</v>
      </c>
      <c r="BA41" s="101">
        <f t="shared" si="23"/>
        <v>0</v>
      </c>
      <c r="BB41" s="103">
        <f t="shared" si="24"/>
        <v>0</v>
      </c>
      <c r="BC41" s="100">
        <v>0</v>
      </c>
      <c r="BD41" s="191">
        <v>0</v>
      </c>
      <c r="BE41" s="100">
        <f t="shared" si="25"/>
        <v>0</v>
      </c>
      <c r="BF41" s="100">
        <f>+料飲共通!W40/1000</f>
        <v>0</v>
      </c>
      <c r="BG41" s="101">
        <v>0</v>
      </c>
      <c r="BH41" s="102">
        <f t="shared" si="26"/>
        <v>0</v>
      </c>
      <c r="BI41" s="101">
        <v>0</v>
      </c>
      <c r="BJ41" s="103">
        <f t="shared" si="27"/>
        <v>0</v>
      </c>
      <c r="BK41" s="100">
        <f t="shared" si="28"/>
        <v>0</v>
      </c>
      <c r="BL41" s="101">
        <f t="shared" si="29"/>
        <v>0</v>
      </c>
      <c r="BM41" s="102">
        <f t="shared" si="0"/>
        <v>0</v>
      </c>
      <c r="BN41" s="101">
        <f t="shared" si="30"/>
        <v>0</v>
      </c>
      <c r="BO41" s="103">
        <f t="shared" si="31"/>
        <v>0</v>
      </c>
      <c r="BP41" s="100">
        <f t="shared" si="32"/>
        <v>0</v>
      </c>
      <c r="BQ41" s="101">
        <f t="shared" si="33"/>
        <v>0</v>
      </c>
      <c r="BR41" s="102">
        <f t="shared" si="37"/>
        <v>0</v>
      </c>
      <c r="BS41" s="101">
        <f t="shared" si="34"/>
        <v>0</v>
      </c>
      <c r="BT41" s="103">
        <f t="shared" si="35"/>
        <v>0</v>
      </c>
    </row>
    <row r="42" spans="1:72" s="88" customFormat="1" ht="22" customHeight="1">
      <c r="A42" s="132"/>
      <c r="B42" s="98" t="s">
        <v>73</v>
      </c>
      <c r="C42" s="99"/>
      <c r="D42" s="99"/>
      <c r="E42" s="100">
        <f>+ﾇｰﾍﾞﾙﾌﾟｰｽ!W41/1000</f>
        <v>425.1</v>
      </c>
      <c r="F42" s="101">
        <v>433.72899999999998</v>
      </c>
      <c r="G42" s="102">
        <f t="shared" si="1"/>
        <v>-8.6289999999999623</v>
      </c>
      <c r="H42" s="101">
        <v>387</v>
      </c>
      <c r="I42" s="105">
        <f t="shared" si="2"/>
        <v>38.100000000000023</v>
      </c>
      <c r="J42" s="191">
        <f>+ｶﾌｪﾙﾎﾟ!W41/1000</f>
        <v>72.7</v>
      </c>
      <c r="K42" s="101">
        <v>48.99</v>
      </c>
      <c r="L42" s="102">
        <f t="shared" si="3"/>
        <v>23.71</v>
      </c>
      <c r="M42" s="101">
        <v>41</v>
      </c>
      <c r="N42" s="192">
        <f t="shared" si="4"/>
        <v>31.700000000000003</v>
      </c>
      <c r="O42" s="104">
        <f>+ｶﾌｪｾﾚｽﾃ!W41/1000</f>
        <v>1021.9640000000001</v>
      </c>
      <c r="P42" s="101">
        <v>1021.9640000000001</v>
      </c>
      <c r="Q42" s="102">
        <f t="shared" si="5"/>
        <v>0</v>
      </c>
      <c r="R42" s="101">
        <v>1035</v>
      </c>
      <c r="S42" s="105">
        <f t="shared" si="6"/>
        <v>-13.035999999999945</v>
      </c>
      <c r="T42" s="100">
        <f t="shared" si="7"/>
        <v>1519.7640000000001</v>
      </c>
      <c r="U42" s="101">
        <f t="shared" si="8"/>
        <v>1504.683</v>
      </c>
      <c r="V42" s="102">
        <f t="shared" si="9"/>
        <v>15.081000000000131</v>
      </c>
      <c r="W42" s="101">
        <f t="shared" si="10"/>
        <v>1463</v>
      </c>
      <c r="X42" s="103">
        <f t="shared" si="11"/>
        <v>56.764000000000124</v>
      </c>
      <c r="Y42" s="104">
        <v>0</v>
      </c>
      <c r="Z42" s="101">
        <v>60</v>
      </c>
      <c r="AA42" s="102">
        <f t="shared" si="12"/>
        <v>-60</v>
      </c>
      <c r="AB42" s="101">
        <v>100</v>
      </c>
      <c r="AC42" s="192">
        <f t="shared" si="13"/>
        <v>-100</v>
      </c>
      <c r="AD42" s="104">
        <f>+ｼﾞｭｴﾙｽﾞ!W41/1000</f>
        <v>641.32000000000005</v>
      </c>
      <c r="AE42" s="101">
        <v>599.51900000000001</v>
      </c>
      <c r="AF42" s="102">
        <f t="shared" si="14"/>
        <v>41.801000000000045</v>
      </c>
      <c r="AG42" s="101">
        <v>553</v>
      </c>
      <c r="AH42" s="103">
        <f t="shared" si="15"/>
        <v>88.32000000000005</v>
      </c>
      <c r="AI42" s="100">
        <f t="shared" si="36"/>
        <v>641.32000000000005</v>
      </c>
      <c r="AJ42" s="101">
        <f t="shared" si="38"/>
        <v>659.51900000000001</v>
      </c>
      <c r="AK42" s="102">
        <f t="shared" si="39"/>
        <v>-18.198999999999955</v>
      </c>
      <c r="AL42" s="101">
        <f t="shared" si="40"/>
        <v>653</v>
      </c>
      <c r="AM42" s="103">
        <f t="shared" si="41"/>
        <v>-11.67999999999995</v>
      </c>
      <c r="AN42" s="100">
        <f>+ｶﾞｰﾃﾞﾝ!W41/1000</f>
        <v>12497.46</v>
      </c>
      <c r="AO42" s="101">
        <v>12237.548000000001</v>
      </c>
      <c r="AP42" s="102">
        <f t="shared" si="16"/>
        <v>259.91199999999844</v>
      </c>
      <c r="AQ42" s="101">
        <v>12260</v>
      </c>
      <c r="AR42" s="105">
        <f t="shared" si="17"/>
        <v>237.45999999999913</v>
      </c>
      <c r="AS42" s="191">
        <f>+ﾋﾞｱｶﾞｰﾃﾞﾝ!W41/1000</f>
        <v>14123.5</v>
      </c>
      <c r="AT42" s="101">
        <v>14123.5</v>
      </c>
      <c r="AU42" s="102">
        <f t="shared" si="18"/>
        <v>0</v>
      </c>
      <c r="AV42" s="101">
        <v>13615</v>
      </c>
      <c r="AW42" s="103">
        <f t="shared" si="19"/>
        <v>508.5</v>
      </c>
      <c r="AX42" s="100">
        <f t="shared" si="20"/>
        <v>26620.959999999999</v>
      </c>
      <c r="AY42" s="101">
        <f t="shared" si="42"/>
        <v>26361.048000000003</v>
      </c>
      <c r="AZ42" s="102">
        <f t="shared" si="22"/>
        <v>259.91199999999662</v>
      </c>
      <c r="BA42" s="101">
        <f t="shared" si="23"/>
        <v>25875</v>
      </c>
      <c r="BB42" s="103">
        <f t="shared" si="24"/>
        <v>745.95999999999913</v>
      </c>
      <c r="BC42" s="100">
        <f>SUM(BC43:BC46)</f>
        <v>8999.7139624478532</v>
      </c>
      <c r="BD42" s="191">
        <f>SUM(BD43:BD46)</f>
        <v>6634.7985299751308</v>
      </c>
      <c r="BE42" s="100">
        <f t="shared" si="25"/>
        <v>15634.512492422984</v>
      </c>
      <c r="BF42" s="100">
        <f>+料飲共通!W41/1000</f>
        <v>0</v>
      </c>
      <c r="BG42" s="101">
        <v>12.622999999999999</v>
      </c>
      <c r="BH42" s="102">
        <f t="shared" si="26"/>
        <v>-12.622999999999999</v>
      </c>
      <c r="BI42" s="101">
        <v>0</v>
      </c>
      <c r="BJ42" s="103">
        <f t="shared" si="27"/>
        <v>0</v>
      </c>
      <c r="BK42" s="100">
        <f t="shared" si="28"/>
        <v>44416.556492422984</v>
      </c>
      <c r="BL42" s="101">
        <f t="shared" si="29"/>
        <v>28537.873000000003</v>
      </c>
      <c r="BM42" s="102">
        <f t="shared" si="0"/>
        <v>15878.683492422981</v>
      </c>
      <c r="BN42" s="101">
        <f t="shared" si="30"/>
        <v>27991</v>
      </c>
      <c r="BO42" s="103">
        <f t="shared" si="31"/>
        <v>16425.556492422984</v>
      </c>
      <c r="BP42" s="100">
        <f t="shared" si="32"/>
        <v>28782.044000000002</v>
      </c>
      <c r="BQ42" s="101">
        <f t="shared" si="33"/>
        <v>28477.873000000003</v>
      </c>
      <c r="BR42" s="102">
        <f t="shared" si="37"/>
        <v>304.17099999999846</v>
      </c>
      <c r="BS42" s="101">
        <f t="shared" si="34"/>
        <v>27891</v>
      </c>
      <c r="BT42" s="103">
        <f t="shared" si="35"/>
        <v>891.04400000000169</v>
      </c>
    </row>
    <row r="43" spans="1:72" s="88" customFormat="1" ht="22" hidden="1" customHeight="1" outlineLevel="1">
      <c r="A43" s="132"/>
      <c r="B43" s="125"/>
      <c r="C43" s="99" t="s">
        <v>75</v>
      </c>
      <c r="D43" s="99"/>
      <c r="E43" s="100">
        <f>+ﾇｰﾍﾞﾙﾌﾟｰｽ!W42/1000</f>
        <v>0</v>
      </c>
      <c r="F43" s="101">
        <v>0</v>
      </c>
      <c r="G43" s="102">
        <f t="shared" si="1"/>
        <v>0</v>
      </c>
      <c r="H43" s="101">
        <v>0</v>
      </c>
      <c r="I43" s="105">
        <f t="shared" si="2"/>
        <v>0</v>
      </c>
      <c r="J43" s="191">
        <f>+ｶﾌｪﾙﾎﾟ!W42/1000</f>
        <v>0</v>
      </c>
      <c r="K43" s="101">
        <v>0</v>
      </c>
      <c r="L43" s="102">
        <f t="shared" si="3"/>
        <v>0</v>
      </c>
      <c r="M43" s="101">
        <v>0</v>
      </c>
      <c r="N43" s="192">
        <f t="shared" si="4"/>
        <v>0</v>
      </c>
      <c r="O43" s="104">
        <f>+ｶﾌｪｾﾚｽﾃ!W42/1000</f>
        <v>0</v>
      </c>
      <c r="P43" s="101">
        <v>0</v>
      </c>
      <c r="Q43" s="102">
        <f t="shared" si="5"/>
        <v>0</v>
      </c>
      <c r="R43" s="101">
        <v>0</v>
      </c>
      <c r="S43" s="105">
        <f t="shared" si="6"/>
        <v>0</v>
      </c>
      <c r="T43" s="100">
        <f t="shared" si="7"/>
        <v>0</v>
      </c>
      <c r="U43" s="101">
        <f t="shared" si="8"/>
        <v>0</v>
      </c>
      <c r="V43" s="102">
        <f t="shared" si="9"/>
        <v>0</v>
      </c>
      <c r="W43" s="101">
        <f t="shared" si="10"/>
        <v>0</v>
      </c>
      <c r="X43" s="103">
        <f t="shared" si="11"/>
        <v>0</v>
      </c>
      <c r="Y43" s="104">
        <v>0</v>
      </c>
      <c r="Z43" s="101">
        <v>0</v>
      </c>
      <c r="AA43" s="102">
        <f t="shared" si="12"/>
        <v>0</v>
      </c>
      <c r="AB43" s="101">
        <v>0</v>
      </c>
      <c r="AC43" s="192">
        <f t="shared" si="13"/>
        <v>0</v>
      </c>
      <c r="AD43" s="104">
        <f>+ｼﾞｭｴﾙｽﾞ!W42/1000</f>
        <v>0</v>
      </c>
      <c r="AE43" s="101">
        <v>0</v>
      </c>
      <c r="AF43" s="102">
        <f t="shared" si="14"/>
        <v>0</v>
      </c>
      <c r="AG43" s="101">
        <v>0</v>
      </c>
      <c r="AH43" s="103">
        <f t="shared" si="15"/>
        <v>0</v>
      </c>
      <c r="AI43" s="100">
        <f t="shared" si="36"/>
        <v>0</v>
      </c>
      <c r="AJ43" s="101">
        <f t="shared" si="38"/>
        <v>0</v>
      </c>
      <c r="AK43" s="102">
        <f t="shared" si="39"/>
        <v>0</v>
      </c>
      <c r="AL43" s="101">
        <f t="shared" si="40"/>
        <v>0</v>
      </c>
      <c r="AM43" s="103">
        <f t="shared" si="41"/>
        <v>0</v>
      </c>
      <c r="AN43" s="100">
        <f>+ｶﾞｰﾃﾞﾝ!W42/1000</f>
        <v>0</v>
      </c>
      <c r="AO43" s="101">
        <v>0</v>
      </c>
      <c r="AP43" s="102">
        <f t="shared" si="16"/>
        <v>0</v>
      </c>
      <c r="AQ43" s="101">
        <v>0</v>
      </c>
      <c r="AR43" s="105">
        <f t="shared" si="17"/>
        <v>0</v>
      </c>
      <c r="AS43" s="191">
        <f>+ﾋﾞｱｶﾞｰﾃﾞﾝ!W42/1000</f>
        <v>0</v>
      </c>
      <c r="AT43" s="101">
        <v>0</v>
      </c>
      <c r="AU43" s="102">
        <f t="shared" si="18"/>
        <v>0</v>
      </c>
      <c r="AV43" s="101">
        <v>0</v>
      </c>
      <c r="AW43" s="103">
        <f t="shared" si="19"/>
        <v>0</v>
      </c>
      <c r="AX43" s="100">
        <f t="shared" si="20"/>
        <v>0</v>
      </c>
      <c r="AY43" s="101">
        <f t="shared" si="42"/>
        <v>0</v>
      </c>
      <c r="AZ43" s="102">
        <f t="shared" si="22"/>
        <v>0</v>
      </c>
      <c r="BA43" s="101">
        <f t="shared" si="23"/>
        <v>0</v>
      </c>
      <c r="BB43" s="103">
        <f t="shared" si="24"/>
        <v>0</v>
      </c>
      <c r="BC43" s="100">
        <v>0</v>
      </c>
      <c r="BD43" s="191">
        <v>0</v>
      </c>
      <c r="BE43" s="100">
        <f t="shared" si="25"/>
        <v>0</v>
      </c>
      <c r="BF43" s="100">
        <f>+料飲共通!W42/1000</f>
        <v>0</v>
      </c>
      <c r="BG43" s="101">
        <v>0</v>
      </c>
      <c r="BH43" s="102">
        <f t="shared" si="26"/>
        <v>0</v>
      </c>
      <c r="BI43" s="101">
        <v>0</v>
      </c>
      <c r="BJ43" s="103">
        <f t="shared" si="27"/>
        <v>0</v>
      </c>
      <c r="BK43" s="100">
        <f t="shared" si="28"/>
        <v>0</v>
      </c>
      <c r="BL43" s="101">
        <f t="shared" si="29"/>
        <v>0</v>
      </c>
      <c r="BM43" s="102">
        <f t="shared" si="0"/>
        <v>0</v>
      </c>
      <c r="BN43" s="101">
        <f t="shared" si="30"/>
        <v>0</v>
      </c>
      <c r="BO43" s="103">
        <f t="shared" si="31"/>
        <v>0</v>
      </c>
      <c r="BP43" s="100">
        <f t="shared" si="32"/>
        <v>0</v>
      </c>
      <c r="BQ43" s="101">
        <f t="shared" si="33"/>
        <v>0</v>
      </c>
      <c r="BR43" s="102">
        <f t="shared" si="37"/>
        <v>0</v>
      </c>
      <c r="BS43" s="101">
        <f t="shared" si="34"/>
        <v>0</v>
      </c>
      <c r="BT43" s="103">
        <f t="shared" si="35"/>
        <v>0</v>
      </c>
    </row>
    <row r="44" spans="1:72" s="88" customFormat="1" ht="22" hidden="1" customHeight="1" outlineLevel="1">
      <c r="A44" s="132"/>
      <c r="B44" s="125"/>
      <c r="C44" s="99" t="s">
        <v>77</v>
      </c>
      <c r="D44" s="99"/>
      <c r="E44" s="100">
        <f>+ﾇｰﾍﾞﾙﾌﾟｰｽ!W43/1000</f>
        <v>0</v>
      </c>
      <c r="F44" s="101">
        <v>0</v>
      </c>
      <c r="G44" s="102">
        <f t="shared" si="1"/>
        <v>0</v>
      </c>
      <c r="H44" s="101">
        <v>0</v>
      </c>
      <c r="I44" s="105">
        <f t="shared" si="2"/>
        <v>0</v>
      </c>
      <c r="J44" s="191">
        <f>+ｶﾌｪﾙﾎﾟ!W43/1000</f>
        <v>0</v>
      </c>
      <c r="K44" s="101">
        <v>0</v>
      </c>
      <c r="L44" s="102">
        <f t="shared" si="3"/>
        <v>0</v>
      </c>
      <c r="M44" s="101">
        <v>0</v>
      </c>
      <c r="N44" s="192">
        <f t="shared" si="4"/>
        <v>0</v>
      </c>
      <c r="O44" s="104">
        <f>+ｶﾌｪｾﾚｽﾃ!W43/1000</f>
        <v>1021.9640000000001</v>
      </c>
      <c r="P44" s="101">
        <v>1021.9640000000001</v>
      </c>
      <c r="Q44" s="102">
        <f t="shared" si="5"/>
        <v>0</v>
      </c>
      <c r="R44" s="101">
        <v>255</v>
      </c>
      <c r="S44" s="105">
        <f t="shared" si="6"/>
        <v>766.96400000000006</v>
      </c>
      <c r="T44" s="100">
        <f t="shared" si="7"/>
        <v>1021.9640000000001</v>
      </c>
      <c r="U44" s="101">
        <f t="shared" si="8"/>
        <v>1021.9640000000001</v>
      </c>
      <c r="V44" s="102">
        <f t="shared" si="9"/>
        <v>0</v>
      </c>
      <c r="W44" s="101">
        <f t="shared" si="10"/>
        <v>255</v>
      </c>
      <c r="X44" s="103">
        <f t="shared" si="11"/>
        <v>766.96400000000006</v>
      </c>
      <c r="Y44" s="104">
        <v>0</v>
      </c>
      <c r="Z44" s="101">
        <v>0</v>
      </c>
      <c r="AA44" s="102">
        <f t="shared" si="12"/>
        <v>0</v>
      </c>
      <c r="AB44" s="101">
        <v>0</v>
      </c>
      <c r="AC44" s="192">
        <f t="shared" si="13"/>
        <v>0</v>
      </c>
      <c r="AD44" s="104">
        <f>+ｼﾞｭｴﾙｽﾞ!W43/1000</f>
        <v>0</v>
      </c>
      <c r="AE44" s="101">
        <v>0</v>
      </c>
      <c r="AF44" s="102">
        <f t="shared" si="14"/>
        <v>0</v>
      </c>
      <c r="AG44" s="101">
        <v>0</v>
      </c>
      <c r="AH44" s="103">
        <f t="shared" si="15"/>
        <v>0</v>
      </c>
      <c r="AI44" s="100">
        <f t="shared" si="36"/>
        <v>0</v>
      </c>
      <c r="AJ44" s="101">
        <f t="shared" si="38"/>
        <v>0</v>
      </c>
      <c r="AK44" s="102">
        <f t="shared" si="39"/>
        <v>0</v>
      </c>
      <c r="AL44" s="101">
        <f t="shared" si="40"/>
        <v>0</v>
      </c>
      <c r="AM44" s="103">
        <f t="shared" si="41"/>
        <v>0</v>
      </c>
      <c r="AN44" s="100">
        <f>+ｶﾞｰﾃﾞﾝ!W43/1000</f>
        <v>11558.46</v>
      </c>
      <c r="AO44" s="101">
        <v>11558.46</v>
      </c>
      <c r="AP44" s="102">
        <f t="shared" si="16"/>
        <v>0</v>
      </c>
      <c r="AQ44" s="101">
        <v>11558</v>
      </c>
      <c r="AR44" s="105">
        <f t="shared" si="17"/>
        <v>0.45999999999912689</v>
      </c>
      <c r="AS44" s="191">
        <f>+ﾋﾞｱｶﾞｰﾃﾞﾝ!W43/1000</f>
        <v>0</v>
      </c>
      <c r="AT44" s="101">
        <v>0</v>
      </c>
      <c r="AU44" s="102">
        <f t="shared" si="18"/>
        <v>0</v>
      </c>
      <c r="AV44" s="101">
        <v>13515</v>
      </c>
      <c r="AW44" s="103">
        <f t="shared" si="19"/>
        <v>-13515</v>
      </c>
      <c r="AX44" s="100">
        <f t="shared" si="20"/>
        <v>11558.46</v>
      </c>
      <c r="AY44" s="101">
        <f t="shared" si="42"/>
        <v>11558.46</v>
      </c>
      <c r="AZ44" s="102">
        <f t="shared" si="22"/>
        <v>0</v>
      </c>
      <c r="BA44" s="101">
        <f t="shared" si="23"/>
        <v>25073</v>
      </c>
      <c r="BB44" s="103">
        <f t="shared" si="24"/>
        <v>-13514.54</v>
      </c>
      <c r="BC44" s="100">
        <f>+赤れんが!X44/1000</f>
        <v>7913.3942999999999</v>
      </c>
      <c r="BD44" s="191">
        <f>+赤れんが!Z44/1000</f>
        <v>6539.3119999999999</v>
      </c>
      <c r="BE44" s="100">
        <f t="shared" si="25"/>
        <v>14452.7063</v>
      </c>
      <c r="BF44" s="100">
        <f>+料飲共通!W43/1000</f>
        <v>0</v>
      </c>
      <c r="BG44" s="101">
        <v>0</v>
      </c>
      <c r="BH44" s="102">
        <f t="shared" si="26"/>
        <v>0</v>
      </c>
      <c r="BI44" s="101">
        <v>0</v>
      </c>
      <c r="BJ44" s="103">
        <f t="shared" si="27"/>
        <v>0</v>
      </c>
      <c r="BK44" s="100">
        <f t="shared" si="28"/>
        <v>27033.130299999997</v>
      </c>
      <c r="BL44" s="101">
        <f t="shared" si="29"/>
        <v>12580.423999999999</v>
      </c>
      <c r="BM44" s="102">
        <f t="shared" si="0"/>
        <v>14452.706299999998</v>
      </c>
      <c r="BN44" s="101">
        <f t="shared" si="30"/>
        <v>25328</v>
      </c>
      <c r="BO44" s="103">
        <f t="shared" si="31"/>
        <v>1705.1302999999971</v>
      </c>
      <c r="BP44" s="100">
        <f t="shared" si="32"/>
        <v>12580.423999999997</v>
      </c>
      <c r="BQ44" s="101">
        <f t="shared" si="33"/>
        <v>12580.423999999999</v>
      </c>
      <c r="BR44" s="102">
        <f t="shared" si="37"/>
        <v>0</v>
      </c>
      <c r="BS44" s="101">
        <f t="shared" si="34"/>
        <v>25328</v>
      </c>
      <c r="BT44" s="103">
        <f t="shared" si="35"/>
        <v>-12747.576000000003</v>
      </c>
    </row>
    <row r="45" spans="1:72" s="88" customFormat="1" ht="22" hidden="1" customHeight="1" outlineLevel="1">
      <c r="A45" s="132"/>
      <c r="B45" s="125"/>
      <c r="C45" s="99" t="s">
        <v>79</v>
      </c>
      <c r="D45" s="99"/>
      <c r="E45" s="100">
        <f>+ﾇｰﾍﾞﾙﾌﾟｰｽ!W44/1000</f>
        <v>0</v>
      </c>
      <c r="F45" s="101">
        <v>0</v>
      </c>
      <c r="G45" s="102">
        <f t="shared" si="1"/>
        <v>0</v>
      </c>
      <c r="H45" s="101">
        <v>0</v>
      </c>
      <c r="I45" s="105">
        <f t="shared" si="2"/>
        <v>0</v>
      </c>
      <c r="J45" s="191">
        <f>+ｶﾌｪﾙﾎﾟ!W44/1000</f>
        <v>0</v>
      </c>
      <c r="K45" s="101">
        <v>0</v>
      </c>
      <c r="L45" s="102">
        <f t="shared" si="3"/>
        <v>0</v>
      </c>
      <c r="M45" s="101">
        <v>0</v>
      </c>
      <c r="N45" s="192">
        <f t="shared" si="4"/>
        <v>0</v>
      </c>
      <c r="O45" s="104">
        <f>+ｶﾌｪｾﾚｽﾃ!W44/1000</f>
        <v>0</v>
      </c>
      <c r="P45" s="101">
        <v>0</v>
      </c>
      <c r="Q45" s="102">
        <f t="shared" si="5"/>
        <v>0</v>
      </c>
      <c r="R45" s="101">
        <v>780</v>
      </c>
      <c r="S45" s="105">
        <f t="shared" si="6"/>
        <v>-780</v>
      </c>
      <c r="T45" s="100">
        <f t="shared" si="7"/>
        <v>0</v>
      </c>
      <c r="U45" s="101">
        <f t="shared" si="8"/>
        <v>0</v>
      </c>
      <c r="V45" s="102">
        <f t="shared" si="9"/>
        <v>0</v>
      </c>
      <c r="W45" s="101">
        <f t="shared" si="10"/>
        <v>780</v>
      </c>
      <c r="X45" s="103">
        <f t="shared" si="11"/>
        <v>-780</v>
      </c>
      <c r="Y45" s="104">
        <v>0</v>
      </c>
      <c r="Z45" s="101">
        <v>0</v>
      </c>
      <c r="AA45" s="102">
        <f t="shared" si="12"/>
        <v>0</v>
      </c>
      <c r="AB45" s="101">
        <v>0</v>
      </c>
      <c r="AC45" s="192">
        <f t="shared" si="13"/>
        <v>0</v>
      </c>
      <c r="AD45" s="104">
        <f>+ｼﾞｭｴﾙｽﾞ!W44/1000</f>
        <v>0</v>
      </c>
      <c r="AE45" s="101">
        <v>0</v>
      </c>
      <c r="AF45" s="102">
        <f t="shared" si="14"/>
        <v>0</v>
      </c>
      <c r="AG45" s="101">
        <v>0</v>
      </c>
      <c r="AH45" s="103">
        <f t="shared" si="15"/>
        <v>0</v>
      </c>
      <c r="AI45" s="100">
        <f t="shared" si="36"/>
        <v>0</v>
      </c>
      <c r="AJ45" s="101">
        <f t="shared" si="38"/>
        <v>0</v>
      </c>
      <c r="AK45" s="102">
        <f t="shared" si="39"/>
        <v>0</v>
      </c>
      <c r="AL45" s="101">
        <f t="shared" si="40"/>
        <v>0</v>
      </c>
      <c r="AM45" s="103">
        <f t="shared" si="41"/>
        <v>0</v>
      </c>
      <c r="AN45" s="100">
        <f>+ｶﾞｰﾃﾞﾝ!W44/1000</f>
        <v>0</v>
      </c>
      <c r="AO45" s="101">
        <v>0</v>
      </c>
      <c r="AP45" s="102">
        <f t="shared" si="16"/>
        <v>0</v>
      </c>
      <c r="AQ45" s="101">
        <v>0</v>
      </c>
      <c r="AR45" s="105">
        <f t="shared" si="17"/>
        <v>0</v>
      </c>
      <c r="AS45" s="191">
        <f>+ﾋﾞｱｶﾞｰﾃﾞﾝ!W44/1000</f>
        <v>14050</v>
      </c>
      <c r="AT45" s="101">
        <v>14050</v>
      </c>
      <c r="AU45" s="102">
        <f t="shared" si="18"/>
        <v>0</v>
      </c>
      <c r="AV45" s="101">
        <v>0</v>
      </c>
      <c r="AW45" s="103">
        <f t="shared" si="19"/>
        <v>14050</v>
      </c>
      <c r="AX45" s="100">
        <f t="shared" si="20"/>
        <v>14050</v>
      </c>
      <c r="AY45" s="101">
        <f t="shared" si="42"/>
        <v>14050</v>
      </c>
      <c r="AZ45" s="102">
        <f t="shared" si="22"/>
        <v>0</v>
      </c>
      <c r="BA45" s="101">
        <f t="shared" si="23"/>
        <v>0</v>
      </c>
      <c r="BB45" s="103">
        <f t="shared" si="24"/>
        <v>14050</v>
      </c>
      <c r="BC45" s="100">
        <f>+赤れんが!X45/1000</f>
        <v>701.50800000000004</v>
      </c>
      <c r="BD45" s="191">
        <f>+赤れんが!Z45/1000</f>
        <v>0</v>
      </c>
      <c r="BE45" s="100">
        <f t="shared" si="25"/>
        <v>701.50800000000004</v>
      </c>
      <c r="BF45" s="100">
        <f>+料飲共通!W44/1000</f>
        <v>0</v>
      </c>
      <c r="BG45" s="101">
        <v>12.622999999999999</v>
      </c>
      <c r="BH45" s="102">
        <f t="shared" si="26"/>
        <v>-12.622999999999999</v>
      </c>
      <c r="BI45" s="101">
        <v>0</v>
      </c>
      <c r="BJ45" s="103">
        <f t="shared" si="27"/>
        <v>0</v>
      </c>
      <c r="BK45" s="100">
        <f t="shared" si="28"/>
        <v>14751.508</v>
      </c>
      <c r="BL45" s="101">
        <f t="shared" si="29"/>
        <v>14062.623</v>
      </c>
      <c r="BM45" s="102">
        <f t="shared" si="0"/>
        <v>688.88500000000022</v>
      </c>
      <c r="BN45" s="101">
        <f t="shared" si="30"/>
        <v>780</v>
      </c>
      <c r="BO45" s="103">
        <f t="shared" si="31"/>
        <v>13971.508</v>
      </c>
      <c r="BP45" s="100">
        <f t="shared" si="32"/>
        <v>14050</v>
      </c>
      <c r="BQ45" s="101">
        <f t="shared" si="33"/>
        <v>14062.623</v>
      </c>
      <c r="BR45" s="102">
        <f t="shared" si="37"/>
        <v>-12.622999999999593</v>
      </c>
      <c r="BS45" s="101">
        <f t="shared" si="34"/>
        <v>780</v>
      </c>
      <c r="BT45" s="103">
        <f t="shared" si="35"/>
        <v>13270</v>
      </c>
    </row>
    <row r="46" spans="1:72" s="88" customFormat="1" ht="22" hidden="1" customHeight="1" outlineLevel="1">
      <c r="A46" s="132"/>
      <c r="B46" s="125"/>
      <c r="C46" s="99" t="s">
        <v>81</v>
      </c>
      <c r="D46" s="99"/>
      <c r="E46" s="100">
        <f>+ﾇｰﾍﾞﾙﾌﾟｰｽ!W45/1000</f>
        <v>425.1</v>
      </c>
      <c r="F46" s="101">
        <v>433.72899999999998</v>
      </c>
      <c r="G46" s="102">
        <f t="shared" si="1"/>
        <v>-8.6289999999999623</v>
      </c>
      <c r="H46" s="101">
        <v>387</v>
      </c>
      <c r="I46" s="105">
        <f t="shared" si="2"/>
        <v>38.100000000000023</v>
      </c>
      <c r="J46" s="191">
        <f>+ｶﾌｪﾙﾎﾟ!W45/1000</f>
        <v>72.7</v>
      </c>
      <c r="K46" s="101">
        <v>48.99</v>
      </c>
      <c r="L46" s="102">
        <f t="shared" si="3"/>
        <v>23.71</v>
      </c>
      <c r="M46" s="101">
        <v>41</v>
      </c>
      <c r="N46" s="192">
        <f t="shared" si="4"/>
        <v>31.700000000000003</v>
      </c>
      <c r="O46" s="104">
        <f>+ｶﾌｪｾﾚｽﾃ!W45/1000</f>
        <v>0</v>
      </c>
      <c r="P46" s="101">
        <v>0</v>
      </c>
      <c r="Q46" s="102">
        <f t="shared" si="5"/>
        <v>0</v>
      </c>
      <c r="R46" s="101">
        <v>0</v>
      </c>
      <c r="S46" s="105">
        <f t="shared" si="6"/>
        <v>0</v>
      </c>
      <c r="T46" s="100">
        <f t="shared" si="7"/>
        <v>497.8</v>
      </c>
      <c r="U46" s="101">
        <f t="shared" si="8"/>
        <v>482.71899999999999</v>
      </c>
      <c r="V46" s="102">
        <f t="shared" si="9"/>
        <v>15.081000000000017</v>
      </c>
      <c r="W46" s="101">
        <f t="shared" si="10"/>
        <v>428</v>
      </c>
      <c r="X46" s="103">
        <f t="shared" si="11"/>
        <v>69.800000000000011</v>
      </c>
      <c r="Y46" s="104">
        <v>0</v>
      </c>
      <c r="Z46" s="101">
        <v>60</v>
      </c>
      <c r="AA46" s="102">
        <f t="shared" si="12"/>
        <v>-60</v>
      </c>
      <c r="AB46" s="101">
        <v>100</v>
      </c>
      <c r="AC46" s="192">
        <f t="shared" si="13"/>
        <v>-100</v>
      </c>
      <c r="AD46" s="104">
        <f>+ｼﾞｭｴﾙｽﾞ!W45/1000</f>
        <v>641.32000000000005</v>
      </c>
      <c r="AE46" s="101">
        <v>599.51900000000001</v>
      </c>
      <c r="AF46" s="102">
        <f t="shared" si="14"/>
        <v>41.801000000000045</v>
      </c>
      <c r="AG46" s="101">
        <v>553</v>
      </c>
      <c r="AH46" s="103">
        <f t="shared" si="15"/>
        <v>88.32000000000005</v>
      </c>
      <c r="AI46" s="100">
        <f t="shared" si="36"/>
        <v>641.32000000000005</v>
      </c>
      <c r="AJ46" s="101">
        <f t="shared" si="38"/>
        <v>659.51900000000001</v>
      </c>
      <c r="AK46" s="102">
        <f t="shared" si="39"/>
        <v>-18.198999999999955</v>
      </c>
      <c r="AL46" s="101">
        <f t="shared" si="40"/>
        <v>653</v>
      </c>
      <c r="AM46" s="103">
        <f t="shared" si="41"/>
        <v>-11.67999999999995</v>
      </c>
      <c r="AN46" s="100">
        <f>+ｶﾞｰﾃﾞﾝ!W45/1000</f>
        <v>939</v>
      </c>
      <c r="AO46" s="101">
        <v>679.08799999999997</v>
      </c>
      <c r="AP46" s="102">
        <f t="shared" si="16"/>
        <v>259.91200000000003</v>
      </c>
      <c r="AQ46" s="101">
        <v>702</v>
      </c>
      <c r="AR46" s="105">
        <f t="shared" si="17"/>
        <v>237</v>
      </c>
      <c r="AS46" s="191">
        <f>+ﾋﾞｱｶﾞｰﾃﾞﾝ!W45/1000</f>
        <v>73.5</v>
      </c>
      <c r="AT46" s="101">
        <v>73.5</v>
      </c>
      <c r="AU46" s="102">
        <f t="shared" si="18"/>
        <v>0</v>
      </c>
      <c r="AV46" s="101">
        <v>100</v>
      </c>
      <c r="AW46" s="103">
        <f t="shared" si="19"/>
        <v>-26.5</v>
      </c>
      <c r="AX46" s="100">
        <f t="shared" si="20"/>
        <v>1012.5</v>
      </c>
      <c r="AY46" s="101">
        <f t="shared" si="42"/>
        <v>752.58799999999997</v>
      </c>
      <c r="AZ46" s="102">
        <f t="shared" si="22"/>
        <v>259.91200000000003</v>
      </c>
      <c r="BA46" s="101">
        <f t="shared" si="23"/>
        <v>802</v>
      </c>
      <c r="BB46" s="103">
        <f t="shared" si="24"/>
        <v>210.5</v>
      </c>
      <c r="BC46" s="100">
        <f>+赤れんが!X46/1000</f>
        <v>384.81166244785419</v>
      </c>
      <c r="BD46" s="191">
        <f>+赤れんが!Z46/1000</f>
        <v>95.486529975130836</v>
      </c>
      <c r="BE46" s="100">
        <f t="shared" si="25"/>
        <v>480.29819242298504</v>
      </c>
      <c r="BF46" s="100">
        <f>+料飲共通!W45/1000</f>
        <v>0</v>
      </c>
      <c r="BG46" s="101">
        <v>0</v>
      </c>
      <c r="BH46" s="102">
        <f t="shared" si="26"/>
        <v>0</v>
      </c>
      <c r="BI46" s="101">
        <v>0</v>
      </c>
      <c r="BJ46" s="103">
        <f t="shared" si="27"/>
        <v>0</v>
      </c>
      <c r="BK46" s="100">
        <f t="shared" si="28"/>
        <v>2631.9181924229852</v>
      </c>
      <c r="BL46" s="101">
        <f t="shared" si="29"/>
        <v>1894.826</v>
      </c>
      <c r="BM46" s="102">
        <f t="shared" si="0"/>
        <v>737.09219242298514</v>
      </c>
      <c r="BN46" s="101">
        <f t="shared" si="30"/>
        <v>1883</v>
      </c>
      <c r="BO46" s="103">
        <f t="shared" si="31"/>
        <v>748.91819242298516</v>
      </c>
      <c r="BP46" s="100">
        <f t="shared" si="32"/>
        <v>2151.62</v>
      </c>
      <c r="BQ46" s="101">
        <f t="shared" si="33"/>
        <v>1834.826</v>
      </c>
      <c r="BR46" s="102">
        <f t="shared" si="37"/>
        <v>316.79399999999987</v>
      </c>
      <c r="BS46" s="101">
        <f t="shared" si="34"/>
        <v>1783</v>
      </c>
      <c r="BT46" s="103">
        <f t="shared" si="35"/>
        <v>368.61999999999989</v>
      </c>
    </row>
    <row r="47" spans="1:72" s="88" customFormat="1" ht="22" customHeight="1" collapsed="1">
      <c r="A47" s="132"/>
      <c r="B47" s="98" t="s">
        <v>83</v>
      </c>
      <c r="C47" s="99"/>
      <c r="D47" s="99"/>
      <c r="E47" s="100">
        <f>+ﾇｰﾍﾞﾙﾌﾟｰｽ!W46/1000</f>
        <v>38.21</v>
      </c>
      <c r="F47" s="101">
        <v>38.21</v>
      </c>
      <c r="G47" s="102">
        <f t="shared" si="1"/>
        <v>0</v>
      </c>
      <c r="H47" s="101">
        <v>40</v>
      </c>
      <c r="I47" s="105">
        <f t="shared" si="2"/>
        <v>-1.7899999999999991</v>
      </c>
      <c r="J47" s="191">
        <f>+ｶﾌｪﾙﾎﾟ!W46/1000</f>
        <v>4.21</v>
      </c>
      <c r="K47" s="101">
        <v>4.21</v>
      </c>
      <c r="L47" s="102">
        <f t="shared" si="3"/>
        <v>0</v>
      </c>
      <c r="M47" s="101">
        <v>0</v>
      </c>
      <c r="N47" s="192">
        <f t="shared" si="4"/>
        <v>4.21</v>
      </c>
      <c r="O47" s="104">
        <f>+ｶﾌｪｾﾚｽﾃ!W46/1000</f>
        <v>4.21</v>
      </c>
      <c r="P47" s="101">
        <v>4.21</v>
      </c>
      <c r="Q47" s="102">
        <f t="shared" si="5"/>
        <v>0</v>
      </c>
      <c r="R47" s="101">
        <v>0</v>
      </c>
      <c r="S47" s="105">
        <f t="shared" si="6"/>
        <v>4.21</v>
      </c>
      <c r="T47" s="100">
        <f t="shared" si="7"/>
        <v>46.63</v>
      </c>
      <c r="U47" s="101">
        <f t="shared" si="8"/>
        <v>46.63</v>
      </c>
      <c r="V47" s="102">
        <f t="shared" si="9"/>
        <v>0</v>
      </c>
      <c r="W47" s="101">
        <f t="shared" si="10"/>
        <v>40</v>
      </c>
      <c r="X47" s="103">
        <f t="shared" si="11"/>
        <v>6.6300000000000026</v>
      </c>
      <c r="Y47" s="104">
        <v>0</v>
      </c>
      <c r="Z47" s="101">
        <v>18.21</v>
      </c>
      <c r="AA47" s="102">
        <f t="shared" si="12"/>
        <v>-18.21</v>
      </c>
      <c r="AB47" s="101">
        <v>22</v>
      </c>
      <c r="AC47" s="192">
        <f t="shared" si="13"/>
        <v>-22</v>
      </c>
      <c r="AD47" s="104">
        <f>+ｼﾞｭｴﾙｽﾞ!W46/1000</f>
        <v>7.718</v>
      </c>
      <c r="AE47" s="101">
        <v>7.718</v>
      </c>
      <c r="AF47" s="102">
        <f t="shared" si="14"/>
        <v>0</v>
      </c>
      <c r="AG47" s="101">
        <v>13</v>
      </c>
      <c r="AH47" s="103">
        <f t="shared" si="15"/>
        <v>-5.282</v>
      </c>
      <c r="AI47" s="100">
        <f t="shared" si="36"/>
        <v>7.718</v>
      </c>
      <c r="AJ47" s="101">
        <f t="shared" si="38"/>
        <v>25.928000000000001</v>
      </c>
      <c r="AK47" s="102">
        <f t="shared" si="39"/>
        <v>-18.21</v>
      </c>
      <c r="AL47" s="101">
        <f t="shared" si="40"/>
        <v>35</v>
      </c>
      <c r="AM47" s="103">
        <f t="shared" si="41"/>
        <v>-27.282</v>
      </c>
      <c r="AN47" s="100">
        <f>+ｶﾞｰﾃﾞﾝ!W46/1000</f>
        <v>4.21</v>
      </c>
      <c r="AO47" s="101">
        <v>4.21</v>
      </c>
      <c r="AP47" s="102">
        <f t="shared" si="16"/>
        <v>0</v>
      </c>
      <c r="AQ47" s="101">
        <v>47</v>
      </c>
      <c r="AR47" s="105">
        <f t="shared" si="17"/>
        <v>-42.79</v>
      </c>
      <c r="AS47" s="191">
        <f>+ﾋﾞｱｶﾞｰﾃﾞﾝ!W46/1000</f>
        <v>0</v>
      </c>
      <c r="AT47" s="101">
        <v>4.21</v>
      </c>
      <c r="AU47" s="102">
        <f t="shared" si="18"/>
        <v>-4.21</v>
      </c>
      <c r="AV47" s="101">
        <v>0</v>
      </c>
      <c r="AW47" s="103">
        <f t="shared" si="19"/>
        <v>0</v>
      </c>
      <c r="AX47" s="100">
        <f t="shared" si="20"/>
        <v>4.21</v>
      </c>
      <c r="AY47" s="101">
        <f t="shared" si="42"/>
        <v>8.42</v>
      </c>
      <c r="AZ47" s="102">
        <f t="shared" si="22"/>
        <v>-4.21</v>
      </c>
      <c r="BA47" s="101">
        <f t="shared" si="23"/>
        <v>47</v>
      </c>
      <c r="BB47" s="103">
        <f t="shared" si="24"/>
        <v>-42.79</v>
      </c>
      <c r="BC47" s="100">
        <f>+赤れんが!X47/1000</f>
        <v>16.712</v>
      </c>
      <c r="BD47" s="191">
        <f>+赤れんが!Z47/1000</f>
        <v>16.712</v>
      </c>
      <c r="BE47" s="100">
        <f t="shared" si="25"/>
        <v>33.423999999999999</v>
      </c>
      <c r="BF47" s="100">
        <f>+料飲共通!W46/1000</f>
        <v>0</v>
      </c>
      <c r="BG47" s="101">
        <v>0</v>
      </c>
      <c r="BH47" s="102">
        <f t="shared" si="26"/>
        <v>0</v>
      </c>
      <c r="BI47" s="101">
        <v>0</v>
      </c>
      <c r="BJ47" s="103">
        <f t="shared" si="27"/>
        <v>0</v>
      </c>
      <c r="BK47" s="100">
        <f t="shared" si="28"/>
        <v>91.981999999999999</v>
      </c>
      <c r="BL47" s="101">
        <f t="shared" si="29"/>
        <v>80.978000000000009</v>
      </c>
      <c r="BM47" s="102">
        <f t="shared" si="0"/>
        <v>11.003999999999991</v>
      </c>
      <c r="BN47" s="101">
        <f t="shared" si="30"/>
        <v>122</v>
      </c>
      <c r="BO47" s="103">
        <f t="shared" si="31"/>
        <v>-30.018000000000001</v>
      </c>
      <c r="BP47" s="100">
        <f t="shared" si="32"/>
        <v>58.558</v>
      </c>
      <c r="BQ47" s="101">
        <f t="shared" si="33"/>
        <v>62.768000000000008</v>
      </c>
      <c r="BR47" s="102">
        <f t="shared" si="37"/>
        <v>-4.210000000000008</v>
      </c>
      <c r="BS47" s="101">
        <f t="shared" si="34"/>
        <v>100</v>
      </c>
      <c r="BT47" s="103">
        <f t="shared" si="35"/>
        <v>-41.442</v>
      </c>
    </row>
    <row r="48" spans="1:72" s="88" customFormat="1" ht="22" hidden="1" customHeight="1" outlineLevel="1">
      <c r="A48" s="132"/>
      <c r="B48" s="125"/>
      <c r="C48" s="99" t="s">
        <v>85</v>
      </c>
      <c r="D48" s="99"/>
      <c r="E48" s="100">
        <f>+ﾇｰﾍﾞﾙﾌﾟｰｽ!W47/1000</f>
        <v>0</v>
      </c>
      <c r="F48" s="101">
        <v>0</v>
      </c>
      <c r="G48" s="102">
        <f t="shared" si="1"/>
        <v>0</v>
      </c>
      <c r="H48" s="101">
        <v>0</v>
      </c>
      <c r="I48" s="105">
        <f t="shared" si="2"/>
        <v>0</v>
      </c>
      <c r="J48" s="191">
        <f>+ｶﾌｪﾙﾎﾟ!W47/1000</f>
        <v>0</v>
      </c>
      <c r="K48" s="101">
        <v>0</v>
      </c>
      <c r="L48" s="102">
        <f t="shared" si="3"/>
        <v>0</v>
      </c>
      <c r="M48" s="101">
        <v>0</v>
      </c>
      <c r="N48" s="192">
        <f t="shared" si="4"/>
        <v>0</v>
      </c>
      <c r="O48" s="104">
        <f>+ｶﾌｪｾﾚｽﾃ!W47/1000</f>
        <v>0</v>
      </c>
      <c r="P48" s="101">
        <v>0</v>
      </c>
      <c r="Q48" s="102">
        <f t="shared" si="5"/>
        <v>0</v>
      </c>
      <c r="R48" s="101">
        <v>0</v>
      </c>
      <c r="S48" s="105">
        <f t="shared" si="6"/>
        <v>0</v>
      </c>
      <c r="T48" s="100">
        <f t="shared" si="7"/>
        <v>0</v>
      </c>
      <c r="U48" s="101">
        <f t="shared" si="8"/>
        <v>0</v>
      </c>
      <c r="V48" s="102">
        <f t="shared" si="9"/>
        <v>0</v>
      </c>
      <c r="W48" s="101">
        <f t="shared" si="10"/>
        <v>0</v>
      </c>
      <c r="X48" s="103">
        <f t="shared" si="11"/>
        <v>0</v>
      </c>
      <c r="Y48" s="104">
        <v>0</v>
      </c>
      <c r="Z48" s="101">
        <v>0</v>
      </c>
      <c r="AA48" s="102">
        <f t="shared" si="12"/>
        <v>0</v>
      </c>
      <c r="AB48" s="101">
        <v>0</v>
      </c>
      <c r="AC48" s="192">
        <f t="shared" si="13"/>
        <v>0</v>
      </c>
      <c r="AD48" s="104">
        <f>+ｼﾞｭｴﾙｽﾞ!W47/1000</f>
        <v>3.508</v>
      </c>
      <c r="AE48" s="101">
        <v>3.508</v>
      </c>
      <c r="AF48" s="102">
        <f t="shared" si="14"/>
        <v>0</v>
      </c>
      <c r="AG48" s="101">
        <v>3</v>
      </c>
      <c r="AH48" s="103">
        <f t="shared" si="15"/>
        <v>0.50800000000000001</v>
      </c>
      <c r="AI48" s="100">
        <f t="shared" si="36"/>
        <v>3.508</v>
      </c>
      <c r="AJ48" s="101">
        <f t="shared" si="38"/>
        <v>3.508</v>
      </c>
      <c r="AK48" s="102">
        <f t="shared" si="39"/>
        <v>0</v>
      </c>
      <c r="AL48" s="101">
        <f t="shared" si="40"/>
        <v>3</v>
      </c>
      <c r="AM48" s="103">
        <f t="shared" si="41"/>
        <v>0.50800000000000001</v>
      </c>
      <c r="AN48" s="100">
        <f>+ｶﾞｰﾃﾞﾝ!W47/1000</f>
        <v>0</v>
      </c>
      <c r="AO48" s="101">
        <v>0</v>
      </c>
      <c r="AP48" s="102">
        <f t="shared" si="16"/>
        <v>0</v>
      </c>
      <c r="AQ48" s="101">
        <v>37</v>
      </c>
      <c r="AR48" s="105">
        <f t="shared" si="17"/>
        <v>-37</v>
      </c>
      <c r="AS48" s="191">
        <f>+ﾋﾞｱｶﾞｰﾃﾞﾝ!W47/1000</f>
        <v>0</v>
      </c>
      <c r="AT48" s="101">
        <v>0</v>
      </c>
      <c r="AU48" s="102">
        <f t="shared" si="18"/>
        <v>0</v>
      </c>
      <c r="AV48" s="101">
        <v>0</v>
      </c>
      <c r="AW48" s="103">
        <f t="shared" si="19"/>
        <v>0</v>
      </c>
      <c r="AX48" s="100">
        <f t="shared" si="20"/>
        <v>0</v>
      </c>
      <c r="AY48" s="101">
        <f t="shared" si="42"/>
        <v>0</v>
      </c>
      <c r="AZ48" s="102">
        <f t="shared" si="22"/>
        <v>0</v>
      </c>
      <c r="BA48" s="101">
        <f t="shared" si="23"/>
        <v>37</v>
      </c>
      <c r="BB48" s="103">
        <f t="shared" si="24"/>
        <v>-37</v>
      </c>
      <c r="BC48" s="100">
        <f>+料飲共通!H47/1000</f>
        <v>0</v>
      </c>
      <c r="BD48" s="191">
        <f>+料飲共通!I47/1000</f>
        <v>0</v>
      </c>
      <c r="BE48" s="100">
        <f t="shared" si="25"/>
        <v>0</v>
      </c>
      <c r="BF48" s="100">
        <f>+料飲共通!W47/1000</f>
        <v>0</v>
      </c>
      <c r="BG48" s="101">
        <v>0</v>
      </c>
      <c r="BH48" s="102">
        <f t="shared" si="26"/>
        <v>0</v>
      </c>
      <c r="BI48" s="101">
        <v>0</v>
      </c>
      <c r="BJ48" s="103">
        <f t="shared" si="27"/>
        <v>0</v>
      </c>
      <c r="BK48" s="100">
        <f t="shared" si="28"/>
        <v>3.508</v>
      </c>
      <c r="BL48" s="101">
        <f t="shared" si="29"/>
        <v>3.508</v>
      </c>
      <c r="BM48" s="102">
        <f t="shared" si="0"/>
        <v>0</v>
      </c>
      <c r="BN48" s="101">
        <f t="shared" si="30"/>
        <v>40</v>
      </c>
      <c r="BO48" s="103">
        <f t="shared" si="31"/>
        <v>-36.491999999999997</v>
      </c>
      <c r="BP48" s="100">
        <f t="shared" si="32"/>
        <v>3.508</v>
      </c>
      <c r="BQ48" s="101">
        <f t="shared" si="33"/>
        <v>3.508</v>
      </c>
      <c r="BR48" s="102">
        <f t="shared" si="37"/>
        <v>0</v>
      </c>
      <c r="BS48" s="101">
        <f t="shared" si="34"/>
        <v>40</v>
      </c>
      <c r="BT48" s="103">
        <f t="shared" si="35"/>
        <v>-36.491999999999997</v>
      </c>
    </row>
    <row r="49" spans="1:72" s="88" customFormat="1" ht="22" hidden="1" customHeight="1" outlineLevel="1">
      <c r="A49" s="132"/>
      <c r="B49" s="125"/>
      <c r="C49" s="99" t="s">
        <v>87</v>
      </c>
      <c r="D49" s="99"/>
      <c r="E49" s="100">
        <f>+ﾇｰﾍﾞﾙﾌﾟｰｽ!W48/1000</f>
        <v>34</v>
      </c>
      <c r="F49" s="101">
        <v>34</v>
      </c>
      <c r="G49" s="102">
        <f t="shared" si="1"/>
        <v>0</v>
      </c>
      <c r="H49" s="101">
        <v>34</v>
      </c>
      <c r="I49" s="105">
        <f t="shared" si="2"/>
        <v>0</v>
      </c>
      <c r="J49" s="191">
        <f>+ｶﾌｪﾙﾎﾟ!W48/1000</f>
        <v>4.21</v>
      </c>
      <c r="K49" s="101">
        <v>0</v>
      </c>
      <c r="L49" s="102">
        <f t="shared" si="3"/>
        <v>4.21</v>
      </c>
      <c r="M49" s="101">
        <v>0</v>
      </c>
      <c r="N49" s="192">
        <f t="shared" si="4"/>
        <v>4.21</v>
      </c>
      <c r="O49" s="104">
        <f>+ｶﾌｪｾﾚｽﾃ!W48/1000</f>
        <v>0</v>
      </c>
      <c r="P49" s="101">
        <v>0</v>
      </c>
      <c r="Q49" s="102">
        <f t="shared" si="5"/>
        <v>0</v>
      </c>
      <c r="R49" s="101">
        <v>0</v>
      </c>
      <c r="S49" s="105">
        <f t="shared" si="6"/>
        <v>0</v>
      </c>
      <c r="T49" s="100">
        <f t="shared" si="7"/>
        <v>38.21</v>
      </c>
      <c r="U49" s="101">
        <f t="shared" si="8"/>
        <v>34</v>
      </c>
      <c r="V49" s="102">
        <f t="shared" si="9"/>
        <v>4.2100000000000009</v>
      </c>
      <c r="W49" s="101">
        <f t="shared" si="10"/>
        <v>34</v>
      </c>
      <c r="X49" s="103">
        <f t="shared" si="11"/>
        <v>4.2100000000000009</v>
      </c>
      <c r="Y49" s="104">
        <v>0</v>
      </c>
      <c r="Z49" s="101">
        <v>14</v>
      </c>
      <c r="AA49" s="102">
        <f t="shared" si="12"/>
        <v>-14</v>
      </c>
      <c r="AB49" s="101">
        <v>22</v>
      </c>
      <c r="AC49" s="192">
        <f t="shared" si="13"/>
        <v>-22</v>
      </c>
      <c r="AD49" s="104">
        <f>+ｼﾞｭｴﾙｽﾞ!W48/1000</f>
        <v>0</v>
      </c>
      <c r="AE49" s="101">
        <v>0</v>
      </c>
      <c r="AF49" s="102">
        <f t="shared" si="14"/>
        <v>0</v>
      </c>
      <c r="AG49" s="101">
        <v>0</v>
      </c>
      <c r="AH49" s="103">
        <f t="shared" si="15"/>
        <v>0</v>
      </c>
      <c r="AI49" s="100">
        <f t="shared" si="36"/>
        <v>0</v>
      </c>
      <c r="AJ49" s="101">
        <f t="shared" si="38"/>
        <v>14</v>
      </c>
      <c r="AK49" s="102">
        <f t="shared" si="39"/>
        <v>-14</v>
      </c>
      <c r="AL49" s="101">
        <f t="shared" si="40"/>
        <v>22</v>
      </c>
      <c r="AM49" s="103">
        <f t="shared" si="41"/>
        <v>-22</v>
      </c>
      <c r="AN49" s="100">
        <f>+ｶﾞｰﾃﾞﾝ!W48/1000</f>
        <v>0</v>
      </c>
      <c r="AO49" s="101">
        <v>0</v>
      </c>
      <c r="AP49" s="102">
        <f t="shared" si="16"/>
        <v>0</v>
      </c>
      <c r="AQ49" s="101">
        <v>0</v>
      </c>
      <c r="AR49" s="105">
        <f t="shared" si="17"/>
        <v>0</v>
      </c>
      <c r="AS49" s="191">
        <f>+ﾋﾞｱｶﾞｰﾃﾞﾝ!W48/1000</f>
        <v>0</v>
      </c>
      <c r="AT49" s="101">
        <v>0</v>
      </c>
      <c r="AU49" s="102">
        <f t="shared" si="18"/>
        <v>0</v>
      </c>
      <c r="AV49" s="101">
        <v>0</v>
      </c>
      <c r="AW49" s="103">
        <f t="shared" si="19"/>
        <v>0</v>
      </c>
      <c r="AX49" s="100">
        <f t="shared" si="20"/>
        <v>0</v>
      </c>
      <c r="AY49" s="101">
        <f t="shared" si="42"/>
        <v>0</v>
      </c>
      <c r="AZ49" s="102">
        <f t="shared" si="22"/>
        <v>0</v>
      </c>
      <c r="BA49" s="101">
        <f t="shared" si="23"/>
        <v>0</v>
      </c>
      <c r="BB49" s="103">
        <f t="shared" si="24"/>
        <v>0</v>
      </c>
      <c r="BC49" s="100">
        <f>+料飲共通!H48/1000</f>
        <v>0</v>
      </c>
      <c r="BD49" s="191">
        <f>+料飲共通!I48/1000</f>
        <v>0</v>
      </c>
      <c r="BE49" s="100">
        <f t="shared" si="25"/>
        <v>0</v>
      </c>
      <c r="BF49" s="100">
        <f>+料飲共通!W48/1000</f>
        <v>0</v>
      </c>
      <c r="BG49" s="101">
        <v>0</v>
      </c>
      <c r="BH49" s="102">
        <f t="shared" si="26"/>
        <v>0</v>
      </c>
      <c r="BI49" s="101">
        <v>0</v>
      </c>
      <c r="BJ49" s="103">
        <f t="shared" si="27"/>
        <v>0</v>
      </c>
      <c r="BK49" s="100">
        <f t="shared" si="28"/>
        <v>38.21</v>
      </c>
      <c r="BL49" s="101">
        <f t="shared" si="29"/>
        <v>48</v>
      </c>
      <c r="BM49" s="102">
        <f t="shared" si="0"/>
        <v>-9.7899999999999991</v>
      </c>
      <c r="BN49" s="101">
        <f t="shared" si="30"/>
        <v>56</v>
      </c>
      <c r="BO49" s="103">
        <f t="shared" si="31"/>
        <v>-17.79</v>
      </c>
      <c r="BP49" s="100">
        <f t="shared" si="32"/>
        <v>38.21</v>
      </c>
      <c r="BQ49" s="101">
        <f t="shared" si="33"/>
        <v>34</v>
      </c>
      <c r="BR49" s="102">
        <f t="shared" si="37"/>
        <v>4.2100000000000009</v>
      </c>
      <c r="BS49" s="101">
        <f t="shared" si="34"/>
        <v>34</v>
      </c>
      <c r="BT49" s="103">
        <f t="shared" si="35"/>
        <v>4.2100000000000009</v>
      </c>
    </row>
    <row r="50" spans="1:72" s="88" customFormat="1" ht="22" hidden="1" customHeight="1" outlineLevel="1">
      <c r="A50" s="132"/>
      <c r="B50" s="125"/>
      <c r="C50" s="99" t="s">
        <v>89</v>
      </c>
      <c r="D50" s="99"/>
      <c r="E50" s="100">
        <f>+ﾇｰﾍﾞﾙﾌﾟｰｽ!W49/1000</f>
        <v>4.21</v>
      </c>
      <c r="F50" s="101">
        <v>4.21</v>
      </c>
      <c r="G50" s="102">
        <f t="shared" si="1"/>
        <v>0</v>
      </c>
      <c r="H50" s="101">
        <v>6</v>
      </c>
      <c r="I50" s="105">
        <f t="shared" si="2"/>
        <v>-1.79</v>
      </c>
      <c r="J50" s="191">
        <f>+ｶﾌｪﾙﾎﾟ!W49/1000</f>
        <v>0</v>
      </c>
      <c r="K50" s="101">
        <v>4.21</v>
      </c>
      <c r="L50" s="102">
        <f t="shared" si="3"/>
        <v>-4.21</v>
      </c>
      <c r="M50" s="101">
        <v>0</v>
      </c>
      <c r="N50" s="192">
        <f t="shared" si="4"/>
        <v>0</v>
      </c>
      <c r="O50" s="104">
        <f>+ｶﾌｪｾﾚｽﾃ!W49/1000</f>
        <v>4.21</v>
      </c>
      <c r="P50" s="101">
        <v>4.21</v>
      </c>
      <c r="Q50" s="102">
        <f t="shared" si="5"/>
        <v>0</v>
      </c>
      <c r="R50" s="101">
        <v>0</v>
      </c>
      <c r="S50" s="105">
        <f t="shared" si="6"/>
        <v>4.21</v>
      </c>
      <c r="T50" s="100">
        <f t="shared" si="7"/>
        <v>8.42</v>
      </c>
      <c r="U50" s="101">
        <f t="shared" si="8"/>
        <v>12.629999999999999</v>
      </c>
      <c r="V50" s="102">
        <f t="shared" si="9"/>
        <v>-4.2099999999999991</v>
      </c>
      <c r="W50" s="101">
        <f t="shared" si="10"/>
        <v>6</v>
      </c>
      <c r="X50" s="103">
        <f t="shared" si="11"/>
        <v>2.42</v>
      </c>
      <c r="Y50" s="104">
        <v>0</v>
      </c>
      <c r="Z50" s="101">
        <v>4.21</v>
      </c>
      <c r="AA50" s="102">
        <f t="shared" si="12"/>
        <v>-4.21</v>
      </c>
      <c r="AB50" s="101">
        <v>0</v>
      </c>
      <c r="AC50" s="192">
        <f t="shared" si="13"/>
        <v>0</v>
      </c>
      <c r="AD50" s="104">
        <f>+ｼﾞｭｴﾙｽﾞ!W49/1000</f>
        <v>4.21</v>
      </c>
      <c r="AE50" s="101">
        <v>4.21</v>
      </c>
      <c r="AF50" s="102">
        <f t="shared" si="14"/>
        <v>0</v>
      </c>
      <c r="AG50" s="101">
        <v>10</v>
      </c>
      <c r="AH50" s="103">
        <f t="shared" si="15"/>
        <v>-5.79</v>
      </c>
      <c r="AI50" s="100">
        <f t="shared" si="36"/>
        <v>4.21</v>
      </c>
      <c r="AJ50" s="101">
        <f t="shared" si="38"/>
        <v>8.42</v>
      </c>
      <c r="AK50" s="102">
        <f t="shared" si="39"/>
        <v>-4.21</v>
      </c>
      <c r="AL50" s="101">
        <f t="shared" si="40"/>
        <v>10</v>
      </c>
      <c r="AM50" s="103">
        <f t="shared" si="41"/>
        <v>-5.79</v>
      </c>
      <c r="AN50" s="100">
        <f>+ｶﾞｰﾃﾞﾝ!W49/1000</f>
        <v>4.21</v>
      </c>
      <c r="AO50" s="101">
        <v>4.21</v>
      </c>
      <c r="AP50" s="102">
        <f t="shared" si="16"/>
        <v>0</v>
      </c>
      <c r="AQ50" s="101">
        <v>10</v>
      </c>
      <c r="AR50" s="105">
        <f t="shared" si="17"/>
        <v>-5.79</v>
      </c>
      <c r="AS50" s="191">
        <f>+ﾋﾞｱｶﾞｰﾃﾞﾝ!W49/1000</f>
        <v>0</v>
      </c>
      <c r="AT50" s="101">
        <v>4.21</v>
      </c>
      <c r="AU50" s="102">
        <f t="shared" si="18"/>
        <v>-4.21</v>
      </c>
      <c r="AV50" s="101">
        <v>0</v>
      </c>
      <c r="AW50" s="103">
        <f t="shared" si="19"/>
        <v>0</v>
      </c>
      <c r="AX50" s="100">
        <f t="shared" si="20"/>
        <v>4.21</v>
      </c>
      <c r="AY50" s="101">
        <f t="shared" si="42"/>
        <v>8.42</v>
      </c>
      <c r="AZ50" s="102">
        <f t="shared" si="22"/>
        <v>-4.21</v>
      </c>
      <c r="BA50" s="101">
        <f t="shared" si="23"/>
        <v>10</v>
      </c>
      <c r="BB50" s="103">
        <f t="shared" si="24"/>
        <v>-5.79</v>
      </c>
      <c r="BC50" s="100">
        <f>+料飲共通!H49/1000</f>
        <v>0</v>
      </c>
      <c r="BD50" s="191">
        <f>+料飲共通!I49/1000</f>
        <v>0</v>
      </c>
      <c r="BE50" s="100">
        <f t="shared" si="25"/>
        <v>0</v>
      </c>
      <c r="BF50" s="100">
        <f>+料飲共通!W49/1000</f>
        <v>0</v>
      </c>
      <c r="BG50" s="101">
        <v>0</v>
      </c>
      <c r="BH50" s="102">
        <f t="shared" si="26"/>
        <v>0</v>
      </c>
      <c r="BI50" s="101">
        <v>0</v>
      </c>
      <c r="BJ50" s="103">
        <f t="shared" si="27"/>
        <v>0</v>
      </c>
      <c r="BK50" s="100">
        <f t="shared" si="28"/>
        <v>16.84</v>
      </c>
      <c r="BL50" s="101">
        <f t="shared" si="29"/>
        <v>29.47</v>
      </c>
      <c r="BM50" s="102">
        <f t="shared" si="0"/>
        <v>-12.629999999999999</v>
      </c>
      <c r="BN50" s="101">
        <f t="shared" si="30"/>
        <v>26</v>
      </c>
      <c r="BO50" s="103">
        <f t="shared" si="31"/>
        <v>-9.16</v>
      </c>
      <c r="BP50" s="100">
        <f t="shared" si="32"/>
        <v>16.84</v>
      </c>
      <c r="BQ50" s="101">
        <f t="shared" si="33"/>
        <v>25.259999999999998</v>
      </c>
      <c r="BR50" s="102">
        <f t="shared" si="37"/>
        <v>-8.4199999999999982</v>
      </c>
      <c r="BS50" s="101">
        <f t="shared" si="34"/>
        <v>26</v>
      </c>
      <c r="BT50" s="103">
        <f t="shared" si="35"/>
        <v>-9.16</v>
      </c>
    </row>
    <row r="51" spans="1:72" s="88" customFormat="1" ht="22" customHeight="1" collapsed="1">
      <c r="A51" s="132"/>
      <c r="B51" s="98" t="s">
        <v>91</v>
      </c>
      <c r="C51" s="99"/>
      <c r="D51" s="99"/>
      <c r="E51" s="100">
        <f>+ﾇｰﾍﾞﾙﾌﾟｰｽ!W50/1000</f>
        <v>0</v>
      </c>
      <c r="F51" s="101">
        <v>450</v>
      </c>
      <c r="G51" s="102">
        <f t="shared" si="1"/>
        <v>-450</v>
      </c>
      <c r="H51" s="101">
        <v>900</v>
      </c>
      <c r="I51" s="105">
        <f t="shared" si="2"/>
        <v>-900</v>
      </c>
      <c r="J51" s="191">
        <f>+ｶﾌｪﾙﾎﾟ!W50/1000</f>
        <v>0</v>
      </c>
      <c r="K51" s="101">
        <v>0</v>
      </c>
      <c r="L51" s="102">
        <f t="shared" si="3"/>
        <v>0</v>
      </c>
      <c r="M51" s="101">
        <v>97</v>
      </c>
      <c r="N51" s="192">
        <f t="shared" si="4"/>
        <v>-97</v>
      </c>
      <c r="O51" s="104">
        <f>+ｶﾌｪｾﾚｽﾃ!W50/1000</f>
        <v>0</v>
      </c>
      <c r="P51" s="101">
        <v>0</v>
      </c>
      <c r="Q51" s="102">
        <f t="shared" si="5"/>
        <v>0</v>
      </c>
      <c r="R51" s="101">
        <v>0</v>
      </c>
      <c r="S51" s="105">
        <f t="shared" si="6"/>
        <v>0</v>
      </c>
      <c r="T51" s="100">
        <f t="shared" si="7"/>
        <v>0</v>
      </c>
      <c r="U51" s="101">
        <f t="shared" si="8"/>
        <v>450</v>
      </c>
      <c r="V51" s="102">
        <f t="shared" si="9"/>
        <v>-450</v>
      </c>
      <c r="W51" s="101">
        <f t="shared" si="10"/>
        <v>997</v>
      </c>
      <c r="X51" s="103">
        <f t="shared" si="11"/>
        <v>-997</v>
      </c>
      <c r="Y51" s="104">
        <v>0</v>
      </c>
      <c r="Z51" s="101">
        <v>0</v>
      </c>
      <c r="AA51" s="102">
        <f t="shared" si="12"/>
        <v>0</v>
      </c>
      <c r="AB51" s="101">
        <v>540</v>
      </c>
      <c r="AC51" s="192">
        <f t="shared" si="13"/>
        <v>-540</v>
      </c>
      <c r="AD51" s="104">
        <f>+ｼﾞｭｴﾙｽﾞ!W50/1000</f>
        <v>0</v>
      </c>
      <c r="AE51" s="101">
        <v>848.03</v>
      </c>
      <c r="AF51" s="102">
        <f t="shared" si="14"/>
        <v>-848.03</v>
      </c>
      <c r="AG51" s="101">
        <v>600</v>
      </c>
      <c r="AH51" s="103">
        <f t="shared" si="15"/>
        <v>-600</v>
      </c>
      <c r="AI51" s="100">
        <f t="shared" si="36"/>
        <v>0</v>
      </c>
      <c r="AJ51" s="101">
        <f t="shared" si="38"/>
        <v>848.03</v>
      </c>
      <c r="AK51" s="102">
        <f t="shared" si="39"/>
        <v>-848.03</v>
      </c>
      <c r="AL51" s="101">
        <f t="shared" si="40"/>
        <v>1140</v>
      </c>
      <c r="AM51" s="103">
        <f t="shared" si="41"/>
        <v>-1140</v>
      </c>
      <c r="AN51" s="100">
        <f>+ｶﾞｰﾃﾞﾝ!W50/1000</f>
        <v>0</v>
      </c>
      <c r="AO51" s="101">
        <v>437.25</v>
      </c>
      <c r="AP51" s="102">
        <f t="shared" si="16"/>
        <v>-437.25</v>
      </c>
      <c r="AQ51" s="101">
        <v>960</v>
      </c>
      <c r="AR51" s="105">
        <f t="shared" si="17"/>
        <v>-960</v>
      </c>
      <c r="AS51" s="191">
        <f>+ﾋﾞｱｶﾞｰﾃﾞﾝ!W50/1000</f>
        <v>150</v>
      </c>
      <c r="AT51" s="101">
        <v>28</v>
      </c>
      <c r="AU51" s="102">
        <f t="shared" si="18"/>
        <v>122</v>
      </c>
      <c r="AV51" s="101">
        <v>50</v>
      </c>
      <c r="AW51" s="103">
        <f t="shared" si="19"/>
        <v>100</v>
      </c>
      <c r="AX51" s="100">
        <f t="shared" si="20"/>
        <v>150</v>
      </c>
      <c r="AY51" s="101">
        <f t="shared" si="42"/>
        <v>465.25</v>
      </c>
      <c r="AZ51" s="102">
        <f t="shared" si="22"/>
        <v>-315.25</v>
      </c>
      <c r="BA51" s="101">
        <f t="shared" si="23"/>
        <v>1010</v>
      </c>
      <c r="BB51" s="103">
        <f t="shared" si="24"/>
        <v>-860</v>
      </c>
      <c r="BC51" s="100">
        <f>+赤れんが!X51/1000</f>
        <v>0</v>
      </c>
      <c r="BD51" s="191">
        <f>+赤れんが!Z51/1000</f>
        <v>0</v>
      </c>
      <c r="BE51" s="100">
        <f t="shared" si="25"/>
        <v>0</v>
      </c>
      <c r="BF51" s="100">
        <f>+料飲共通!W50/1000</f>
        <v>0</v>
      </c>
      <c r="BG51" s="101">
        <v>0</v>
      </c>
      <c r="BH51" s="102">
        <f t="shared" si="26"/>
        <v>0</v>
      </c>
      <c r="BI51" s="101">
        <v>0</v>
      </c>
      <c r="BJ51" s="103">
        <f t="shared" si="27"/>
        <v>0</v>
      </c>
      <c r="BK51" s="100">
        <f t="shared" si="28"/>
        <v>150</v>
      </c>
      <c r="BL51" s="101">
        <f t="shared" si="29"/>
        <v>1763.28</v>
      </c>
      <c r="BM51" s="102">
        <f t="shared" si="0"/>
        <v>-1613.28</v>
      </c>
      <c r="BN51" s="101">
        <f t="shared" si="30"/>
        <v>3147</v>
      </c>
      <c r="BO51" s="103">
        <f t="shared" si="31"/>
        <v>-2997</v>
      </c>
      <c r="BP51" s="100">
        <f t="shared" si="32"/>
        <v>150</v>
      </c>
      <c r="BQ51" s="101">
        <f t="shared" si="33"/>
        <v>1763.28</v>
      </c>
      <c r="BR51" s="102">
        <f t="shared" si="37"/>
        <v>-1613.28</v>
      </c>
      <c r="BS51" s="101">
        <f t="shared" si="34"/>
        <v>2607</v>
      </c>
      <c r="BT51" s="103">
        <f t="shared" si="35"/>
        <v>-2457</v>
      </c>
    </row>
    <row r="52" spans="1:72" s="88" customFormat="1" ht="22" hidden="1" customHeight="1" outlineLevel="1">
      <c r="A52" s="132"/>
      <c r="B52" s="125"/>
      <c r="C52" s="99" t="s">
        <v>93</v>
      </c>
      <c r="D52" s="99"/>
      <c r="E52" s="100">
        <f>+ﾇｰﾍﾞﾙﾌﾟｰｽ!W51/1000</f>
        <v>0</v>
      </c>
      <c r="F52" s="101">
        <v>0</v>
      </c>
      <c r="G52" s="102">
        <f t="shared" si="1"/>
        <v>0</v>
      </c>
      <c r="H52" s="101">
        <v>0</v>
      </c>
      <c r="I52" s="105">
        <f t="shared" si="2"/>
        <v>0</v>
      </c>
      <c r="J52" s="191">
        <f>+ｶﾌｪﾙﾎﾟ!W51/1000</f>
        <v>0</v>
      </c>
      <c r="K52" s="101">
        <v>0</v>
      </c>
      <c r="L52" s="102">
        <f t="shared" si="3"/>
        <v>0</v>
      </c>
      <c r="M52" s="101">
        <v>0</v>
      </c>
      <c r="N52" s="192">
        <f t="shared" si="4"/>
        <v>0</v>
      </c>
      <c r="O52" s="104">
        <f>+ｶﾌｪｾﾚｽﾃ!W51/1000</f>
        <v>0</v>
      </c>
      <c r="P52" s="101">
        <v>0</v>
      </c>
      <c r="Q52" s="102">
        <f t="shared" si="5"/>
        <v>0</v>
      </c>
      <c r="R52" s="101">
        <v>0</v>
      </c>
      <c r="S52" s="105">
        <f t="shared" si="6"/>
        <v>0</v>
      </c>
      <c r="T52" s="100">
        <f t="shared" si="7"/>
        <v>0</v>
      </c>
      <c r="U52" s="101">
        <f t="shared" si="8"/>
        <v>0</v>
      </c>
      <c r="V52" s="102">
        <f t="shared" si="9"/>
        <v>0</v>
      </c>
      <c r="W52" s="101">
        <f t="shared" si="10"/>
        <v>0</v>
      </c>
      <c r="X52" s="103">
        <f t="shared" si="11"/>
        <v>0</v>
      </c>
      <c r="Y52" s="104">
        <v>0</v>
      </c>
      <c r="Z52" s="101">
        <v>0</v>
      </c>
      <c r="AA52" s="102">
        <f t="shared" si="12"/>
        <v>0</v>
      </c>
      <c r="AB52" s="101">
        <v>0</v>
      </c>
      <c r="AC52" s="192">
        <f t="shared" si="13"/>
        <v>0</v>
      </c>
      <c r="AD52" s="104">
        <f>+ｼﾞｭｴﾙｽﾞ!W51/1000</f>
        <v>0</v>
      </c>
      <c r="AE52" s="101">
        <v>0</v>
      </c>
      <c r="AF52" s="102">
        <f t="shared" si="14"/>
        <v>0</v>
      </c>
      <c r="AG52" s="101">
        <v>0</v>
      </c>
      <c r="AH52" s="103">
        <f t="shared" si="15"/>
        <v>0</v>
      </c>
      <c r="AI52" s="100">
        <f t="shared" si="36"/>
        <v>0</v>
      </c>
      <c r="AJ52" s="101">
        <f t="shared" si="38"/>
        <v>0</v>
      </c>
      <c r="AK52" s="102">
        <f t="shared" si="39"/>
        <v>0</v>
      </c>
      <c r="AL52" s="101">
        <f t="shared" si="40"/>
        <v>0</v>
      </c>
      <c r="AM52" s="103">
        <f t="shared" si="41"/>
        <v>0</v>
      </c>
      <c r="AN52" s="100">
        <f>+ｶﾞｰﾃﾞﾝ!W51/1000</f>
        <v>0</v>
      </c>
      <c r="AO52" s="101">
        <v>0</v>
      </c>
      <c r="AP52" s="102">
        <f t="shared" si="16"/>
        <v>0</v>
      </c>
      <c r="AQ52" s="101">
        <v>0</v>
      </c>
      <c r="AR52" s="105">
        <f t="shared" si="17"/>
        <v>0</v>
      </c>
      <c r="AS52" s="191">
        <f>+ﾋﾞｱｶﾞｰﾃﾞﾝ!W51/1000</f>
        <v>0</v>
      </c>
      <c r="AT52" s="101">
        <v>0</v>
      </c>
      <c r="AU52" s="102">
        <f t="shared" si="18"/>
        <v>0</v>
      </c>
      <c r="AV52" s="101">
        <v>0</v>
      </c>
      <c r="AW52" s="103">
        <f t="shared" si="19"/>
        <v>0</v>
      </c>
      <c r="AX52" s="100">
        <f t="shared" si="20"/>
        <v>0</v>
      </c>
      <c r="AY52" s="101">
        <f t="shared" si="42"/>
        <v>0</v>
      </c>
      <c r="AZ52" s="102">
        <f t="shared" si="22"/>
        <v>0</v>
      </c>
      <c r="BA52" s="101">
        <f t="shared" si="23"/>
        <v>0</v>
      </c>
      <c r="BB52" s="103">
        <f t="shared" si="24"/>
        <v>0</v>
      </c>
      <c r="BC52" s="100">
        <f>+料飲共通!H51/1000</f>
        <v>0</v>
      </c>
      <c r="BD52" s="191">
        <f>+料飲共通!I51/1000</f>
        <v>0</v>
      </c>
      <c r="BE52" s="100">
        <f t="shared" si="25"/>
        <v>0</v>
      </c>
      <c r="BF52" s="100">
        <f>+料飲共通!W51/1000</f>
        <v>0</v>
      </c>
      <c r="BG52" s="101">
        <v>0</v>
      </c>
      <c r="BH52" s="102">
        <f t="shared" si="26"/>
        <v>0</v>
      </c>
      <c r="BI52" s="101">
        <v>0</v>
      </c>
      <c r="BJ52" s="103">
        <f t="shared" si="27"/>
        <v>0</v>
      </c>
      <c r="BK52" s="100">
        <f t="shared" si="28"/>
        <v>0</v>
      </c>
      <c r="BL52" s="101">
        <f t="shared" si="29"/>
        <v>0</v>
      </c>
      <c r="BM52" s="102">
        <f t="shared" si="0"/>
        <v>0</v>
      </c>
      <c r="BN52" s="101">
        <f t="shared" si="30"/>
        <v>0</v>
      </c>
      <c r="BO52" s="103">
        <f t="shared" si="31"/>
        <v>0</v>
      </c>
      <c r="BP52" s="100">
        <f t="shared" si="32"/>
        <v>0</v>
      </c>
      <c r="BQ52" s="101">
        <f t="shared" si="33"/>
        <v>0</v>
      </c>
      <c r="BR52" s="102">
        <f t="shared" si="37"/>
        <v>0</v>
      </c>
      <c r="BS52" s="101">
        <f t="shared" si="34"/>
        <v>0</v>
      </c>
      <c r="BT52" s="103">
        <f t="shared" si="35"/>
        <v>0</v>
      </c>
    </row>
    <row r="53" spans="1:72" s="88" customFormat="1" ht="22" hidden="1" customHeight="1" outlineLevel="1">
      <c r="A53" s="132"/>
      <c r="B53" s="125"/>
      <c r="C53" s="99" t="s">
        <v>95</v>
      </c>
      <c r="D53" s="99"/>
      <c r="E53" s="100">
        <f>+ﾇｰﾍﾞﾙﾌﾟｰｽ!W52/1000</f>
        <v>0</v>
      </c>
      <c r="F53" s="101">
        <v>0</v>
      </c>
      <c r="G53" s="102">
        <f t="shared" si="1"/>
        <v>0</v>
      </c>
      <c r="H53" s="101">
        <v>0</v>
      </c>
      <c r="I53" s="105">
        <f t="shared" si="2"/>
        <v>0</v>
      </c>
      <c r="J53" s="191">
        <f>+ｶﾌｪﾙﾎﾟ!W52/1000</f>
        <v>0</v>
      </c>
      <c r="K53" s="101">
        <v>0</v>
      </c>
      <c r="L53" s="102">
        <f t="shared" si="3"/>
        <v>0</v>
      </c>
      <c r="M53" s="101">
        <v>0</v>
      </c>
      <c r="N53" s="192">
        <f t="shared" si="4"/>
        <v>0</v>
      </c>
      <c r="O53" s="104">
        <f>+ｶﾌｪｾﾚｽﾃ!W52/1000</f>
        <v>0</v>
      </c>
      <c r="P53" s="101">
        <v>0</v>
      </c>
      <c r="Q53" s="102">
        <f t="shared" si="5"/>
        <v>0</v>
      </c>
      <c r="R53" s="101">
        <v>0</v>
      </c>
      <c r="S53" s="105">
        <f t="shared" si="6"/>
        <v>0</v>
      </c>
      <c r="T53" s="100">
        <f t="shared" si="7"/>
        <v>0</v>
      </c>
      <c r="U53" s="101">
        <f t="shared" si="8"/>
        <v>0</v>
      </c>
      <c r="V53" s="102">
        <f t="shared" si="9"/>
        <v>0</v>
      </c>
      <c r="W53" s="101">
        <f t="shared" si="10"/>
        <v>0</v>
      </c>
      <c r="X53" s="103">
        <f t="shared" si="11"/>
        <v>0</v>
      </c>
      <c r="Y53" s="104">
        <v>0</v>
      </c>
      <c r="Z53" s="101">
        <v>0</v>
      </c>
      <c r="AA53" s="102">
        <f t="shared" si="12"/>
        <v>0</v>
      </c>
      <c r="AB53" s="101">
        <v>0</v>
      </c>
      <c r="AC53" s="192">
        <f t="shared" si="13"/>
        <v>0</v>
      </c>
      <c r="AD53" s="104">
        <f>+ｼﾞｭｴﾙｽﾞ!W52/1000</f>
        <v>0</v>
      </c>
      <c r="AE53" s="101">
        <v>250</v>
      </c>
      <c r="AF53" s="102">
        <f t="shared" si="14"/>
        <v>-250</v>
      </c>
      <c r="AG53" s="101">
        <v>500</v>
      </c>
      <c r="AH53" s="103">
        <f t="shared" si="15"/>
        <v>-500</v>
      </c>
      <c r="AI53" s="100">
        <f t="shared" si="36"/>
        <v>0</v>
      </c>
      <c r="AJ53" s="101">
        <f t="shared" si="38"/>
        <v>250</v>
      </c>
      <c r="AK53" s="102">
        <f t="shared" si="39"/>
        <v>-250</v>
      </c>
      <c r="AL53" s="101">
        <f t="shared" si="40"/>
        <v>500</v>
      </c>
      <c r="AM53" s="103">
        <f t="shared" si="41"/>
        <v>-500</v>
      </c>
      <c r="AN53" s="100">
        <f>+ｶﾞｰﾃﾞﾝ!W52/1000</f>
        <v>0</v>
      </c>
      <c r="AO53" s="101">
        <v>0</v>
      </c>
      <c r="AP53" s="102">
        <f t="shared" si="16"/>
        <v>0</v>
      </c>
      <c r="AQ53" s="101">
        <v>860</v>
      </c>
      <c r="AR53" s="105">
        <f t="shared" si="17"/>
        <v>-860</v>
      </c>
      <c r="AS53" s="191">
        <f>+ﾋﾞｱｶﾞｰﾃﾞﾝ!W52/1000</f>
        <v>0</v>
      </c>
      <c r="AT53" s="101">
        <v>0</v>
      </c>
      <c r="AU53" s="102">
        <f t="shared" si="18"/>
        <v>0</v>
      </c>
      <c r="AV53" s="101">
        <v>0</v>
      </c>
      <c r="AW53" s="103">
        <f t="shared" si="19"/>
        <v>0</v>
      </c>
      <c r="AX53" s="100">
        <f t="shared" si="20"/>
        <v>0</v>
      </c>
      <c r="AY53" s="101">
        <f t="shared" si="42"/>
        <v>0</v>
      </c>
      <c r="AZ53" s="102">
        <f t="shared" si="22"/>
        <v>0</v>
      </c>
      <c r="BA53" s="101">
        <f t="shared" si="23"/>
        <v>860</v>
      </c>
      <c r="BB53" s="103">
        <f t="shared" si="24"/>
        <v>-860</v>
      </c>
      <c r="BC53" s="100">
        <f>+料飲共通!H52/1000</f>
        <v>0</v>
      </c>
      <c r="BD53" s="191">
        <f>+料飲共通!I52/1000</f>
        <v>0</v>
      </c>
      <c r="BE53" s="100">
        <f t="shared" si="25"/>
        <v>0</v>
      </c>
      <c r="BF53" s="100">
        <f>+料飲共通!W52/1000</f>
        <v>0</v>
      </c>
      <c r="BG53" s="101">
        <v>0</v>
      </c>
      <c r="BH53" s="102">
        <f t="shared" si="26"/>
        <v>0</v>
      </c>
      <c r="BI53" s="101">
        <v>0</v>
      </c>
      <c r="BJ53" s="103">
        <f t="shared" si="27"/>
        <v>0</v>
      </c>
      <c r="BK53" s="100">
        <f t="shared" si="28"/>
        <v>0</v>
      </c>
      <c r="BL53" s="101">
        <f t="shared" si="29"/>
        <v>250</v>
      </c>
      <c r="BM53" s="102">
        <f t="shared" si="0"/>
        <v>-250</v>
      </c>
      <c r="BN53" s="101">
        <f t="shared" si="30"/>
        <v>1360</v>
      </c>
      <c r="BO53" s="103">
        <f t="shared" si="31"/>
        <v>-1360</v>
      </c>
      <c r="BP53" s="100">
        <f t="shared" si="32"/>
        <v>0</v>
      </c>
      <c r="BQ53" s="101">
        <f t="shared" si="33"/>
        <v>250</v>
      </c>
      <c r="BR53" s="102">
        <f t="shared" si="37"/>
        <v>-250</v>
      </c>
      <c r="BS53" s="101">
        <f t="shared" si="34"/>
        <v>1360</v>
      </c>
      <c r="BT53" s="103">
        <f t="shared" si="35"/>
        <v>-1360</v>
      </c>
    </row>
    <row r="54" spans="1:72" s="88" customFormat="1" ht="22" hidden="1" customHeight="1" outlineLevel="1">
      <c r="A54" s="132"/>
      <c r="B54" s="125"/>
      <c r="C54" s="99" t="s">
        <v>97</v>
      </c>
      <c r="D54" s="99"/>
      <c r="E54" s="100">
        <f>+ﾇｰﾍﾞﾙﾌﾟｰｽ!W53/1000</f>
        <v>0</v>
      </c>
      <c r="F54" s="101">
        <v>0</v>
      </c>
      <c r="G54" s="102">
        <f t="shared" si="1"/>
        <v>0</v>
      </c>
      <c r="H54" s="101">
        <v>0</v>
      </c>
      <c r="I54" s="105">
        <f t="shared" si="2"/>
        <v>0</v>
      </c>
      <c r="J54" s="191">
        <f>+ｶﾌｪﾙﾎﾟ!W53/1000</f>
        <v>0</v>
      </c>
      <c r="K54" s="101">
        <v>0</v>
      </c>
      <c r="L54" s="102">
        <f t="shared" si="3"/>
        <v>0</v>
      </c>
      <c r="M54" s="101">
        <v>0</v>
      </c>
      <c r="N54" s="192">
        <f t="shared" si="4"/>
        <v>0</v>
      </c>
      <c r="O54" s="104">
        <f>+ｶﾌｪｾﾚｽﾃ!W53/1000</f>
        <v>0</v>
      </c>
      <c r="P54" s="101">
        <v>0</v>
      </c>
      <c r="Q54" s="102">
        <f t="shared" si="5"/>
        <v>0</v>
      </c>
      <c r="R54" s="101">
        <v>0</v>
      </c>
      <c r="S54" s="105">
        <f t="shared" si="6"/>
        <v>0</v>
      </c>
      <c r="T54" s="100">
        <f t="shared" si="7"/>
        <v>0</v>
      </c>
      <c r="U54" s="101">
        <f t="shared" si="8"/>
        <v>0</v>
      </c>
      <c r="V54" s="102">
        <f t="shared" si="9"/>
        <v>0</v>
      </c>
      <c r="W54" s="101">
        <f t="shared" si="10"/>
        <v>0</v>
      </c>
      <c r="X54" s="103">
        <f t="shared" si="11"/>
        <v>0</v>
      </c>
      <c r="Y54" s="104">
        <v>0</v>
      </c>
      <c r="Z54" s="101">
        <v>0</v>
      </c>
      <c r="AA54" s="102">
        <f t="shared" si="12"/>
        <v>0</v>
      </c>
      <c r="AB54" s="101">
        <v>0</v>
      </c>
      <c r="AC54" s="192">
        <f t="shared" si="13"/>
        <v>0</v>
      </c>
      <c r="AD54" s="104">
        <f>+ｼﾞｭｴﾙｽﾞ!W53/1000</f>
        <v>0</v>
      </c>
      <c r="AE54" s="101">
        <v>0</v>
      </c>
      <c r="AF54" s="102">
        <f t="shared" si="14"/>
        <v>0</v>
      </c>
      <c r="AG54" s="101">
        <v>0</v>
      </c>
      <c r="AH54" s="103">
        <f t="shared" si="15"/>
        <v>0</v>
      </c>
      <c r="AI54" s="100">
        <f t="shared" si="36"/>
        <v>0</v>
      </c>
      <c r="AJ54" s="101">
        <f t="shared" si="38"/>
        <v>0</v>
      </c>
      <c r="AK54" s="102">
        <f t="shared" si="39"/>
        <v>0</v>
      </c>
      <c r="AL54" s="101">
        <f t="shared" si="40"/>
        <v>0</v>
      </c>
      <c r="AM54" s="103">
        <f t="shared" si="41"/>
        <v>0</v>
      </c>
      <c r="AN54" s="100">
        <f>+ｶﾞｰﾃﾞﾝ!W53/1000</f>
        <v>0</v>
      </c>
      <c r="AO54" s="101">
        <v>0</v>
      </c>
      <c r="AP54" s="102">
        <f t="shared" si="16"/>
        <v>0</v>
      </c>
      <c r="AQ54" s="101">
        <v>0</v>
      </c>
      <c r="AR54" s="105">
        <f t="shared" si="17"/>
        <v>0</v>
      </c>
      <c r="AS54" s="191">
        <f>+ﾋﾞｱｶﾞｰﾃﾞﾝ!W53/1000</f>
        <v>0</v>
      </c>
      <c r="AT54" s="101">
        <v>0</v>
      </c>
      <c r="AU54" s="102">
        <f t="shared" si="18"/>
        <v>0</v>
      </c>
      <c r="AV54" s="101">
        <v>0</v>
      </c>
      <c r="AW54" s="103">
        <f t="shared" si="19"/>
        <v>0</v>
      </c>
      <c r="AX54" s="100">
        <f t="shared" si="20"/>
        <v>0</v>
      </c>
      <c r="AY54" s="101">
        <f t="shared" si="42"/>
        <v>0</v>
      </c>
      <c r="AZ54" s="102">
        <f t="shared" si="22"/>
        <v>0</v>
      </c>
      <c r="BA54" s="101">
        <f t="shared" si="23"/>
        <v>0</v>
      </c>
      <c r="BB54" s="103">
        <f t="shared" si="24"/>
        <v>0</v>
      </c>
      <c r="BC54" s="100">
        <f>+料飲共通!H53/1000</f>
        <v>0</v>
      </c>
      <c r="BD54" s="191">
        <f>+料飲共通!I53/1000</f>
        <v>0</v>
      </c>
      <c r="BE54" s="100">
        <f t="shared" si="25"/>
        <v>0</v>
      </c>
      <c r="BF54" s="100">
        <f>+料飲共通!W53/1000</f>
        <v>0</v>
      </c>
      <c r="BG54" s="101">
        <v>0</v>
      </c>
      <c r="BH54" s="102">
        <f t="shared" si="26"/>
        <v>0</v>
      </c>
      <c r="BI54" s="101">
        <v>0</v>
      </c>
      <c r="BJ54" s="103">
        <f t="shared" si="27"/>
        <v>0</v>
      </c>
      <c r="BK54" s="100">
        <f t="shared" si="28"/>
        <v>0</v>
      </c>
      <c r="BL54" s="101">
        <f t="shared" si="29"/>
        <v>0</v>
      </c>
      <c r="BM54" s="102">
        <f t="shared" si="0"/>
        <v>0</v>
      </c>
      <c r="BN54" s="101">
        <f t="shared" si="30"/>
        <v>0</v>
      </c>
      <c r="BO54" s="103">
        <f t="shared" si="31"/>
        <v>0</v>
      </c>
      <c r="BP54" s="100">
        <f t="shared" si="32"/>
        <v>0</v>
      </c>
      <c r="BQ54" s="101">
        <f t="shared" si="33"/>
        <v>0</v>
      </c>
      <c r="BR54" s="102">
        <f t="shared" si="37"/>
        <v>0</v>
      </c>
      <c r="BS54" s="101">
        <f t="shared" si="34"/>
        <v>0</v>
      </c>
      <c r="BT54" s="103">
        <f t="shared" si="35"/>
        <v>0</v>
      </c>
    </row>
    <row r="55" spans="1:72" s="88" customFormat="1" ht="22" hidden="1" customHeight="1" outlineLevel="1">
      <c r="A55" s="132"/>
      <c r="B55" s="125"/>
      <c r="C55" s="99" t="s">
        <v>99</v>
      </c>
      <c r="D55" s="99"/>
      <c r="E55" s="100">
        <f>+ﾇｰﾍﾞﾙﾌﾟｰｽ!W54/1000</f>
        <v>0</v>
      </c>
      <c r="F55" s="101">
        <v>0</v>
      </c>
      <c r="G55" s="102">
        <f t="shared" si="1"/>
        <v>0</v>
      </c>
      <c r="H55" s="101">
        <v>0</v>
      </c>
      <c r="I55" s="105">
        <f t="shared" si="2"/>
        <v>0</v>
      </c>
      <c r="J55" s="191">
        <f>+ｶﾌｪﾙﾎﾟ!W54/1000</f>
        <v>0</v>
      </c>
      <c r="K55" s="101">
        <v>0</v>
      </c>
      <c r="L55" s="102">
        <f t="shared" si="3"/>
        <v>0</v>
      </c>
      <c r="M55" s="101">
        <v>0</v>
      </c>
      <c r="N55" s="192">
        <f t="shared" si="4"/>
        <v>0</v>
      </c>
      <c r="O55" s="104">
        <f>+ｶﾌｪｾﾚｽﾃ!W54/1000</f>
        <v>0</v>
      </c>
      <c r="P55" s="101">
        <v>0</v>
      </c>
      <c r="Q55" s="102">
        <f t="shared" si="5"/>
        <v>0</v>
      </c>
      <c r="R55" s="101">
        <v>0</v>
      </c>
      <c r="S55" s="105">
        <f t="shared" si="6"/>
        <v>0</v>
      </c>
      <c r="T55" s="100">
        <f t="shared" si="7"/>
        <v>0</v>
      </c>
      <c r="U55" s="101">
        <f t="shared" si="8"/>
        <v>0</v>
      </c>
      <c r="V55" s="102">
        <f t="shared" si="9"/>
        <v>0</v>
      </c>
      <c r="W55" s="101">
        <f t="shared" si="10"/>
        <v>0</v>
      </c>
      <c r="X55" s="103">
        <f t="shared" si="11"/>
        <v>0</v>
      </c>
      <c r="Y55" s="104">
        <v>0</v>
      </c>
      <c r="Z55" s="101">
        <v>0</v>
      </c>
      <c r="AA55" s="102">
        <f t="shared" si="12"/>
        <v>0</v>
      </c>
      <c r="AB55" s="101">
        <v>0</v>
      </c>
      <c r="AC55" s="192">
        <f t="shared" si="13"/>
        <v>0</v>
      </c>
      <c r="AD55" s="104">
        <f>+ｼﾞｭｴﾙｽﾞ!W54/1000</f>
        <v>0</v>
      </c>
      <c r="AE55" s="101">
        <v>0</v>
      </c>
      <c r="AF55" s="102">
        <f t="shared" si="14"/>
        <v>0</v>
      </c>
      <c r="AG55" s="101">
        <v>0</v>
      </c>
      <c r="AH55" s="103">
        <f t="shared" si="15"/>
        <v>0</v>
      </c>
      <c r="AI55" s="100">
        <f t="shared" si="36"/>
        <v>0</v>
      </c>
      <c r="AJ55" s="101">
        <f t="shared" si="38"/>
        <v>0</v>
      </c>
      <c r="AK55" s="102">
        <f t="shared" si="39"/>
        <v>0</v>
      </c>
      <c r="AL55" s="101">
        <f t="shared" si="40"/>
        <v>0</v>
      </c>
      <c r="AM55" s="103">
        <f t="shared" si="41"/>
        <v>0</v>
      </c>
      <c r="AN55" s="100">
        <f>+ｶﾞｰﾃﾞﾝ!W54/1000</f>
        <v>0</v>
      </c>
      <c r="AO55" s="101">
        <v>0</v>
      </c>
      <c r="AP55" s="102">
        <f t="shared" si="16"/>
        <v>0</v>
      </c>
      <c r="AQ55" s="101">
        <v>0</v>
      </c>
      <c r="AR55" s="105">
        <f t="shared" si="17"/>
        <v>0</v>
      </c>
      <c r="AS55" s="191">
        <f>+ﾋﾞｱｶﾞｰﾃﾞﾝ!W54/1000</f>
        <v>0</v>
      </c>
      <c r="AT55" s="101">
        <v>0</v>
      </c>
      <c r="AU55" s="102">
        <f t="shared" si="18"/>
        <v>0</v>
      </c>
      <c r="AV55" s="101">
        <v>0</v>
      </c>
      <c r="AW55" s="103">
        <f t="shared" si="19"/>
        <v>0</v>
      </c>
      <c r="AX55" s="100">
        <f t="shared" si="20"/>
        <v>0</v>
      </c>
      <c r="AY55" s="101">
        <f t="shared" si="42"/>
        <v>0</v>
      </c>
      <c r="AZ55" s="102">
        <f t="shared" si="22"/>
        <v>0</v>
      </c>
      <c r="BA55" s="101">
        <f t="shared" si="23"/>
        <v>0</v>
      </c>
      <c r="BB55" s="103">
        <f t="shared" si="24"/>
        <v>0</v>
      </c>
      <c r="BC55" s="100">
        <f>+料飲共通!H54/1000</f>
        <v>0</v>
      </c>
      <c r="BD55" s="191">
        <f>+料飲共通!I54/1000</f>
        <v>0</v>
      </c>
      <c r="BE55" s="100">
        <f t="shared" si="25"/>
        <v>0</v>
      </c>
      <c r="BF55" s="100">
        <f>+料飲共通!W54/1000</f>
        <v>0</v>
      </c>
      <c r="BG55" s="101">
        <v>0</v>
      </c>
      <c r="BH55" s="102">
        <f t="shared" si="26"/>
        <v>0</v>
      </c>
      <c r="BI55" s="101">
        <v>0</v>
      </c>
      <c r="BJ55" s="103">
        <f t="shared" si="27"/>
        <v>0</v>
      </c>
      <c r="BK55" s="100">
        <f t="shared" si="28"/>
        <v>0</v>
      </c>
      <c r="BL55" s="101">
        <f t="shared" si="29"/>
        <v>0</v>
      </c>
      <c r="BM55" s="102">
        <f t="shared" si="0"/>
        <v>0</v>
      </c>
      <c r="BN55" s="101">
        <f t="shared" si="30"/>
        <v>0</v>
      </c>
      <c r="BO55" s="103">
        <f t="shared" si="31"/>
        <v>0</v>
      </c>
      <c r="BP55" s="100">
        <f t="shared" si="32"/>
        <v>0</v>
      </c>
      <c r="BQ55" s="101">
        <f t="shared" si="33"/>
        <v>0</v>
      </c>
      <c r="BR55" s="102">
        <f t="shared" si="37"/>
        <v>0</v>
      </c>
      <c r="BS55" s="101">
        <f t="shared" si="34"/>
        <v>0</v>
      </c>
      <c r="BT55" s="103">
        <f t="shared" si="35"/>
        <v>0</v>
      </c>
    </row>
    <row r="56" spans="1:72" s="88" customFormat="1" ht="22" hidden="1" customHeight="1" outlineLevel="1">
      <c r="A56" s="132"/>
      <c r="B56" s="125"/>
      <c r="C56" s="99" t="s">
        <v>101</v>
      </c>
      <c r="D56" s="99"/>
      <c r="E56" s="100">
        <f>+ﾇｰﾍﾞﾙﾌﾟｰｽ!W55/1000</f>
        <v>0</v>
      </c>
      <c r="F56" s="101">
        <v>450</v>
      </c>
      <c r="G56" s="102">
        <f t="shared" si="1"/>
        <v>-450</v>
      </c>
      <c r="H56" s="101">
        <v>900</v>
      </c>
      <c r="I56" s="105">
        <f t="shared" si="2"/>
        <v>-900</v>
      </c>
      <c r="J56" s="191">
        <f>+ｶﾌｪﾙﾎﾟ!W55/1000</f>
        <v>0</v>
      </c>
      <c r="K56" s="101">
        <v>0</v>
      </c>
      <c r="L56" s="102">
        <f t="shared" si="3"/>
        <v>0</v>
      </c>
      <c r="M56" s="101">
        <v>97</v>
      </c>
      <c r="N56" s="192">
        <f t="shared" si="4"/>
        <v>-97</v>
      </c>
      <c r="O56" s="104">
        <f>+ｶﾌｪｾﾚｽﾃ!W55/1000</f>
        <v>0</v>
      </c>
      <c r="P56" s="101">
        <v>0</v>
      </c>
      <c r="Q56" s="102">
        <f t="shared" si="5"/>
        <v>0</v>
      </c>
      <c r="R56" s="101">
        <v>0</v>
      </c>
      <c r="S56" s="105">
        <f t="shared" si="6"/>
        <v>0</v>
      </c>
      <c r="T56" s="100">
        <f t="shared" si="7"/>
        <v>0</v>
      </c>
      <c r="U56" s="101">
        <f t="shared" si="8"/>
        <v>450</v>
      </c>
      <c r="V56" s="102">
        <f t="shared" si="9"/>
        <v>-450</v>
      </c>
      <c r="W56" s="101">
        <f t="shared" si="10"/>
        <v>997</v>
      </c>
      <c r="X56" s="103">
        <f t="shared" si="11"/>
        <v>-997</v>
      </c>
      <c r="Y56" s="104">
        <v>0</v>
      </c>
      <c r="Z56" s="101">
        <v>0</v>
      </c>
      <c r="AA56" s="102">
        <f t="shared" si="12"/>
        <v>0</v>
      </c>
      <c r="AB56" s="101">
        <v>540</v>
      </c>
      <c r="AC56" s="192">
        <f t="shared" si="13"/>
        <v>-540</v>
      </c>
      <c r="AD56" s="104">
        <f>+ｼﾞｭｴﾙｽﾞ!W55/1000</f>
        <v>0</v>
      </c>
      <c r="AE56" s="101">
        <v>598.03</v>
      </c>
      <c r="AF56" s="102">
        <f t="shared" si="14"/>
        <v>-598.03</v>
      </c>
      <c r="AG56" s="101">
        <v>100</v>
      </c>
      <c r="AH56" s="103">
        <f t="shared" si="15"/>
        <v>-100</v>
      </c>
      <c r="AI56" s="100">
        <f t="shared" si="36"/>
        <v>0</v>
      </c>
      <c r="AJ56" s="101">
        <f t="shared" si="38"/>
        <v>598.03</v>
      </c>
      <c r="AK56" s="102">
        <f t="shared" si="39"/>
        <v>-598.03</v>
      </c>
      <c r="AL56" s="101">
        <f t="shared" si="40"/>
        <v>640</v>
      </c>
      <c r="AM56" s="103">
        <f t="shared" si="41"/>
        <v>-640</v>
      </c>
      <c r="AN56" s="100">
        <f>+ｶﾞｰﾃﾞﾝ!W55/1000</f>
        <v>0</v>
      </c>
      <c r="AO56" s="101">
        <v>437.25</v>
      </c>
      <c r="AP56" s="102">
        <f t="shared" si="16"/>
        <v>-437.25</v>
      </c>
      <c r="AQ56" s="101">
        <v>100</v>
      </c>
      <c r="AR56" s="105">
        <f t="shared" si="17"/>
        <v>-100</v>
      </c>
      <c r="AS56" s="191">
        <f>+ﾋﾞｱｶﾞｰﾃﾞﾝ!W55/1000</f>
        <v>150</v>
      </c>
      <c r="AT56" s="101">
        <v>28</v>
      </c>
      <c r="AU56" s="102">
        <f t="shared" si="18"/>
        <v>122</v>
      </c>
      <c r="AV56" s="101">
        <v>50</v>
      </c>
      <c r="AW56" s="103">
        <f t="shared" si="19"/>
        <v>100</v>
      </c>
      <c r="AX56" s="100">
        <f t="shared" si="20"/>
        <v>150</v>
      </c>
      <c r="AY56" s="101">
        <f t="shared" si="42"/>
        <v>465.25</v>
      </c>
      <c r="AZ56" s="102">
        <f t="shared" si="22"/>
        <v>-315.25</v>
      </c>
      <c r="BA56" s="101">
        <f t="shared" si="23"/>
        <v>150</v>
      </c>
      <c r="BB56" s="103">
        <f t="shared" si="24"/>
        <v>0</v>
      </c>
      <c r="BC56" s="100">
        <f>+料飲共通!H55/1000</f>
        <v>0</v>
      </c>
      <c r="BD56" s="191">
        <f>+料飲共通!I55/1000</f>
        <v>0</v>
      </c>
      <c r="BE56" s="100">
        <f t="shared" si="25"/>
        <v>0</v>
      </c>
      <c r="BF56" s="100">
        <f>+料飲共通!W55/1000</f>
        <v>0</v>
      </c>
      <c r="BG56" s="101">
        <v>0</v>
      </c>
      <c r="BH56" s="102">
        <f t="shared" si="26"/>
        <v>0</v>
      </c>
      <c r="BI56" s="101">
        <v>0</v>
      </c>
      <c r="BJ56" s="103">
        <f t="shared" si="27"/>
        <v>0</v>
      </c>
      <c r="BK56" s="100">
        <f t="shared" si="28"/>
        <v>150</v>
      </c>
      <c r="BL56" s="101">
        <f t="shared" si="29"/>
        <v>1513.28</v>
      </c>
      <c r="BM56" s="102">
        <f t="shared" si="0"/>
        <v>-1363.28</v>
      </c>
      <c r="BN56" s="101">
        <f t="shared" si="30"/>
        <v>1787</v>
      </c>
      <c r="BO56" s="103">
        <f t="shared" si="31"/>
        <v>-1637</v>
      </c>
      <c r="BP56" s="100">
        <f t="shared" si="32"/>
        <v>150</v>
      </c>
      <c r="BQ56" s="101">
        <f t="shared" si="33"/>
        <v>1513.28</v>
      </c>
      <c r="BR56" s="102">
        <f t="shared" si="37"/>
        <v>-1363.28</v>
      </c>
      <c r="BS56" s="101">
        <f t="shared" si="34"/>
        <v>1247</v>
      </c>
      <c r="BT56" s="103">
        <f t="shared" si="35"/>
        <v>-1097</v>
      </c>
    </row>
    <row r="57" spans="1:72" s="88" customFormat="1" ht="22" hidden="1" customHeight="1" outlineLevel="1">
      <c r="A57" s="132"/>
      <c r="B57" s="125"/>
      <c r="C57" s="99" t="s">
        <v>103</v>
      </c>
      <c r="D57" s="99"/>
      <c r="E57" s="100">
        <f>+ﾇｰﾍﾞﾙﾌﾟｰｽ!W56/1000</f>
        <v>0</v>
      </c>
      <c r="F57" s="101">
        <v>0</v>
      </c>
      <c r="G57" s="102">
        <f t="shared" si="1"/>
        <v>0</v>
      </c>
      <c r="H57" s="101">
        <v>0</v>
      </c>
      <c r="I57" s="105">
        <f t="shared" si="2"/>
        <v>0</v>
      </c>
      <c r="J57" s="191">
        <f>+ｶﾌｪﾙﾎﾟ!W56/1000</f>
        <v>0</v>
      </c>
      <c r="K57" s="101">
        <v>0</v>
      </c>
      <c r="L57" s="102">
        <f t="shared" si="3"/>
        <v>0</v>
      </c>
      <c r="M57" s="101">
        <v>0</v>
      </c>
      <c r="N57" s="192">
        <f t="shared" si="4"/>
        <v>0</v>
      </c>
      <c r="O57" s="104">
        <f>+ｶﾌｪｾﾚｽﾃ!W56/1000</f>
        <v>0</v>
      </c>
      <c r="P57" s="101">
        <v>0</v>
      </c>
      <c r="Q57" s="102">
        <f t="shared" si="5"/>
        <v>0</v>
      </c>
      <c r="R57" s="101">
        <v>0</v>
      </c>
      <c r="S57" s="105">
        <f t="shared" si="6"/>
        <v>0</v>
      </c>
      <c r="T57" s="100">
        <f t="shared" si="7"/>
        <v>0</v>
      </c>
      <c r="U57" s="101">
        <f t="shared" si="8"/>
        <v>0</v>
      </c>
      <c r="V57" s="102">
        <f t="shared" si="9"/>
        <v>0</v>
      </c>
      <c r="W57" s="101">
        <f t="shared" si="10"/>
        <v>0</v>
      </c>
      <c r="X57" s="103">
        <f t="shared" si="11"/>
        <v>0</v>
      </c>
      <c r="Y57" s="104">
        <v>0</v>
      </c>
      <c r="Z57" s="101">
        <v>0</v>
      </c>
      <c r="AA57" s="102">
        <f t="shared" si="12"/>
        <v>0</v>
      </c>
      <c r="AB57" s="101">
        <v>0</v>
      </c>
      <c r="AC57" s="192">
        <f t="shared" si="13"/>
        <v>0</v>
      </c>
      <c r="AD57" s="104">
        <f>+ｼﾞｭｴﾙｽﾞ!W56/1000</f>
        <v>0</v>
      </c>
      <c r="AE57" s="101">
        <v>0</v>
      </c>
      <c r="AF57" s="102">
        <f t="shared" si="14"/>
        <v>0</v>
      </c>
      <c r="AG57" s="101">
        <v>0</v>
      </c>
      <c r="AH57" s="103">
        <f t="shared" si="15"/>
        <v>0</v>
      </c>
      <c r="AI57" s="100">
        <f t="shared" si="36"/>
        <v>0</v>
      </c>
      <c r="AJ57" s="101">
        <f t="shared" si="38"/>
        <v>0</v>
      </c>
      <c r="AK57" s="102">
        <f t="shared" si="39"/>
        <v>0</v>
      </c>
      <c r="AL57" s="101">
        <f t="shared" si="40"/>
        <v>0</v>
      </c>
      <c r="AM57" s="103">
        <f t="shared" si="41"/>
        <v>0</v>
      </c>
      <c r="AN57" s="100">
        <f>+ｶﾞｰﾃﾞﾝ!W56/1000</f>
        <v>0</v>
      </c>
      <c r="AO57" s="101">
        <v>0</v>
      </c>
      <c r="AP57" s="102">
        <f t="shared" si="16"/>
        <v>0</v>
      </c>
      <c r="AQ57" s="101">
        <v>0</v>
      </c>
      <c r="AR57" s="105">
        <f t="shared" si="17"/>
        <v>0</v>
      </c>
      <c r="AS57" s="191">
        <f>+ﾋﾞｱｶﾞｰﾃﾞﾝ!W56/1000</f>
        <v>0</v>
      </c>
      <c r="AT57" s="101">
        <v>0</v>
      </c>
      <c r="AU57" s="102">
        <f t="shared" si="18"/>
        <v>0</v>
      </c>
      <c r="AV57" s="101">
        <v>0</v>
      </c>
      <c r="AW57" s="103">
        <f t="shared" si="19"/>
        <v>0</v>
      </c>
      <c r="AX57" s="100">
        <f t="shared" si="20"/>
        <v>0</v>
      </c>
      <c r="AY57" s="101">
        <f t="shared" si="42"/>
        <v>0</v>
      </c>
      <c r="AZ57" s="102">
        <f t="shared" si="22"/>
        <v>0</v>
      </c>
      <c r="BA57" s="101">
        <f t="shared" si="23"/>
        <v>0</v>
      </c>
      <c r="BB57" s="103">
        <f t="shared" si="24"/>
        <v>0</v>
      </c>
      <c r="BC57" s="100">
        <f>+料飲共通!H56/1000</f>
        <v>0</v>
      </c>
      <c r="BD57" s="191">
        <f>+料飲共通!I56/1000</f>
        <v>0</v>
      </c>
      <c r="BE57" s="100">
        <f t="shared" si="25"/>
        <v>0</v>
      </c>
      <c r="BF57" s="100">
        <f>+料飲共通!W56/1000</f>
        <v>0</v>
      </c>
      <c r="BG57" s="101">
        <v>0</v>
      </c>
      <c r="BH57" s="102">
        <f t="shared" si="26"/>
        <v>0</v>
      </c>
      <c r="BI57" s="101">
        <v>0</v>
      </c>
      <c r="BJ57" s="103">
        <f t="shared" si="27"/>
        <v>0</v>
      </c>
      <c r="BK57" s="100">
        <f t="shared" si="28"/>
        <v>0</v>
      </c>
      <c r="BL57" s="101">
        <f t="shared" si="29"/>
        <v>0</v>
      </c>
      <c r="BM57" s="102">
        <f t="shared" si="0"/>
        <v>0</v>
      </c>
      <c r="BN57" s="101">
        <f t="shared" si="30"/>
        <v>0</v>
      </c>
      <c r="BO57" s="103">
        <f t="shared" si="31"/>
        <v>0</v>
      </c>
      <c r="BP57" s="100">
        <f t="shared" si="32"/>
        <v>0</v>
      </c>
      <c r="BQ57" s="101">
        <f t="shared" si="33"/>
        <v>0</v>
      </c>
      <c r="BR57" s="102">
        <f t="shared" si="37"/>
        <v>0</v>
      </c>
      <c r="BS57" s="101">
        <f t="shared" si="34"/>
        <v>0</v>
      </c>
      <c r="BT57" s="103">
        <f t="shared" si="35"/>
        <v>0</v>
      </c>
    </row>
    <row r="58" spans="1:72" s="88" customFormat="1" ht="22" customHeight="1" collapsed="1">
      <c r="A58" s="132"/>
      <c r="B58" s="98" t="s">
        <v>105</v>
      </c>
      <c r="C58" s="99"/>
      <c r="D58" s="99"/>
      <c r="E58" s="100">
        <f>+ﾇｰﾍﾞﾙﾌﾟｰｽ!W57/1000</f>
        <v>0</v>
      </c>
      <c r="F58" s="101">
        <v>0</v>
      </c>
      <c r="G58" s="102">
        <f t="shared" si="1"/>
        <v>0</v>
      </c>
      <c r="H58" s="101">
        <v>0</v>
      </c>
      <c r="I58" s="105">
        <f t="shared" si="2"/>
        <v>0</v>
      </c>
      <c r="J58" s="191">
        <f>+ｶﾌｪﾙﾎﾟ!W57/1000</f>
        <v>0</v>
      </c>
      <c r="K58" s="101">
        <v>0</v>
      </c>
      <c r="L58" s="102">
        <f t="shared" si="3"/>
        <v>0</v>
      </c>
      <c r="M58" s="101">
        <v>0</v>
      </c>
      <c r="N58" s="192">
        <f t="shared" si="4"/>
        <v>0</v>
      </c>
      <c r="O58" s="104">
        <f>+ｶﾌｪｾﾚｽﾃ!W57/1000</f>
        <v>0</v>
      </c>
      <c r="P58" s="101">
        <v>0</v>
      </c>
      <c r="Q58" s="102">
        <f t="shared" si="5"/>
        <v>0</v>
      </c>
      <c r="R58" s="101">
        <v>0</v>
      </c>
      <c r="S58" s="105">
        <f t="shared" si="6"/>
        <v>0</v>
      </c>
      <c r="T58" s="100">
        <f t="shared" si="7"/>
        <v>0</v>
      </c>
      <c r="U58" s="101">
        <f t="shared" si="8"/>
        <v>0</v>
      </c>
      <c r="V58" s="102">
        <f t="shared" si="9"/>
        <v>0</v>
      </c>
      <c r="W58" s="101">
        <f t="shared" si="10"/>
        <v>0</v>
      </c>
      <c r="X58" s="103">
        <f t="shared" si="11"/>
        <v>0</v>
      </c>
      <c r="Y58" s="104">
        <v>0</v>
      </c>
      <c r="Z58" s="101">
        <v>0</v>
      </c>
      <c r="AA58" s="102">
        <f t="shared" si="12"/>
        <v>0</v>
      </c>
      <c r="AB58" s="101">
        <v>0</v>
      </c>
      <c r="AC58" s="192">
        <f t="shared" si="13"/>
        <v>0</v>
      </c>
      <c r="AD58" s="104">
        <f>+ｼﾞｭｴﾙｽﾞ!W57/1000</f>
        <v>0</v>
      </c>
      <c r="AE58" s="101">
        <v>0</v>
      </c>
      <c r="AF58" s="102">
        <f t="shared" si="14"/>
        <v>0</v>
      </c>
      <c r="AG58" s="101">
        <v>0</v>
      </c>
      <c r="AH58" s="103">
        <f t="shared" si="15"/>
        <v>0</v>
      </c>
      <c r="AI58" s="100">
        <f t="shared" si="36"/>
        <v>0</v>
      </c>
      <c r="AJ58" s="101">
        <f t="shared" si="38"/>
        <v>0</v>
      </c>
      <c r="AK58" s="102">
        <f t="shared" si="39"/>
        <v>0</v>
      </c>
      <c r="AL58" s="101">
        <f t="shared" si="40"/>
        <v>0</v>
      </c>
      <c r="AM58" s="103">
        <f t="shared" si="41"/>
        <v>0</v>
      </c>
      <c r="AN58" s="100">
        <f>+ｶﾞｰﾃﾞﾝ!W57/1000</f>
        <v>0</v>
      </c>
      <c r="AO58" s="101">
        <v>0</v>
      </c>
      <c r="AP58" s="102">
        <f t="shared" si="16"/>
        <v>0</v>
      </c>
      <c r="AQ58" s="101">
        <v>0</v>
      </c>
      <c r="AR58" s="105">
        <f t="shared" si="17"/>
        <v>0</v>
      </c>
      <c r="AS58" s="191">
        <f>+ﾋﾞｱｶﾞｰﾃﾞﾝ!W57/1000</f>
        <v>0</v>
      </c>
      <c r="AT58" s="101">
        <v>0</v>
      </c>
      <c r="AU58" s="102">
        <f t="shared" si="18"/>
        <v>0</v>
      </c>
      <c r="AV58" s="101">
        <v>0</v>
      </c>
      <c r="AW58" s="103">
        <f t="shared" si="19"/>
        <v>0</v>
      </c>
      <c r="AX58" s="100">
        <f t="shared" si="20"/>
        <v>0</v>
      </c>
      <c r="AY58" s="101">
        <f t="shared" si="42"/>
        <v>0</v>
      </c>
      <c r="AZ58" s="102">
        <f t="shared" si="22"/>
        <v>0</v>
      </c>
      <c r="BA58" s="101">
        <f t="shared" si="23"/>
        <v>0</v>
      </c>
      <c r="BB58" s="103">
        <f t="shared" si="24"/>
        <v>0</v>
      </c>
      <c r="BC58" s="100">
        <v>0</v>
      </c>
      <c r="BD58" s="191">
        <v>0</v>
      </c>
      <c r="BE58" s="100">
        <f t="shared" si="25"/>
        <v>0</v>
      </c>
      <c r="BF58" s="100">
        <f>+料飲共通!W57/1000</f>
        <v>0</v>
      </c>
      <c r="BG58" s="101">
        <v>0</v>
      </c>
      <c r="BH58" s="102">
        <f t="shared" si="26"/>
        <v>0</v>
      </c>
      <c r="BI58" s="101">
        <v>0</v>
      </c>
      <c r="BJ58" s="103">
        <f t="shared" si="27"/>
        <v>0</v>
      </c>
      <c r="BK58" s="100">
        <f t="shared" si="28"/>
        <v>0</v>
      </c>
      <c r="BL58" s="101">
        <f t="shared" si="29"/>
        <v>0</v>
      </c>
      <c r="BM58" s="102">
        <f t="shared" si="0"/>
        <v>0</v>
      </c>
      <c r="BN58" s="101">
        <f t="shared" si="30"/>
        <v>0</v>
      </c>
      <c r="BO58" s="103">
        <f t="shared" si="31"/>
        <v>0</v>
      </c>
      <c r="BP58" s="100">
        <f t="shared" si="32"/>
        <v>0</v>
      </c>
      <c r="BQ58" s="101">
        <f t="shared" si="33"/>
        <v>0</v>
      </c>
      <c r="BR58" s="102">
        <f t="shared" si="37"/>
        <v>0</v>
      </c>
      <c r="BS58" s="101">
        <f t="shared" si="34"/>
        <v>0</v>
      </c>
      <c r="BT58" s="103">
        <f t="shared" si="35"/>
        <v>0</v>
      </c>
    </row>
    <row r="59" spans="1:72" s="88" customFormat="1" ht="22" customHeight="1">
      <c r="A59" s="132"/>
      <c r="B59" s="98" t="s">
        <v>107</v>
      </c>
      <c r="C59" s="99"/>
      <c r="D59" s="99"/>
      <c r="E59" s="100">
        <f>+ﾇｰﾍﾞﾙﾌﾟｰｽ!W58/1000</f>
        <v>414</v>
      </c>
      <c r="F59" s="101">
        <v>154.06800000000001</v>
      </c>
      <c r="G59" s="102">
        <f t="shared" si="1"/>
        <v>259.93200000000002</v>
      </c>
      <c r="H59" s="101">
        <v>259</v>
      </c>
      <c r="I59" s="105">
        <f t="shared" si="2"/>
        <v>155</v>
      </c>
      <c r="J59" s="191">
        <f>+ｶﾌｪﾙﾎﾟ!W58/1000</f>
        <v>0</v>
      </c>
      <c r="K59" s="101">
        <v>0</v>
      </c>
      <c r="L59" s="102">
        <f t="shared" si="3"/>
        <v>0</v>
      </c>
      <c r="M59" s="101">
        <v>0</v>
      </c>
      <c r="N59" s="192">
        <f t="shared" si="4"/>
        <v>0</v>
      </c>
      <c r="O59" s="104">
        <f>+ｶﾌｪｾﾚｽﾃ!W58/1000</f>
        <v>0</v>
      </c>
      <c r="P59" s="101">
        <v>0</v>
      </c>
      <c r="Q59" s="102">
        <f t="shared" si="5"/>
        <v>0</v>
      </c>
      <c r="R59" s="101">
        <v>0</v>
      </c>
      <c r="S59" s="105">
        <f t="shared" si="6"/>
        <v>0</v>
      </c>
      <c r="T59" s="100">
        <f t="shared" si="7"/>
        <v>414</v>
      </c>
      <c r="U59" s="101">
        <f t="shared" si="8"/>
        <v>154.06800000000001</v>
      </c>
      <c r="V59" s="102">
        <f t="shared" si="9"/>
        <v>259.93200000000002</v>
      </c>
      <c r="W59" s="101">
        <f t="shared" si="10"/>
        <v>259</v>
      </c>
      <c r="X59" s="103">
        <f t="shared" si="11"/>
        <v>155</v>
      </c>
      <c r="Y59" s="104">
        <v>0</v>
      </c>
      <c r="Z59" s="101">
        <v>0</v>
      </c>
      <c r="AA59" s="102">
        <f t="shared" si="12"/>
        <v>0</v>
      </c>
      <c r="AB59" s="101">
        <v>0</v>
      </c>
      <c r="AC59" s="192">
        <f t="shared" si="13"/>
        <v>0</v>
      </c>
      <c r="AD59" s="104">
        <f>+ｼﾞｭｴﾙｽﾞ!W58/1000</f>
        <v>390</v>
      </c>
      <c r="AE59" s="101">
        <v>259.267</v>
      </c>
      <c r="AF59" s="102">
        <f t="shared" si="14"/>
        <v>130.733</v>
      </c>
      <c r="AG59" s="101">
        <v>181</v>
      </c>
      <c r="AH59" s="103">
        <f t="shared" si="15"/>
        <v>209</v>
      </c>
      <c r="AI59" s="100">
        <f t="shared" si="36"/>
        <v>390</v>
      </c>
      <c r="AJ59" s="101">
        <f t="shared" si="38"/>
        <v>259.267</v>
      </c>
      <c r="AK59" s="102">
        <f t="shared" si="39"/>
        <v>130.733</v>
      </c>
      <c r="AL59" s="101">
        <f t="shared" si="40"/>
        <v>181</v>
      </c>
      <c r="AM59" s="103">
        <f t="shared" si="41"/>
        <v>209</v>
      </c>
      <c r="AN59" s="100">
        <f>+ｶﾞｰﾃﾞﾝ!W58/1000</f>
        <v>141</v>
      </c>
      <c r="AO59" s="101">
        <v>193.86699999999999</v>
      </c>
      <c r="AP59" s="102">
        <f t="shared" si="16"/>
        <v>-52.86699999999999</v>
      </c>
      <c r="AQ59" s="101">
        <v>130</v>
      </c>
      <c r="AR59" s="105">
        <f t="shared" si="17"/>
        <v>11</v>
      </c>
      <c r="AS59" s="191">
        <f>+ﾋﾞｱｶﾞｰﾃﾞﾝ!W58/1000</f>
        <v>261</v>
      </c>
      <c r="AT59" s="101">
        <v>0</v>
      </c>
      <c r="AU59" s="102">
        <f t="shared" si="18"/>
        <v>261</v>
      </c>
      <c r="AV59" s="101">
        <v>240</v>
      </c>
      <c r="AW59" s="103">
        <f t="shared" si="19"/>
        <v>21</v>
      </c>
      <c r="AX59" s="100">
        <f t="shared" si="20"/>
        <v>402</v>
      </c>
      <c r="AY59" s="101">
        <f t="shared" si="42"/>
        <v>193.86699999999999</v>
      </c>
      <c r="AZ59" s="102">
        <f t="shared" si="22"/>
        <v>208.13300000000001</v>
      </c>
      <c r="BA59" s="101">
        <f t="shared" si="23"/>
        <v>370</v>
      </c>
      <c r="BB59" s="103">
        <f t="shared" si="24"/>
        <v>32</v>
      </c>
      <c r="BC59" s="100">
        <f>+赤れんが!X59/1000</f>
        <v>109.85657611941036</v>
      </c>
      <c r="BD59" s="191">
        <f>+赤れんが!Z59/1000</f>
        <v>0</v>
      </c>
      <c r="BE59" s="100">
        <f t="shared" si="25"/>
        <v>109.85657611941036</v>
      </c>
      <c r="BF59" s="100">
        <f>+料飲共通!W58/1000</f>
        <v>60</v>
      </c>
      <c r="BG59" s="101">
        <v>238.01</v>
      </c>
      <c r="BH59" s="102">
        <f t="shared" si="26"/>
        <v>-178.01</v>
      </c>
      <c r="BI59" s="101">
        <v>0</v>
      </c>
      <c r="BJ59" s="103">
        <f t="shared" si="27"/>
        <v>60</v>
      </c>
      <c r="BK59" s="100">
        <f t="shared" si="28"/>
        <v>1375.8565761194104</v>
      </c>
      <c r="BL59" s="101">
        <f t="shared" si="29"/>
        <v>845.21199999999999</v>
      </c>
      <c r="BM59" s="102">
        <f t="shared" si="0"/>
        <v>530.64457611941043</v>
      </c>
      <c r="BN59" s="101">
        <f t="shared" si="30"/>
        <v>810</v>
      </c>
      <c r="BO59" s="103">
        <f t="shared" si="31"/>
        <v>565.85657611941042</v>
      </c>
      <c r="BP59" s="100">
        <f t="shared" si="32"/>
        <v>1266</v>
      </c>
      <c r="BQ59" s="101">
        <f t="shared" si="33"/>
        <v>845.21199999999999</v>
      </c>
      <c r="BR59" s="102">
        <f t="shared" si="37"/>
        <v>420.78800000000001</v>
      </c>
      <c r="BS59" s="101">
        <f t="shared" si="34"/>
        <v>810</v>
      </c>
      <c r="BT59" s="103">
        <f t="shared" si="35"/>
        <v>456</v>
      </c>
    </row>
    <row r="60" spans="1:72" s="88" customFormat="1" ht="22" hidden="1" customHeight="1" outlineLevel="1">
      <c r="A60" s="132"/>
      <c r="B60" s="125"/>
      <c r="C60" s="99" t="s">
        <v>107</v>
      </c>
      <c r="D60" s="99"/>
      <c r="E60" s="100">
        <f>+ﾇｰﾍﾞﾙﾌﾟｰｽ!W59/1000</f>
        <v>414</v>
      </c>
      <c r="F60" s="101">
        <v>154.06800000000001</v>
      </c>
      <c r="G60" s="102">
        <f t="shared" si="1"/>
        <v>259.93200000000002</v>
      </c>
      <c r="H60" s="101">
        <v>259</v>
      </c>
      <c r="I60" s="105">
        <f t="shared" si="2"/>
        <v>155</v>
      </c>
      <c r="J60" s="191">
        <f>+ｶﾌｪﾙﾎﾟ!W59/1000</f>
        <v>0</v>
      </c>
      <c r="K60" s="101">
        <v>0</v>
      </c>
      <c r="L60" s="102">
        <f t="shared" si="3"/>
        <v>0</v>
      </c>
      <c r="M60" s="101">
        <v>0</v>
      </c>
      <c r="N60" s="192">
        <f t="shared" si="4"/>
        <v>0</v>
      </c>
      <c r="O60" s="104">
        <f>+ｶﾌｪｾﾚｽﾃ!W59/1000</f>
        <v>0</v>
      </c>
      <c r="P60" s="101">
        <v>0</v>
      </c>
      <c r="Q60" s="102">
        <f t="shared" si="5"/>
        <v>0</v>
      </c>
      <c r="R60" s="101">
        <v>0</v>
      </c>
      <c r="S60" s="105">
        <f t="shared" si="6"/>
        <v>0</v>
      </c>
      <c r="T60" s="100">
        <f t="shared" si="7"/>
        <v>414</v>
      </c>
      <c r="U60" s="101">
        <f t="shared" si="8"/>
        <v>154.06800000000001</v>
      </c>
      <c r="V60" s="102">
        <f t="shared" si="9"/>
        <v>259.93200000000002</v>
      </c>
      <c r="W60" s="101">
        <f t="shared" si="10"/>
        <v>259</v>
      </c>
      <c r="X60" s="103">
        <f t="shared" si="11"/>
        <v>155</v>
      </c>
      <c r="Y60" s="104">
        <v>0</v>
      </c>
      <c r="Z60" s="101">
        <v>0</v>
      </c>
      <c r="AA60" s="102">
        <f t="shared" si="12"/>
        <v>0</v>
      </c>
      <c r="AB60" s="101">
        <v>0</v>
      </c>
      <c r="AC60" s="192">
        <f t="shared" si="13"/>
        <v>0</v>
      </c>
      <c r="AD60" s="104">
        <f>+ｼﾞｭｴﾙｽﾞ!W59/1000</f>
        <v>390</v>
      </c>
      <c r="AE60" s="101">
        <v>259.267</v>
      </c>
      <c r="AF60" s="102">
        <f t="shared" si="14"/>
        <v>130.733</v>
      </c>
      <c r="AG60" s="101">
        <v>181</v>
      </c>
      <c r="AH60" s="103">
        <f t="shared" si="15"/>
        <v>209</v>
      </c>
      <c r="AI60" s="100">
        <f t="shared" si="36"/>
        <v>390</v>
      </c>
      <c r="AJ60" s="101">
        <f t="shared" si="38"/>
        <v>259.267</v>
      </c>
      <c r="AK60" s="102">
        <f t="shared" si="39"/>
        <v>130.733</v>
      </c>
      <c r="AL60" s="101">
        <f t="shared" si="40"/>
        <v>181</v>
      </c>
      <c r="AM60" s="103">
        <f t="shared" si="41"/>
        <v>209</v>
      </c>
      <c r="AN60" s="100">
        <f>+ｶﾞｰﾃﾞﾝ!W59/1000</f>
        <v>141</v>
      </c>
      <c r="AO60" s="101">
        <v>193.86699999999999</v>
      </c>
      <c r="AP60" s="102">
        <f t="shared" si="16"/>
        <v>-52.86699999999999</v>
      </c>
      <c r="AQ60" s="101">
        <v>130</v>
      </c>
      <c r="AR60" s="105">
        <f t="shared" si="17"/>
        <v>11</v>
      </c>
      <c r="AS60" s="191">
        <f>+ﾋﾞｱｶﾞｰﾃﾞﾝ!W59/1000</f>
        <v>261</v>
      </c>
      <c r="AT60" s="101">
        <v>0</v>
      </c>
      <c r="AU60" s="102">
        <f t="shared" si="18"/>
        <v>261</v>
      </c>
      <c r="AV60" s="101">
        <v>240</v>
      </c>
      <c r="AW60" s="103">
        <f t="shared" si="19"/>
        <v>21</v>
      </c>
      <c r="AX60" s="100">
        <f t="shared" si="20"/>
        <v>402</v>
      </c>
      <c r="AY60" s="101">
        <f t="shared" si="42"/>
        <v>193.86699999999999</v>
      </c>
      <c r="AZ60" s="102">
        <f t="shared" si="22"/>
        <v>208.13300000000001</v>
      </c>
      <c r="BA60" s="101">
        <f t="shared" si="23"/>
        <v>370</v>
      </c>
      <c r="BB60" s="103">
        <f t="shared" si="24"/>
        <v>32</v>
      </c>
      <c r="BC60" s="100">
        <f>+料飲共通!H59/1000</f>
        <v>0</v>
      </c>
      <c r="BD60" s="191">
        <f>+料飲共通!I59/1000</f>
        <v>0</v>
      </c>
      <c r="BE60" s="100">
        <f t="shared" si="25"/>
        <v>0</v>
      </c>
      <c r="BF60" s="100">
        <f>+料飲共通!W59/1000</f>
        <v>60</v>
      </c>
      <c r="BG60" s="101">
        <v>238.01</v>
      </c>
      <c r="BH60" s="102">
        <f t="shared" si="26"/>
        <v>-178.01</v>
      </c>
      <c r="BI60" s="101">
        <v>0</v>
      </c>
      <c r="BJ60" s="103">
        <f t="shared" si="27"/>
        <v>60</v>
      </c>
      <c r="BK60" s="100">
        <f t="shared" si="28"/>
        <v>1266</v>
      </c>
      <c r="BL60" s="101">
        <f t="shared" si="29"/>
        <v>845.21199999999999</v>
      </c>
      <c r="BM60" s="102">
        <f t="shared" si="0"/>
        <v>420.78800000000001</v>
      </c>
      <c r="BN60" s="101">
        <f t="shared" si="30"/>
        <v>810</v>
      </c>
      <c r="BO60" s="103">
        <f t="shared" si="31"/>
        <v>456</v>
      </c>
      <c r="BP60" s="100">
        <f t="shared" si="32"/>
        <v>1266</v>
      </c>
      <c r="BQ60" s="101">
        <f t="shared" si="33"/>
        <v>845.21199999999999</v>
      </c>
      <c r="BR60" s="102">
        <f t="shared" si="37"/>
        <v>420.78800000000001</v>
      </c>
      <c r="BS60" s="101">
        <f t="shared" si="34"/>
        <v>810</v>
      </c>
      <c r="BT60" s="103">
        <f t="shared" si="35"/>
        <v>456</v>
      </c>
    </row>
    <row r="61" spans="1:72" s="88" customFormat="1" ht="22" hidden="1" customHeight="1" outlineLevel="1">
      <c r="A61" s="132"/>
      <c r="B61" s="125"/>
      <c r="C61" s="99" t="s">
        <v>110</v>
      </c>
      <c r="D61" s="99"/>
      <c r="E61" s="100">
        <f>+ﾇｰﾍﾞﾙﾌﾟｰｽ!W60/1000</f>
        <v>0</v>
      </c>
      <c r="F61" s="101">
        <v>0</v>
      </c>
      <c r="G61" s="102">
        <f t="shared" si="1"/>
        <v>0</v>
      </c>
      <c r="H61" s="101">
        <v>0</v>
      </c>
      <c r="I61" s="105">
        <f t="shared" si="2"/>
        <v>0</v>
      </c>
      <c r="J61" s="191">
        <f>+ｶﾌｪﾙﾎﾟ!W60/1000</f>
        <v>0</v>
      </c>
      <c r="K61" s="101">
        <v>0</v>
      </c>
      <c r="L61" s="102">
        <f t="shared" si="3"/>
        <v>0</v>
      </c>
      <c r="M61" s="101">
        <v>0</v>
      </c>
      <c r="N61" s="192">
        <f t="shared" si="4"/>
        <v>0</v>
      </c>
      <c r="O61" s="104">
        <f>+ｶﾌｪｾﾚｽﾃ!W60/1000</f>
        <v>0</v>
      </c>
      <c r="P61" s="101">
        <v>0</v>
      </c>
      <c r="Q61" s="102">
        <f t="shared" si="5"/>
        <v>0</v>
      </c>
      <c r="R61" s="101">
        <v>0</v>
      </c>
      <c r="S61" s="105">
        <f t="shared" si="6"/>
        <v>0</v>
      </c>
      <c r="T61" s="100">
        <f t="shared" si="7"/>
        <v>0</v>
      </c>
      <c r="U61" s="101">
        <f t="shared" si="8"/>
        <v>0</v>
      </c>
      <c r="V61" s="102">
        <f t="shared" si="9"/>
        <v>0</v>
      </c>
      <c r="W61" s="101">
        <f t="shared" si="10"/>
        <v>0</v>
      </c>
      <c r="X61" s="103">
        <f t="shared" si="11"/>
        <v>0</v>
      </c>
      <c r="Y61" s="104">
        <v>0</v>
      </c>
      <c r="Z61" s="101">
        <v>0</v>
      </c>
      <c r="AA61" s="102">
        <f t="shared" si="12"/>
        <v>0</v>
      </c>
      <c r="AB61" s="101">
        <v>0</v>
      </c>
      <c r="AC61" s="192">
        <f t="shared" si="13"/>
        <v>0</v>
      </c>
      <c r="AD61" s="104">
        <f>+ｼﾞｭｴﾙｽﾞ!W60/1000</f>
        <v>0</v>
      </c>
      <c r="AE61" s="101">
        <v>0</v>
      </c>
      <c r="AF61" s="102">
        <f t="shared" si="14"/>
        <v>0</v>
      </c>
      <c r="AG61" s="101">
        <v>0</v>
      </c>
      <c r="AH61" s="103">
        <f t="shared" si="15"/>
        <v>0</v>
      </c>
      <c r="AI61" s="100">
        <f t="shared" si="36"/>
        <v>0</v>
      </c>
      <c r="AJ61" s="101">
        <f t="shared" si="38"/>
        <v>0</v>
      </c>
      <c r="AK61" s="102">
        <f t="shared" si="39"/>
        <v>0</v>
      </c>
      <c r="AL61" s="101">
        <f t="shared" si="40"/>
        <v>0</v>
      </c>
      <c r="AM61" s="103">
        <f t="shared" si="41"/>
        <v>0</v>
      </c>
      <c r="AN61" s="100">
        <f>+ｶﾞｰﾃﾞﾝ!W60/1000</f>
        <v>0</v>
      </c>
      <c r="AO61" s="101">
        <v>0</v>
      </c>
      <c r="AP61" s="102">
        <f t="shared" si="16"/>
        <v>0</v>
      </c>
      <c r="AQ61" s="101">
        <v>0</v>
      </c>
      <c r="AR61" s="105">
        <f t="shared" si="17"/>
        <v>0</v>
      </c>
      <c r="AS61" s="191">
        <f>+ﾋﾞｱｶﾞｰﾃﾞﾝ!W60/1000</f>
        <v>0</v>
      </c>
      <c r="AT61" s="101">
        <v>0</v>
      </c>
      <c r="AU61" s="102">
        <f t="shared" si="18"/>
        <v>0</v>
      </c>
      <c r="AV61" s="101">
        <v>0</v>
      </c>
      <c r="AW61" s="103">
        <f t="shared" si="19"/>
        <v>0</v>
      </c>
      <c r="AX61" s="100">
        <f t="shared" si="20"/>
        <v>0</v>
      </c>
      <c r="AY61" s="101">
        <f t="shared" si="42"/>
        <v>0</v>
      </c>
      <c r="AZ61" s="102">
        <f t="shared" si="22"/>
        <v>0</v>
      </c>
      <c r="BA61" s="101">
        <f t="shared" si="23"/>
        <v>0</v>
      </c>
      <c r="BB61" s="103">
        <f t="shared" si="24"/>
        <v>0</v>
      </c>
      <c r="BC61" s="100">
        <f>+料飲共通!H60/1000</f>
        <v>0</v>
      </c>
      <c r="BD61" s="191">
        <f>+料飲共通!I60/1000</f>
        <v>0</v>
      </c>
      <c r="BE61" s="100">
        <f t="shared" si="25"/>
        <v>0</v>
      </c>
      <c r="BF61" s="100">
        <f>+料飲共通!W60/1000</f>
        <v>0</v>
      </c>
      <c r="BG61" s="101">
        <v>0</v>
      </c>
      <c r="BH61" s="102">
        <f t="shared" si="26"/>
        <v>0</v>
      </c>
      <c r="BI61" s="101">
        <v>0</v>
      </c>
      <c r="BJ61" s="103">
        <f t="shared" si="27"/>
        <v>0</v>
      </c>
      <c r="BK61" s="100">
        <f t="shared" si="28"/>
        <v>0</v>
      </c>
      <c r="BL61" s="101">
        <f t="shared" si="29"/>
        <v>0</v>
      </c>
      <c r="BM61" s="102">
        <f t="shared" si="0"/>
        <v>0</v>
      </c>
      <c r="BN61" s="101">
        <f t="shared" si="30"/>
        <v>0</v>
      </c>
      <c r="BO61" s="103">
        <f t="shared" si="31"/>
        <v>0</v>
      </c>
      <c r="BP61" s="100">
        <f t="shared" si="32"/>
        <v>0</v>
      </c>
      <c r="BQ61" s="101">
        <f t="shared" si="33"/>
        <v>0</v>
      </c>
      <c r="BR61" s="102">
        <f t="shared" si="37"/>
        <v>0</v>
      </c>
      <c r="BS61" s="101">
        <f t="shared" si="34"/>
        <v>0</v>
      </c>
      <c r="BT61" s="103">
        <f t="shared" si="35"/>
        <v>0</v>
      </c>
    </row>
    <row r="62" spans="1:72" s="88" customFormat="1" ht="22" customHeight="1" collapsed="1">
      <c r="A62" s="132"/>
      <c r="B62" s="98" t="s">
        <v>112</v>
      </c>
      <c r="C62" s="99"/>
      <c r="D62" s="99"/>
      <c r="E62" s="100">
        <f>+ﾇｰﾍﾞﾙﾌﾟｰｽ!W61/1000</f>
        <v>984</v>
      </c>
      <c r="F62" s="101">
        <v>978.63199999999995</v>
      </c>
      <c r="G62" s="102">
        <f t="shared" si="1"/>
        <v>5.3680000000000518</v>
      </c>
      <c r="H62" s="101">
        <v>852</v>
      </c>
      <c r="I62" s="105">
        <f t="shared" si="2"/>
        <v>132</v>
      </c>
      <c r="J62" s="191">
        <f>+ｶﾌｪﾙﾎﾟ!W61/1000</f>
        <v>30.5</v>
      </c>
      <c r="K62" s="101">
        <v>27.501999999999999</v>
      </c>
      <c r="L62" s="102">
        <f t="shared" si="3"/>
        <v>2.9980000000000011</v>
      </c>
      <c r="M62" s="101">
        <v>60</v>
      </c>
      <c r="N62" s="192">
        <f t="shared" si="4"/>
        <v>-29.5</v>
      </c>
      <c r="O62" s="104">
        <f>+ｶﾌｪｾﾚｽﾃ!W61/1000</f>
        <v>0</v>
      </c>
      <c r="P62" s="101">
        <v>0</v>
      </c>
      <c r="Q62" s="102">
        <f t="shared" si="5"/>
        <v>0</v>
      </c>
      <c r="R62" s="101">
        <v>10</v>
      </c>
      <c r="S62" s="105">
        <f t="shared" si="6"/>
        <v>-10</v>
      </c>
      <c r="T62" s="100">
        <f t="shared" si="7"/>
        <v>1014.5</v>
      </c>
      <c r="U62" s="101">
        <f t="shared" si="8"/>
        <v>1006.1339999999999</v>
      </c>
      <c r="V62" s="102">
        <f t="shared" si="9"/>
        <v>8.3660000000000991</v>
      </c>
      <c r="W62" s="101">
        <f t="shared" si="10"/>
        <v>922</v>
      </c>
      <c r="X62" s="103">
        <f t="shared" si="11"/>
        <v>92.5</v>
      </c>
      <c r="Y62" s="104">
        <v>0</v>
      </c>
      <c r="Z62" s="101">
        <v>37.299999999999997</v>
      </c>
      <c r="AA62" s="102">
        <f t="shared" si="12"/>
        <v>-37.299999999999997</v>
      </c>
      <c r="AB62" s="101">
        <v>0</v>
      </c>
      <c r="AC62" s="192">
        <f t="shared" si="13"/>
        <v>0</v>
      </c>
      <c r="AD62" s="104">
        <f>+ｼﾞｭｴﾙｽﾞ!W61/1000</f>
        <v>764</v>
      </c>
      <c r="AE62" s="101">
        <v>772.62800000000004</v>
      </c>
      <c r="AF62" s="102">
        <f t="shared" si="14"/>
        <v>-8.6280000000000427</v>
      </c>
      <c r="AG62" s="101">
        <v>579</v>
      </c>
      <c r="AH62" s="103">
        <f t="shared" si="15"/>
        <v>185</v>
      </c>
      <c r="AI62" s="100">
        <f t="shared" si="36"/>
        <v>764</v>
      </c>
      <c r="AJ62" s="101">
        <f t="shared" si="38"/>
        <v>809.928</v>
      </c>
      <c r="AK62" s="102">
        <f t="shared" si="39"/>
        <v>-45.927999999999997</v>
      </c>
      <c r="AL62" s="101">
        <f t="shared" si="40"/>
        <v>579</v>
      </c>
      <c r="AM62" s="103">
        <f t="shared" si="41"/>
        <v>185</v>
      </c>
      <c r="AN62" s="100">
        <f>+ｶﾞｰﾃﾞﾝ!W61/1000</f>
        <v>622.4</v>
      </c>
      <c r="AO62" s="101">
        <v>419.09800000000001</v>
      </c>
      <c r="AP62" s="102">
        <f t="shared" si="16"/>
        <v>203.30199999999996</v>
      </c>
      <c r="AQ62" s="101">
        <v>300</v>
      </c>
      <c r="AR62" s="105">
        <f t="shared" si="17"/>
        <v>322.39999999999998</v>
      </c>
      <c r="AS62" s="191">
        <f>+ﾋﾞｱｶﾞｰﾃﾞﾝ!W61/1000</f>
        <v>700</v>
      </c>
      <c r="AT62" s="101">
        <v>661.81100000000004</v>
      </c>
      <c r="AU62" s="102">
        <f t="shared" si="18"/>
        <v>38.188999999999965</v>
      </c>
      <c r="AV62" s="101">
        <v>400</v>
      </c>
      <c r="AW62" s="103">
        <f t="shared" si="19"/>
        <v>300</v>
      </c>
      <c r="AX62" s="100">
        <f t="shared" si="20"/>
        <v>1322.4</v>
      </c>
      <c r="AY62" s="101">
        <f t="shared" si="42"/>
        <v>1080.9090000000001</v>
      </c>
      <c r="AZ62" s="102">
        <f t="shared" si="22"/>
        <v>241.49099999999999</v>
      </c>
      <c r="BA62" s="101">
        <f t="shared" si="23"/>
        <v>700</v>
      </c>
      <c r="BB62" s="103">
        <f t="shared" si="24"/>
        <v>622.40000000000009</v>
      </c>
      <c r="BC62" s="100">
        <f>+赤れんが!X62/1000</f>
        <v>237.48586060800778</v>
      </c>
      <c r="BD62" s="191">
        <f>+赤れんが!Z62/1000</f>
        <v>123.05792924265184</v>
      </c>
      <c r="BE62" s="100">
        <f t="shared" si="25"/>
        <v>360.54378985065961</v>
      </c>
      <c r="BF62" s="100">
        <f>+料飲共通!W61/1000</f>
        <v>0</v>
      </c>
      <c r="BG62" s="101">
        <v>0</v>
      </c>
      <c r="BH62" s="102">
        <f t="shared" si="26"/>
        <v>0</v>
      </c>
      <c r="BI62" s="101">
        <v>0</v>
      </c>
      <c r="BJ62" s="103">
        <f t="shared" si="27"/>
        <v>0</v>
      </c>
      <c r="BK62" s="100">
        <f t="shared" si="28"/>
        <v>3461.4437898506599</v>
      </c>
      <c r="BL62" s="101">
        <f t="shared" si="29"/>
        <v>2896.971</v>
      </c>
      <c r="BM62" s="102">
        <f t="shared" si="0"/>
        <v>564.47278985065986</v>
      </c>
      <c r="BN62" s="101">
        <f t="shared" si="30"/>
        <v>2201</v>
      </c>
      <c r="BO62" s="103">
        <f t="shared" si="31"/>
        <v>1260.4437898506599</v>
      </c>
      <c r="BP62" s="100">
        <f t="shared" si="32"/>
        <v>3100.9</v>
      </c>
      <c r="BQ62" s="101">
        <f t="shared" si="33"/>
        <v>2859.6709999999998</v>
      </c>
      <c r="BR62" s="102">
        <f t="shared" si="37"/>
        <v>241.22900000000027</v>
      </c>
      <c r="BS62" s="101">
        <f t="shared" si="34"/>
        <v>2201</v>
      </c>
      <c r="BT62" s="103">
        <f t="shared" si="35"/>
        <v>899.90000000000009</v>
      </c>
    </row>
    <row r="63" spans="1:72" s="88" customFormat="1" ht="22" customHeight="1">
      <c r="A63" s="132"/>
      <c r="B63" s="98" t="s">
        <v>114</v>
      </c>
      <c r="C63" s="99"/>
      <c r="D63" s="99"/>
      <c r="E63" s="100">
        <f>+ﾇｰﾍﾞﾙﾌﾟｰｽ!W62/1000</f>
        <v>0</v>
      </c>
      <c r="F63" s="101">
        <v>0</v>
      </c>
      <c r="G63" s="102">
        <f t="shared" si="1"/>
        <v>0</v>
      </c>
      <c r="H63" s="101">
        <v>0</v>
      </c>
      <c r="I63" s="105">
        <f t="shared" si="2"/>
        <v>0</v>
      </c>
      <c r="J63" s="191">
        <f>+ｶﾌｪﾙﾎﾟ!W62/1000</f>
        <v>0</v>
      </c>
      <c r="K63" s="101">
        <v>0</v>
      </c>
      <c r="L63" s="102">
        <f t="shared" si="3"/>
        <v>0</v>
      </c>
      <c r="M63" s="101">
        <v>0</v>
      </c>
      <c r="N63" s="192">
        <f t="shared" si="4"/>
        <v>0</v>
      </c>
      <c r="O63" s="104">
        <f>+ｶﾌｪｾﾚｽﾃ!W62/1000</f>
        <v>0</v>
      </c>
      <c r="P63" s="101">
        <v>0</v>
      </c>
      <c r="Q63" s="102">
        <f t="shared" si="5"/>
        <v>0</v>
      </c>
      <c r="R63" s="101">
        <v>0</v>
      </c>
      <c r="S63" s="105">
        <f t="shared" si="6"/>
        <v>0</v>
      </c>
      <c r="T63" s="100">
        <f t="shared" si="7"/>
        <v>0</v>
      </c>
      <c r="U63" s="101">
        <f t="shared" si="8"/>
        <v>0</v>
      </c>
      <c r="V63" s="102">
        <f t="shared" si="9"/>
        <v>0</v>
      </c>
      <c r="W63" s="101">
        <f t="shared" si="10"/>
        <v>0</v>
      </c>
      <c r="X63" s="103">
        <f t="shared" si="11"/>
        <v>0</v>
      </c>
      <c r="Y63" s="104">
        <v>0</v>
      </c>
      <c r="Z63" s="101">
        <v>0</v>
      </c>
      <c r="AA63" s="102">
        <f t="shared" si="12"/>
        <v>0</v>
      </c>
      <c r="AB63" s="101">
        <v>0</v>
      </c>
      <c r="AC63" s="192">
        <f t="shared" si="13"/>
        <v>0</v>
      </c>
      <c r="AD63" s="104">
        <f>+ｼﾞｭｴﾙｽﾞ!W62/1000</f>
        <v>0</v>
      </c>
      <c r="AE63" s="101">
        <v>0</v>
      </c>
      <c r="AF63" s="102">
        <f t="shared" si="14"/>
        <v>0</v>
      </c>
      <c r="AG63" s="101">
        <v>0</v>
      </c>
      <c r="AH63" s="103">
        <f t="shared" si="15"/>
        <v>0</v>
      </c>
      <c r="AI63" s="100">
        <f t="shared" si="36"/>
        <v>0</v>
      </c>
      <c r="AJ63" s="101">
        <f t="shared" si="38"/>
        <v>0</v>
      </c>
      <c r="AK63" s="102">
        <f t="shared" si="39"/>
        <v>0</v>
      </c>
      <c r="AL63" s="101">
        <f t="shared" si="40"/>
        <v>0</v>
      </c>
      <c r="AM63" s="103">
        <f t="shared" si="41"/>
        <v>0</v>
      </c>
      <c r="AN63" s="100">
        <f>+ｶﾞｰﾃﾞﾝ!W62/1000</f>
        <v>0</v>
      </c>
      <c r="AO63" s="101">
        <v>0</v>
      </c>
      <c r="AP63" s="102">
        <f t="shared" si="16"/>
        <v>0</v>
      </c>
      <c r="AQ63" s="101">
        <v>0</v>
      </c>
      <c r="AR63" s="105">
        <f t="shared" si="17"/>
        <v>0</v>
      </c>
      <c r="AS63" s="191">
        <f>+ﾋﾞｱｶﾞｰﾃﾞﾝ!W62/1000</f>
        <v>0</v>
      </c>
      <c r="AT63" s="101">
        <v>0</v>
      </c>
      <c r="AU63" s="102">
        <f t="shared" si="18"/>
        <v>0</v>
      </c>
      <c r="AV63" s="101">
        <v>0</v>
      </c>
      <c r="AW63" s="103">
        <f t="shared" si="19"/>
        <v>0</v>
      </c>
      <c r="AX63" s="100">
        <f t="shared" si="20"/>
        <v>0</v>
      </c>
      <c r="AY63" s="101">
        <f t="shared" si="42"/>
        <v>0</v>
      </c>
      <c r="AZ63" s="102">
        <f t="shared" si="22"/>
        <v>0</v>
      </c>
      <c r="BA63" s="101">
        <f t="shared" si="23"/>
        <v>0</v>
      </c>
      <c r="BB63" s="103">
        <f t="shared" si="24"/>
        <v>0</v>
      </c>
      <c r="BC63" s="100">
        <v>0</v>
      </c>
      <c r="BD63" s="191">
        <v>0</v>
      </c>
      <c r="BE63" s="100">
        <f t="shared" si="25"/>
        <v>0</v>
      </c>
      <c r="BF63" s="100">
        <f>+料飲共通!W62/1000</f>
        <v>0</v>
      </c>
      <c r="BG63" s="101">
        <v>0</v>
      </c>
      <c r="BH63" s="102">
        <f t="shared" si="26"/>
        <v>0</v>
      </c>
      <c r="BI63" s="101">
        <v>0</v>
      </c>
      <c r="BJ63" s="103">
        <f t="shared" si="27"/>
        <v>0</v>
      </c>
      <c r="BK63" s="100">
        <f t="shared" si="28"/>
        <v>0</v>
      </c>
      <c r="BL63" s="101">
        <f t="shared" si="29"/>
        <v>0</v>
      </c>
      <c r="BM63" s="102">
        <f t="shared" si="0"/>
        <v>0</v>
      </c>
      <c r="BN63" s="101">
        <f t="shared" si="30"/>
        <v>0</v>
      </c>
      <c r="BO63" s="103">
        <f t="shared" si="31"/>
        <v>0</v>
      </c>
      <c r="BP63" s="100">
        <f t="shared" si="32"/>
        <v>0</v>
      </c>
      <c r="BQ63" s="101">
        <f t="shared" si="33"/>
        <v>0</v>
      </c>
      <c r="BR63" s="102">
        <f t="shared" si="37"/>
        <v>0</v>
      </c>
      <c r="BS63" s="101">
        <f t="shared" si="34"/>
        <v>0</v>
      </c>
      <c r="BT63" s="103">
        <f t="shared" si="35"/>
        <v>0</v>
      </c>
    </row>
    <row r="64" spans="1:72" s="88" customFormat="1" ht="22" customHeight="1">
      <c r="A64" s="132"/>
      <c r="B64" s="98" t="s">
        <v>116</v>
      </c>
      <c r="C64" s="99"/>
      <c r="D64" s="99"/>
      <c r="E64" s="100">
        <f>+ﾇｰﾍﾞﾙﾌﾟｰｽ!W63/1000</f>
        <v>148.5</v>
      </c>
      <c r="F64" s="101">
        <v>149.5</v>
      </c>
      <c r="G64" s="102">
        <f t="shared" si="1"/>
        <v>-1</v>
      </c>
      <c r="H64" s="101">
        <v>202</v>
      </c>
      <c r="I64" s="105">
        <f t="shared" si="2"/>
        <v>-53.5</v>
      </c>
      <c r="J64" s="191">
        <f>+ｶﾌｪﾙﾎﾟ!W63/1000</f>
        <v>23.5</v>
      </c>
      <c r="K64" s="101">
        <v>23.5</v>
      </c>
      <c r="L64" s="102">
        <f t="shared" si="3"/>
        <v>0</v>
      </c>
      <c r="M64" s="101">
        <v>26</v>
      </c>
      <c r="N64" s="192">
        <f t="shared" si="4"/>
        <v>-2.5</v>
      </c>
      <c r="O64" s="104">
        <f>+ｶﾌｪｾﾚｽﾃ!W63/1000</f>
        <v>9.6999999999999993</v>
      </c>
      <c r="P64" s="101">
        <v>9.6999999999999993</v>
      </c>
      <c r="Q64" s="102">
        <f t="shared" si="5"/>
        <v>0</v>
      </c>
      <c r="R64" s="101">
        <v>0</v>
      </c>
      <c r="S64" s="105">
        <f t="shared" si="6"/>
        <v>9.6999999999999993</v>
      </c>
      <c r="T64" s="100">
        <f t="shared" si="7"/>
        <v>181.7</v>
      </c>
      <c r="U64" s="101">
        <f t="shared" si="8"/>
        <v>182.7</v>
      </c>
      <c r="V64" s="102">
        <f t="shared" si="9"/>
        <v>-1</v>
      </c>
      <c r="W64" s="101">
        <f t="shared" si="10"/>
        <v>228</v>
      </c>
      <c r="X64" s="103">
        <f t="shared" si="11"/>
        <v>-46.300000000000011</v>
      </c>
      <c r="Y64" s="104">
        <v>0</v>
      </c>
      <c r="Z64" s="101">
        <v>0</v>
      </c>
      <c r="AA64" s="102">
        <f t="shared" si="12"/>
        <v>0</v>
      </c>
      <c r="AB64" s="101">
        <v>0</v>
      </c>
      <c r="AC64" s="192">
        <f t="shared" si="13"/>
        <v>0</v>
      </c>
      <c r="AD64" s="104">
        <f>+ｼﾞｭｴﾙｽﾞ!W63/1000</f>
        <v>76.3</v>
      </c>
      <c r="AE64" s="101">
        <v>76.3</v>
      </c>
      <c r="AF64" s="102">
        <f t="shared" si="14"/>
        <v>0</v>
      </c>
      <c r="AG64" s="101">
        <v>379</v>
      </c>
      <c r="AH64" s="103">
        <f t="shared" si="15"/>
        <v>-302.7</v>
      </c>
      <c r="AI64" s="100">
        <f t="shared" si="36"/>
        <v>76.3</v>
      </c>
      <c r="AJ64" s="101">
        <f t="shared" si="38"/>
        <v>76.3</v>
      </c>
      <c r="AK64" s="102">
        <f t="shared" si="39"/>
        <v>0</v>
      </c>
      <c r="AL64" s="101">
        <f t="shared" si="40"/>
        <v>379</v>
      </c>
      <c r="AM64" s="103">
        <f t="shared" si="41"/>
        <v>-302.7</v>
      </c>
      <c r="AN64" s="100">
        <f>+ｶﾞｰﾃﾞﾝ!W63/1000</f>
        <v>260</v>
      </c>
      <c r="AO64" s="101">
        <v>276</v>
      </c>
      <c r="AP64" s="102">
        <f t="shared" si="16"/>
        <v>-16</v>
      </c>
      <c r="AQ64" s="101">
        <v>811</v>
      </c>
      <c r="AR64" s="105">
        <f t="shared" si="17"/>
        <v>-551</v>
      </c>
      <c r="AS64" s="191">
        <f>+ﾋﾞｱｶﾞｰﾃﾞﾝ!W63/1000</f>
        <v>26.9</v>
      </c>
      <c r="AT64" s="101">
        <v>24.4</v>
      </c>
      <c r="AU64" s="102">
        <f t="shared" si="18"/>
        <v>2.5</v>
      </c>
      <c r="AV64" s="101">
        <v>4</v>
      </c>
      <c r="AW64" s="103">
        <f t="shared" si="19"/>
        <v>22.9</v>
      </c>
      <c r="AX64" s="100">
        <f t="shared" si="20"/>
        <v>286.89999999999998</v>
      </c>
      <c r="AY64" s="101">
        <f t="shared" si="42"/>
        <v>300.39999999999998</v>
      </c>
      <c r="AZ64" s="102">
        <f t="shared" si="22"/>
        <v>-13.5</v>
      </c>
      <c r="BA64" s="101">
        <f t="shared" si="23"/>
        <v>815</v>
      </c>
      <c r="BB64" s="103">
        <f t="shared" si="24"/>
        <v>-528.1</v>
      </c>
      <c r="BC64" s="100">
        <f>+赤れんが!X64/1000</f>
        <v>323.39999999999992</v>
      </c>
      <c r="BD64" s="191">
        <f>+赤れんが!Z64/1000</f>
        <v>58.79999999999999</v>
      </c>
      <c r="BE64" s="100">
        <f t="shared" si="25"/>
        <v>382.19999999999993</v>
      </c>
      <c r="BF64" s="100">
        <f>+料飲共通!W63/1000</f>
        <v>0</v>
      </c>
      <c r="BG64" s="101">
        <v>0</v>
      </c>
      <c r="BH64" s="102">
        <f t="shared" si="26"/>
        <v>0</v>
      </c>
      <c r="BI64" s="101">
        <v>0</v>
      </c>
      <c r="BJ64" s="103">
        <f t="shared" si="27"/>
        <v>0</v>
      </c>
      <c r="BK64" s="100">
        <f t="shared" si="28"/>
        <v>927.09999999999991</v>
      </c>
      <c r="BL64" s="101">
        <f t="shared" si="29"/>
        <v>559.4</v>
      </c>
      <c r="BM64" s="102">
        <f t="shared" si="0"/>
        <v>367.69999999999993</v>
      </c>
      <c r="BN64" s="101">
        <f t="shared" si="30"/>
        <v>1422</v>
      </c>
      <c r="BO64" s="103">
        <f t="shared" si="31"/>
        <v>-494.90000000000009</v>
      </c>
      <c r="BP64" s="100">
        <f t="shared" si="32"/>
        <v>544.9</v>
      </c>
      <c r="BQ64" s="101">
        <f t="shared" si="33"/>
        <v>559.4</v>
      </c>
      <c r="BR64" s="102">
        <f t="shared" si="37"/>
        <v>-14.5</v>
      </c>
      <c r="BS64" s="101">
        <f t="shared" si="34"/>
        <v>1422</v>
      </c>
      <c r="BT64" s="103">
        <f t="shared" si="35"/>
        <v>-877.1</v>
      </c>
    </row>
    <row r="65" spans="1:72" s="88" customFormat="1" ht="22" customHeight="1">
      <c r="A65" s="132"/>
      <c r="B65" s="98" t="s">
        <v>118</v>
      </c>
      <c r="C65" s="99"/>
      <c r="D65" s="99"/>
      <c r="E65" s="100">
        <f>+ﾇｰﾍﾞﾙﾌﾟｰｽ!W64/1000</f>
        <v>130</v>
      </c>
      <c r="F65" s="101">
        <v>84</v>
      </c>
      <c r="G65" s="102">
        <f t="shared" si="1"/>
        <v>46</v>
      </c>
      <c r="H65" s="101">
        <v>200</v>
      </c>
      <c r="I65" s="105">
        <f t="shared" si="2"/>
        <v>-70</v>
      </c>
      <c r="J65" s="191">
        <f>+ｶﾌｪﾙﾎﾟ!W64/1000</f>
        <v>0</v>
      </c>
      <c r="K65" s="101">
        <v>0</v>
      </c>
      <c r="L65" s="102">
        <f t="shared" si="3"/>
        <v>0</v>
      </c>
      <c r="M65" s="101">
        <v>0</v>
      </c>
      <c r="N65" s="192">
        <f t="shared" si="4"/>
        <v>0</v>
      </c>
      <c r="O65" s="104">
        <f>+ｶﾌｪｾﾚｽﾃ!W64/1000</f>
        <v>0</v>
      </c>
      <c r="P65" s="101">
        <v>0</v>
      </c>
      <c r="Q65" s="102">
        <f t="shared" si="5"/>
        <v>0</v>
      </c>
      <c r="R65" s="101">
        <v>0</v>
      </c>
      <c r="S65" s="105">
        <f t="shared" si="6"/>
        <v>0</v>
      </c>
      <c r="T65" s="100">
        <f t="shared" si="7"/>
        <v>130</v>
      </c>
      <c r="U65" s="101">
        <f t="shared" si="8"/>
        <v>84</v>
      </c>
      <c r="V65" s="102">
        <f t="shared" si="9"/>
        <v>46</v>
      </c>
      <c r="W65" s="101">
        <f t="shared" si="10"/>
        <v>200</v>
      </c>
      <c r="X65" s="103">
        <f t="shared" si="11"/>
        <v>-70</v>
      </c>
      <c r="Y65" s="104">
        <v>0</v>
      </c>
      <c r="Z65" s="101">
        <v>0</v>
      </c>
      <c r="AA65" s="102">
        <f t="shared" si="12"/>
        <v>0</v>
      </c>
      <c r="AB65" s="101">
        <v>0</v>
      </c>
      <c r="AC65" s="192">
        <f t="shared" si="13"/>
        <v>0</v>
      </c>
      <c r="AD65" s="104">
        <f>+ｼﾞｭｴﾙｽﾞ!W64/1000</f>
        <v>135</v>
      </c>
      <c r="AE65" s="101">
        <v>47</v>
      </c>
      <c r="AF65" s="102">
        <f t="shared" si="14"/>
        <v>88</v>
      </c>
      <c r="AG65" s="101">
        <v>151</v>
      </c>
      <c r="AH65" s="103">
        <f t="shared" si="15"/>
        <v>-16</v>
      </c>
      <c r="AI65" s="100">
        <f t="shared" si="36"/>
        <v>135</v>
      </c>
      <c r="AJ65" s="101">
        <f t="shared" si="38"/>
        <v>47</v>
      </c>
      <c r="AK65" s="102">
        <f t="shared" si="39"/>
        <v>88</v>
      </c>
      <c r="AL65" s="101">
        <f t="shared" si="40"/>
        <v>151</v>
      </c>
      <c r="AM65" s="103">
        <f t="shared" si="41"/>
        <v>-16</v>
      </c>
      <c r="AN65" s="100">
        <f>+ｶﾞｰﾃﾞﾝ!W64/1000</f>
        <v>165</v>
      </c>
      <c r="AO65" s="101">
        <v>196.25</v>
      </c>
      <c r="AP65" s="102">
        <f t="shared" si="16"/>
        <v>-31.25</v>
      </c>
      <c r="AQ65" s="101">
        <v>240</v>
      </c>
      <c r="AR65" s="105">
        <f t="shared" si="17"/>
        <v>-75</v>
      </c>
      <c r="AS65" s="191">
        <f>+ﾋﾞｱｶﾞｰﾃﾞﾝ!W64/1000</f>
        <v>0</v>
      </c>
      <c r="AT65" s="101">
        <v>0</v>
      </c>
      <c r="AU65" s="102">
        <f t="shared" si="18"/>
        <v>0</v>
      </c>
      <c r="AV65" s="101">
        <v>0</v>
      </c>
      <c r="AW65" s="103">
        <f t="shared" si="19"/>
        <v>0</v>
      </c>
      <c r="AX65" s="100">
        <f t="shared" si="20"/>
        <v>165</v>
      </c>
      <c r="AY65" s="101">
        <f t="shared" si="42"/>
        <v>196.25</v>
      </c>
      <c r="AZ65" s="102">
        <f t="shared" si="22"/>
        <v>-31.25</v>
      </c>
      <c r="BA65" s="101">
        <f t="shared" si="23"/>
        <v>240</v>
      </c>
      <c r="BB65" s="103">
        <f t="shared" si="24"/>
        <v>-75</v>
      </c>
      <c r="BC65" s="100">
        <f>+赤れんが!X65/1000</f>
        <v>0</v>
      </c>
      <c r="BD65" s="191">
        <f>+赤れんが!Z65/1000</f>
        <v>0</v>
      </c>
      <c r="BE65" s="100">
        <f t="shared" si="25"/>
        <v>0</v>
      </c>
      <c r="BF65" s="100">
        <f>+料飲共通!W64/1000</f>
        <v>15</v>
      </c>
      <c r="BG65" s="101">
        <v>0</v>
      </c>
      <c r="BH65" s="102">
        <f t="shared" si="26"/>
        <v>15</v>
      </c>
      <c r="BI65" s="101">
        <v>0</v>
      </c>
      <c r="BJ65" s="103">
        <f t="shared" si="27"/>
        <v>15</v>
      </c>
      <c r="BK65" s="100">
        <f t="shared" si="28"/>
        <v>445</v>
      </c>
      <c r="BL65" s="101">
        <f t="shared" si="29"/>
        <v>327.25</v>
      </c>
      <c r="BM65" s="102">
        <f t="shared" si="0"/>
        <v>117.75</v>
      </c>
      <c r="BN65" s="101">
        <f t="shared" si="30"/>
        <v>591</v>
      </c>
      <c r="BO65" s="103">
        <f t="shared" si="31"/>
        <v>-146</v>
      </c>
      <c r="BP65" s="100">
        <f t="shared" si="32"/>
        <v>445</v>
      </c>
      <c r="BQ65" s="101">
        <f t="shared" si="33"/>
        <v>327.25</v>
      </c>
      <c r="BR65" s="102">
        <f t="shared" si="37"/>
        <v>117.75</v>
      </c>
      <c r="BS65" s="101">
        <f t="shared" si="34"/>
        <v>591</v>
      </c>
      <c r="BT65" s="103">
        <f t="shared" si="35"/>
        <v>-146</v>
      </c>
    </row>
    <row r="66" spans="1:72" s="88" customFormat="1" ht="22" customHeight="1">
      <c r="A66" s="132"/>
      <c r="B66" s="98" t="s">
        <v>120</v>
      </c>
      <c r="C66" s="99"/>
      <c r="D66" s="99"/>
      <c r="E66" s="100">
        <f>+ﾇｰﾍﾞﾙﾌﾟｰｽ!W65/1000</f>
        <v>2991.44</v>
      </c>
      <c r="F66" s="101">
        <v>3012.2779999999998</v>
      </c>
      <c r="G66" s="102">
        <f t="shared" si="1"/>
        <v>-20.837999999999738</v>
      </c>
      <c r="H66" s="101">
        <v>2156</v>
      </c>
      <c r="I66" s="105">
        <f t="shared" si="2"/>
        <v>835.44</v>
      </c>
      <c r="J66" s="191">
        <f>+ｶﾌｪﾙﾎﾟ!W65/1000</f>
        <v>184</v>
      </c>
      <c r="K66" s="101">
        <v>287.60000000000002</v>
      </c>
      <c r="L66" s="102">
        <f t="shared" si="3"/>
        <v>-103.60000000000002</v>
      </c>
      <c r="M66" s="101">
        <v>25</v>
      </c>
      <c r="N66" s="192">
        <f t="shared" si="4"/>
        <v>159</v>
      </c>
      <c r="O66" s="104">
        <f>+ｶﾌｪｾﾚｽﾃ!W65/1000</f>
        <v>290</v>
      </c>
      <c r="P66" s="101">
        <v>168</v>
      </c>
      <c r="Q66" s="102">
        <f t="shared" si="5"/>
        <v>122</v>
      </c>
      <c r="R66" s="101">
        <v>133</v>
      </c>
      <c r="S66" s="105">
        <f t="shared" si="6"/>
        <v>157</v>
      </c>
      <c r="T66" s="100">
        <f t="shared" si="7"/>
        <v>3465.44</v>
      </c>
      <c r="U66" s="101">
        <f t="shared" si="8"/>
        <v>3467.8779999999997</v>
      </c>
      <c r="V66" s="102">
        <f t="shared" si="9"/>
        <v>-2.4379999999996471</v>
      </c>
      <c r="W66" s="101">
        <f t="shared" si="10"/>
        <v>2314</v>
      </c>
      <c r="X66" s="103">
        <f t="shared" si="11"/>
        <v>1151.44</v>
      </c>
      <c r="Y66" s="104">
        <v>0</v>
      </c>
      <c r="Z66" s="101">
        <v>795.87</v>
      </c>
      <c r="AA66" s="102">
        <f t="shared" si="12"/>
        <v>-795.87</v>
      </c>
      <c r="AB66" s="101">
        <v>779</v>
      </c>
      <c r="AC66" s="192">
        <f t="shared" si="13"/>
        <v>-779</v>
      </c>
      <c r="AD66" s="104">
        <f>+ｼﾞｭｴﾙｽﾞ!W65/1000</f>
        <v>3997.44</v>
      </c>
      <c r="AE66" s="101">
        <v>3786.0859999999998</v>
      </c>
      <c r="AF66" s="102">
        <f t="shared" si="14"/>
        <v>211.35400000000027</v>
      </c>
      <c r="AG66" s="101">
        <v>3182</v>
      </c>
      <c r="AH66" s="103">
        <f t="shared" si="15"/>
        <v>815.44</v>
      </c>
      <c r="AI66" s="100">
        <f t="shared" si="36"/>
        <v>3997.44</v>
      </c>
      <c r="AJ66" s="101">
        <f t="shared" si="38"/>
        <v>4581.9560000000001</v>
      </c>
      <c r="AK66" s="102">
        <f t="shared" si="39"/>
        <v>-584.51600000000008</v>
      </c>
      <c r="AL66" s="101">
        <f t="shared" si="40"/>
        <v>3961</v>
      </c>
      <c r="AM66" s="103">
        <f t="shared" si="41"/>
        <v>36.440000000000055</v>
      </c>
      <c r="AN66" s="100">
        <f>+ｶﾞｰﾃﾞﾝ!W65/1000</f>
        <v>5337.64</v>
      </c>
      <c r="AO66" s="101">
        <v>4937.143</v>
      </c>
      <c r="AP66" s="102">
        <f t="shared" si="16"/>
        <v>400.4970000000003</v>
      </c>
      <c r="AQ66" s="101">
        <v>6648</v>
      </c>
      <c r="AR66" s="105">
        <f t="shared" si="17"/>
        <v>-1310.3599999999997</v>
      </c>
      <c r="AS66" s="191">
        <f>+ﾋﾞｱｶﾞｰﾃﾞﾝ!W65/1000</f>
        <v>39740.5</v>
      </c>
      <c r="AT66" s="101">
        <v>53569.192999999999</v>
      </c>
      <c r="AU66" s="102">
        <f t="shared" si="18"/>
        <v>-13828.692999999999</v>
      </c>
      <c r="AV66" s="101">
        <v>41306</v>
      </c>
      <c r="AW66" s="103">
        <f t="shared" si="19"/>
        <v>-1565.5</v>
      </c>
      <c r="AX66" s="100">
        <f t="shared" si="20"/>
        <v>45078.14</v>
      </c>
      <c r="AY66" s="101">
        <f t="shared" si="42"/>
        <v>58506.335999999996</v>
      </c>
      <c r="AZ66" s="102">
        <f t="shared" si="22"/>
        <v>-13428.195999999996</v>
      </c>
      <c r="BA66" s="101">
        <f t="shared" si="23"/>
        <v>47954</v>
      </c>
      <c r="BB66" s="103">
        <f t="shared" si="24"/>
        <v>-2875.8600000000006</v>
      </c>
      <c r="BC66" s="100">
        <f>+赤れんが!X66/1000</f>
        <v>2114.0649071656871</v>
      </c>
      <c r="BD66" s="191">
        <f>+赤れんが!Z66/1000</f>
        <v>1206.0342185232603</v>
      </c>
      <c r="BE66" s="100">
        <f t="shared" si="25"/>
        <v>3320.0991256889474</v>
      </c>
      <c r="BF66" s="100">
        <f>+料飲共通!W65/1000</f>
        <v>909.75</v>
      </c>
      <c r="BG66" s="101">
        <v>1008.3</v>
      </c>
      <c r="BH66" s="102">
        <f t="shared" si="26"/>
        <v>-98.549999999999955</v>
      </c>
      <c r="BI66" s="101">
        <v>81</v>
      </c>
      <c r="BJ66" s="103">
        <f t="shared" si="27"/>
        <v>828.75</v>
      </c>
      <c r="BK66" s="100">
        <f t="shared" si="28"/>
        <v>56770.869125688943</v>
      </c>
      <c r="BL66" s="101">
        <f t="shared" si="29"/>
        <v>67564.47</v>
      </c>
      <c r="BM66" s="102">
        <f t="shared" si="0"/>
        <v>-10793.600874311058</v>
      </c>
      <c r="BN66" s="101">
        <f t="shared" si="30"/>
        <v>54310</v>
      </c>
      <c r="BO66" s="103">
        <f t="shared" si="31"/>
        <v>2460.8691256889433</v>
      </c>
      <c r="BP66" s="100">
        <f t="shared" si="32"/>
        <v>53450.77</v>
      </c>
      <c r="BQ66" s="101">
        <f t="shared" si="33"/>
        <v>66768.600000000006</v>
      </c>
      <c r="BR66" s="102">
        <f t="shared" si="37"/>
        <v>-13317.830000000009</v>
      </c>
      <c r="BS66" s="101">
        <f t="shared" si="34"/>
        <v>53531</v>
      </c>
      <c r="BT66" s="103">
        <f t="shared" si="35"/>
        <v>-80.230000000003201</v>
      </c>
    </row>
    <row r="67" spans="1:72" s="88" customFormat="1" ht="22" customHeight="1">
      <c r="A67" s="132"/>
      <c r="B67" s="98" t="s">
        <v>122</v>
      </c>
      <c r="C67" s="99"/>
      <c r="D67" s="99"/>
      <c r="E67" s="100">
        <f>+ﾇｰﾍﾞﾙﾌﾟｰｽ!W66/1000</f>
        <v>0</v>
      </c>
      <c r="F67" s="101">
        <v>0</v>
      </c>
      <c r="G67" s="102">
        <f t="shared" si="1"/>
        <v>0</v>
      </c>
      <c r="H67" s="101">
        <v>0</v>
      </c>
      <c r="I67" s="105">
        <f t="shared" si="2"/>
        <v>0</v>
      </c>
      <c r="J67" s="191">
        <f>+ｶﾌｪﾙﾎﾟ!W66/1000</f>
        <v>0</v>
      </c>
      <c r="K67" s="101">
        <v>0</v>
      </c>
      <c r="L67" s="102">
        <f t="shared" si="3"/>
        <v>0</v>
      </c>
      <c r="M67" s="101">
        <v>0</v>
      </c>
      <c r="N67" s="192">
        <f t="shared" si="4"/>
        <v>0</v>
      </c>
      <c r="O67" s="104">
        <f>+ｶﾌｪｾﾚｽﾃ!W66/1000</f>
        <v>0</v>
      </c>
      <c r="P67" s="101">
        <v>0</v>
      </c>
      <c r="Q67" s="102">
        <f t="shared" si="5"/>
        <v>0</v>
      </c>
      <c r="R67" s="101">
        <v>0</v>
      </c>
      <c r="S67" s="105">
        <f t="shared" si="6"/>
        <v>0</v>
      </c>
      <c r="T67" s="100">
        <f t="shared" si="7"/>
        <v>0</v>
      </c>
      <c r="U67" s="101">
        <f t="shared" si="8"/>
        <v>0</v>
      </c>
      <c r="V67" s="102">
        <f t="shared" si="9"/>
        <v>0</v>
      </c>
      <c r="W67" s="101">
        <f t="shared" si="10"/>
        <v>0</v>
      </c>
      <c r="X67" s="103">
        <f t="shared" si="11"/>
        <v>0</v>
      </c>
      <c r="Y67" s="104">
        <v>0</v>
      </c>
      <c r="Z67" s="101">
        <v>0</v>
      </c>
      <c r="AA67" s="102">
        <f t="shared" si="12"/>
        <v>0</v>
      </c>
      <c r="AB67" s="101">
        <v>0</v>
      </c>
      <c r="AC67" s="192">
        <f t="shared" si="13"/>
        <v>0</v>
      </c>
      <c r="AD67" s="104">
        <f>+ｼﾞｭｴﾙｽﾞ!W66/1000</f>
        <v>0</v>
      </c>
      <c r="AE67" s="101">
        <v>0</v>
      </c>
      <c r="AF67" s="102">
        <f t="shared" si="14"/>
        <v>0</v>
      </c>
      <c r="AG67" s="101">
        <v>0</v>
      </c>
      <c r="AH67" s="103">
        <f t="shared" si="15"/>
        <v>0</v>
      </c>
      <c r="AI67" s="100">
        <f t="shared" si="36"/>
        <v>0</v>
      </c>
      <c r="AJ67" s="101">
        <f t="shared" si="38"/>
        <v>0</v>
      </c>
      <c r="AK67" s="102">
        <f t="shared" si="39"/>
        <v>0</v>
      </c>
      <c r="AL67" s="101">
        <f t="shared" si="40"/>
        <v>0</v>
      </c>
      <c r="AM67" s="103">
        <f t="shared" si="41"/>
        <v>0</v>
      </c>
      <c r="AN67" s="100">
        <f>+ｶﾞｰﾃﾞﾝ!W66/1000</f>
        <v>0</v>
      </c>
      <c r="AO67" s="101">
        <v>0</v>
      </c>
      <c r="AP67" s="102">
        <f t="shared" si="16"/>
        <v>0</v>
      </c>
      <c r="AQ67" s="101">
        <v>0</v>
      </c>
      <c r="AR67" s="105">
        <f t="shared" si="17"/>
        <v>0</v>
      </c>
      <c r="AS67" s="191">
        <f>+ﾋﾞｱｶﾞｰﾃﾞﾝ!W66/1000</f>
        <v>0</v>
      </c>
      <c r="AT67" s="101">
        <v>0</v>
      </c>
      <c r="AU67" s="102">
        <f t="shared" si="18"/>
        <v>0</v>
      </c>
      <c r="AV67" s="101">
        <v>0</v>
      </c>
      <c r="AW67" s="103">
        <f t="shared" si="19"/>
        <v>0</v>
      </c>
      <c r="AX67" s="100">
        <f t="shared" si="20"/>
        <v>0</v>
      </c>
      <c r="AY67" s="101">
        <f t="shared" si="42"/>
        <v>0</v>
      </c>
      <c r="AZ67" s="102">
        <f t="shared" si="22"/>
        <v>0</v>
      </c>
      <c r="BA67" s="101">
        <f t="shared" si="23"/>
        <v>0</v>
      </c>
      <c r="BB67" s="103">
        <f t="shared" si="24"/>
        <v>0</v>
      </c>
      <c r="BC67" s="100">
        <v>0</v>
      </c>
      <c r="BD67" s="191">
        <v>0</v>
      </c>
      <c r="BE67" s="100">
        <f t="shared" si="25"/>
        <v>0</v>
      </c>
      <c r="BF67" s="100">
        <f>+料飲共通!W66/1000</f>
        <v>0</v>
      </c>
      <c r="BG67" s="101">
        <v>0</v>
      </c>
      <c r="BH67" s="102">
        <f t="shared" si="26"/>
        <v>0</v>
      </c>
      <c r="BI67" s="101">
        <v>0</v>
      </c>
      <c r="BJ67" s="103">
        <f t="shared" si="27"/>
        <v>0</v>
      </c>
      <c r="BK67" s="100">
        <f t="shared" si="28"/>
        <v>0</v>
      </c>
      <c r="BL67" s="101">
        <f t="shared" si="29"/>
        <v>0</v>
      </c>
      <c r="BM67" s="102">
        <f t="shared" si="0"/>
        <v>0</v>
      </c>
      <c r="BN67" s="101">
        <f t="shared" si="30"/>
        <v>0</v>
      </c>
      <c r="BO67" s="103">
        <f t="shared" si="31"/>
        <v>0</v>
      </c>
      <c r="BP67" s="100">
        <f t="shared" si="32"/>
        <v>0</v>
      </c>
      <c r="BQ67" s="101">
        <f t="shared" si="33"/>
        <v>0</v>
      </c>
      <c r="BR67" s="102">
        <f t="shared" si="37"/>
        <v>0</v>
      </c>
      <c r="BS67" s="101">
        <f t="shared" si="34"/>
        <v>0</v>
      </c>
      <c r="BT67" s="103">
        <f t="shared" si="35"/>
        <v>0</v>
      </c>
    </row>
    <row r="68" spans="1:72" s="88" customFormat="1" ht="22" customHeight="1">
      <c r="A68" s="132"/>
      <c r="B68" s="98" t="s">
        <v>124</v>
      </c>
      <c r="C68" s="99"/>
      <c r="D68" s="99"/>
      <c r="E68" s="100">
        <f>+ﾇｰﾍﾞﾙﾌﾟｰｽ!W67/1000</f>
        <v>5175.3280000000004</v>
      </c>
      <c r="F68" s="101">
        <v>4398.5039999999999</v>
      </c>
      <c r="G68" s="102">
        <f t="shared" si="1"/>
        <v>776.82400000000052</v>
      </c>
      <c r="H68" s="101">
        <v>5321</v>
      </c>
      <c r="I68" s="105">
        <f t="shared" si="2"/>
        <v>-145.67199999999957</v>
      </c>
      <c r="J68" s="191">
        <f>+ｶﾌｪﾙﾎﾟ!W67/1000</f>
        <v>160</v>
      </c>
      <c r="K68" s="101">
        <v>181.733</v>
      </c>
      <c r="L68" s="102">
        <f t="shared" si="3"/>
        <v>-21.733000000000004</v>
      </c>
      <c r="M68" s="101">
        <v>74</v>
      </c>
      <c r="N68" s="192">
        <f t="shared" si="4"/>
        <v>86</v>
      </c>
      <c r="O68" s="104">
        <f>+ｶﾌｪｾﾚｽﾃ!W67/1000</f>
        <v>160</v>
      </c>
      <c r="P68" s="101">
        <v>226.328</v>
      </c>
      <c r="Q68" s="102">
        <f t="shared" si="5"/>
        <v>-66.328000000000003</v>
      </c>
      <c r="R68" s="101">
        <v>93</v>
      </c>
      <c r="S68" s="105">
        <f t="shared" si="6"/>
        <v>67</v>
      </c>
      <c r="T68" s="100">
        <f t="shared" si="7"/>
        <v>5495.3280000000004</v>
      </c>
      <c r="U68" s="101">
        <f t="shared" si="8"/>
        <v>4806.5650000000005</v>
      </c>
      <c r="V68" s="102">
        <f t="shared" si="9"/>
        <v>688.76299999999992</v>
      </c>
      <c r="W68" s="101">
        <f t="shared" si="10"/>
        <v>5488</v>
      </c>
      <c r="X68" s="103">
        <f t="shared" si="11"/>
        <v>7.3280000000004293</v>
      </c>
      <c r="Y68" s="104">
        <v>0</v>
      </c>
      <c r="Z68" s="101">
        <v>0</v>
      </c>
      <c r="AA68" s="102">
        <f t="shared" si="12"/>
        <v>0</v>
      </c>
      <c r="AB68" s="101">
        <v>0</v>
      </c>
      <c r="AC68" s="192">
        <f t="shared" si="13"/>
        <v>0</v>
      </c>
      <c r="AD68" s="104">
        <f>+ｼﾞｭｴﾙｽﾞ!W67/1000</f>
        <v>4544.5990000000002</v>
      </c>
      <c r="AE68" s="101">
        <v>4887.84</v>
      </c>
      <c r="AF68" s="102">
        <f t="shared" si="14"/>
        <v>-343.24099999999999</v>
      </c>
      <c r="AG68" s="101">
        <v>3710</v>
      </c>
      <c r="AH68" s="103">
        <f t="shared" si="15"/>
        <v>834.59900000000016</v>
      </c>
      <c r="AI68" s="100">
        <f t="shared" si="36"/>
        <v>4544.5990000000002</v>
      </c>
      <c r="AJ68" s="101">
        <f t="shared" si="38"/>
        <v>4887.84</v>
      </c>
      <c r="AK68" s="102">
        <f t="shared" si="39"/>
        <v>-343.24099999999999</v>
      </c>
      <c r="AL68" s="101">
        <f t="shared" si="40"/>
        <v>3710</v>
      </c>
      <c r="AM68" s="103">
        <f t="shared" si="41"/>
        <v>834.59900000000016</v>
      </c>
      <c r="AN68" s="100">
        <f>+ｶﾞｰﾃﾞﾝ!W67/1000</f>
        <v>3853.22</v>
      </c>
      <c r="AO68" s="101">
        <v>3323.886</v>
      </c>
      <c r="AP68" s="102">
        <f t="shared" si="16"/>
        <v>529.33399999999983</v>
      </c>
      <c r="AQ68" s="101">
        <v>3601</v>
      </c>
      <c r="AR68" s="105">
        <f t="shared" si="17"/>
        <v>252.2199999999998</v>
      </c>
      <c r="AS68" s="191">
        <f>+ﾋﾞｱｶﾞｰﾃﾞﾝ!W67/1000</f>
        <v>1920</v>
      </c>
      <c r="AT68" s="101">
        <v>1930.2560000000001</v>
      </c>
      <c r="AU68" s="102">
        <f t="shared" si="18"/>
        <v>-10.256000000000085</v>
      </c>
      <c r="AV68" s="101">
        <v>1329</v>
      </c>
      <c r="AW68" s="103">
        <f t="shared" si="19"/>
        <v>591</v>
      </c>
      <c r="AX68" s="100">
        <f t="shared" si="20"/>
        <v>5773.2199999999993</v>
      </c>
      <c r="AY68" s="101">
        <f t="shared" si="42"/>
        <v>5254.1419999999998</v>
      </c>
      <c r="AZ68" s="102">
        <f t="shared" si="22"/>
        <v>519.07799999999952</v>
      </c>
      <c r="BA68" s="101">
        <f t="shared" si="23"/>
        <v>4930</v>
      </c>
      <c r="BB68" s="103">
        <f t="shared" si="24"/>
        <v>843.21999999999935</v>
      </c>
      <c r="BC68" s="100">
        <f>+赤れんが!X68/1000</f>
        <v>2334.0827988070296</v>
      </c>
      <c r="BD68" s="191">
        <f>+赤れんが!Z68/1000</f>
        <v>1808.5031234627877</v>
      </c>
      <c r="BE68" s="100">
        <f t="shared" si="25"/>
        <v>4142.5859222698173</v>
      </c>
      <c r="BF68" s="100">
        <f>+料飲共通!W67/1000</f>
        <v>11.5</v>
      </c>
      <c r="BG68" s="101">
        <v>11.5</v>
      </c>
      <c r="BH68" s="102">
        <f t="shared" si="26"/>
        <v>0</v>
      </c>
      <c r="BI68" s="101">
        <v>0</v>
      </c>
      <c r="BJ68" s="103">
        <f t="shared" si="27"/>
        <v>11.5</v>
      </c>
      <c r="BK68" s="100">
        <f t="shared" si="28"/>
        <v>19967.232922269817</v>
      </c>
      <c r="BL68" s="101">
        <f t="shared" si="29"/>
        <v>14960.047</v>
      </c>
      <c r="BM68" s="102">
        <f t="shared" si="0"/>
        <v>5007.1859222698167</v>
      </c>
      <c r="BN68" s="101">
        <f t="shared" si="30"/>
        <v>14128</v>
      </c>
      <c r="BO68" s="103">
        <f t="shared" si="31"/>
        <v>5839.2329222698172</v>
      </c>
      <c r="BP68" s="100">
        <f t="shared" si="32"/>
        <v>15824.647000000001</v>
      </c>
      <c r="BQ68" s="101">
        <f t="shared" si="33"/>
        <v>14960.047</v>
      </c>
      <c r="BR68" s="102">
        <f t="shared" si="37"/>
        <v>864.60000000000036</v>
      </c>
      <c r="BS68" s="101">
        <f t="shared" si="34"/>
        <v>14128</v>
      </c>
      <c r="BT68" s="103">
        <f t="shared" si="35"/>
        <v>1696.6470000000008</v>
      </c>
    </row>
    <row r="69" spans="1:72" s="88" customFormat="1" ht="22" hidden="1" customHeight="1" outlineLevel="1">
      <c r="A69" s="132"/>
      <c r="B69" s="125"/>
      <c r="C69" s="99" t="s">
        <v>124</v>
      </c>
      <c r="D69" s="99"/>
      <c r="E69" s="100">
        <f>+ﾇｰﾍﾞﾙﾌﾟｰｽ!W68/1000</f>
        <v>5175.3280000000004</v>
      </c>
      <c r="F69" s="101">
        <v>4398.5039999999999</v>
      </c>
      <c r="G69" s="102">
        <f t="shared" si="1"/>
        <v>776.82400000000052</v>
      </c>
      <c r="H69" s="101">
        <v>5321</v>
      </c>
      <c r="I69" s="105">
        <f t="shared" si="2"/>
        <v>-145.67199999999957</v>
      </c>
      <c r="J69" s="191">
        <f>+ｶﾌｪﾙﾎﾟ!W68/1000</f>
        <v>160</v>
      </c>
      <c r="K69" s="101">
        <v>181.733</v>
      </c>
      <c r="L69" s="102">
        <f t="shared" si="3"/>
        <v>-21.733000000000004</v>
      </c>
      <c r="M69" s="101">
        <v>74</v>
      </c>
      <c r="N69" s="192">
        <f t="shared" si="4"/>
        <v>86</v>
      </c>
      <c r="O69" s="104">
        <f>+ｶﾌｪｾﾚｽﾃ!W68/1000</f>
        <v>160</v>
      </c>
      <c r="P69" s="101">
        <v>226.328</v>
      </c>
      <c r="Q69" s="102">
        <f t="shared" si="5"/>
        <v>-66.328000000000003</v>
      </c>
      <c r="R69" s="101">
        <v>93</v>
      </c>
      <c r="S69" s="105">
        <f t="shared" si="6"/>
        <v>67</v>
      </c>
      <c r="T69" s="100">
        <f t="shared" si="7"/>
        <v>5495.3280000000004</v>
      </c>
      <c r="U69" s="101">
        <f t="shared" si="8"/>
        <v>4806.5650000000005</v>
      </c>
      <c r="V69" s="102">
        <f t="shared" si="9"/>
        <v>688.76299999999992</v>
      </c>
      <c r="W69" s="101">
        <f t="shared" si="10"/>
        <v>5488</v>
      </c>
      <c r="X69" s="103">
        <f t="shared" si="11"/>
        <v>7.3280000000004293</v>
      </c>
      <c r="Y69" s="104">
        <v>0</v>
      </c>
      <c r="Z69" s="101">
        <v>0</v>
      </c>
      <c r="AA69" s="102">
        <f t="shared" si="12"/>
        <v>0</v>
      </c>
      <c r="AB69" s="101">
        <v>0</v>
      </c>
      <c r="AC69" s="192">
        <f t="shared" si="13"/>
        <v>0</v>
      </c>
      <c r="AD69" s="104">
        <f>+ｼﾞｭｴﾙｽﾞ!W68/1000</f>
        <v>4544.5990000000002</v>
      </c>
      <c r="AE69" s="101">
        <v>4887.84</v>
      </c>
      <c r="AF69" s="102">
        <f t="shared" si="14"/>
        <v>-343.24099999999999</v>
      </c>
      <c r="AG69" s="101">
        <v>3710</v>
      </c>
      <c r="AH69" s="103">
        <f t="shared" si="15"/>
        <v>834.59900000000016</v>
      </c>
      <c r="AI69" s="100">
        <f t="shared" si="36"/>
        <v>4544.5990000000002</v>
      </c>
      <c r="AJ69" s="101">
        <f t="shared" si="38"/>
        <v>4887.84</v>
      </c>
      <c r="AK69" s="102">
        <f t="shared" si="39"/>
        <v>-343.24099999999999</v>
      </c>
      <c r="AL69" s="101">
        <f t="shared" si="40"/>
        <v>3710</v>
      </c>
      <c r="AM69" s="103">
        <f t="shared" si="41"/>
        <v>834.59900000000016</v>
      </c>
      <c r="AN69" s="100">
        <f>+ｶﾞｰﾃﾞﾝ!W68/1000</f>
        <v>3853.22</v>
      </c>
      <c r="AO69" s="101">
        <v>3323.886</v>
      </c>
      <c r="AP69" s="102">
        <f t="shared" si="16"/>
        <v>529.33399999999983</v>
      </c>
      <c r="AQ69" s="101">
        <v>3601</v>
      </c>
      <c r="AR69" s="105">
        <f t="shared" si="17"/>
        <v>252.2199999999998</v>
      </c>
      <c r="AS69" s="191">
        <f>+ﾋﾞｱｶﾞｰﾃﾞﾝ!W68/1000</f>
        <v>1920</v>
      </c>
      <c r="AT69" s="101">
        <v>1930.2560000000001</v>
      </c>
      <c r="AU69" s="102">
        <f t="shared" si="18"/>
        <v>-10.256000000000085</v>
      </c>
      <c r="AV69" s="101">
        <v>1329</v>
      </c>
      <c r="AW69" s="103">
        <f t="shared" si="19"/>
        <v>591</v>
      </c>
      <c r="AX69" s="100">
        <f t="shared" si="20"/>
        <v>5773.2199999999993</v>
      </c>
      <c r="AY69" s="101">
        <f t="shared" si="42"/>
        <v>5254.1419999999998</v>
      </c>
      <c r="AZ69" s="102">
        <f t="shared" si="22"/>
        <v>519.07799999999952</v>
      </c>
      <c r="BA69" s="101">
        <f t="shared" si="23"/>
        <v>4930</v>
      </c>
      <c r="BB69" s="103">
        <f t="shared" si="24"/>
        <v>843.21999999999935</v>
      </c>
      <c r="BC69" s="100">
        <f>+料飲共通!H68/1000</f>
        <v>0</v>
      </c>
      <c r="BD69" s="191">
        <f>+料飲共通!I68/1000</f>
        <v>0</v>
      </c>
      <c r="BE69" s="100">
        <f t="shared" si="25"/>
        <v>0</v>
      </c>
      <c r="BF69" s="100">
        <f>+料飲共通!W68/1000</f>
        <v>11.5</v>
      </c>
      <c r="BG69" s="101">
        <v>11.5</v>
      </c>
      <c r="BH69" s="102">
        <f t="shared" si="26"/>
        <v>0</v>
      </c>
      <c r="BI69" s="101">
        <v>0</v>
      </c>
      <c r="BJ69" s="103">
        <f t="shared" si="27"/>
        <v>11.5</v>
      </c>
      <c r="BK69" s="100">
        <f t="shared" si="28"/>
        <v>15824.646999999999</v>
      </c>
      <c r="BL69" s="101">
        <f t="shared" si="29"/>
        <v>14960.047</v>
      </c>
      <c r="BM69" s="102">
        <f t="shared" si="0"/>
        <v>864.59999999999854</v>
      </c>
      <c r="BN69" s="101">
        <f t="shared" si="30"/>
        <v>14128</v>
      </c>
      <c r="BO69" s="103">
        <f t="shared" si="31"/>
        <v>1696.646999999999</v>
      </c>
      <c r="BP69" s="100">
        <f t="shared" si="32"/>
        <v>15824.646999999999</v>
      </c>
      <c r="BQ69" s="101">
        <f t="shared" si="33"/>
        <v>14960.047</v>
      </c>
      <c r="BR69" s="102">
        <f t="shared" si="37"/>
        <v>864.59999999999854</v>
      </c>
      <c r="BS69" s="101">
        <f t="shared" si="34"/>
        <v>14128</v>
      </c>
      <c r="BT69" s="103">
        <f t="shared" si="35"/>
        <v>1696.646999999999</v>
      </c>
    </row>
    <row r="70" spans="1:72" s="88" customFormat="1" ht="22" hidden="1" customHeight="1" outlineLevel="1">
      <c r="A70" s="132"/>
      <c r="B70" s="125"/>
      <c r="C70" s="99" t="s">
        <v>127</v>
      </c>
      <c r="D70" s="99"/>
      <c r="E70" s="100">
        <f>+ﾇｰﾍﾞﾙﾌﾟｰｽ!W69/1000</f>
        <v>0</v>
      </c>
      <c r="F70" s="101">
        <v>0</v>
      </c>
      <c r="G70" s="102">
        <f t="shared" si="1"/>
        <v>0</v>
      </c>
      <c r="H70" s="101">
        <v>0</v>
      </c>
      <c r="I70" s="105">
        <f t="shared" si="2"/>
        <v>0</v>
      </c>
      <c r="J70" s="191">
        <f>+ｶﾌｪﾙﾎﾟ!W69/1000</f>
        <v>0</v>
      </c>
      <c r="K70" s="101">
        <v>0</v>
      </c>
      <c r="L70" s="102">
        <f t="shared" si="3"/>
        <v>0</v>
      </c>
      <c r="M70" s="101">
        <v>0</v>
      </c>
      <c r="N70" s="192">
        <f t="shared" si="4"/>
        <v>0</v>
      </c>
      <c r="O70" s="104">
        <f>+ｶﾌｪｾﾚｽﾃ!W69/1000</f>
        <v>0</v>
      </c>
      <c r="P70" s="101">
        <v>0</v>
      </c>
      <c r="Q70" s="102">
        <f t="shared" si="5"/>
        <v>0</v>
      </c>
      <c r="R70" s="101">
        <v>0</v>
      </c>
      <c r="S70" s="105">
        <f t="shared" si="6"/>
        <v>0</v>
      </c>
      <c r="T70" s="100">
        <f t="shared" si="7"/>
        <v>0</v>
      </c>
      <c r="U70" s="101">
        <f t="shared" si="8"/>
        <v>0</v>
      </c>
      <c r="V70" s="102">
        <f t="shared" si="9"/>
        <v>0</v>
      </c>
      <c r="W70" s="101">
        <f t="shared" si="10"/>
        <v>0</v>
      </c>
      <c r="X70" s="103">
        <f t="shared" si="11"/>
        <v>0</v>
      </c>
      <c r="Y70" s="104">
        <v>0</v>
      </c>
      <c r="Z70" s="101">
        <v>0</v>
      </c>
      <c r="AA70" s="102">
        <f t="shared" si="12"/>
        <v>0</v>
      </c>
      <c r="AB70" s="101">
        <v>0</v>
      </c>
      <c r="AC70" s="192">
        <f t="shared" si="13"/>
        <v>0</v>
      </c>
      <c r="AD70" s="104">
        <f>+ｼﾞｭｴﾙｽﾞ!W69/1000</f>
        <v>0</v>
      </c>
      <c r="AE70" s="101">
        <v>0</v>
      </c>
      <c r="AF70" s="102">
        <f t="shared" si="14"/>
        <v>0</v>
      </c>
      <c r="AG70" s="101">
        <v>0</v>
      </c>
      <c r="AH70" s="103">
        <f t="shared" si="15"/>
        <v>0</v>
      </c>
      <c r="AI70" s="100">
        <f t="shared" si="36"/>
        <v>0</v>
      </c>
      <c r="AJ70" s="101">
        <f t="shared" si="38"/>
        <v>0</v>
      </c>
      <c r="AK70" s="102">
        <f t="shared" si="39"/>
        <v>0</v>
      </c>
      <c r="AL70" s="101">
        <f t="shared" si="40"/>
        <v>0</v>
      </c>
      <c r="AM70" s="103">
        <f t="shared" si="41"/>
        <v>0</v>
      </c>
      <c r="AN70" s="100">
        <f>+ｶﾞｰﾃﾞﾝ!W69/1000</f>
        <v>0</v>
      </c>
      <c r="AO70" s="101">
        <v>0</v>
      </c>
      <c r="AP70" s="102">
        <f t="shared" si="16"/>
        <v>0</v>
      </c>
      <c r="AQ70" s="101">
        <v>0</v>
      </c>
      <c r="AR70" s="105">
        <f t="shared" si="17"/>
        <v>0</v>
      </c>
      <c r="AS70" s="191">
        <f>+ﾋﾞｱｶﾞｰﾃﾞﾝ!W69/1000</f>
        <v>0</v>
      </c>
      <c r="AT70" s="101">
        <v>0</v>
      </c>
      <c r="AU70" s="102">
        <f t="shared" si="18"/>
        <v>0</v>
      </c>
      <c r="AV70" s="101">
        <v>0</v>
      </c>
      <c r="AW70" s="103">
        <f t="shared" si="19"/>
        <v>0</v>
      </c>
      <c r="AX70" s="100">
        <f t="shared" si="20"/>
        <v>0</v>
      </c>
      <c r="AY70" s="101">
        <f t="shared" si="42"/>
        <v>0</v>
      </c>
      <c r="AZ70" s="102">
        <f t="shared" si="22"/>
        <v>0</v>
      </c>
      <c r="BA70" s="101">
        <f t="shared" si="23"/>
        <v>0</v>
      </c>
      <c r="BB70" s="103">
        <f t="shared" si="24"/>
        <v>0</v>
      </c>
      <c r="BC70" s="100">
        <f>+料飲共通!H69/1000</f>
        <v>0</v>
      </c>
      <c r="BD70" s="191">
        <f>+料飲共通!I69/1000</f>
        <v>0</v>
      </c>
      <c r="BE70" s="100">
        <f t="shared" si="25"/>
        <v>0</v>
      </c>
      <c r="BF70" s="100">
        <f>+料飲共通!W69/1000</f>
        <v>0</v>
      </c>
      <c r="BG70" s="101">
        <v>0</v>
      </c>
      <c r="BH70" s="102">
        <f t="shared" si="26"/>
        <v>0</v>
      </c>
      <c r="BI70" s="101">
        <v>0</v>
      </c>
      <c r="BJ70" s="103">
        <f t="shared" si="27"/>
        <v>0</v>
      </c>
      <c r="BK70" s="100">
        <f t="shared" si="28"/>
        <v>0</v>
      </c>
      <c r="BL70" s="101">
        <f t="shared" si="29"/>
        <v>0</v>
      </c>
      <c r="BM70" s="102">
        <f t="shared" si="0"/>
        <v>0</v>
      </c>
      <c r="BN70" s="101">
        <f t="shared" si="30"/>
        <v>0</v>
      </c>
      <c r="BO70" s="103">
        <f t="shared" si="31"/>
        <v>0</v>
      </c>
      <c r="BP70" s="100">
        <f t="shared" si="32"/>
        <v>0</v>
      </c>
      <c r="BQ70" s="101">
        <f t="shared" si="33"/>
        <v>0</v>
      </c>
      <c r="BR70" s="102">
        <f t="shared" si="37"/>
        <v>0</v>
      </c>
      <c r="BS70" s="101">
        <f t="shared" si="34"/>
        <v>0</v>
      </c>
      <c r="BT70" s="103">
        <f t="shared" si="35"/>
        <v>0</v>
      </c>
    </row>
    <row r="71" spans="1:72" s="88" customFormat="1" ht="22" customHeight="1" collapsed="1">
      <c r="A71" s="132"/>
      <c r="B71" s="98" t="s">
        <v>129</v>
      </c>
      <c r="C71" s="99"/>
      <c r="D71" s="99"/>
      <c r="E71" s="100">
        <f>+ﾇｰﾍﾞﾙﾌﾟｰｽ!W70/1000</f>
        <v>250</v>
      </c>
      <c r="F71" s="101">
        <v>80.721000000000004</v>
      </c>
      <c r="G71" s="102">
        <f t="shared" si="1"/>
        <v>169.279</v>
      </c>
      <c r="H71" s="101">
        <v>36</v>
      </c>
      <c r="I71" s="105">
        <f t="shared" si="2"/>
        <v>214</v>
      </c>
      <c r="J71" s="191">
        <f>+ｶﾌｪﾙﾎﾟ!W70/1000</f>
        <v>0</v>
      </c>
      <c r="K71" s="101">
        <v>0</v>
      </c>
      <c r="L71" s="102">
        <f t="shared" si="3"/>
        <v>0</v>
      </c>
      <c r="M71" s="101">
        <v>0</v>
      </c>
      <c r="N71" s="192">
        <f t="shared" si="4"/>
        <v>0</v>
      </c>
      <c r="O71" s="104">
        <f>+ｶﾌｪｾﾚｽﾃ!W70/1000</f>
        <v>0</v>
      </c>
      <c r="P71" s="101">
        <v>0</v>
      </c>
      <c r="Q71" s="102">
        <f t="shared" si="5"/>
        <v>0</v>
      </c>
      <c r="R71" s="101">
        <v>0</v>
      </c>
      <c r="S71" s="105">
        <f t="shared" si="6"/>
        <v>0</v>
      </c>
      <c r="T71" s="100">
        <f t="shared" si="7"/>
        <v>250</v>
      </c>
      <c r="U71" s="101">
        <f t="shared" si="8"/>
        <v>80.721000000000004</v>
      </c>
      <c r="V71" s="102">
        <f t="shared" si="9"/>
        <v>169.279</v>
      </c>
      <c r="W71" s="101">
        <f t="shared" si="10"/>
        <v>36</v>
      </c>
      <c r="X71" s="103">
        <f t="shared" si="11"/>
        <v>214</v>
      </c>
      <c r="Y71" s="104">
        <v>0</v>
      </c>
      <c r="Z71" s="101">
        <v>0</v>
      </c>
      <c r="AA71" s="102">
        <f t="shared" si="12"/>
        <v>0</v>
      </c>
      <c r="AB71" s="101">
        <v>0</v>
      </c>
      <c r="AC71" s="192">
        <f t="shared" si="13"/>
        <v>0</v>
      </c>
      <c r="AD71" s="104">
        <f>+ｼﾞｭｴﾙｽﾞ!W70/1000</f>
        <v>129</v>
      </c>
      <c r="AE71" s="101">
        <v>97.238</v>
      </c>
      <c r="AF71" s="102">
        <f t="shared" si="14"/>
        <v>31.762</v>
      </c>
      <c r="AG71" s="101">
        <v>56</v>
      </c>
      <c r="AH71" s="103">
        <f t="shared" si="15"/>
        <v>73</v>
      </c>
      <c r="AI71" s="100">
        <f t="shared" si="36"/>
        <v>129</v>
      </c>
      <c r="AJ71" s="101">
        <f t="shared" si="38"/>
        <v>97.238</v>
      </c>
      <c r="AK71" s="102">
        <f t="shared" si="39"/>
        <v>31.762</v>
      </c>
      <c r="AL71" s="101">
        <f t="shared" si="40"/>
        <v>56</v>
      </c>
      <c r="AM71" s="103">
        <f t="shared" si="41"/>
        <v>73</v>
      </c>
      <c r="AN71" s="100">
        <f>+ｶﾞｰﾃﾞﾝ!W70/1000</f>
        <v>182.72800000000001</v>
      </c>
      <c r="AO71" s="101">
        <v>279.23</v>
      </c>
      <c r="AP71" s="102">
        <f t="shared" si="16"/>
        <v>-96.50200000000001</v>
      </c>
      <c r="AQ71" s="101">
        <v>29</v>
      </c>
      <c r="AR71" s="105">
        <f t="shared" si="17"/>
        <v>153.72800000000001</v>
      </c>
      <c r="AS71" s="191">
        <f>+ﾋﾞｱｶﾞｰﾃﾞﾝ!W70/1000</f>
        <v>0</v>
      </c>
      <c r="AT71" s="101">
        <v>0</v>
      </c>
      <c r="AU71" s="102">
        <f t="shared" si="18"/>
        <v>0</v>
      </c>
      <c r="AV71" s="101">
        <v>0</v>
      </c>
      <c r="AW71" s="103">
        <f t="shared" si="19"/>
        <v>0</v>
      </c>
      <c r="AX71" s="100">
        <f t="shared" si="20"/>
        <v>182.72800000000001</v>
      </c>
      <c r="AY71" s="101">
        <f t="shared" si="42"/>
        <v>279.23</v>
      </c>
      <c r="AZ71" s="102">
        <f t="shared" si="22"/>
        <v>-96.50200000000001</v>
      </c>
      <c r="BA71" s="101">
        <f t="shared" si="23"/>
        <v>29</v>
      </c>
      <c r="BB71" s="103">
        <f t="shared" si="24"/>
        <v>153.72800000000001</v>
      </c>
      <c r="BC71" s="100">
        <f>+赤れんが!X71/1000</f>
        <v>0</v>
      </c>
      <c r="BD71" s="191">
        <f>+赤れんが!Z71/1000</f>
        <v>0</v>
      </c>
      <c r="BE71" s="100">
        <f t="shared" si="25"/>
        <v>0</v>
      </c>
      <c r="BF71" s="100">
        <f>+料飲共通!W70/1000</f>
        <v>818</v>
      </c>
      <c r="BG71" s="101">
        <v>576.53499999999997</v>
      </c>
      <c r="BH71" s="102">
        <f t="shared" si="26"/>
        <v>241.46500000000003</v>
      </c>
      <c r="BI71" s="101">
        <v>111</v>
      </c>
      <c r="BJ71" s="103">
        <f t="shared" si="27"/>
        <v>707</v>
      </c>
      <c r="BK71" s="100">
        <f t="shared" si="28"/>
        <v>1379.7280000000001</v>
      </c>
      <c r="BL71" s="101">
        <f t="shared" si="29"/>
        <v>1033.7239999999999</v>
      </c>
      <c r="BM71" s="102">
        <f t="shared" ref="BM71:BM118" si="43">+BK71-BL71</f>
        <v>346.00400000000013</v>
      </c>
      <c r="BN71" s="101">
        <f t="shared" si="30"/>
        <v>232</v>
      </c>
      <c r="BO71" s="103">
        <f t="shared" si="31"/>
        <v>1147.7280000000001</v>
      </c>
      <c r="BP71" s="100">
        <f t="shared" si="32"/>
        <v>1379.7280000000001</v>
      </c>
      <c r="BQ71" s="101">
        <f t="shared" si="33"/>
        <v>1033.7239999999999</v>
      </c>
      <c r="BR71" s="102">
        <f t="shared" si="37"/>
        <v>346.00400000000013</v>
      </c>
      <c r="BS71" s="101">
        <f t="shared" si="34"/>
        <v>232</v>
      </c>
      <c r="BT71" s="103">
        <f t="shared" si="35"/>
        <v>1147.7280000000001</v>
      </c>
    </row>
    <row r="72" spans="1:72" s="88" customFormat="1" ht="22" customHeight="1">
      <c r="A72" s="132"/>
      <c r="B72" s="98" t="s">
        <v>131</v>
      </c>
      <c r="C72" s="99"/>
      <c r="D72" s="99"/>
      <c r="E72" s="100">
        <f>+ﾇｰﾍﾞﾙﾌﾟｰｽ!W71/1000</f>
        <v>362.6</v>
      </c>
      <c r="F72" s="101">
        <v>328.70699999999999</v>
      </c>
      <c r="G72" s="102">
        <f t="shared" ref="G72:G111" si="44">+E72-F72</f>
        <v>33.893000000000029</v>
      </c>
      <c r="H72" s="101">
        <v>374</v>
      </c>
      <c r="I72" s="105">
        <f t="shared" ref="I72:I119" si="45">+E72-H72</f>
        <v>-11.399999999999977</v>
      </c>
      <c r="J72" s="191">
        <f>+ｶﾌｪﾙﾎﾟ!W71/1000</f>
        <v>500</v>
      </c>
      <c r="K72" s="101">
        <v>524.73500000000001</v>
      </c>
      <c r="L72" s="102">
        <f t="shared" ref="L72:L111" si="46">+J72-K72</f>
        <v>-24.735000000000014</v>
      </c>
      <c r="M72" s="101">
        <v>291</v>
      </c>
      <c r="N72" s="192">
        <f t="shared" ref="N72:N119" si="47">+J72-M72</f>
        <v>209</v>
      </c>
      <c r="O72" s="104">
        <f>+ｶﾌｪｾﾚｽﾃ!W71/1000</f>
        <v>58.109000000000002</v>
      </c>
      <c r="P72" s="101">
        <v>57.43</v>
      </c>
      <c r="Q72" s="102">
        <f t="shared" ref="Q72:Q111" si="48">+O72-P72</f>
        <v>0.67900000000000205</v>
      </c>
      <c r="R72" s="101">
        <v>87</v>
      </c>
      <c r="S72" s="105">
        <f t="shared" ref="S72:S119" si="49">+O72-R72</f>
        <v>-28.890999999999998</v>
      </c>
      <c r="T72" s="100">
        <f t="shared" ref="T72:T119" si="50">+E72+J72+O72</f>
        <v>920.70900000000006</v>
      </c>
      <c r="U72" s="101">
        <f t="shared" ref="U72:U119" si="51">+F72+K72+P72</f>
        <v>910.87199999999996</v>
      </c>
      <c r="V72" s="102">
        <f t="shared" ref="V72:V111" si="52">+T72-U72</f>
        <v>9.8370000000001028</v>
      </c>
      <c r="W72" s="101">
        <f t="shared" ref="W72:W119" si="53">+H72+M72+R72</f>
        <v>752</v>
      </c>
      <c r="X72" s="103">
        <f t="shared" ref="X72:X119" si="54">+T72-W72</f>
        <v>168.70900000000006</v>
      </c>
      <c r="Y72" s="104">
        <v>0</v>
      </c>
      <c r="Z72" s="101">
        <v>0</v>
      </c>
      <c r="AA72" s="102">
        <f t="shared" ref="AA72:AA111" si="55">+Y72-Z72</f>
        <v>0</v>
      </c>
      <c r="AB72" s="101">
        <v>34</v>
      </c>
      <c r="AC72" s="192">
        <f t="shared" ref="AC72:AC119" si="56">+Y72-AB72</f>
        <v>-34</v>
      </c>
      <c r="AD72" s="104">
        <f>+ｼﾞｭｴﾙｽﾞ!W71/1000</f>
        <v>1275.8</v>
      </c>
      <c r="AE72" s="101">
        <v>1233.7470000000001</v>
      </c>
      <c r="AF72" s="102">
        <f t="shared" ref="AF72:AF111" si="57">+AD72-AE72</f>
        <v>42.052999999999884</v>
      </c>
      <c r="AG72" s="101">
        <v>1208</v>
      </c>
      <c r="AH72" s="103">
        <f t="shared" ref="AH72:AH119" si="58">+AD72-AG72</f>
        <v>67.799999999999955</v>
      </c>
      <c r="AI72" s="100">
        <f t="shared" ref="AI72:AI119" si="59">+Y72+AD72</f>
        <v>1275.8</v>
      </c>
      <c r="AJ72" s="101">
        <f t="shared" ref="AJ72:AJ119" si="60">+Z72+AE72</f>
        <v>1233.7470000000001</v>
      </c>
      <c r="AK72" s="102">
        <f t="shared" ref="AK72:AK111" si="61">+AI72-AJ72</f>
        <v>42.052999999999884</v>
      </c>
      <c r="AL72" s="101">
        <f t="shared" ref="AL72:AL119" si="62">+AB72+AG72</f>
        <v>1242</v>
      </c>
      <c r="AM72" s="103">
        <f t="shared" ref="AM72:AM119" si="63">+AI72-AL72</f>
        <v>33.799999999999955</v>
      </c>
      <c r="AN72" s="100">
        <f>+ｶﾞｰﾃﾞﾝ!W71/1000</f>
        <v>808.55</v>
      </c>
      <c r="AO72" s="101">
        <v>815.11199999999997</v>
      </c>
      <c r="AP72" s="102">
        <f t="shared" ref="AP72:AP111" si="64">+AN72-AO72</f>
        <v>-6.5620000000000118</v>
      </c>
      <c r="AQ72" s="101">
        <v>803</v>
      </c>
      <c r="AR72" s="105">
        <f t="shared" ref="AR72:AR119" si="65">+AN72-AQ72</f>
        <v>5.5499999999999545</v>
      </c>
      <c r="AS72" s="191">
        <f>+ﾋﾞｱｶﾞｰﾃﾞﾝ!W71/1000</f>
        <v>77.763999999999996</v>
      </c>
      <c r="AT72" s="101">
        <v>140.81800000000001</v>
      </c>
      <c r="AU72" s="102">
        <f t="shared" ref="AU72:AU111" si="66">+AS72-AT72</f>
        <v>-63.054000000000016</v>
      </c>
      <c r="AV72" s="101">
        <v>140</v>
      </c>
      <c r="AW72" s="103">
        <f t="shared" ref="AW72:AW119" si="67">+AS72-AV72</f>
        <v>-62.236000000000004</v>
      </c>
      <c r="AX72" s="100">
        <f t="shared" ref="AX72:AX119" si="68">+AN72+AS72</f>
        <v>886.31399999999996</v>
      </c>
      <c r="AY72" s="101">
        <f t="shared" ref="AY72:AY119" si="69">+AO72+AT72</f>
        <v>955.93</v>
      </c>
      <c r="AZ72" s="102">
        <f t="shared" ref="AZ72:AZ119" si="70">+AX72-AY72</f>
        <v>-69.615999999999985</v>
      </c>
      <c r="BA72" s="101">
        <f t="shared" ref="BA72:BA119" si="71">+AQ72+AV72</f>
        <v>943</v>
      </c>
      <c r="BB72" s="103">
        <f t="shared" ref="BB72:BB119" si="72">+AX72-BA72</f>
        <v>-56.686000000000035</v>
      </c>
      <c r="BC72" s="100">
        <f>+赤れんが!X72/1000</f>
        <v>461.89095345698252</v>
      </c>
      <c r="BD72" s="191">
        <f>+赤れんが!Z72/1000</f>
        <v>196.50122831341082</v>
      </c>
      <c r="BE72" s="100">
        <f t="shared" ref="BE72:BE119" si="73">+BC72+BD72</f>
        <v>658.39218177039334</v>
      </c>
      <c r="BF72" s="100">
        <f>+料飲共通!W71/1000</f>
        <v>189.6</v>
      </c>
      <c r="BG72" s="101">
        <v>159.35300000000001</v>
      </c>
      <c r="BH72" s="102">
        <f t="shared" ref="BH72:BH111" si="74">+BF72-BG72</f>
        <v>30.246999999999986</v>
      </c>
      <c r="BI72" s="101">
        <v>62</v>
      </c>
      <c r="BJ72" s="103">
        <f t="shared" ref="BJ72:BJ119" si="75">+BF72-BI72</f>
        <v>127.6</v>
      </c>
      <c r="BK72" s="100">
        <f t="shared" ref="BK72:BK119" si="76">+T72+AI72+AX72+BE72+BF72</f>
        <v>3930.8151817703933</v>
      </c>
      <c r="BL72" s="101">
        <f t="shared" ref="BL72:BL119" si="77">+U72+AJ72+AY72+BG72</f>
        <v>3259.902</v>
      </c>
      <c r="BM72" s="102">
        <f t="shared" si="43"/>
        <v>670.91318177039329</v>
      </c>
      <c r="BN72" s="101">
        <f t="shared" ref="BN72:BN118" si="78">+W72+AL72+BA72+BI72</f>
        <v>2999</v>
      </c>
      <c r="BO72" s="103">
        <f t="shared" ref="BO72:BO119" si="79">+BK72-BN72</f>
        <v>931.81518177039334</v>
      </c>
      <c r="BP72" s="100">
        <f t="shared" ref="BP72:BP119" si="80">+BK72-BE72</f>
        <v>3272.4229999999998</v>
      </c>
      <c r="BQ72" s="101">
        <f t="shared" ref="BQ72:BQ119" si="81">+BL72-Z72</f>
        <v>3259.902</v>
      </c>
      <c r="BR72" s="102">
        <f t="shared" si="37"/>
        <v>12.520999999999731</v>
      </c>
      <c r="BS72" s="101">
        <f t="shared" ref="BS72:BS119" si="82">+BN72-AB72</f>
        <v>2965</v>
      </c>
      <c r="BT72" s="103">
        <f t="shared" ref="BT72:BT119" si="83">+BP72-BS72</f>
        <v>307.42299999999977</v>
      </c>
    </row>
    <row r="73" spans="1:72" s="88" customFormat="1" ht="22" customHeight="1">
      <c r="A73" s="132"/>
      <c r="B73" s="98" t="s">
        <v>133</v>
      </c>
      <c r="C73" s="99"/>
      <c r="D73" s="99"/>
      <c r="E73" s="100">
        <f>+ﾇｰﾍﾞﾙﾌﾟｰｽ!W72/1000</f>
        <v>8670.7109999999993</v>
      </c>
      <c r="F73" s="101">
        <v>8738.9339999999993</v>
      </c>
      <c r="G73" s="102">
        <f t="shared" si="44"/>
        <v>-68.222999999999956</v>
      </c>
      <c r="H73" s="101">
        <v>8860</v>
      </c>
      <c r="I73" s="105">
        <f t="shared" si="45"/>
        <v>-189.28900000000067</v>
      </c>
      <c r="J73" s="191">
        <f>+ｶﾌｪﾙﾎﾟ!W72/1000</f>
        <v>1238.4949999999999</v>
      </c>
      <c r="K73" s="101">
        <v>1248.433</v>
      </c>
      <c r="L73" s="102">
        <f t="shared" si="46"/>
        <v>-9.9380000000001019</v>
      </c>
      <c r="M73" s="101">
        <v>1242</v>
      </c>
      <c r="N73" s="192">
        <f t="shared" si="47"/>
        <v>-3.5050000000001091</v>
      </c>
      <c r="O73" s="104">
        <f>+ｶﾌｪｾﾚｽﾃ!W72/1000</f>
        <v>0</v>
      </c>
      <c r="P73" s="101">
        <v>0</v>
      </c>
      <c r="Q73" s="102">
        <f t="shared" si="48"/>
        <v>0</v>
      </c>
      <c r="R73" s="101">
        <v>0</v>
      </c>
      <c r="S73" s="105">
        <f t="shared" si="49"/>
        <v>0</v>
      </c>
      <c r="T73" s="100">
        <f t="shared" si="50"/>
        <v>9909.2059999999983</v>
      </c>
      <c r="U73" s="101">
        <f t="shared" si="51"/>
        <v>9987.3669999999984</v>
      </c>
      <c r="V73" s="102">
        <f t="shared" si="52"/>
        <v>-78.161000000000058</v>
      </c>
      <c r="W73" s="101">
        <f t="shared" si="53"/>
        <v>10102</v>
      </c>
      <c r="X73" s="103">
        <f t="shared" si="54"/>
        <v>-192.79400000000169</v>
      </c>
      <c r="Y73" s="104">
        <v>0</v>
      </c>
      <c r="Z73" s="101">
        <v>0</v>
      </c>
      <c r="AA73" s="102">
        <f t="shared" si="55"/>
        <v>0</v>
      </c>
      <c r="AB73" s="101">
        <v>1766</v>
      </c>
      <c r="AC73" s="192">
        <f t="shared" si="56"/>
        <v>-1766</v>
      </c>
      <c r="AD73" s="104">
        <f>+ｼﾞｭｴﾙｽﾞ!W72/1000</f>
        <v>4240</v>
      </c>
      <c r="AE73" s="101">
        <v>4587.8789999999999</v>
      </c>
      <c r="AF73" s="102">
        <f t="shared" si="57"/>
        <v>-347.87899999999991</v>
      </c>
      <c r="AG73" s="101">
        <v>4090</v>
      </c>
      <c r="AH73" s="103">
        <f t="shared" si="58"/>
        <v>150</v>
      </c>
      <c r="AI73" s="100">
        <f t="shared" si="59"/>
        <v>4240</v>
      </c>
      <c r="AJ73" s="101">
        <f t="shared" si="60"/>
        <v>4587.8789999999999</v>
      </c>
      <c r="AK73" s="102">
        <f t="shared" si="61"/>
        <v>-347.87899999999991</v>
      </c>
      <c r="AL73" s="101">
        <f t="shared" si="62"/>
        <v>5856</v>
      </c>
      <c r="AM73" s="103">
        <f t="shared" si="63"/>
        <v>-1616</v>
      </c>
      <c r="AN73" s="100">
        <f>+ｶﾞｰﾃﾞﾝ!W72/1000</f>
        <v>5040</v>
      </c>
      <c r="AO73" s="101">
        <v>5003.8999999999996</v>
      </c>
      <c r="AP73" s="102">
        <f t="shared" si="64"/>
        <v>36.100000000000364</v>
      </c>
      <c r="AQ73" s="101">
        <v>5282</v>
      </c>
      <c r="AR73" s="105">
        <f t="shared" si="65"/>
        <v>-242</v>
      </c>
      <c r="AS73" s="191">
        <f>+ﾋﾞｱｶﾞｰﾃﾞﾝ!W72/1000</f>
        <v>890</v>
      </c>
      <c r="AT73" s="101">
        <v>836.447</v>
      </c>
      <c r="AU73" s="102">
        <f t="shared" si="66"/>
        <v>53.552999999999997</v>
      </c>
      <c r="AV73" s="101">
        <v>435</v>
      </c>
      <c r="AW73" s="103">
        <f t="shared" si="67"/>
        <v>455</v>
      </c>
      <c r="AX73" s="100">
        <f t="shared" si="68"/>
        <v>5930</v>
      </c>
      <c r="AY73" s="101">
        <f t="shared" si="69"/>
        <v>5840.3469999999998</v>
      </c>
      <c r="AZ73" s="102">
        <f t="shared" si="70"/>
        <v>89.653000000000247</v>
      </c>
      <c r="BA73" s="101">
        <f t="shared" si="71"/>
        <v>5717</v>
      </c>
      <c r="BB73" s="103">
        <f t="shared" si="72"/>
        <v>213</v>
      </c>
      <c r="BC73" s="100">
        <f>+赤れんが!X73/1000</f>
        <v>2703.61</v>
      </c>
      <c r="BD73" s="191">
        <f>+赤れんが!Z73/1000</f>
        <v>1457.26</v>
      </c>
      <c r="BE73" s="100">
        <f t="shared" si="73"/>
        <v>4160.87</v>
      </c>
      <c r="BF73" s="100">
        <f>+料飲共通!W72/1000</f>
        <v>0</v>
      </c>
      <c r="BG73" s="101">
        <v>0</v>
      </c>
      <c r="BH73" s="102">
        <f t="shared" si="74"/>
        <v>0</v>
      </c>
      <c r="BI73" s="101">
        <v>0</v>
      </c>
      <c r="BJ73" s="103">
        <f t="shared" si="75"/>
        <v>0</v>
      </c>
      <c r="BK73" s="100">
        <f t="shared" si="76"/>
        <v>24240.075999999997</v>
      </c>
      <c r="BL73" s="101">
        <f t="shared" si="77"/>
        <v>20415.593000000001</v>
      </c>
      <c r="BM73" s="102">
        <f t="shared" si="43"/>
        <v>3824.4829999999965</v>
      </c>
      <c r="BN73" s="101">
        <f t="shared" si="78"/>
        <v>21675</v>
      </c>
      <c r="BO73" s="103">
        <f t="shared" si="79"/>
        <v>2565.0759999999973</v>
      </c>
      <c r="BP73" s="100">
        <f t="shared" si="80"/>
        <v>20079.205999999998</v>
      </c>
      <c r="BQ73" s="101">
        <f t="shared" si="81"/>
        <v>20415.593000000001</v>
      </c>
      <c r="BR73" s="102">
        <f t="shared" ref="BR73:BR111" si="84">+BP73-BQ73</f>
        <v>-336.38700000000244</v>
      </c>
      <c r="BS73" s="101">
        <f t="shared" si="82"/>
        <v>19909</v>
      </c>
      <c r="BT73" s="103">
        <f t="shared" si="83"/>
        <v>170.20599999999831</v>
      </c>
    </row>
    <row r="74" spans="1:72" s="88" customFormat="1" ht="22" hidden="1" customHeight="1" outlineLevel="1">
      <c r="A74" s="132"/>
      <c r="B74" s="125"/>
      <c r="C74" s="99" t="s">
        <v>135</v>
      </c>
      <c r="D74" s="99"/>
      <c r="E74" s="100">
        <f>+ﾇｰﾍﾞﾙﾌﾟｰｽ!W73/1000</f>
        <v>4679.99</v>
      </c>
      <c r="F74" s="101">
        <v>4698.5829999999996</v>
      </c>
      <c r="G74" s="102">
        <f t="shared" si="44"/>
        <v>-18.592999999999847</v>
      </c>
      <c r="H74" s="101">
        <v>5067</v>
      </c>
      <c r="I74" s="105">
        <f t="shared" si="45"/>
        <v>-387.01000000000022</v>
      </c>
      <c r="J74" s="191">
        <f>+ｶﾌｪﾙﾎﾟ!W73/1000</f>
        <v>668.57100000000003</v>
      </c>
      <c r="K74" s="101">
        <v>671.22799999999995</v>
      </c>
      <c r="L74" s="102">
        <f t="shared" si="46"/>
        <v>-2.6569999999999254</v>
      </c>
      <c r="M74" s="101">
        <v>679</v>
      </c>
      <c r="N74" s="192">
        <f t="shared" si="47"/>
        <v>-10.428999999999974</v>
      </c>
      <c r="O74" s="104">
        <f>+ｶﾌｪｾﾚｽﾃ!W73/1000</f>
        <v>0</v>
      </c>
      <c r="P74" s="101">
        <v>0</v>
      </c>
      <c r="Q74" s="102">
        <f t="shared" si="48"/>
        <v>0</v>
      </c>
      <c r="R74" s="101">
        <v>0</v>
      </c>
      <c r="S74" s="105">
        <f t="shared" si="49"/>
        <v>0</v>
      </c>
      <c r="T74" s="100">
        <f t="shared" si="50"/>
        <v>5348.5609999999997</v>
      </c>
      <c r="U74" s="101">
        <f t="shared" si="51"/>
        <v>5369.8109999999997</v>
      </c>
      <c r="V74" s="102">
        <f t="shared" si="52"/>
        <v>-21.25</v>
      </c>
      <c r="W74" s="101">
        <f t="shared" si="53"/>
        <v>5746</v>
      </c>
      <c r="X74" s="103">
        <f t="shared" si="54"/>
        <v>-397.43900000000031</v>
      </c>
      <c r="Y74" s="104">
        <v>0</v>
      </c>
      <c r="Z74" s="101">
        <v>0</v>
      </c>
      <c r="AA74" s="102">
        <f t="shared" si="55"/>
        <v>0</v>
      </c>
      <c r="AB74" s="101">
        <v>440</v>
      </c>
      <c r="AC74" s="192">
        <f t="shared" si="56"/>
        <v>-440</v>
      </c>
      <c r="AD74" s="104">
        <f>+ｼﾞｭｴﾙｽﾞ!W73/1000</f>
        <v>3750</v>
      </c>
      <c r="AE74" s="101">
        <v>4109.2950000000001</v>
      </c>
      <c r="AF74" s="102">
        <f t="shared" si="57"/>
        <v>-359.29500000000007</v>
      </c>
      <c r="AG74" s="101">
        <v>3640</v>
      </c>
      <c r="AH74" s="103">
        <f t="shared" si="58"/>
        <v>110</v>
      </c>
      <c r="AI74" s="100">
        <f t="shared" si="59"/>
        <v>3750</v>
      </c>
      <c r="AJ74" s="101">
        <f t="shared" si="60"/>
        <v>4109.2950000000001</v>
      </c>
      <c r="AK74" s="102">
        <f t="shared" si="61"/>
        <v>-359.29500000000007</v>
      </c>
      <c r="AL74" s="101">
        <f t="shared" si="62"/>
        <v>4080</v>
      </c>
      <c r="AM74" s="103">
        <f t="shared" si="63"/>
        <v>-330</v>
      </c>
      <c r="AN74" s="100">
        <f>+ｶﾞｰﾃﾞﾝ!W73/1000</f>
        <v>3600</v>
      </c>
      <c r="AO74" s="101">
        <v>3394.806</v>
      </c>
      <c r="AP74" s="102">
        <f t="shared" si="64"/>
        <v>205.19399999999996</v>
      </c>
      <c r="AQ74" s="101">
        <v>3600</v>
      </c>
      <c r="AR74" s="105">
        <f t="shared" si="65"/>
        <v>0</v>
      </c>
      <c r="AS74" s="191">
        <f>+ﾋﾞｱｶﾞｰﾃﾞﾝ!W73/1000</f>
        <v>525</v>
      </c>
      <c r="AT74" s="101">
        <v>491.90600000000001</v>
      </c>
      <c r="AU74" s="102">
        <f t="shared" si="66"/>
        <v>33.093999999999994</v>
      </c>
      <c r="AV74" s="101">
        <v>300</v>
      </c>
      <c r="AW74" s="103">
        <f t="shared" si="67"/>
        <v>225</v>
      </c>
      <c r="AX74" s="100">
        <f t="shared" si="68"/>
        <v>4125</v>
      </c>
      <c r="AY74" s="101">
        <f t="shared" si="69"/>
        <v>3886.712</v>
      </c>
      <c r="AZ74" s="102">
        <f t="shared" si="70"/>
        <v>238.28800000000001</v>
      </c>
      <c r="BA74" s="101">
        <f t="shared" si="71"/>
        <v>3900</v>
      </c>
      <c r="BB74" s="103">
        <f t="shared" si="72"/>
        <v>225</v>
      </c>
      <c r="BC74" s="100">
        <f>+料飲共通!H73/1000</f>
        <v>0</v>
      </c>
      <c r="BD74" s="191">
        <f>+料飲共通!I73/1000</f>
        <v>0</v>
      </c>
      <c r="BE74" s="100">
        <f t="shared" si="73"/>
        <v>0</v>
      </c>
      <c r="BF74" s="100">
        <f>+料飲共通!W73/1000</f>
        <v>0</v>
      </c>
      <c r="BG74" s="101">
        <v>0</v>
      </c>
      <c r="BH74" s="102">
        <f t="shared" si="74"/>
        <v>0</v>
      </c>
      <c r="BI74" s="101">
        <v>0</v>
      </c>
      <c r="BJ74" s="103">
        <f t="shared" si="75"/>
        <v>0</v>
      </c>
      <c r="BK74" s="100">
        <f t="shared" si="76"/>
        <v>13223.561</v>
      </c>
      <c r="BL74" s="101">
        <f t="shared" si="77"/>
        <v>13365.817999999999</v>
      </c>
      <c r="BM74" s="102">
        <f t="shared" si="43"/>
        <v>-142.25699999999961</v>
      </c>
      <c r="BN74" s="101">
        <f t="shared" si="78"/>
        <v>13726</v>
      </c>
      <c r="BO74" s="103">
        <f t="shared" si="79"/>
        <v>-502.43900000000031</v>
      </c>
      <c r="BP74" s="100">
        <f t="shared" si="80"/>
        <v>13223.561</v>
      </c>
      <c r="BQ74" s="101">
        <f t="shared" si="81"/>
        <v>13365.817999999999</v>
      </c>
      <c r="BR74" s="102">
        <f t="shared" si="84"/>
        <v>-142.25699999999961</v>
      </c>
      <c r="BS74" s="101">
        <f t="shared" si="82"/>
        <v>13286</v>
      </c>
      <c r="BT74" s="103">
        <f t="shared" si="83"/>
        <v>-62.439000000000306</v>
      </c>
    </row>
    <row r="75" spans="1:72" s="88" customFormat="1" ht="22" hidden="1" customHeight="1" outlineLevel="1">
      <c r="A75" s="132"/>
      <c r="B75" s="125"/>
      <c r="C75" s="99" t="s">
        <v>137</v>
      </c>
      <c r="D75" s="99"/>
      <c r="E75" s="100">
        <f>+ﾇｰﾍﾞﾙﾌﾟｰｽ!W74/1000</f>
        <v>549.41499999999996</v>
      </c>
      <c r="F75" s="101">
        <v>613.86900000000003</v>
      </c>
      <c r="G75" s="102">
        <f t="shared" si="44"/>
        <v>-64.454000000000065</v>
      </c>
      <c r="H75" s="101">
        <v>543</v>
      </c>
      <c r="I75" s="105">
        <f t="shared" si="45"/>
        <v>6.4149999999999636</v>
      </c>
      <c r="J75" s="191">
        <f>+ｶﾌｪﾙﾎﾟ!W74/1000</f>
        <v>78.299000000000007</v>
      </c>
      <c r="K75" s="101">
        <v>87.694999999999993</v>
      </c>
      <c r="L75" s="102">
        <f t="shared" si="46"/>
        <v>-9.3959999999999866</v>
      </c>
      <c r="M75" s="101">
        <v>62</v>
      </c>
      <c r="N75" s="192">
        <f t="shared" si="47"/>
        <v>16.299000000000007</v>
      </c>
      <c r="O75" s="104">
        <f>+ｶﾌｪｾﾚｽﾃ!W74/1000</f>
        <v>0</v>
      </c>
      <c r="P75" s="101">
        <v>0</v>
      </c>
      <c r="Q75" s="102">
        <f t="shared" si="48"/>
        <v>0</v>
      </c>
      <c r="R75" s="101">
        <v>0</v>
      </c>
      <c r="S75" s="105">
        <f t="shared" si="49"/>
        <v>0</v>
      </c>
      <c r="T75" s="100">
        <f t="shared" si="50"/>
        <v>627.71399999999994</v>
      </c>
      <c r="U75" s="101">
        <f t="shared" si="51"/>
        <v>701.56400000000008</v>
      </c>
      <c r="V75" s="102">
        <f t="shared" si="52"/>
        <v>-73.850000000000136</v>
      </c>
      <c r="W75" s="101">
        <f t="shared" si="53"/>
        <v>605</v>
      </c>
      <c r="X75" s="103">
        <f t="shared" si="54"/>
        <v>22.713999999999942</v>
      </c>
      <c r="Y75" s="104">
        <v>0</v>
      </c>
      <c r="Z75" s="101">
        <v>0</v>
      </c>
      <c r="AA75" s="102">
        <f t="shared" si="55"/>
        <v>0</v>
      </c>
      <c r="AB75" s="101">
        <v>672</v>
      </c>
      <c r="AC75" s="192">
        <f t="shared" si="56"/>
        <v>-672</v>
      </c>
      <c r="AD75" s="104">
        <f>+ｼﾞｭｴﾙｽﾞ!W74/1000</f>
        <v>490</v>
      </c>
      <c r="AE75" s="101">
        <v>478.584</v>
      </c>
      <c r="AF75" s="102">
        <f t="shared" si="57"/>
        <v>11.415999999999997</v>
      </c>
      <c r="AG75" s="101">
        <v>450</v>
      </c>
      <c r="AH75" s="103">
        <f t="shared" si="58"/>
        <v>40</v>
      </c>
      <c r="AI75" s="100">
        <f t="shared" si="59"/>
        <v>490</v>
      </c>
      <c r="AJ75" s="101">
        <f t="shared" si="60"/>
        <v>478.584</v>
      </c>
      <c r="AK75" s="102">
        <f t="shared" si="61"/>
        <v>11.415999999999997</v>
      </c>
      <c r="AL75" s="101">
        <f t="shared" si="62"/>
        <v>1122</v>
      </c>
      <c r="AM75" s="103">
        <f t="shared" si="63"/>
        <v>-632</v>
      </c>
      <c r="AN75" s="100">
        <f>+ｶﾞｰﾃﾞﾝ!W74/1000</f>
        <v>720</v>
      </c>
      <c r="AO75" s="101">
        <v>619.57000000000005</v>
      </c>
      <c r="AP75" s="102">
        <f t="shared" si="64"/>
        <v>100.42999999999995</v>
      </c>
      <c r="AQ75" s="101">
        <v>780</v>
      </c>
      <c r="AR75" s="105">
        <f t="shared" si="65"/>
        <v>-60</v>
      </c>
      <c r="AS75" s="191">
        <f>+ﾋﾞｱｶﾞｰﾃﾞﾝ!W74/1000</f>
        <v>215</v>
      </c>
      <c r="AT75" s="101">
        <v>206.74100000000001</v>
      </c>
      <c r="AU75" s="102">
        <f t="shared" si="66"/>
        <v>8.2589999999999861</v>
      </c>
      <c r="AV75" s="101">
        <v>135</v>
      </c>
      <c r="AW75" s="103">
        <f t="shared" si="67"/>
        <v>80</v>
      </c>
      <c r="AX75" s="100">
        <f t="shared" si="68"/>
        <v>935</v>
      </c>
      <c r="AY75" s="101">
        <f t="shared" si="69"/>
        <v>826.31100000000004</v>
      </c>
      <c r="AZ75" s="102">
        <f t="shared" si="70"/>
        <v>108.68899999999996</v>
      </c>
      <c r="BA75" s="101">
        <f t="shared" si="71"/>
        <v>915</v>
      </c>
      <c r="BB75" s="103">
        <f t="shared" si="72"/>
        <v>20</v>
      </c>
      <c r="BC75" s="100">
        <f>+料飲共通!H74/1000</f>
        <v>0</v>
      </c>
      <c r="BD75" s="191">
        <f>+料飲共通!I74/1000</f>
        <v>0</v>
      </c>
      <c r="BE75" s="100">
        <f t="shared" si="73"/>
        <v>0</v>
      </c>
      <c r="BF75" s="100">
        <f>+料飲共通!W74/1000</f>
        <v>0</v>
      </c>
      <c r="BG75" s="101">
        <v>0</v>
      </c>
      <c r="BH75" s="102">
        <f t="shared" si="74"/>
        <v>0</v>
      </c>
      <c r="BI75" s="101">
        <v>0</v>
      </c>
      <c r="BJ75" s="103">
        <f t="shared" si="75"/>
        <v>0</v>
      </c>
      <c r="BK75" s="100">
        <f t="shared" si="76"/>
        <v>2052.7139999999999</v>
      </c>
      <c r="BL75" s="101">
        <f t="shared" si="77"/>
        <v>2006.4590000000003</v>
      </c>
      <c r="BM75" s="102">
        <f t="shared" si="43"/>
        <v>46.254999999999654</v>
      </c>
      <c r="BN75" s="101">
        <f t="shared" si="78"/>
        <v>2642</v>
      </c>
      <c r="BO75" s="103">
        <f t="shared" si="79"/>
        <v>-589.28600000000006</v>
      </c>
      <c r="BP75" s="100">
        <f t="shared" si="80"/>
        <v>2052.7139999999999</v>
      </c>
      <c r="BQ75" s="101">
        <f t="shared" si="81"/>
        <v>2006.4590000000003</v>
      </c>
      <c r="BR75" s="102">
        <f t="shared" si="84"/>
        <v>46.254999999999654</v>
      </c>
      <c r="BS75" s="101">
        <f t="shared" si="82"/>
        <v>1970</v>
      </c>
      <c r="BT75" s="103">
        <f t="shared" si="83"/>
        <v>82.713999999999942</v>
      </c>
    </row>
    <row r="76" spans="1:72" s="88" customFormat="1" ht="22" hidden="1" customHeight="1" outlineLevel="1">
      <c r="A76" s="132"/>
      <c r="B76" s="125"/>
      <c r="C76" s="99" t="s">
        <v>139</v>
      </c>
      <c r="D76" s="99"/>
      <c r="E76" s="100">
        <f>+ﾇｰﾍﾞﾙﾌﾟｰｽ!W75/1000</f>
        <v>3441.306</v>
      </c>
      <c r="F76" s="101">
        <v>3426.482</v>
      </c>
      <c r="G76" s="102">
        <f t="shared" si="44"/>
        <v>14.824000000000069</v>
      </c>
      <c r="H76" s="101">
        <v>3250</v>
      </c>
      <c r="I76" s="105">
        <f t="shared" si="45"/>
        <v>191.30600000000004</v>
      </c>
      <c r="J76" s="191">
        <f>+ｶﾌｪﾙﾎﾟ!W75/1000</f>
        <v>491.625</v>
      </c>
      <c r="K76" s="101">
        <v>489.51</v>
      </c>
      <c r="L76" s="102">
        <f t="shared" si="46"/>
        <v>2.1150000000000091</v>
      </c>
      <c r="M76" s="101">
        <v>0</v>
      </c>
      <c r="N76" s="192">
        <f t="shared" si="47"/>
        <v>491.625</v>
      </c>
      <c r="O76" s="104">
        <f>+ｶﾌｪｾﾚｽﾃ!W75/1000</f>
        <v>0</v>
      </c>
      <c r="P76" s="101">
        <v>0</v>
      </c>
      <c r="Q76" s="102">
        <f t="shared" si="48"/>
        <v>0</v>
      </c>
      <c r="R76" s="101">
        <v>0</v>
      </c>
      <c r="S76" s="105">
        <f t="shared" si="49"/>
        <v>0</v>
      </c>
      <c r="T76" s="100">
        <f t="shared" si="50"/>
        <v>3932.931</v>
      </c>
      <c r="U76" s="101">
        <f t="shared" si="51"/>
        <v>3915.9920000000002</v>
      </c>
      <c r="V76" s="102">
        <f t="shared" si="52"/>
        <v>16.938999999999851</v>
      </c>
      <c r="W76" s="101">
        <f t="shared" si="53"/>
        <v>3250</v>
      </c>
      <c r="X76" s="103">
        <f t="shared" si="54"/>
        <v>682.93100000000004</v>
      </c>
      <c r="Y76" s="104">
        <v>0</v>
      </c>
      <c r="Z76" s="101">
        <v>0</v>
      </c>
      <c r="AA76" s="102">
        <f t="shared" si="55"/>
        <v>0</v>
      </c>
      <c r="AB76" s="101">
        <v>276</v>
      </c>
      <c r="AC76" s="192">
        <f t="shared" si="56"/>
        <v>-276</v>
      </c>
      <c r="AD76" s="104">
        <f>+ｼﾞｭｴﾙｽﾞ!W75/1000</f>
        <v>0</v>
      </c>
      <c r="AE76" s="101">
        <v>0</v>
      </c>
      <c r="AF76" s="102">
        <f t="shared" si="57"/>
        <v>0</v>
      </c>
      <c r="AG76" s="101">
        <v>0</v>
      </c>
      <c r="AH76" s="103">
        <f t="shared" si="58"/>
        <v>0</v>
      </c>
      <c r="AI76" s="100">
        <f t="shared" si="59"/>
        <v>0</v>
      </c>
      <c r="AJ76" s="101">
        <f t="shared" si="60"/>
        <v>0</v>
      </c>
      <c r="AK76" s="102">
        <f t="shared" si="61"/>
        <v>0</v>
      </c>
      <c r="AL76" s="101">
        <f t="shared" si="62"/>
        <v>276</v>
      </c>
      <c r="AM76" s="103">
        <f t="shared" si="63"/>
        <v>-276</v>
      </c>
      <c r="AN76" s="100">
        <f>+ｶﾞｰﾃﾞﾝ!W75/1000</f>
        <v>720</v>
      </c>
      <c r="AO76" s="101">
        <v>989.524</v>
      </c>
      <c r="AP76" s="102">
        <f t="shared" si="64"/>
        <v>-269.524</v>
      </c>
      <c r="AQ76" s="101">
        <v>902</v>
      </c>
      <c r="AR76" s="105">
        <f t="shared" si="65"/>
        <v>-182</v>
      </c>
      <c r="AS76" s="191">
        <f>+ﾋﾞｱｶﾞｰﾃﾞﾝ!W75/1000</f>
        <v>150</v>
      </c>
      <c r="AT76" s="101">
        <v>137.80000000000001</v>
      </c>
      <c r="AU76" s="102">
        <f t="shared" si="66"/>
        <v>12.199999999999989</v>
      </c>
      <c r="AV76" s="101">
        <v>0</v>
      </c>
      <c r="AW76" s="103">
        <f t="shared" si="67"/>
        <v>150</v>
      </c>
      <c r="AX76" s="100">
        <f t="shared" si="68"/>
        <v>870</v>
      </c>
      <c r="AY76" s="101">
        <f t="shared" si="69"/>
        <v>1127.3240000000001</v>
      </c>
      <c r="AZ76" s="102">
        <f t="shared" si="70"/>
        <v>-257.32400000000007</v>
      </c>
      <c r="BA76" s="101">
        <f t="shared" si="71"/>
        <v>902</v>
      </c>
      <c r="BB76" s="103">
        <f t="shared" si="72"/>
        <v>-32</v>
      </c>
      <c r="BC76" s="100">
        <f>+料飲共通!H75/1000</f>
        <v>0</v>
      </c>
      <c r="BD76" s="191">
        <f>+料飲共通!I75/1000</f>
        <v>0</v>
      </c>
      <c r="BE76" s="100">
        <f t="shared" si="73"/>
        <v>0</v>
      </c>
      <c r="BF76" s="100">
        <f>+料飲共通!W75/1000</f>
        <v>0</v>
      </c>
      <c r="BG76" s="101">
        <v>0</v>
      </c>
      <c r="BH76" s="102">
        <f t="shared" si="74"/>
        <v>0</v>
      </c>
      <c r="BI76" s="101">
        <v>0</v>
      </c>
      <c r="BJ76" s="103">
        <f t="shared" si="75"/>
        <v>0</v>
      </c>
      <c r="BK76" s="100">
        <f t="shared" si="76"/>
        <v>4802.9310000000005</v>
      </c>
      <c r="BL76" s="101">
        <f t="shared" si="77"/>
        <v>5043.3160000000007</v>
      </c>
      <c r="BM76" s="102">
        <f t="shared" si="43"/>
        <v>-240.38500000000022</v>
      </c>
      <c r="BN76" s="101">
        <f t="shared" si="78"/>
        <v>4428</v>
      </c>
      <c r="BO76" s="103">
        <f t="shared" si="79"/>
        <v>374.93100000000049</v>
      </c>
      <c r="BP76" s="100">
        <f t="shared" si="80"/>
        <v>4802.9310000000005</v>
      </c>
      <c r="BQ76" s="101">
        <f t="shared" si="81"/>
        <v>5043.3160000000007</v>
      </c>
      <c r="BR76" s="102">
        <f t="shared" si="84"/>
        <v>-240.38500000000022</v>
      </c>
      <c r="BS76" s="101">
        <f t="shared" si="82"/>
        <v>4152</v>
      </c>
      <c r="BT76" s="103">
        <f t="shared" si="83"/>
        <v>650.93100000000049</v>
      </c>
    </row>
    <row r="77" spans="1:72" s="88" customFormat="1" ht="22" hidden="1" customHeight="1" outlineLevel="1">
      <c r="A77" s="132"/>
      <c r="B77" s="125"/>
      <c r="C77" s="99" t="s">
        <v>141</v>
      </c>
      <c r="D77" s="99"/>
      <c r="E77" s="100">
        <f>+ﾇｰﾍﾞﾙﾌﾟｰｽ!W76/1000</f>
        <v>0</v>
      </c>
      <c r="F77" s="101">
        <v>0</v>
      </c>
      <c r="G77" s="102">
        <f t="shared" si="44"/>
        <v>0</v>
      </c>
      <c r="H77" s="101">
        <v>0</v>
      </c>
      <c r="I77" s="105">
        <f t="shared" si="45"/>
        <v>0</v>
      </c>
      <c r="J77" s="191">
        <f>+ｶﾌｪﾙﾎﾟ!W76/1000</f>
        <v>0</v>
      </c>
      <c r="K77" s="101">
        <v>0</v>
      </c>
      <c r="L77" s="102">
        <f t="shared" si="46"/>
        <v>0</v>
      </c>
      <c r="M77" s="101">
        <v>500</v>
      </c>
      <c r="N77" s="192">
        <f t="shared" si="47"/>
        <v>-500</v>
      </c>
      <c r="O77" s="104">
        <f>+ｶﾌｪｾﾚｽﾃ!W76/1000</f>
        <v>0</v>
      </c>
      <c r="P77" s="101">
        <v>0</v>
      </c>
      <c r="Q77" s="102">
        <f t="shared" si="48"/>
        <v>0</v>
      </c>
      <c r="R77" s="101">
        <v>0</v>
      </c>
      <c r="S77" s="105">
        <f t="shared" si="49"/>
        <v>0</v>
      </c>
      <c r="T77" s="100">
        <f t="shared" si="50"/>
        <v>0</v>
      </c>
      <c r="U77" s="101">
        <f t="shared" si="51"/>
        <v>0</v>
      </c>
      <c r="V77" s="102">
        <f t="shared" si="52"/>
        <v>0</v>
      </c>
      <c r="W77" s="101">
        <f t="shared" si="53"/>
        <v>500</v>
      </c>
      <c r="X77" s="103">
        <f t="shared" si="54"/>
        <v>-500</v>
      </c>
      <c r="Y77" s="104">
        <v>0</v>
      </c>
      <c r="Z77" s="101">
        <v>0</v>
      </c>
      <c r="AA77" s="102">
        <f t="shared" si="55"/>
        <v>0</v>
      </c>
      <c r="AB77" s="101">
        <v>377</v>
      </c>
      <c r="AC77" s="192">
        <f t="shared" si="56"/>
        <v>-377</v>
      </c>
      <c r="AD77" s="104">
        <f>+ｼﾞｭｴﾙｽﾞ!W76/1000</f>
        <v>0</v>
      </c>
      <c r="AE77" s="101">
        <v>0</v>
      </c>
      <c r="AF77" s="102">
        <f t="shared" si="57"/>
        <v>0</v>
      </c>
      <c r="AG77" s="101">
        <v>0</v>
      </c>
      <c r="AH77" s="103">
        <f t="shared" si="58"/>
        <v>0</v>
      </c>
      <c r="AI77" s="100">
        <f t="shared" si="59"/>
        <v>0</v>
      </c>
      <c r="AJ77" s="101">
        <f t="shared" si="60"/>
        <v>0</v>
      </c>
      <c r="AK77" s="102">
        <f t="shared" si="61"/>
        <v>0</v>
      </c>
      <c r="AL77" s="101">
        <f t="shared" si="62"/>
        <v>377</v>
      </c>
      <c r="AM77" s="103">
        <f t="shared" si="63"/>
        <v>-377</v>
      </c>
      <c r="AN77" s="100">
        <f>+ｶﾞｰﾃﾞﾝ!W76/1000</f>
        <v>0</v>
      </c>
      <c r="AO77" s="101">
        <v>0</v>
      </c>
      <c r="AP77" s="102">
        <f t="shared" si="64"/>
        <v>0</v>
      </c>
      <c r="AQ77" s="101">
        <v>0</v>
      </c>
      <c r="AR77" s="105">
        <f t="shared" si="65"/>
        <v>0</v>
      </c>
      <c r="AS77" s="191">
        <f>+ﾋﾞｱｶﾞｰﾃﾞﾝ!W76/1000</f>
        <v>0</v>
      </c>
      <c r="AT77" s="101">
        <v>0</v>
      </c>
      <c r="AU77" s="102">
        <f t="shared" si="66"/>
        <v>0</v>
      </c>
      <c r="AV77" s="101">
        <v>0</v>
      </c>
      <c r="AW77" s="103">
        <f t="shared" si="67"/>
        <v>0</v>
      </c>
      <c r="AX77" s="100">
        <f t="shared" si="68"/>
        <v>0</v>
      </c>
      <c r="AY77" s="101">
        <f t="shared" si="69"/>
        <v>0</v>
      </c>
      <c r="AZ77" s="102">
        <f t="shared" si="70"/>
        <v>0</v>
      </c>
      <c r="BA77" s="101">
        <f t="shared" si="71"/>
        <v>0</v>
      </c>
      <c r="BB77" s="103">
        <f t="shared" si="72"/>
        <v>0</v>
      </c>
      <c r="BC77" s="100">
        <f>+料飲共通!H76/1000</f>
        <v>0</v>
      </c>
      <c r="BD77" s="191">
        <f>+料飲共通!I76/1000</f>
        <v>0</v>
      </c>
      <c r="BE77" s="100">
        <f t="shared" si="73"/>
        <v>0</v>
      </c>
      <c r="BF77" s="100">
        <f>+料飲共通!W76/1000</f>
        <v>0</v>
      </c>
      <c r="BG77" s="101">
        <v>0</v>
      </c>
      <c r="BH77" s="102">
        <f t="shared" si="74"/>
        <v>0</v>
      </c>
      <c r="BI77" s="101">
        <v>0</v>
      </c>
      <c r="BJ77" s="103">
        <f t="shared" si="75"/>
        <v>0</v>
      </c>
      <c r="BK77" s="100">
        <f t="shared" si="76"/>
        <v>0</v>
      </c>
      <c r="BL77" s="101">
        <f t="shared" si="77"/>
        <v>0</v>
      </c>
      <c r="BM77" s="102">
        <f t="shared" si="43"/>
        <v>0</v>
      </c>
      <c r="BN77" s="101">
        <f t="shared" si="78"/>
        <v>877</v>
      </c>
      <c r="BO77" s="103">
        <f t="shared" si="79"/>
        <v>-877</v>
      </c>
      <c r="BP77" s="100">
        <f t="shared" si="80"/>
        <v>0</v>
      </c>
      <c r="BQ77" s="101">
        <f t="shared" si="81"/>
        <v>0</v>
      </c>
      <c r="BR77" s="102">
        <f t="shared" si="84"/>
        <v>0</v>
      </c>
      <c r="BS77" s="101">
        <f t="shared" si="82"/>
        <v>500</v>
      </c>
      <c r="BT77" s="103">
        <f t="shared" si="83"/>
        <v>-500</v>
      </c>
    </row>
    <row r="78" spans="1:72" s="88" customFormat="1" ht="22" hidden="1" customHeight="1" outlineLevel="1">
      <c r="A78" s="132"/>
      <c r="B78" s="125"/>
      <c r="C78" s="99" t="s">
        <v>143</v>
      </c>
      <c r="D78" s="99"/>
      <c r="E78" s="100">
        <f>+ﾇｰﾍﾞﾙﾌﾟｰｽ!W77/1000</f>
        <v>0</v>
      </c>
      <c r="F78" s="101">
        <v>0</v>
      </c>
      <c r="G78" s="102">
        <f t="shared" si="44"/>
        <v>0</v>
      </c>
      <c r="H78" s="101">
        <v>0</v>
      </c>
      <c r="I78" s="105">
        <f t="shared" si="45"/>
        <v>0</v>
      </c>
      <c r="J78" s="191">
        <f>+ｶﾌｪﾙﾎﾟ!W77/1000</f>
        <v>0</v>
      </c>
      <c r="K78" s="101">
        <v>0</v>
      </c>
      <c r="L78" s="102">
        <f t="shared" si="46"/>
        <v>0</v>
      </c>
      <c r="M78" s="101">
        <v>0</v>
      </c>
      <c r="N78" s="192">
        <f t="shared" si="47"/>
        <v>0</v>
      </c>
      <c r="O78" s="104">
        <f>+ｶﾌｪｾﾚｽﾃ!W77/1000</f>
        <v>0</v>
      </c>
      <c r="P78" s="101">
        <v>0</v>
      </c>
      <c r="Q78" s="102">
        <f t="shared" si="48"/>
        <v>0</v>
      </c>
      <c r="R78" s="101">
        <v>0</v>
      </c>
      <c r="S78" s="105">
        <f t="shared" si="49"/>
        <v>0</v>
      </c>
      <c r="T78" s="100">
        <f t="shared" si="50"/>
        <v>0</v>
      </c>
      <c r="U78" s="101">
        <f t="shared" si="51"/>
        <v>0</v>
      </c>
      <c r="V78" s="102">
        <f t="shared" si="52"/>
        <v>0</v>
      </c>
      <c r="W78" s="101">
        <f t="shared" si="53"/>
        <v>0</v>
      </c>
      <c r="X78" s="103">
        <f t="shared" si="54"/>
        <v>0</v>
      </c>
      <c r="Y78" s="104">
        <v>0</v>
      </c>
      <c r="Z78" s="101">
        <v>0</v>
      </c>
      <c r="AA78" s="102">
        <f t="shared" si="55"/>
        <v>0</v>
      </c>
      <c r="AB78" s="101">
        <v>0</v>
      </c>
      <c r="AC78" s="192">
        <f t="shared" si="56"/>
        <v>0</v>
      </c>
      <c r="AD78" s="104">
        <f>+ｼﾞｭｴﾙｽﾞ!W77/1000</f>
        <v>0</v>
      </c>
      <c r="AE78" s="101">
        <v>0</v>
      </c>
      <c r="AF78" s="102">
        <f t="shared" si="57"/>
        <v>0</v>
      </c>
      <c r="AG78" s="101">
        <v>0</v>
      </c>
      <c r="AH78" s="103">
        <f t="shared" si="58"/>
        <v>0</v>
      </c>
      <c r="AI78" s="100">
        <f t="shared" si="59"/>
        <v>0</v>
      </c>
      <c r="AJ78" s="101">
        <f t="shared" si="60"/>
        <v>0</v>
      </c>
      <c r="AK78" s="102">
        <f t="shared" si="61"/>
        <v>0</v>
      </c>
      <c r="AL78" s="101">
        <f t="shared" si="62"/>
        <v>0</v>
      </c>
      <c r="AM78" s="103">
        <f t="shared" si="63"/>
        <v>0</v>
      </c>
      <c r="AN78" s="100">
        <f>+ｶﾞｰﾃﾞﾝ!W77/1000</f>
        <v>0</v>
      </c>
      <c r="AO78" s="101">
        <v>0</v>
      </c>
      <c r="AP78" s="102">
        <f t="shared" si="64"/>
        <v>0</v>
      </c>
      <c r="AQ78" s="101">
        <v>0</v>
      </c>
      <c r="AR78" s="105">
        <f t="shared" si="65"/>
        <v>0</v>
      </c>
      <c r="AS78" s="191">
        <f>+ﾋﾞｱｶﾞｰﾃﾞﾝ!W77/1000</f>
        <v>0</v>
      </c>
      <c r="AT78" s="101">
        <v>0</v>
      </c>
      <c r="AU78" s="102">
        <f t="shared" si="66"/>
        <v>0</v>
      </c>
      <c r="AV78" s="101">
        <v>0</v>
      </c>
      <c r="AW78" s="103">
        <f t="shared" si="67"/>
        <v>0</v>
      </c>
      <c r="AX78" s="100">
        <f t="shared" si="68"/>
        <v>0</v>
      </c>
      <c r="AY78" s="101">
        <f t="shared" si="69"/>
        <v>0</v>
      </c>
      <c r="AZ78" s="102">
        <f t="shared" si="70"/>
        <v>0</v>
      </c>
      <c r="BA78" s="101">
        <f t="shared" si="71"/>
        <v>0</v>
      </c>
      <c r="BB78" s="103">
        <f t="shared" si="72"/>
        <v>0</v>
      </c>
      <c r="BC78" s="100">
        <f>+料飲共通!H77/1000</f>
        <v>0</v>
      </c>
      <c r="BD78" s="191">
        <f>+料飲共通!I77/1000</f>
        <v>0</v>
      </c>
      <c r="BE78" s="100">
        <f t="shared" si="73"/>
        <v>0</v>
      </c>
      <c r="BF78" s="100">
        <f>+料飲共通!W77/1000</f>
        <v>0</v>
      </c>
      <c r="BG78" s="101">
        <v>0</v>
      </c>
      <c r="BH78" s="102">
        <f t="shared" si="74"/>
        <v>0</v>
      </c>
      <c r="BI78" s="101">
        <v>0</v>
      </c>
      <c r="BJ78" s="103">
        <f t="shared" si="75"/>
        <v>0</v>
      </c>
      <c r="BK78" s="100">
        <f t="shared" si="76"/>
        <v>0</v>
      </c>
      <c r="BL78" s="101">
        <f t="shared" si="77"/>
        <v>0</v>
      </c>
      <c r="BM78" s="102">
        <f t="shared" si="43"/>
        <v>0</v>
      </c>
      <c r="BN78" s="101">
        <f t="shared" si="78"/>
        <v>0</v>
      </c>
      <c r="BO78" s="103">
        <f t="shared" si="79"/>
        <v>0</v>
      </c>
      <c r="BP78" s="100">
        <f t="shared" si="80"/>
        <v>0</v>
      </c>
      <c r="BQ78" s="101">
        <f t="shared" si="81"/>
        <v>0</v>
      </c>
      <c r="BR78" s="102">
        <f t="shared" si="84"/>
        <v>0</v>
      </c>
      <c r="BS78" s="101">
        <f t="shared" si="82"/>
        <v>0</v>
      </c>
      <c r="BT78" s="103">
        <f t="shared" si="83"/>
        <v>0</v>
      </c>
    </row>
    <row r="79" spans="1:72" s="88" customFormat="1" ht="22" customHeight="1" collapsed="1">
      <c r="A79" s="132"/>
      <c r="B79" s="98" t="s">
        <v>145</v>
      </c>
      <c r="C79" s="99"/>
      <c r="D79" s="99"/>
      <c r="E79" s="100">
        <f>+ﾇｰﾍﾞﾙﾌﾟｰｽ!W78/1000</f>
        <v>29.716000000000001</v>
      </c>
      <c r="F79" s="101">
        <v>26.716000000000001</v>
      </c>
      <c r="G79" s="102">
        <f t="shared" si="44"/>
        <v>3</v>
      </c>
      <c r="H79" s="101">
        <v>30</v>
      </c>
      <c r="I79" s="105">
        <f t="shared" si="45"/>
        <v>-0.28399999999999892</v>
      </c>
      <c r="J79" s="191">
        <f>+ｶﾌｪﾙﾎﾟ!W78/1000</f>
        <v>0</v>
      </c>
      <c r="K79" s="101">
        <v>0</v>
      </c>
      <c r="L79" s="102">
        <f t="shared" si="46"/>
        <v>0</v>
      </c>
      <c r="M79" s="101">
        <v>0</v>
      </c>
      <c r="N79" s="192">
        <f t="shared" si="47"/>
        <v>0</v>
      </c>
      <c r="O79" s="104">
        <f>+ｶﾌｪｾﾚｽﾃ!W78/1000</f>
        <v>0</v>
      </c>
      <c r="P79" s="101">
        <v>0</v>
      </c>
      <c r="Q79" s="102">
        <f t="shared" si="48"/>
        <v>0</v>
      </c>
      <c r="R79" s="101">
        <v>0</v>
      </c>
      <c r="S79" s="105">
        <f t="shared" si="49"/>
        <v>0</v>
      </c>
      <c r="T79" s="100">
        <f t="shared" si="50"/>
        <v>29.716000000000001</v>
      </c>
      <c r="U79" s="101">
        <f t="shared" si="51"/>
        <v>26.716000000000001</v>
      </c>
      <c r="V79" s="102">
        <f t="shared" si="52"/>
        <v>3</v>
      </c>
      <c r="W79" s="101">
        <f t="shared" si="53"/>
        <v>30</v>
      </c>
      <c r="X79" s="103">
        <f t="shared" si="54"/>
        <v>-0.28399999999999892</v>
      </c>
      <c r="Y79" s="104">
        <v>0</v>
      </c>
      <c r="Z79" s="101">
        <v>0</v>
      </c>
      <c r="AA79" s="102">
        <f t="shared" si="55"/>
        <v>0</v>
      </c>
      <c r="AB79" s="101">
        <v>0</v>
      </c>
      <c r="AC79" s="192">
        <f t="shared" si="56"/>
        <v>0</v>
      </c>
      <c r="AD79" s="104">
        <f>+ｼﾞｭｴﾙｽﾞ!W78/1000</f>
        <v>18</v>
      </c>
      <c r="AE79" s="101">
        <v>21.081</v>
      </c>
      <c r="AF79" s="102">
        <f t="shared" si="57"/>
        <v>-3.0809999999999995</v>
      </c>
      <c r="AG79" s="101">
        <v>12</v>
      </c>
      <c r="AH79" s="103">
        <f t="shared" si="58"/>
        <v>6</v>
      </c>
      <c r="AI79" s="100">
        <f t="shared" si="59"/>
        <v>18</v>
      </c>
      <c r="AJ79" s="101">
        <f t="shared" si="60"/>
        <v>21.081</v>
      </c>
      <c r="AK79" s="102">
        <f t="shared" si="61"/>
        <v>-3.0809999999999995</v>
      </c>
      <c r="AL79" s="101">
        <f t="shared" si="62"/>
        <v>12</v>
      </c>
      <c r="AM79" s="103">
        <f t="shared" si="63"/>
        <v>6</v>
      </c>
      <c r="AN79" s="100">
        <f>+ｶﾞｰﾃﾞﾝ!W78/1000</f>
        <v>42</v>
      </c>
      <c r="AO79" s="101">
        <v>30.462</v>
      </c>
      <c r="AP79" s="102">
        <f t="shared" si="64"/>
        <v>11.538</v>
      </c>
      <c r="AQ79" s="101">
        <v>15</v>
      </c>
      <c r="AR79" s="105">
        <f t="shared" si="65"/>
        <v>27</v>
      </c>
      <c r="AS79" s="191">
        <f>+ﾋﾞｱｶﾞｰﾃﾞﾝ!W78/1000</f>
        <v>17.7</v>
      </c>
      <c r="AT79" s="101">
        <v>0.2</v>
      </c>
      <c r="AU79" s="102">
        <f t="shared" si="66"/>
        <v>17.5</v>
      </c>
      <c r="AV79" s="101">
        <v>17</v>
      </c>
      <c r="AW79" s="103">
        <f t="shared" si="67"/>
        <v>0.69999999999999929</v>
      </c>
      <c r="AX79" s="100">
        <f t="shared" si="68"/>
        <v>59.7</v>
      </c>
      <c r="AY79" s="101">
        <f t="shared" si="69"/>
        <v>30.661999999999999</v>
      </c>
      <c r="AZ79" s="102">
        <f t="shared" si="70"/>
        <v>29.038000000000004</v>
      </c>
      <c r="BA79" s="101">
        <f t="shared" si="71"/>
        <v>32</v>
      </c>
      <c r="BB79" s="103">
        <f t="shared" si="72"/>
        <v>27.700000000000003</v>
      </c>
      <c r="BC79" s="100">
        <f>+赤れんが!X79/1000</f>
        <v>17.261581505617141</v>
      </c>
      <c r="BD79" s="191">
        <f>+赤れんが!Z79/1000</f>
        <v>0</v>
      </c>
      <c r="BE79" s="100">
        <f t="shared" si="73"/>
        <v>17.261581505617141</v>
      </c>
      <c r="BF79" s="100">
        <f>+料飲共通!W78/1000</f>
        <v>0</v>
      </c>
      <c r="BG79" s="101">
        <v>0</v>
      </c>
      <c r="BH79" s="102">
        <f t="shared" si="74"/>
        <v>0</v>
      </c>
      <c r="BI79" s="101">
        <v>0</v>
      </c>
      <c r="BJ79" s="103">
        <f t="shared" si="75"/>
        <v>0</v>
      </c>
      <c r="BK79" s="100">
        <f t="shared" si="76"/>
        <v>124.67758150561714</v>
      </c>
      <c r="BL79" s="101">
        <f t="shared" si="77"/>
        <v>78.459000000000003</v>
      </c>
      <c r="BM79" s="102">
        <f t="shared" si="43"/>
        <v>46.218581505617138</v>
      </c>
      <c r="BN79" s="101">
        <f t="shared" si="78"/>
        <v>74</v>
      </c>
      <c r="BO79" s="103">
        <f t="shared" si="79"/>
        <v>50.677581505617141</v>
      </c>
      <c r="BP79" s="100">
        <f t="shared" si="80"/>
        <v>107.416</v>
      </c>
      <c r="BQ79" s="101">
        <f t="shared" si="81"/>
        <v>78.459000000000003</v>
      </c>
      <c r="BR79" s="102">
        <f t="shared" si="84"/>
        <v>28.956999999999994</v>
      </c>
      <c r="BS79" s="101">
        <f t="shared" si="82"/>
        <v>74</v>
      </c>
      <c r="BT79" s="103">
        <f t="shared" si="83"/>
        <v>33.415999999999997</v>
      </c>
    </row>
    <row r="80" spans="1:72" s="88" customFormat="1" ht="22" customHeight="1">
      <c r="A80" s="132"/>
      <c r="B80" s="98" t="s">
        <v>147</v>
      </c>
      <c r="C80" s="99"/>
      <c r="D80" s="99"/>
      <c r="E80" s="100">
        <f>+ﾇｰﾍﾞﾙﾌﾟｰｽ!W79/1000</f>
        <v>2420</v>
      </c>
      <c r="F80" s="101">
        <v>3845.3359999999998</v>
      </c>
      <c r="G80" s="102">
        <f t="shared" si="44"/>
        <v>-1425.3359999999998</v>
      </c>
      <c r="H80" s="101">
        <v>2956</v>
      </c>
      <c r="I80" s="105">
        <f t="shared" si="45"/>
        <v>-536</v>
      </c>
      <c r="J80" s="191">
        <f>+ｶﾌｪﾙﾎﾟ!W79/1000</f>
        <v>70</v>
      </c>
      <c r="K80" s="101">
        <v>68</v>
      </c>
      <c r="L80" s="102">
        <f t="shared" si="46"/>
        <v>2</v>
      </c>
      <c r="M80" s="101">
        <v>0</v>
      </c>
      <c r="N80" s="192">
        <f t="shared" si="47"/>
        <v>70</v>
      </c>
      <c r="O80" s="104">
        <f>+ｶﾌｪｾﾚｽﾃ!W79/1000</f>
        <v>0</v>
      </c>
      <c r="P80" s="101">
        <v>0</v>
      </c>
      <c r="Q80" s="102">
        <f t="shared" si="48"/>
        <v>0</v>
      </c>
      <c r="R80" s="101">
        <v>88</v>
      </c>
      <c r="S80" s="105">
        <f t="shared" si="49"/>
        <v>-88</v>
      </c>
      <c r="T80" s="100">
        <f t="shared" si="50"/>
        <v>2490</v>
      </c>
      <c r="U80" s="101">
        <f t="shared" si="51"/>
        <v>3913.3359999999998</v>
      </c>
      <c r="V80" s="102">
        <f t="shared" si="52"/>
        <v>-1423.3359999999998</v>
      </c>
      <c r="W80" s="101">
        <f t="shared" si="53"/>
        <v>3044</v>
      </c>
      <c r="X80" s="103">
        <f t="shared" si="54"/>
        <v>-554</v>
      </c>
      <c r="Y80" s="104">
        <v>0</v>
      </c>
      <c r="Z80" s="101">
        <v>0</v>
      </c>
      <c r="AA80" s="102">
        <f t="shared" si="55"/>
        <v>0</v>
      </c>
      <c r="AB80" s="101">
        <v>0</v>
      </c>
      <c r="AC80" s="192">
        <f t="shared" si="56"/>
        <v>0</v>
      </c>
      <c r="AD80" s="104">
        <f>+ｼﾞｭｴﾙｽﾞ!W79/1000</f>
        <v>2420</v>
      </c>
      <c r="AE80" s="101">
        <v>4075.634</v>
      </c>
      <c r="AF80" s="102">
        <f t="shared" si="57"/>
        <v>-1655.634</v>
      </c>
      <c r="AG80" s="101">
        <v>2435</v>
      </c>
      <c r="AH80" s="103">
        <f t="shared" si="58"/>
        <v>-15</v>
      </c>
      <c r="AI80" s="100">
        <f t="shared" si="59"/>
        <v>2420</v>
      </c>
      <c r="AJ80" s="101">
        <f t="shared" si="60"/>
        <v>4075.634</v>
      </c>
      <c r="AK80" s="102">
        <f t="shared" si="61"/>
        <v>-1655.634</v>
      </c>
      <c r="AL80" s="101">
        <f t="shared" si="62"/>
        <v>2435</v>
      </c>
      <c r="AM80" s="103">
        <f t="shared" si="63"/>
        <v>-15</v>
      </c>
      <c r="AN80" s="100">
        <f>+ｶﾞｰﾃﾞﾝ!W79/1000</f>
        <v>2480</v>
      </c>
      <c r="AO80" s="101">
        <v>1744.067</v>
      </c>
      <c r="AP80" s="102">
        <f t="shared" si="64"/>
        <v>735.93299999999999</v>
      </c>
      <c r="AQ80" s="101">
        <v>5040</v>
      </c>
      <c r="AR80" s="105">
        <f t="shared" si="65"/>
        <v>-2560</v>
      </c>
      <c r="AS80" s="191">
        <f>+ﾋﾞｱｶﾞｰﾃﾞﾝ!W79/1000</f>
        <v>1850</v>
      </c>
      <c r="AT80" s="101">
        <v>644.85199999999998</v>
      </c>
      <c r="AU80" s="102">
        <f t="shared" si="66"/>
        <v>1205.1480000000001</v>
      </c>
      <c r="AV80" s="101">
        <v>380</v>
      </c>
      <c r="AW80" s="103">
        <f t="shared" si="67"/>
        <v>1470</v>
      </c>
      <c r="AX80" s="100">
        <f t="shared" si="68"/>
        <v>4330</v>
      </c>
      <c r="AY80" s="101">
        <f t="shared" si="69"/>
        <v>2388.9189999999999</v>
      </c>
      <c r="AZ80" s="102">
        <f t="shared" si="70"/>
        <v>1941.0810000000001</v>
      </c>
      <c r="BA80" s="101">
        <f t="shared" si="71"/>
        <v>5420</v>
      </c>
      <c r="BB80" s="103">
        <f t="shared" si="72"/>
        <v>-1090</v>
      </c>
      <c r="BC80" s="100">
        <v>0</v>
      </c>
      <c r="BD80" s="191">
        <v>0</v>
      </c>
      <c r="BE80" s="100">
        <f t="shared" si="73"/>
        <v>0</v>
      </c>
      <c r="BF80" s="100">
        <f>+料飲共通!W79/1000</f>
        <v>400</v>
      </c>
      <c r="BG80" s="101">
        <v>3992.1</v>
      </c>
      <c r="BH80" s="102">
        <f t="shared" si="74"/>
        <v>-3592.1</v>
      </c>
      <c r="BI80" s="101">
        <v>0</v>
      </c>
      <c r="BJ80" s="103">
        <f t="shared" si="75"/>
        <v>400</v>
      </c>
      <c r="BK80" s="100">
        <f t="shared" si="76"/>
        <v>9640</v>
      </c>
      <c r="BL80" s="101">
        <f t="shared" si="77"/>
        <v>14369.989</v>
      </c>
      <c r="BM80" s="102">
        <f t="shared" si="43"/>
        <v>-4729.9889999999996</v>
      </c>
      <c r="BN80" s="101">
        <f t="shared" si="78"/>
        <v>10899</v>
      </c>
      <c r="BO80" s="103">
        <f t="shared" si="79"/>
        <v>-1259</v>
      </c>
      <c r="BP80" s="100">
        <f t="shared" si="80"/>
        <v>9640</v>
      </c>
      <c r="BQ80" s="101">
        <f t="shared" si="81"/>
        <v>14369.989</v>
      </c>
      <c r="BR80" s="102">
        <f t="shared" si="84"/>
        <v>-4729.9889999999996</v>
      </c>
      <c r="BS80" s="101">
        <f t="shared" si="82"/>
        <v>10899</v>
      </c>
      <c r="BT80" s="103">
        <f t="shared" si="83"/>
        <v>-1259</v>
      </c>
    </row>
    <row r="81" spans="1:72" s="88" customFormat="1" ht="22" customHeight="1">
      <c r="A81" s="132"/>
      <c r="B81" s="98" t="s">
        <v>149</v>
      </c>
      <c r="C81" s="99"/>
      <c r="D81" s="99"/>
      <c r="E81" s="100">
        <f>+ﾇｰﾍﾞﾙﾌﾟｰｽ!W80/1000</f>
        <v>0</v>
      </c>
      <c r="F81" s="101">
        <v>0</v>
      </c>
      <c r="G81" s="102">
        <f t="shared" si="44"/>
        <v>0</v>
      </c>
      <c r="H81" s="101">
        <v>0</v>
      </c>
      <c r="I81" s="105">
        <f t="shared" si="45"/>
        <v>0</v>
      </c>
      <c r="J81" s="191">
        <f>+ｶﾌｪﾙﾎﾟ!W80/1000</f>
        <v>0</v>
      </c>
      <c r="K81" s="101">
        <v>0</v>
      </c>
      <c r="L81" s="102">
        <f t="shared" si="46"/>
        <v>0</v>
      </c>
      <c r="M81" s="101">
        <v>0</v>
      </c>
      <c r="N81" s="192">
        <f t="shared" si="47"/>
        <v>0</v>
      </c>
      <c r="O81" s="104">
        <f>+ｶﾌｪｾﾚｽﾃ!W80/1000</f>
        <v>0</v>
      </c>
      <c r="P81" s="101">
        <v>0</v>
      </c>
      <c r="Q81" s="102">
        <f t="shared" si="48"/>
        <v>0</v>
      </c>
      <c r="R81" s="101">
        <v>0</v>
      </c>
      <c r="S81" s="105">
        <f t="shared" si="49"/>
        <v>0</v>
      </c>
      <c r="T81" s="100">
        <f t="shared" si="50"/>
        <v>0</v>
      </c>
      <c r="U81" s="101">
        <f t="shared" si="51"/>
        <v>0</v>
      </c>
      <c r="V81" s="102">
        <f t="shared" si="52"/>
        <v>0</v>
      </c>
      <c r="W81" s="101">
        <f t="shared" si="53"/>
        <v>0</v>
      </c>
      <c r="X81" s="103">
        <f t="shared" si="54"/>
        <v>0</v>
      </c>
      <c r="Y81" s="104">
        <v>0</v>
      </c>
      <c r="Z81" s="101">
        <v>0</v>
      </c>
      <c r="AA81" s="102">
        <f t="shared" si="55"/>
        <v>0</v>
      </c>
      <c r="AB81" s="101">
        <v>0</v>
      </c>
      <c r="AC81" s="192">
        <f t="shared" si="56"/>
        <v>0</v>
      </c>
      <c r="AD81" s="104">
        <f>+ｼﾞｭｴﾙｽﾞ!W80/1000</f>
        <v>0</v>
      </c>
      <c r="AE81" s="101">
        <v>0</v>
      </c>
      <c r="AF81" s="102">
        <f t="shared" si="57"/>
        <v>0</v>
      </c>
      <c r="AG81" s="101">
        <v>0</v>
      </c>
      <c r="AH81" s="103">
        <f t="shared" si="58"/>
        <v>0</v>
      </c>
      <c r="AI81" s="100">
        <f t="shared" si="59"/>
        <v>0</v>
      </c>
      <c r="AJ81" s="101">
        <f t="shared" si="60"/>
        <v>0</v>
      </c>
      <c r="AK81" s="102">
        <f t="shared" si="61"/>
        <v>0</v>
      </c>
      <c r="AL81" s="101">
        <f t="shared" si="62"/>
        <v>0</v>
      </c>
      <c r="AM81" s="103">
        <f t="shared" si="63"/>
        <v>0</v>
      </c>
      <c r="AN81" s="100">
        <f>+ｶﾞｰﾃﾞﾝ!W80/1000</f>
        <v>0</v>
      </c>
      <c r="AO81" s="101">
        <v>0</v>
      </c>
      <c r="AP81" s="102">
        <f t="shared" si="64"/>
        <v>0</v>
      </c>
      <c r="AQ81" s="101">
        <v>0</v>
      </c>
      <c r="AR81" s="105">
        <f t="shared" si="65"/>
        <v>0</v>
      </c>
      <c r="AS81" s="191">
        <f>+ﾋﾞｱｶﾞｰﾃﾞﾝ!W80/1000</f>
        <v>0</v>
      </c>
      <c r="AT81" s="101">
        <v>0</v>
      </c>
      <c r="AU81" s="102">
        <f t="shared" si="66"/>
        <v>0</v>
      </c>
      <c r="AV81" s="101">
        <v>0</v>
      </c>
      <c r="AW81" s="103">
        <f t="shared" si="67"/>
        <v>0</v>
      </c>
      <c r="AX81" s="100">
        <f t="shared" si="68"/>
        <v>0</v>
      </c>
      <c r="AY81" s="101">
        <f t="shared" si="69"/>
        <v>0</v>
      </c>
      <c r="AZ81" s="102">
        <f t="shared" si="70"/>
        <v>0</v>
      </c>
      <c r="BA81" s="101">
        <f t="shared" si="71"/>
        <v>0</v>
      </c>
      <c r="BB81" s="103">
        <f t="shared" si="72"/>
        <v>0</v>
      </c>
      <c r="BC81" s="100">
        <v>0</v>
      </c>
      <c r="BD81" s="191">
        <v>0</v>
      </c>
      <c r="BE81" s="100">
        <f t="shared" si="73"/>
        <v>0</v>
      </c>
      <c r="BF81" s="100">
        <f>+料飲共通!W80/1000</f>
        <v>40</v>
      </c>
      <c r="BG81" s="101">
        <v>15.489000000000001</v>
      </c>
      <c r="BH81" s="102">
        <f t="shared" si="74"/>
        <v>24.510999999999999</v>
      </c>
      <c r="BI81" s="101">
        <v>0</v>
      </c>
      <c r="BJ81" s="103">
        <f t="shared" si="75"/>
        <v>40</v>
      </c>
      <c r="BK81" s="100">
        <f t="shared" si="76"/>
        <v>40</v>
      </c>
      <c r="BL81" s="101">
        <f t="shared" si="77"/>
        <v>15.489000000000001</v>
      </c>
      <c r="BM81" s="102">
        <f t="shared" si="43"/>
        <v>24.510999999999999</v>
      </c>
      <c r="BN81" s="101">
        <f t="shared" si="78"/>
        <v>0</v>
      </c>
      <c r="BO81" s="103">
        <f t="shared" si="79"/>
        <v>40</v>
      </c>
      <c r="BP81" s="100">
        <f t="shared" si="80"/>
        <v>40</v>
      </c>
      <c r="BQ81" s="101">
        <f t="shared" si="81"/>
        <v>15.489000000000001</v>
      </c>
      <c r="BR81" s="102">
        <f t="shared" si="84"/>
        <v>24.510999999999999</v>
      </c>
      <c r="BS81" s="101">
        <f t="shared" si="82"/>
        <v>0</v>
      </c>
      <c r="BT81" s="103">
        <f t="shared" si="83"/>
        <v>40</v>
      </c>
    </row>
    <row r="82" spans="1:72" s="88" customFormat="1" ht="22" hidden="1" customHeight="1" outlineLevel="1">
      <c r="A82" s="132"/>
      <c r="B82" s="125"/>
      <c r="C82" s="99" t="s">
        <v>151</v>
      </c>
      <c r="D82" s="99"/>
      <c r="E82" s="100">
        <f>+ﾇｰﾍﾞﾙﾌﾟｰｽ!W81/1000</f>
        <v>0</v>
      </c>
      <c r="F82" s="101">
        <v>0</v>
      </c>
      <c r="G82" s="102">
        <f t="shared" si="44"/>
        <v>0</v>
      </c>
      <c r="H82" s="101">
        <v>0</v>
      </c>
      <c r="I82" s="105">
        <f t="shared" si="45"/>
        <v>0</v>
      </c>
      <c r="J82" s="191">
        <f>+ｶﾌｪﾙﾎﾟ!W81/1000</f>
        <v>0</v>
      </c>
      <c r="K82" s="101">
        <v>0</v>
      </c>
      <c r="L82" s="102">
        <f t="shared" si="46"/>
        <v>0</v>
      </c>
      <c r="M82" s="101">
        <v>0</v>
      </c>
      <c r="N82" s="192">
        <f t="shared" si="47"/>
        <v>0</v>
      </c>
      <c r="O82" s="104">
        <f>+ｶﾌｪｾﾚｽﾃ!W81/1000</f>
        <v>0</v>
      </c>
      <c r="P82" s="101">
        <v>0</v>
      </c>
      <c r="Q82" s="102">
        <f t="shared" si="48"/>
        <v>0</v>
      </c>
      <c r="R82" s="101">
        <v>0</v>
      </c>
      <c r="S82" s="105">
        <f t="shared" si="49"/>
        <v>0</v>
      </c>
      <c r="T82" s="100">
        <f t="shared" si="50"/>
        <v>0</v>
      </c>
      <c r="U82" s="101">
        <f t="shared" si="51"/>
        <v>0</v>
      </c>
      <c r="V82" s="102">
        <f t="shared" si="52"/>
        <v>0</v>
      </c>
      <c r="W82" s="101">
        <f t="shared" si="53"/>
        <v>0</v>
      </c>
      <c r="X82" s="103">
        <f t="shared" si="54"/>
        <v>0</v>
      </c>
      <c r="Y82" s="104">
        <v>0</v>
      </c>
      <c r="Z82" s="101">
        <v>0</v>
      </c>
      <c r="AA82" s="102">
        <f t="shared" si="55"/>
        <v>0</v>
      </c>
      <c r="AB82" s="101">
        <v>0</v>
      </c>
      <c r="AC82" s="192">
        <f t="shared" si="56"/>
        <v>0</v>
      </c>
      <c r="AD82" s="104">
        <f>+ｼﾞｭｴﾙｽﾞ!W81/1000</f>
        <v>0</v>
      </c>
      <c r="AE82" s="101">
        <v>0</v>
      </c>
      <c r="AF82" s="102">
        <f t="shared" si="57"/>
        <v>0</v>
      </c>
      <c r="AG82" s="101">
        <v>0</v>
      </c>
      <c r="AH82" s="103">
        <f t="shared" si="58"/>
        <v>0</v>
      </c>
      <c r="AI82" s="100">
        <f t="shared" si="59"/>
        <v>0</v>
      </c>
      <c r="AJ82" s="101">
        <f t="shared" si="60"/>
        <v>0</v>
      </c>
      <c r="AK82" s="102">
        <f t="shared" si="61"/>
        <v>0</v>
      </c>
      <c r="AL82" s="101">
        <f t="shared" si="62"/>
        <v>0</v>
      </c>
      <c r="AM82" s="103">
        <f t="shared" si="63"/>
        <v>0</v>
      </c>
      <c r="AN82" s="100">
        <f>+ｶﾞｰﾃﾞﾝ!W81/1000</f>
        <v>0</v>
      </c>
      <c r="AO82" s="101">
        <v>0</v>
      </c>
      <c r="AP82" s="102">
        <f t="shared" si="64"/>
        <v>0</v>
      </c>
      <c r="AQ82" s="101">
        <v>0</v>
      </c>
      <c r="AR82" s="105">
        <f t="shared" si="65"/>
        <v>0</v>
      </c>
      <c r="AS82" s="191">
        <f>+ﾋﾞｱｶﾞｰﾃﾞﾝ!W81/1000</f>
        <v>0</v>
      </c>
      <c r="AT82" s="101">
        <v>0</v>
      </c>
      <c r="AU82" s="102">
        <f t="shared" si="66"/>
        <v>0</v>
      </c>
      <c r="AV82" s="101">
        <v>0</v>
      </c>
      <c r="AW82" s="103">
        <f t="shared" si="67"/>
        <v>0</v>
      </c>
      <c r="AX82" s="100">
        <f t="shared" si="68"/>
        <v>0</v>
      </c>
      <c r="AY82" s="101">
        <f t="shared" si="69"/>
        <v>0</v>
      </c>
      <c r="AZ82" s="102">
        <f t="shared" si="70"/>
        <v>0</v>
      </c>
      <c r="BA82" s="101">
        <f t="shared" si="71"/>
        <v>0</v>
      </c>
      <c r="BB82" s="103">
        <f t="shared" si="72"/>
        <v>0</v>
      </c>
      <c r="BC82" s="100">
        <f>+料飲共通!H81/1000</f>
        <v>0</v>
      </c>
      <c r="BD82" s="191">
        <f>+料飲共通!I81/1000</f>
        <v>0</v>
      </c>
      <c r="BE82" s="100">
        <f t="shared" si="73"/>
        <v>0</v>
      </c>
      <c r="BF82" s="100">
        <f>+料飲共通!W81/1000</f>
        <v>40</v>
      </c>
      <c r="BG82" s="101">
        <v>15.489000000000001</v>
      </c>
      <c r="BH82" s="102">
        <f t="shared" si="74"/>
        <v>24.510999999999999</v>
      </c>
      <c r="BI82" s="101">
        <v>0</v>
      </c>
      <c r="BJ82" s="103">
        <f t="shared" si="75"/>
        <v>40</v>
      </c>
      <c r="BK82" s="100">
        <f t="shared" si="76"/>
        <v>40</v>
      </c>
      <c r="BL82" s="101">
        <f t="shared" si="77"/>
        <v>15.489000000000001</v>
      </c>
      <c r="BM82" s="102">
        <f t="shared" si="43"/>
        <v>24.510999999999999</v>
      </c>
      <c r="BN82" s="101">
        <f t="shared" si="78"/>
        <v>0</v>
      </c>
      <c r="BO82" s="103">
        <f t="shared" si="79"/>
        <v>40</v>
      </c>
      <c r="BP82" s="100">
        <f t="shared" si="80"/>
        <v>40</v>
      </c>
      <c r="BQ82" s="101">
        <f t="shared" si="81"/>
        <v>15.489000000000001</v>
      </c>
      <c r="BR82" s="102">
        <f t="shared" si="84"/>
        <v>24.510999999999999</v>
      </c>
      <c r="BS82" s="101">
        <f t="shared" si="82"/>
        <v>0</v>
      </c>
      <c r="BT82" s="103">
        <f t="shared" si="83"/>
        <v>40</v>
      </c>
    </row>
    <row r="83" spans="1:72" s="88" customFormat="1" ht="22" hidden="1" customHeight="1" outlineLevel="1">
      <c r="A83" s="132"/>
      <c r="B83" s="125"/>
      <c r="C83" s="99" t="s">
        <v>153</v>
      </c>
      <c r="D83" s="99"/>
      <c r="E83" s="100">
        <f>+ﾇｰﾍﾞﾙﾌﾟｰｽ!W82/1000</f>
        <v>0</v>
      </c>
      <c r="F83" s="101">
        <v>0</v>
      </c>
      <c r="G83" s="102">
        <f t="shared" si="44"/>
        <v>0</v>
      </c>
      <c r="H83" s="101">
        <v>0</v>
      </c>
      <c r="I83" s="105">
        <f t="shared" si="45"/>
        <v>0</v>
      </c>
      <c r="J83" s="191">
        <f>+ｶﾌｪﾙﾎﾟ!W82/1000</f>
        <v>0</v>
      </c>
      <c r="K83" s="101">
        <v>0</v>
      </c>
      <c r="L83" s="102">
        <f t="shared" si="46"/>
        <v>0</v>
      </c>
      <c r="M83" s="101">
        <v>0</v>
      </c>
      <c r="N83" s="192">
        <f t="shared" si="47"/>
        <v>0</v>
      </c>
      <c r="O83" s="104">
        <f>+ｶﾌｪｾﾚｽﾃ!W82/1000</f>
        <v>0</v>
      </c>
      <c r="P83" s="101">
        <v>0</v>
      </c>
      <c r="Q83" s="102">
        <f t="shared" si="48"/>
        <v>0</v>
      </c>
      <c r="R83" s="101">
        <v>0</v>
      </c>
      <c r="S83" s="105">
        <f t="shared" si="49"/>
        <v>0</v>
      </c>
      <c r="T83" s="100">
        <f t="shared" si="50"/>
        <v>0</v>
      </c>
      <c r="U83" s="101">
        <f t="shared" si="51"/>
        <v>0</v>
      </c>
      <c r="V83" s="102">
        <f t="shared" si="52"/>
        <v>0</v>
      </c>
      <c r="W83" s="101">
        <f t="shared" si="53"/>
        <v>0</v>
      </c>
      <c r="X83" s="103">
        <f t="shared" si="54"/>
        <v>0</v>
      </c>
      <c r="Y83" s="104">
        <v>0</v>
      </c>
      <c r="Z83" s="101">
        <v>0</v>
      </c>
      <c r="AA83" s="102">
        <f t="shared" si="55"/>
        <v>0</v>
      </c>
      <c r="AB83" s="101">
        <v>0</v>
      </c>
      <c r="AC83" s="192">
        <f t="shared" si="56"/>
        <v>0</v>
      </c>
      <c r="AD83" s="104">
        <f>+ｼﾞｭｴﾙｽﾞ!W82/1000</f>
        <v>0</v>
      </c>
      <c r="AE83" s="101">
        <v>0</v>
      </c>
      <c r="AF83" s="102">
        <f t="shared" si="57"/>
        <v>0</v>
      </c>
      <c r="AG83" s="101">
        <v>0</v>
      </c>
      <c r="AH83" s="103">
        <f t="shared" si="58"/>
        <v>0</v>
      </c>
      <c r="AI83" s="100">
        <f t="shared" si="59"/>
        <v>0</v>
      </c>
      <c r="AJ83" s="101">
        <f t="shared" si="60"/>
        <v>0</v>
      </c>
      <c r="AK83" s="102">
        <f t="shared" si="61"/>
        <v>0</v>
      </c>
      <c r="AL83" s="101">
        <f t="shared" si="62"/>
        <v>0</v>
      </c>
      <c r="AM83" s="103">
        <f t="shared" si="63"/>
        <v>0</v>
      </c>
      <c r="AN83" s="100">
        <f>+ｶﾞｰﾃﾞﾝ!W82/1000</f>
        <v>0</v>
      </c>
      <c r="AO83" s="101">
        <v>0</v>
      </c>
      <c r="AP83" s="102">
        <f t="shared" si="64"/>
        <v>0</v>
      </c>
      <c r="AQ83" s="101">
        <v>0</v>
      </c>
      <c r="AR83" s="105">
        <f t="shared" si="65"/>
        <v>0</v>
      </c>
      <c r="AS83" s="191">
        <f>+ﾋﾞｱｶﾞｰﾃﾞﾝ!W82/1000</f>
        <v>0</v>
      </c>
      <c r="AT83" s="101">
        <v>0</v>
      </c>
      <c r="AU83" s="102">
        <f t="shared" si="66"/>
        <v>0</v>
      </c>
      <c r="AV83" s="101">
        <v>0</v>
      </c>
      <c r="AW83" s="103">
        <f t="shared" si="67"/>
        <v>0</v>
      </c>
      <c r="AX83" s="100">
        <f t="shared" si="68"/>
        <v>0</v>
      </c>
      <c r="AY83" s="101">
        <f t="shared" si="69"/>
        <v>0</v>
      </c>
      <c r="AZ83" s="102">
        <f t="shared" si="70"/>
        <v>0</v>
      </c>
      <c r="BA83" s="101">
        <f t="shared" si="71"/>
        <v>0</v>
      </c>
      <c r="BB83" s="103">
        <f t="shared" si="72"/>
        <v>0</v>
      </c>
      <c r="BC83" s="100">
        <f>+料飲共通!H82/1000</f>
        <v>0</v>
      </c>
      <c r="BD83" s="191">
        <f>+料飲共通!I82/1000</f>
        <v>0</v>
      </c>
      <c r="BE83" s="100">
        <f t="shared" si="73"/>
        <v>0</v>
      </c>
      <c r="BF83" s="100">
        <f>+料飲共通!W82/1000</f>
        <v>0</v>
      </c>
      <c r="BG83" s="101">
        <v>0</v>
      </c>
      <c r="BH83" s="102">
        <f t="shared" si="74"/>
        <v>0</v>
      </c>
      <c r="BI83" s="101">
        <v>0</v>
      </c>
      <c r="BJ83" s="103">
        <f t="shared" si="75"/>
        <v>0</v>
      </c>
      <c r="BK83" s="100">
        <f t="shared" si="76"/>
        <v>0</v>
      </c>
      <c r="BL83" s="101">
        <f t="shared" si="77"/>
        <v>0</v>
      </c>
      <c r="BM83" s="102">
        <f t="shared" si="43"/>
        <v>0</v>
      </c>
      <c r="BN83" s="101">
        <f t="shared" si="78"/>
        <v>0</v>
      </c>
      <c r="BO83" s="103">
        <f t="shared" si="79"/>
        <v>0</v>
      </c>
      <c r="BP83" s="100">
        <f t="shared" si="80"/>
        <v>0</v>
      </c>
      <c r="BQ83" s="101">
        <f t="shared" si="81"/>
        <v>0</v>
      </c>
      <c r="BR83" s="102">
        <f t="shared" si="84"/>
        <v>0</v>
      </c>
      <c r="BS83" s="101">
        <f t="shared" si="82"/>
        <v>0</v>
      </c>
      <c r="BT83" s="103">
        <f t="shared" si="83"/>
        <v>0</v>
      </c>
    </row>
    <row r="84" spans="1:72" s="88" customFormat="1" ht="22" customHeight="1" collapsed="1">
      <c r="A84" s="132"/>
      <c r="B84" s="98" t="s">
        <v>155</v>
      </c>
      <c r="C84" s="99"/>
      <c r="D84" s="99"/>
      <c r="E84" s="100">
        <f>+ﾇｰﾍﾞﾙﾌﾟｰｽ!W83/1000</f>
        <v>0</v>
      </c>
      <c r="F84" s="101">
        <v>0</v>
      </c>
      <c r="G84" s="102">
        <f t="shared" si="44"/>
        <v>0</v>
      </c>
      <c r="H84" s="101">
        <v>0</v>
      </c>
      <c r="I84" s="105">
        <f t="shared" si="45"/>
        <v>0</v>
      </c>
      <c r="J84" s="191">
        <f>+ｶﾌｪﾙﾎﾟ!W83/1000</f>
        <v>0</v>
      </c>
      <c r="K84" s="101">
        <v>0</v>
      </c>
      <c r="L84" s="102">
        <f t="shared" si="46"/>
        <v>0</v>
      </c>
      <c r="M84" s="101">
        <v>0</v>
      </c>
      <c r="N84" s="192">
        <f t="shared" si="47"/>
        <v>0</v>
      </c>
      <c r="O84" s="104">
        <f>+ｶﾌｪｾﾚｽﾃ!W83/1000</f>
        <v>0</v>
      </c>
      <c r="P84" s="101">
        <v>0</v>
      </c>
      <c r="Q84" s="102">
        <f t="shared" si="48"/>
        <v>0</v>
      </c>
      <c r="R84" s="101">
        <v>0</v>
      </c>
      <c r="S84" s="105">
        <f t="shared" si="49"/>
        <v>0</v>
      </c>
      <c r="T84" s="100">
        <f t="shared" si="50"/>
        <v>0</v>
      </c>
      <c r="U84" s="101">
        <f t="shared" si="51"/>
        <v>0</v>
      </c>
      <c r="V84" s="102">
        <f t="shared" si="52"/>
        <v>0</v>
      </c>
      <c r="W84" s="101">
        <f t="shared" si="53"/>
        <v>0</v>
      </c>
      <c r="X84" s="103">
        <f t="shared" si="54"/>
        <v>0</v>
      </c>
      <c r="Y84" s="104">
        <v>0</v>
      </c>
      <c r="Z84" s="101">
        <v>0</v>
      </c>
      <c r="AA84" s="102">
        <f t="shared" si="55"/>
        <v>0</v>
      </c>
      <c r="AB84" s="101">
        <v>0</v>
      </c>
      <c r="AC84" s="192">
        <f t="shared" si="56"/>
        <v>0</v>
      </c>
      <c r="AD84" s="104">
        <f>+ｼﾞｭｴﾙｽﾞ!W83/1000</f>
        <v>0</v>
      </c>
      <c r="AE84" s="101">
        <v>0</v>
      </c>
      <c r="AF84" s="102">
        <f t="shared" si="57"/>
        <v>0</v>
      </c>
      <c r="AG84" s="101">
        <v>0</v>
      </c>
      <c r="AH84" s="103">
        <f t="shared" si="58"/>
        <v>0</v>
      </c>
      <c r="AI84" s="100">
        <f t="shared" si="59"/>
        <v>0</v>
      </c>
      <c r="AJ84" s="101">
        <f t="shared" si="60"/>
        <v>0</v>
      </c>
      <c r="AK84" s="102">
        <f t="shared" si="61"/>
        <v>0</v>
      </c>
      <c r="AL84" s="101">
        <f t="shared" si="62"/>
        <v>0</v>
      </c>
      <c r="AM84" s="103">
        <f t="shared" si="63"/>
        <v>0</v>
      </c>
      <c r="AN84" s="100">
        <f>+ｶﾞｰﾃﾞﾝ!W83/1000</f>
        <v>0</v>
      </c>
      <c r="AO84" s="101">
        <v>0</v>
      </c>
      <c r="AP84" s="102">
        <f t="shared" si="64"/>
        <v>0</v>
      </c>
      <c r="AQ84" s="101">
        <v>0</v>
      </c>
      <c r="AR84" s="105">
        <f t="shared" si="65"/>
        <v>0</v>
      </c>
      <c r="AS84" s="191">
        <f>+ﾋﾞｱｶﾞｰﾃﾞﾝ!W83/1000</f>
        <v>0</v>
      </c>
      <c r="AT84" s="101">
        <v>0</v>
      </c>
      <c r="AU84" s="102">
        <f t="shared" si="66"/>
        <v>0</v>
      </c>
      <c r="AV84" s="101">
        <v>0</v>
      </c>
      <c r="AW84" s="103">
        <f t="shared" si="67"/>
        <v>0</v>
      </c>
      <c r="AX84" s="100">
        <f t="shared" si="68"/>
        <v>0</v>
      </c>
      <c r="AY84" s="101">
        <f t="shared" si="69"/>
        <v>0</v>
      </c>
      <c r="AZ84" s="102">
        <f t="shared" si="70"/>
        <v>0</v>
      </c>
      <c r="BA84" s="101">
        <f t="shared" si="71"/>
        <v>0</v>
      </c>
      <c r="BB84" s="103">
        <f t="shared" si="72"/>
        <v>0</v>
      </c>
      <c r="BC84" s="100">
        <v>0</v>
      </c>
      <c r="BD84" s="191">
        <v>0</v>
      </c>
      <c r="BE84" s="100">
        <f t="shared" si="73"/>
        <v>0</v>
      </c>
      <c r="BF84" s="100">
        <f>+料飲共通!W83/1000</f>
        <v>0</v>
      </c>
      <c r="BG84" s="101">
        <v>0</v>
      </c>
      <c r="BH84" s="102">
        <f t="shared" si="74"/>
        <v>0</v>
      </c>
      <c r="BI84" s="101">
        <v>0</v>
      </c>
      <c r="BJ84" s="103">
        <f t="shared" si="75"/>
        <v>0</v>
      </c>
      <c r="BK84" s="100">
        <f t="shared" si="76"/>
        <v>0</v>
      </c>
      <c r="BL84" s="101">
        <f t="shared" si="77"/>
        <v>0</v>
      </c>
      <c r="BM84" s="102">
        <f t="shared" si="43"/>
        <v>0</v>
      </c>
      <c r="BN84" s="101">
        <f t="shared" si="78"/>
        <v>0</v>
      </c>
      <c r="BO84" s="103">
        <f t="shared" si="79"/>
        <v>0</v>
      </c>
      <c r="BP84" s="100">
        <f t="shared" si="80"/>
        <v>0</v>
      </c>
      <c r="BQ84" s="101">
        <f t="shared" si="81"/>
        <v>0</v>
      </c>
      <c r="BR84" s="102">
        <f t="shared" si="84"/>
        <v>0</v>
      </c>
      <c r="BS84" s="101">
        <f t="shared" si="82"/>
        <v>0</v>
      </c>
      <c r="BT84" s="103">
        <f t="shared" si="83"/>
        <v>0</v>
      </c>
    </row>
    <row r="85" spans="1:72" s="88" customFormat="1" ht="22" customHeight="1">
      <c r="A85" s="132"/>
      <c r="B85" s="90" t="s">
        <v>157</v>
      </c>
      <c r="C85" s="91"/>
      <c r="D85" s="91"/>
      <c r="E85" s="92">
        <f>+ﾇｰﾍﾞﾙﾌﾟｰｽ!W84/1000</f>
        <v>0</v>
      </c>
      <c r="F85" s="93">
        <v>0</v>
      </c>
      <c r="G85" s="94">
        <f t="shared" si="44"/>
        <v>0</v>
      </c>
      <c r="H85" s="93">
        <v>0</v>
      </c>
      <c r="I85" s="97">
        <f t="shared" si="45"/>
        <v>0</v>
      </c>
      <c r="J85" s="189">
        <f>+ｶﾌｪﾙﾎﾟ!W84/1000</f>
        <v>0</v>
      </c>
      <c r="K85" s="93">
        <v>0</v>
      </c>
      <c r="L85" s="94">
        <f t="shared" si="46"/>
        <v>0</v>
      </c>
      <c r="M85" s="93">
        <v>0</v>
      </c>
      <c r="N85" s="190">
        <f t="shared" si="47"/>
        <v>0</v>
      </c>
      <c r="O85" s="96">
        <f>+ｶﾌｪｾﾚｽﾃ!W84/1000</f>
        <v>0</v>
      </c>
      <c r="P85" s="93">
        <v>0</v>
      </c>
      <c r="Q85" s="94">
        <f t="shared" si="48"/>
        <v>0</v>
      </c>
      <c r="R85" s="93">
        <v>0</v>
      </c>
      <c r="S85" s="97">
        <f t="shared" si="49"/>
        <v>0</v>
      </c>
      <c r="T85" s="92">
        <f t="shared" si="50"/>
        <v>0</v>
      </c>
      <c r="U85" s="93">
        <f t="shared" si="51"/>
        <v>0</v>
      </c>
      <c r="V85" s="94">
        <f t="shared" si="52"/>
        <v>0</v>
      </c>
      <c r="W85" s="93">
        <f t="shared" si="53"/>
        <v>0</v>
      </c>
      <c r="X85" s="95">
        <f t="shared" si="54"/>
        <v>0</v>
      </c>
      <c r="Y85" s="96">
        <v>0</v>
      </c>
      <c r="Z85" s="93">
        <v>0</v>
      </c>
      <c r="AA85" s="94">
        <f t="shared" si="55"/>
        <v>0</v>
      </c>
      <c r="AB85" s="93">
        <v>0</v>
      </c>
      <c r="AC85" s="190">
        <f t="shared" si="56"/>
        <v>0</v>
      </c>
      <c r="AD85" s="96">
        <f>+ｼﾞｭｴﾙｽﾞ!W84/1000</f>
        <v>0</v>
      </c>
      <c r="AE85" s="93">
        <v>0</v>
      </c>
      <c r="AF85" s="94">
        <f t="shared" si="57"/>
        <v>0</v>
      </c>
      <c r="AG85" s="93">
        <v>0</v>
      </c>
      <c r="AH85" s="95">
        <f t="shared" si="58"/>
        <v>0</v>
      </c>
      <c r="AI85" s="92">
        <f t="shared" si="59"/>
        <v>0</v>
      </c>
      <c r="AJ85" s="93">
        <f t="shared" si="60"/>
        <v>0</v>
      </c>
      <c r="AK85" s="94">
        <f t="shared" si="61"/>
        <v>0</v>
      </c>
      <c r="AL85" s="93">
        <f t="shared" si="62"/>
        <v>0</v>
      </c>
      <c r="AM85" s="95">
        <f t="shared" si="63"/>
        <v>0</v>
      </c>
      <c r="AN85" s="92">
        <f>+ｶﾞｰﾃﾞﾝ!W84/1000</f>
        <v>0</v>
      </c>
      <c r="AO85" s="93">
        <v>0</v>
      </c>
      <c r="AP85" s="94">
        <f t="shared" si="64"/>
        <v>0</v>
      </c>
      <c r="AQ85" s="93">
        <v>0</v>
      </c>
      <c r="AR85" s="97">
        <f t="shared" si="65"/>
        <v>0</v>
      </c>
      <c r="AS85" s="189">
        <f>+ﾋﾞｱｶﾞｰﾃﾞﾝ!W84/1000</f>
        <v>0</v>
      </c>
      <c r="AT85" s="93">
        <v>0</v>
      </c>
      <c r="AU85" s="94">
        <f t="shared" si="66"/>
        <v>0</v>
      </c>
      <c r="AV85" s="93">
        <v>0</v>
      </c>
      <c r="AW85" s="95">
        <f t="shared" si="67"/>
        <v>0</v>
      </c>
      <c r="AX85" s="92">
        <f t="shared" si="68"/>
        <v>0</v>
      </c>
      <c r="AY85" s="93">
        <f t="shared" si="69"/>
        <v>0</v>
      </c>
      <c r="AZ85" s="94">
        <f t="shared" si="70"/>
        <v>0</v>
      </c>
      <c r="BA85" s="93">
        <f t="shared" si="71"/>
        <v>0</v>
      </c>
      <c r="BB85" s="95">
        <f t="shared" si="72"/>
        <v>0</v>
      </c>
      <c r="BC85" s="92">
        <v>0</v>
      </c>
      <c r="BD85" s="189">
        <v>0</v>
      </c>
      <c r="BE85" s="92">
        <f t="shared" si="73"/>
        <v>0</v>
      </c>
      <c r="BF85" s="92">
        <f>+料飲共通!W84/1000</f>
        <v>0</v>
      </c>
      <c r="BG85" s="93">
        <v>0</v>
      </c>
      <c r="BH85" s="94">
        <f t="shared" si="74"/>
        <v>0</v>
      </c>
      <c r="BI85" s="93">
        <v>0</v>
      </c>
      <c r="BJ85" s="95">
        <f t="shared" si="75"/>
        <v>0</v>
      </c>
      <c r="BK85" s="92">
        <f t="shared" si="76"/>
        <v>0</v>
      </c>
      <c r="BL85" s="93">
        <f t="shared" si="77"/>
        <v>0</v>
      </c>
      <c r="BM85" s="94">
        <f t="shared" si="43"/>
        <v>0</v>
      </c>
      <c r="BN85" s="93">
        <f t="shared" si="78"/>
        <v>0</v>
      </c>
      <c r="BO85" s="95">
        <f t="shared" si="79"/>
        <v>0</v>
      </c>
      <c r="BP85" s="92">
        <f t="shared" si="80"/>
        <v>0</v>
      </c>
      <c r="BQ85" s="93">
        <f t="shared" si="81"/>
        <v>0</v>
      </c>
      <c r="BR85" s="94">
        <f t="shared" si="84"/>
        <v>0</v>
      </c>
      <c r="BS85" s="93">
        <f t="shared" si="82"/>
        <v>0</v>
      </c>
      <c r="BT85" s="95">
        <f t="shared" si="83"/>
        <v>0</v>
      </c>
    </row>
    <row r="86" spans="1:72" s="88" customFormat="1" ht="22" customHeight="1" thickBot="1">
      <c r="A86" s="106" t="s">
        <v>159</v>
      </c>
      <c r="B86" s="133"/>
      <c r="C86" s="133"/>
      <c r="D86" s="133"/>
      <c r="E86" s="134">
        <f>+ﾇｰﾍﾞﾙﾌﾟｰｽ!W85/1000</f>
        <v>5815.0559999999996</v>
      </c>
      <c r="F86" s="135">
        <v>7349.53</v>
      </c>
      <c r="G86" s="135">
        <f t="shared" si="44"/>
        <v>-1534.4740000000002</v>
      </c>
      <c r="H86" s="135">
        <v>7293</v>
      </c>
      <c r="I86" s="137">
        <f t="shared" si="45"/>
        <v>-1477.9440000000004</v>
      </c>
      <c r="J86" s="201">
        <f>+ｶﾌｪﾙﾎﾟ!W85/1000</f>
        <v>684.88300000000004</v>
      </c>
      <c r="K86" s="135">
        <v>684.88300000000004</v>
      </c>
      <c r="L86" s="135">
        <f t="shared" si="46"/>
        <v>0</v>
      </c>
      <c r="M86" s="135">
        <v>621</v>
      </c>
      <c r="N86" s="202">
        <f t="shared" si="47"/>
        <v>63.883000000000038</v>
      </c>
      <c r="O86" s="137">
        <f>+ｶﾌｪｾﾚｽﾃ!W85/1000</f>
        <v>513.10900000000004</v>
      </c>
      <c r="P86" s="135">
        <v>513.10900000000004</v>
      </c>
      <c r="Q86" s="135">
        <f t="shared" si="48"/>
        <v>0</v>
      </c>
      <c r="R86" s="135">
        <v>513</v>
      </c>
      <c r="S86" s="137">
        <f t="shared" si="49"/>
        <v>0.10900000000003729</v>
      </c>
      <c r="T86" s="134">
        <f t="shared" si="50"/>
        <v>7013.0479999999998</v>
      </c>
      <c r="U86" s="135">
        <f t="shared" si="51"/>
        <v>8547.521999999999</v>
      </c>
      <c r="V86" s="135">
        <f t="shared" si="52"/>
        <v>-1534.4739999999993</v>
      </c>
      <c r="W86" s="135">
        <f t="shared" si="53"/>
        <v>8427</v>
      </c>
      <c r="X86" s="136">
        <f t="shared" si="54"/>
        <v>-1413.9520000000002</v>
      </c>
      <c r="Y86" s="137">
        <v>0</v>
      </c>
      <c r="Z86" s="135">
        <v>117.94799999999999</v>
      </c>
      <c r="AA86" s="135">
        <f t="shared" si="55"/>
        <v>-117.94799999999999</v>
      </c>
      <c r="AB86" s="135">
        <v>788</v>
      </c>
      <c r="AC86" s="202">
        <f t="shared" si="56"/>
        <v>-788</v>
      </c>
      <c r="AD86" s="137">
        <f>+ｼﾞｭｴﾙｽﾞ!W85/1000</f>
        <v>3560.82</v>
      </c>
      <c r="AE86" s="135">
        <v>3325.6590000000001</v>
      </c>
      <c r="AF86" s="135">
        <f t="shared" si="57"/>
        <v>235.16100000000006</v>
      </c>
      <c r="AG86" s="135">
        <v>4110</v>
      </c>
      <c r="AH86" s="136">
        <f t="shared" si="58"/>
        <v>-549.17999999999984</v>
      </c>
      <c r="AI86" s="134">
        <f t="shared" si="59"/>
        <v>3560.82</v>
      </c>
      <c r="AJ86" s="135">
        <f t="shared" si="60"/>
        <v>3443.607</v>
      </c>
      <c r="AK86" s="135">
        <f t="shared" si="61"/>
        <v>117.21300000000019</v>
      </c>
      <c r="AL86" s="135">
        <f t="shared" si="62"/>
        <v>4898</v>
      </c>
      <c r="AM86" s="136">
        <f t="shared" si="63"/>
        <v>-1337.1799999999998</v>
      </c>
      <c r="AN86" s="134">
        <f>+ｶﾞｰﾃﾞﾝ!W85/1000</f>
        <v>10698.156000000001</v>
      </c>
      <c r="AO86" s="135">
        <v>11819.724</v>
      </c>
      <c r="AP86" s="135">
        <f t="shared" si="64"/>
        <v>-1121.5679999999993</v>
      </c>
      <c r="AQ86" s="135">
        <v>12106</v>
      </c>
      <c r="AR86" s="137">
        <f t="shared" si="65"/>
        <v>-1407.8439999999991</v>
      </c>
      <c r="AS86" s="201">
        <f>+ﾋﾞｱｶﾞｰﾃﾞﾝ!W85/1000</f>
        <v>384.173</v>
      </c>
      <c r="AT86" s="135">
        <v>384.173</v>
      </c>
      <c r="AU86" s="135">
        <f t="shared" si="66"/>
        <v>0</v>
      </c>
      <c r="AV86" s="135">
        <v>210</v>
      </c>
      <c r="AW86" s="136">
        <f t="shared" si="67"/>
        <v>174.173</v>
      </c>
      <c r="AX86" s="134">
        <f t="shared" si="68"/>
        <v>11082.329000000002</v>
      </c>
      <c r="AY86" s="135">
        <f t="shared" si="69"/>
        <v>12203.897000000001</v>
      </c>
      <c r="AZ86" s="135">
        <f t="shared" si="70"/>
        <v>-1121.5679999999993</v>
      </c>
      <c r="BA86" s="135">
        <f t="shared" si="71"/>
        <v>12316</v>
      </c>
      <c r="BB86" s="136">
        <f t="shared" si="72"/>
        <v>-1233.6709999999985</v>
      </c>
      <c r="BC86" s="134">
        <f>SUM(BC87:BC97)</f>
        <v>2476.1312564102564</v>
      </c>
      <c r="BD86" s="201">
        <f>SUM(BD87:BD97)</f>
        <v>488.46154509585972</v>
      </c>
      <c r="BE86" s="134">
        <f t="shared" si="73"/>
        <v>2964.5928015061163</v>
      </c>
      <c r="BF86" s="134">
        <f>+料飲共通!W85/1000</f>
        <v>0</v>
      </c>
      <c r="BG86" s="135">
        <v>0</v>
      </c>
      <c r="BH86" s="135">
        <f t="shared" si="74"/>
        <v>0</v>
      </c>
      <c r="BI86" s="135">
        <v>50</v>
      </c>
      <c r="BJ86" s="136">
        <f t="shared" si="75"/>
        <v>-50</v>
      </c>
      <c r="BK86" s="134">
        <f t="shared" si="76"/>
        <v>24620.789801506115</v>
      </c>
      <c r="BL86" s="135">
        <f t="shared" si="77"/>
        <v>24195.025999999998</v>
      </c>
      <c r="BM86" s="135">
        <f t="shared" si="43"/>
        <v>425.76380150611658</v>
      </c>
      <c r="BN86" s="135">
        <f t="shared" si="78"/>
        <v>25691</v>
      </c>
      <c r="BO86" s="136">
        <f t="shared" si="79"/>
        <v>-1070.2101984938854</v>
      </c>
      <c r="BP86" s="134">
        <f t="shared" si="80"/>
        <v>21656.197</v>
      </c>
      <c r="BQ86" s="135">
        <f t="shared" si="81"/>
        <v>24077.077999999998</v>
      </c>
      <c r="BR86" s="135">
        <f t="shared" si="84"/>
        <v>-2420.8809999999976</v>
      </c>
      <c r="BS86" s="135">
        <f t="shared" si="82"/>
        <v>24903</v>
      </c>
      <c r="BT86" s="136">
        <f t="shared" si="83"/>
        <v>-3246.8029999999999</v>
      </c>
    </row>
    <row r="87" spans="1:72" s="88" customFormat="1" ht="22" hidden="1" customHeight="1" outlineLevel="1">
      <c r="A87" s="138"/>
      <c r="B87" s="139" t="s">
        <v>93</v>
      </c>
      <c r="C87" s="91"/>
      <c r="D87" s="91"/>
      <c r="E87" s="92">
        <f>+ﾇｰﾍﾞﾙﾌﾟｰｽ!W86/1000</f>
        <v>0</v>
      </c>
      <c r="F87" s="93">
        <v>0</v>
      </c>
      <c r="G87" s="94">
        <f t="shared" si="44"/>
        <v>0</v>
      </c>
      <c r="H87" s="93">
        <v>0</v>
      </c>
      <c r="I87" s="97">
        <f t="shared" si="45"/>
        <v>0</v>
      </c>
      <c r="J87" s="189">
        <f>+ｶﾌｪﾙﾎﾟ!W86/1000</f>
        <v>0</v>
      </c>
      <c r="K87" s="93">
        <v>0</v>
      </c>
      <c r="L87" s="94">
        <f t="shared" si="46"/>
        <v>0</v>
      </c>
      <c r="M87" s="93">
        <v>0</v>
      </c>
      <c r="N87" s="190">
        <f t="shared" si="47"/>
        <v>0</v>
      </c>
      <c r="O87" s="96">
        <f>+ｶﾌｪｾﾚｽﾃ!W86/1000</f>
        <v>0</v>
      </c>
      <c r="P87" s="93">
        <v>0</v>
      </c>
      <c r="Q87" s="94">
        <f t="shared" si="48"/>
        <v>0</v>
      </c>
      <c r="R87" s="93">
        <v>0</v>
      </c>
      <c r="S87" s="97">
        <f t="shared" si="49"/>
        <v>0</v>
      </c>
      <c r="T87" s="92">
        <f t="shared" si="50"/>
        <v>0</v>
      </c>
      <c r="U87" s="93">
        <f t="shared" si="51"/>
        <v>0</v>
      </c>
      <c r="V87" s="94">
        <f t="shared" si="52"/>
        <v>0</v>
      </c>
      <c r="W87" s="93">
        <f t="shared" si="53"/>
        <v>0</v>
      </c>
      <c r="X87" s="95">
        <f t="shared" si="54"/>
        <v>0</v>
      </c>
      <c r="Y87" s="96">
        <v>0</v>
      </c>
      <c r="Z87" s="93">
        <v>0</v>
      </c>
      <c r="AA87" s="94">
        <f t="shared" si="55"/>
        <v>0</v>
      </c>
      <c r="AB87" s="93">
        <v>0</v>
      </c>
      <c r="AC87" s="190">
        <f t="shared" si="56"/>
        <v>0</v>
      </c>
      <c r="AD87" s="96">
        <f>+ｼﾞｭｴﾙｽﾞ!W86/1000</f>
        <v>338.06799999999998</v>
      </c>
      <c r="AE87" s="93">
        <v>338.06799999999998</v>
      </c>
      <c r="AF87" s="94">
        <f t="shared" si="57"/>
        <v>0</v>
      </c>
      <c r="AG87" s="93">
        <v>338</v>
      </c>
      <c r="AH87" s="95">
        <f t="shared" si="58"/>
        <v>6.7999999999983629E-2</v>
      </c>
      <c r="AI87" s="92">
        <f t="shared" si="59"/>
        <v>338.06799999999998</v>
      </c>
      <c r="AJ87" s="93">
        <f t="shared" si="60"/>
        <v>338.06799999999998</v>
      </c>
      <c r="AK87" s="94">
        <f t="shared" si="61"/>
        <v>0</v>
      </c>
      <c r="AL87" s="93">
        <f t="shared" si="62"/>
        <v>338</v>
      </c>
      <c r="AM87" s="95">
        <f t="shared" si="63"/>
        <v>6.7999999999983629E-2</v>
      </c>
      <c r="AN87" s="92">
        <f>+ｶﾞｰﾃﾞﾝ!W86/1000</f>
        <v>0</v>
      </c>
      <c r="AO87" s="93">
        <v>0</v>
      </c>
      <c r="AP87" s="94">
        <f t="shared" si="64"/>
        <v>0</v>
      </c>
      <c r="AQ87" s="93">
        <v>0</v>
      </c>
      <c r="AR87" s="97">
        <f t="shared" si="65"/>
        <v>0</v>
      </c>
      <c r="AS87" s="189">
        <f>+ﾋﾞｱｶﾞｰﾃﾞﾝ!W86/1000</f>
        <v>0</v>
      </c>
      <c r="AT87" s="93">
        <v>0</v>
      </c>
      <c r="AU87" s="94">
        <f t="shared" si="66"/>
        <v>0</v>
      </c>
      <c r="AV87" s="93">
        <v>0</v>
      </c>
      <c r="AW87" s="95">
        <f t="shared" si="67"/>
        <v>0</v>
      </c>
      <c r="AX87" s="92">
        <f t="shared" si="68"/>
        <v>0</v>
      </c>
      <c r="AY87" s="93">
        <f t="shared" si="69"/>
        <v>0</v>
      </c>
      <c r="AZ87" s="94">
        <f t="shared" si="70"/>
        <v>0</v>
      </c>
      <c r="BA87" s="93">
        <f t="shared" si="71"/>
        <v>0</v>
      </c>
      <c r="BB87" s="95">
        <f t="shared" si="72"/>
        <v>0</v>
      </c>
      <c r="BC87" s="92">
        <f>+赤れんが!X87/1000</f>
        <v>256.41025641025641</v>
      </c>
      <c r="BD87" s="189">
        <f>+赤れんが!Z87/1000</f>
        <v>38.46153846153846</v>
      </c>
      <c r="BE87" s="92">
        <f t="shared" si="73"/>
        <v>294.87179487179486</v>
      </c>
      <c r="BF87" s="92">
        <f>+料飲共通!W86/1000</f>
        <v>0</v>
      </c>
      <c r="BG87" s="93">
        <v>0</v>
      </c>
      <c r="BH87" s="94">
        <f t="shared" si="74"/>
        <v>0</v>
      </c>
      <c r="BI87" s="93">
        <v>0</v>
      </c>
      <c r="BJ87" s="95">
        <f t="shared" si="75"/>
        <v>0</v>
      </c>
      <c r="BK87" s="92">
        <f t="shared" si="76"/>
        <v>632.9397948717949</v>
      </c>
      <c r="BL87" s="93">
        <f t="shared" si="77"/>
        <v>338.06799999999998</v>
      </c>
      <c r="BM87" s="94">
        <f t="shared" si="43"/>
        <v>294.87179487179492</v>
      </c>
      <c r="BN87" s="93">
        <f t="shared" si="78"/>
        <v>338</v>
      </c>
      <c r="BO87" s="95">
        <f t="shared" si="79"/>
        <v>294.9397948717949</v>
      </c>
      <c r="BP87" s="92">
        <f t="shared" si="80"/>
        <v>338.06800000000004</v>
      </c>
      <c r="BQ87" s="93">
        <f t="shared" si="81"/>
        <v>338.06799999999998</v>
      </c>
      <c r="BR87" s="94">
        <f t="shared" si="84"/>
        <v>0</v>
      </c>
      <c r="BS87" s="93">
        <f t="shared" si="82"/>
        <v>338</v>
      </c>
      <c r="BT87" s="95">
        <f t="shared" si="83"/>
        <v>6.8000000000040473E-2</v>
      </c>
    </row>
    <row r="88" spans="1:72" s="88" customFormat="1" ht="22" hidden="1" customHeight="1" outlineLevel="1">
      <c r="A88" s="138"/>
      <c r="B88" s="90" t="s">
        <v>162</v>
      </c>
      <c r="C88" s="91"/>
      <c r="D88" s="91"/>
      <c r="E88" s="92">
        <f>+ﾇｰﾍﾞﾙﾌﾟｰｽ!W87/1000</f>
        <v>583.33299999999997</v>
      </c>
      <c r="F88" s="93">
        <v>0</v>
      </c>
      <c r="G88" s="94">
        <f t="shared" si="44"/>
        <v>583.33299999999997</v>
      </c>
      <c r="H88" s="93">
        <v>0</v>
      </c>
      <c r="I88" s="97">
        <f t="shared" si="45"/>
        <v>583.33299999999997</v>
      </c>
      <c r="J88" s="189">
        <f>+ｶﾌｪﾙﾎﾟ!W87/1000</f>
        <v>0</v>
      </c>
      <c r="K88" s="93">
        <v>0</v>
      </c>
      <c r="L88" s="94">
        <f t="shared" si="46"/>
        <v>0</v>
      </c>
      <c r="M88" s="93">
        <v>0</v>
      </c>
      <c r="N88" s="190">
        <f t="shared" si="47"/>
        <v>0</v>
      </c>
      <c r="O88" s="96">
        <f>+ｶﾌｪｾﾚｽﾃ!W87/1000</f>
        <v>257.803</v>
      </c>
      <c r="P88" s="93">
        <v>257.803</v>
      </c>
      <c r="Q88" s="94">
        <f t="shared" si="48"/>
        <v>0</v>
      </c>
      <c r="R88" s="93">
        <v>257</v>
      </c>
      <c r="S88" s="97">
        <f t="shared" si="49"/>
        <v>0.80299999999999727</v>
      </c>
      <c r="T88" s="92">
        <f t="shared" si="50"/>
        <v>841.13599999999997</v>
      </c>
      <c r="U88" s="93">
        <f t="shared" si="51"/>
        <v>257.803</v>
      </c>
      <c r="V88" s="94">
        <f t="shared" si="52"/>
        <v>583.33299999999997</v>
      </c>
      <c r="W88" s="93">
        <f t="shared" si="53"/>
        <v>257</v>
      </c>
      <c r="X88" s="95">
        <f t="shared" si="54"/>
        <v>584.13599999999997</v>
      </c>
      <c r="Y88" s="96">
        <v>0</v>
      </c>
      <c r="Z88" s="93">
        <v>0</v>
      </c>
      <c r="AA88" s="94">
        <f t="shared" si="55"/>
        <v>0</v>
      </c>
      <c r="AB88" s="93">
        <v>125</v>
      </c>
      <c r="AC88" s="190">
        <f t="shared" si="56"/>
        <v>-125</v>
      </c>
      <c r="AD88" s="96">
        <f>+ｼﾞｭｴﾙｽﾞ!W87/1000</f>
        <v>958.95699999999999</v>
      </c>
      <c r="AE88" s="93">
        <v>553.95699999999999</v>
      </c>
      <c r="AF88" s="94">
        <f t="shared" si="57"/>
        <v>405</v>
      </c>
      <c r="AG88" s="93">
        <v>1334</v>
      </c>
      <c r="AH88" s="95">
        <f t="shared" si="58"/>
        <v>-375.04300000000001</v>
      </c>
      <c r="AI88" s="92">
        <f t="shared" si="59"/>
        <v>958.95699999999999</v>
      </c>
      <c r="AJ88" s="93">
        <f t="shared" si="60"/>
        <v>553.95699999999999</v>
      </c>
      <c r="AK88" s="94">
        <f t="shared" si="61"/>
        <v>405</v>
      </c>
      <c r="AL88" s="93">
        <f t="shared" si="62"/>
        <v>1459</v>
      </c>
      <c r="AM88" s="95">
        <f t="shared" si="63"/>
        <v>-500.04300000000001</v>
      </c>
      <c r="AN88" s="92">
        <f>+ｶﾞｰﾃﾞﾝ!W87/1000</f>
        <v>5652.58</v>
      </c>
      <c r="AO88" s="93">
        <v>7090.4610000000002</v>
      </c>
      <c r="AP88" s="94">
        <f t="shared" si="64"/>
        <v>-1437.8810000000003</v>
      </c>
      <c r="AQ88" s="93">
        <v>7511</v>
      </c>
      <c r="AR88" s="97">
        <f t="shared" si="65"/>
        <v>-1858.42</v>
      </c>
      <c r="AS88" s="189">
        <f>+ﾋﾞｱｶﾞｰﾃﾞﾝ!W87/1000</f>
        <v>0</v>
      </c>
      <c r="AT88" s="93">
        <v>0</v>
      </c>
      <c r="AU88" s="94">
        <f t="shared" si="66"/>
        <v>0</v>
      </c>
      <c r="AV88" s="93">
        <v>0</v>
      </c>
      <c r="AW88" s="95">
        <f t="shared" si="67"/>
        <v>0</v>
      </c>
      <c r="AX88" s="92">
        <f t="shared" si="68"/>
        <v>5652.58</v>
      </c>
      <c r="AY88" s="93">
        <f t="shared" si="69"/>
        <v>7090.4610000000002</v>
      </c>
      <c r="AZ88" s="94">
        <f t="shared" si="70"/>
        <v>-1437.8810000000003</v>
      </c>
      <c r="BA88" s="93">
        <f t="shared" si="71"/>
        <v>7511</v>
      </c>
      <c r="BB88" s="95">
        <f t="shared" si="72"/>
        <v>-1858.42</v>
      </c>
      <c r="BC88" s="92">
        <f>+赤れんが!X88/1000</f>
        <v>1000</v>
      </c>
      <c r="BD88" s="189">
        <f>+赤れんが!Z88/1000</f>
        <v>150</v>
      </c>
      <c r="BE88" s="92">
        <f t="shared" si="73"/>
        <v>1150</v>
      </c>
      <c r="BF88" s="92">
        <f>+料飲共通!W87/1000</f>
        <v>0</v>
      </c>
      <c r="BG88" s="93">
        <v>0</v>
      </c>
      <c r="BH88" s="94">
        <f t="shared" si="74"/>
        <v>0</v>
      </c>
      <c r="BI88" s="93">
        <v>0</v>
      </c>
      <c r="BJ88" s="95">
        <f t="shared" si="75"/>
        <v>0</v>
      </c>
      <c r="BK88" s="92">
        <f t="shared" si="76"/>
        <v>8602.6729999999989</v>
      </c>
      <c r="BL88" s="93">
        <f t="shared" si="77"/>
        <v>7902.2210000000005</v>
      </c>
      <c r="BM88" s="94">
        <f t="shared" si="43"/>
        <v>700.45199999999841</v>
      </c>
      <c r="BN88" s="93">
        <f t="shared" si="78"/>
        <v>9227</v>
      </c>
      <c r="BO88" s="95">
        <f t="shared" si="79"/>
        <v>-624.32700000000114</v>
      </c>
      <c r="BP88" s="92">
        <f t="shared" si="80"/>
        <v>7452.6729999999989</v>
      </c>
      <c r="BQ88" s="93">
        <f t="shared" si="81"/>
        <v>7902.2210000000005</v>
      </c>
      <c r="BR88" s="94">
        <f t="shared" si="84"/>
        <v>-449.54800000000159</v>
      </c>
      <c r="BS88" s="93">
        <f t="shared" si="82"/>
        <v>9102</v>
      </c>
      <c r="BT88" s="95">
        <f t="shared" si="83"/>
        <v>-1649.3270000000011</v>
      </c>
    </row>
    <row r="89" spans="1:72" s="88" customFormat="1" ht="22" hidden="1" customHeight="1" outlineLevel="1">
      <c r="A89" s="138"/>
      <c r="B89" s="90" t="s">
        <v>97</v>
      </c>
      <c r="C89" s="91"/>
      <c r="D89" s="91"/>
      <c r="E89" s="92">
        <f>+ﾇｰﾍﾞﾙﾌﾟｰｽ!W88/1000</f>
        <v>0</v>
      </c>
      <c r="F89" s="93">
        <v>0</v>
      </c>
      <c r="G89" s="94">
        <f t="shared" si="44"/>
        <v>0</v>
      </c>
      <c r="H89" s="93">
        <v>0</v>
      </c>
      <c r="I89" s="97">
        <f t="shared" si="45"/>
        <v>0</v>
      </c>
      <c r="J89" s="189">
        <f>+ｶﾌｪﾙﾎﾟ!W88/1000</f>
        <v>0</v>
      </c>
      <c r="K89" s="93">
        <v>0</v>
      </c>
      <c r="L89" s="94">
        <f t="shared" si="46"/>
        <v>0</v>
      </c>
      <c r="M89" s="93">
        <v>0</v>
      </c>
      <c r="N89" s="190">
        <f t="shared" si="47"/>
        <v>0</v>
      </c>
      <c r="O89" s="96">
        <f>+ｶﾌｪｾﾚｽﾃ!W88/1000</f>
        <v>0</v>
      </c>
      <c r="P89" s="93">
        <v>0</v>
      </c>
      <c r="Q89" s="94">
        <f t="shared" si="48"/>
        <v>0</v>
      </c>
      <c r="R89" s="93">
        <v>0</v>
      </c>
      <c r="S89" s="97">
        <f t="shared" si="49"/>
        <v>0</v>
      </c>
      <c r="T89" s="92">
        <f t="shared" si="50"/>
        <v>0</v>
      </c>
      <c r="U89" s="93">
        <f t="shared" si="51"/>
        <v>0</v>
      </c>
      <c r="V89" s="94">
        <f t="shared" si="52"/>
        <v>0</v>
      </c>
      <c r="W89" s="93">
        <f t="shared" si="53"/>
        <v>0</v>
      </c>
      <c r="X89" s="95">
        <f t="shared" si="54"/>
        <v>0</v>
      </c>
      <c r="Y89" s="96">
        <v>0</v>
      </c>
      <c r="Z89" s="93">
        <v>0</v>
      </c>
      <c r="AA89" s="94">
        <f t="shared" si="55"/>
        <v>0</v>
      </c>
      <c r="AB89" s="93">
        <v>0</v>
      </c>
      <c r="AC89" s="190">
        <f t="shared" si="56"/>
        <v>0</v>
      </c>
      <c r="AD89" s="96">
        <f>+ｼﾞｭｴﾙｽﾞ!W88/1000</f>
        <v>0</v>
      </c>
      <c r="AE89" s="93">
        <v>0</v>
      </c>
      <c r="AF89" s="94">
        <f t="shared" si="57"/>
        <v>0</v>
      </c>
      <c r="AG89" s="93">
        <v>0</v>
      </c>
      <c r="AH89" s="95">
        <f t="shared" si="58"/>
        <v>0</v>
      </c>
      <c r="AI89" s="92">
        <f t="shared" si="59"/>
        <v>0</v>
      </c>
      <c r="AJ89" s="93">
        <f t="shared" si="60"/>
        <v>0</v>
      </c>
      <c r="AK89" s="94">
        <f t="shared" si="61"/>
        <v>0</v>
      </c>
      <c r="AL89" s="93">
        <f t="shared" si="62"/>
        <v>0</v>
      </c>
      <c r="AM89" s="95">
        <f t="shared" si="63"/>
        <v>0</v>
      </c>
      <c r="AN89" s="92">
        <f>+ｶﾞｰﾃﾞﾝ!W88/1000</f>
        <v>0</v>
      </c>
      <c r="AO89" s="93">
        <v>0</v>
      </c>
      <c r="AP89" s="94">
        <f t="shared" si="64"/>
        <v>0</v>
      </c>
      <c r="AQ89" s="93">
        <v>0</v>
      </c>
      <c r="AR89" s="97">
        <f t="shared" si="65"/>
        <v>0</v>
      </c>
      <c r="AS89" s="189">
        <f>+ﾋﾞｱｶﾞｰﾃﾞﾝ!W88/1000</f>
        <v>0</v>
      </c>
      <c r="AT89" s="93">
        <v>0</v>
      </c>
      <c r="AU89" s="94">
        <f t="shared" si="66"/>
        <v>0</v>
      </c>
      <c r="AV89" s="93">
        <v>0</v>
      </c>
      <c r="AW89" s="95">
        <f t="shared" si="67"/>
        <v>0</v>
      </c>
      <c r="AX89" s="92">
        <f t="shared" si="68"/>
        <v>0</v>
      </c>
      <c r="AY89" s="93">
        <f t="shared" si="69"/>
        <v>0</v>
      </c>
      <c r="AZ89" s="94">
        <f t="shared" si="70"/>
        <v>0</v>
      </c>
      <c r="BA89" s="93">
        <f t="shared" si="71"/>
        <v>0</v>
      </c>
      <c r="BB89" s="95">
        <f t="shared" si="72"/>
        <v>0</v>
      </c>
      <c r="BC89" s="92">
        <f>+料飲共通!H88/1000</f>
        <v>0</v>
      </c>
      <c r="BD89" s="189">
        <f>+料飲共通!I88/1000</f>
        <v>0</v>
      </c>
      <c r="BE89" s="92">
        <f t="shared" si="73"/>
        <v>0</v>
      </c>
      <c r="BF89" s="92">
        <f>+料飲共通!W88/1000</f>
        <v>0</v>
      </c>
      <c r="BG89" s="93">
        <v>0</v>
      </c>
      <c r="BH89" s="94">
        <f t="shared" si="74"/>
        <v>0</v>
      </c>
      <c r="BI89" s="93">
        <v>0</v>
      </c>
      <c r="BJ89" s="95">
        <f t="shared" si="75"/>
        <v>0</v>
      </c>
      <c r="BK89" s="92">
        <f t="shared" si="76"/>
        <v>0</v>
      </c>
      <c r="BL89" s="93">
        <f t="shared" si="77"/>
        <v>0</v>
      </c>
      <c r="BM89" s="94">
        <f t="shared" si="43"/>
        <v>0</v>
      </c>
      <c r="BN89" s="93">
        <f t="shared" si="78"/>
        <v>0</v>
      </c>
      <c r="BO89" s="95">
        <f t="shared" si="79"/>
        <v>0</v>
      </c>
      <c r="BP89" s="92">
        <f t="shared" si="80"/>
        <v>0</v>
      </c>
      <c r="BQ89" s="93">
        <f t="shared" si="81"/>
        <v>0</v>
      </c>
      <c r="BR89" s="94">
        <f t="shared" si="84"/>
        <v>0</v>
      </c>
      <c r="BS89" s="93">
        <f t="shared" si="82"/>
        <v>0</v>
      </c>
      <c r="BT89" s="95">
        <f t="shared" si="83"/>
        <v>0</v>
      </c>
    </row>
    <row r="90" spans="1:72" s="88" customFormat="1" ht="22" hidden="1" customHeight="1" outlineLevel="1">
      <c r="A90" s="138"/>
      <c r="B90" s="90" t="s">
        <v>165</v>
      </c>
      <c r="C90" s="91"/>
      <c r="D90" s="91"/>
      <c r="E90" s="92">
        <f>+ﾇｰﾍﾞﾙﾌﾟｰｽ!W89/1000</f>
        <v>500</v>
      </c>
      <c r="F90" s="93">
        <v>0</v>
      </c>
      <c r="G90" s="94">
        <f t="shared" si="44"/>
        <v>500</v>
      </c>
      <c r="H90" s="93">
        <v>0</v>
      </c>
      <c r="I90" s="97">
        <f t="shared" si="45"/>
        <v>500</v>
      </c>
      <c r="J90" s="189">
        <f>+ｶﾌｪﾙﾎﾟ!W89/1000</f>
        <v>180.55699999999999</v>
      </c>
      <c r="K90" s="93">
        <v>180.55699999999999</v>
      </c>
      <c r="L90" s="94">
        <f t="shared" si="46"/>
        <v>0</v>
      </c>
      <c r="M90" s="93">
        <v>180</v>
      </c>
      <c r="N90" s="190">
        <f t="shared" si="47"/>
        <v>0.55699999999998795</v>
      </c>
      <c r="O90" s="96">
        <f>+ｶﾌｪｾﾚｽﾃ!W89/1000</f>
        <v>0</v>
      </c>
      <c r="P90" s="93">
        <v>0</v>
      </c>
      <c r="Q90" s="94">
        <f t="shared" si="48"/>
        <v>0</v>
      </c>
      <c r="R90" s="93">
        <v>0</v>
      </c>
      <c r="S90" s="97">
        <f t="shared" si="49"/>
        <v>0</v>
      </c>
      <c r="T90" s="92">
        <f t="shared" si="50"/>
        <v>680.55700000000002</v>
      </c>
      <c r="U90" s="93">
        <f t="shared" si="51"/>
        <v>180.55699999999999</v>
      </c>
      <c r="V90" s="94">
        <f t="shared" si="52"/>
        <v>500</v>
      </c>
      <c r="W90" s="93">
        <f t="shared" si="53"/>
        <v>180</v>
      </c>
      <c r="X90" s="95">
        <f t="shared" si="54"/>
        <v>500.55700000000002</v>
      </c>
      <c r="Y90" s="96">
        <v>0</v>
      </c>
      <c r="Z90" s="93">
        <v>0</v>
      </c>
      <c r="AA90" s="94">
        <f t="shared" si="55"/>
        <v>0</v>
      </c>
      <c r="AB90" s="93">
        <v>0</v>
      </c>
      <c r="AC90" s="190">
        <f t="shared" si="56"/>
        <v>0</v>
      </c>
      <c r="AD90" s="96">
        <f>+ｼﾞｭｴﾙｽﾞ!W89/1000</f>
        <v>175.1</v>
      </c>
      <c r="AE90" s="93">
        <v>175.1</v>
      </c>
      <c r="AF90" s="94">
        <f t="shared" si="57"/>
        <v>0</v>
      </c>
      <c r="AG90" s="93">
        <v>175</v>
      </c>
      <c r="AH90" s="95">
        <f t="shared" si="58"/>
        <v>9.9999999999994316E-2</v>
      </c>
      <c r="AI90" s="92">
        <f t="shared" si="59"/>
        <v>175.1</v>
      </c>
      <c r="AJ90" s="93">
        <f t="shared" si="60"/>
        <v>175.1</v>
      </c>
      <c r="AK90" s="94">
        <f t="shared" si="61"/>
        <v>0</v>
      </c>
      <c r="AL90" s="93">
        <f t="shared" si="62"/>
        <v>175</v>
      </c>
      <c r="AM90" s="95">
        <f t="shared" si="63"/>
        <v>9.9999999999994316E-2</v>
      </c>
      <c r="AN90" s="92">
        <f>+ｶﾞｰﾃﾞﾝ!W89/1000</f>
        <v>403.78199999999998</v>
      </c>
      <c r="AO90" s="93">
        <v>143.36600000000001</v>
      </c>
      <c r="AP90" s="94">
        <f t="shared" si="64"/>
        <v>260.41599999999994</v>
      </c>
      <c r="AQ90" s="93">
        <v>143</v>
      </c>
      <c r="AR90" s="97">
        <f t="shared" si="65"/>
        <v>260.78199999999998</v>
      </c>
      <c r="AS90" s="189">
        <f>+ﾋﾞｱｶﾞｰﾃﾞﾝ!W89/1000</f>
        <v>0</v>
      </c>
      <c r="AT90" s="93">
        <v>0</v>
      </c>
      <c r="AU90" s="94">
        <f t="shared" si="66"/>
        <v>0</v>
      </c>
      <c r="AV90" s="93">
        <v>0</v>
      </c>
      <c r="AW90" s="95">
        <f t="shared" si="67"/>
        <v>0</v>
      </c>
      <c r="AX90" s="92">
        <f t="shared" si="68"/>
        <v>403.78199999999998</v>
      </c>
      <c r="AY90" s="93">
        <f t="shared" si="69"/>
        <v>143.36600000000001</v>
      </c>
      <c r="AZ90" s="94">
        <f t="shared" si="70"/>
        <v>260.41599999999994</v>
      </c>
      <c r="BA90" s="93">
        <f t="shared" si="71"/>
        <v>143</v>
      </c>
      <c r="BB90" s="95">
        <f t="shared" si="72"/>
        <v>260.78199999999998</v>
      </c>
      <c r="BC90" s="92">
        <f>+料飲共通!H89/1000</f>
        <v>0</v>
      </c>
      <c r="BD90" s="189">
        <f>+料飲共通!I89/1000</f>
        <v>0</v>
      </c>
      <c r="BE90" s="92">
        <f t="shared" si="73"/>
        <v>0</v>
      </c>
      <c r="BF90" s="92">
        <f>+料飲共通!W89/1000</f>
        <v>0</v>
      </c>
      <c r="BG90" s="93">
        <v>0</v>
      </c>
      <c r="BH90" s="94">
        <f t="shared" si="74"/>
        <v>0</v>
      </c>
      <c r="BI90" s="93">
        <v>0</v>
      </c>
      <c r="BJ90" s="95">
        <f t="shared" si="75"/>
        <v>0</v>
      </c>
      <c r="BK90" s="92">
        <f t="shared" si="76"/>
        <v>1259.4390000000001</v>
      </c>
      <c r="BL90" s="93">
        <f t="shared" si="77"/>
        <v>499.02300000000002</v>
      </c>
      <c r="BM90" s="94">
        <f t="shared" si="43"/>
        <v>760.41600000000005</v>
      </c>
      <c r="BN90" s="93">
        <f t="shared" si="78"/>
        <v>498</v>
      </c>
      <c r="BO90" s="95">
        <f t="shared" si="79"/>
        <v>761.43900000000008</v>
      </c>
      <c r="BP90" s="92">
        <f t="shared" si="80"/>
        <v>1259.4390000000001</v>
      </c>
      <c r="BQ90" s="93">
        <f t="shared" si="81"/>
        <v>499.02300000000002</v>
      </c>
      <c r="BR90" s="94">
        <f t="shared" si="84"/>
        <v>760.41600000000005</v>
      </c>
      <c r="BS90" s="93">
        <f t="shared" si="82"/>
        <v>498</v>
      </c>
      <c r="BT90" s="95">
        <f t="shared" si="83"/>
        <v>761.43900000000008</v>
      </c>
    </row>
    <row r="91" spans="1:72" s="88" customFormat="1" ht="22" hidden="1" customHeight="1" outlineLevel="1">
      <c r="A91" s="138"/>
      <c r="B91" s="90" t="s">
        <v>101</v>
      </c>
      <c r="C91" s="91"/>
      <c r="D91" s="91"/>
      <c r="E91" s="92">
        <f>+ﾇｰﾍﾞﾙﾌﾟｰｽ!W90/1000</f>
        <v>4445.38</v>
      </c>
      <c r="F91" s="93">
        <v>7063.1880000000001</v>
      </c>
      <c r="G91" s="94">
        <f t="shared" si="44"/>
        <v>-2617.808</v>
      </c>
      <c r="H91" s="93">
        <v>7063</v>
      </c>
      <c r="I91" s="97">
        <f t="shared" si="45"/>
        <v>-2617.62</v>
      </c>
      <c r="J91" s="189">
        <f>+ｶﾌｪﾙﾎﾟ!W90/1000</f>
        <v>440.99299999999999</v>
      </c>
      <c r="K91" s="93">
        <v>440.99299999999999</v>
      </c>
      <c r="L91" s="94">
        <f t="shared" si="46"/>
        <v>0</v>
      </c>
      <c r="M91" s="93">
        <v>440</v>
      </c>
      <c r="N91" s="190">
        <f t="shared" si="47"/>
        <v>0.992999999999995</v>
      </c>
      <c r="O91" s="96">
        <f>+ｶﾌｪｾﾚｽﾃ!W90/1000</f>
        <v>255.30600000000001</v>
      </c>
      <c r="P91" s="93">
        <v>255.30600000000001</v>
      </c>
      <c r="Q91" s="94">
        <f t="shared" si="48"/>
        <v>0</v>
      </c>
      <c r="R91" s="93">
        <v>255</v>
      </c>
      <c r="S91" s="97">
        <f t="shared" si="49"/>
        <v>0.3060000000000116</v>
      </c>
      <c r="T91" s="92">
        <f t="shared" si="50"/>
        <v>5141.6790000000001</v>
      </c>
      <c r="U91" s="93">
        <f t="shared" si="51"/>
        <v>7759.4870000000001</v>
      </c>
      <c r="V91" s="94">
        <f t="shared" si="52"/>
        <v>-2617.808</v>
      </c>
      <c r="W91" s="93">
        <f t="shared" si="53"/>
        <v>7758</v>
      </c>
      <c r="X91" s="95">
        <f t="shared" si="54"/>
        <v>-2616.3209999999999</v>
      </c>
      <c r="Y91" s="96">
        <v>0</v>
      </c>
      <c r="Z91" s="93">
        <v>0</v>
      </c>
      <c r="AA91" s="94">
        <f t="shared" si="55"/>
        <v>0</v>
      </c>
      <c r="AB91" s="93">
        <v>545</v>
      </c>
      <c r="AC91" s="190">
        <f t="shared" si="56"/>
        <v>-545</v>
      </c>
      <c r="AD91" s="96">
        <f>+ｼﾞｭｴﾙｽﾞ!W90/1000</f>
        <v>1769.326</v>
      </c>
      <c r="AE91" s="93">
        <v>1841.336</v>
      </c>
      <c r="AF91" s="94">
        <f t="shared" si="57"/>
        <v>-72.009999999999991</v>
      </c>
      <c r="AG91" s="93">
        <v>2103</v>
      </c>
      <c r="AH91" s="95">
        <f t="shared" si="58"/>
        <v>-333.67399999999998</v>
      </c>
      <c r="AI91" s="92">
        <f t="shared" si="59"/>
        <v>1769.326</v>
      </c>
      <c r="AJ91" s="93">
        <f t="shared" si="60"/>
        <v>1841.336</v>
      </c>
      <c r="AK91" s="94">
        <f t="shared" si="61"/>
        <v>-72.009999999999991</v>
      </c>
      <c r="AL91" s="93">
        <f t="shared" si="62"/>
        <v>2648</v>
      </c>
      <c r="AM91" s="95">
        <f t="shared" si="63"/>
        <v>-878.67399999999998</v>
      </c>
      <c r="AN91" s="92">
        <f>+ｶﾞｰﾃﾞﾝ!W90/1000</f>
        <v>3349.2020000000002</v>
      </c>
      <c r="AO91" s="93">
        <v>3293.326</v>
      </c>
      <c r="AP91" s="94">
        <f t="shared" si="64"/>
        <v>55.876000000000204</v>
      </c>
      <c r="AQ91" s="93">
        <v>3274</v>
      </c>
      <c r="AR91" s="97">
        <f t="shared" si="65"/>
        <v>75.202000000000226</v>
      </c>
      <c r="AS91" s="189">
        <f>+ﾋﾞｱｶﾞｰﾃﾞﾝ!W90/1000</f>
        <v>120.84</v>
      </c>
      <c r="AT91" s="93">
        <v>120.84</v>
      </c>
      <c r="AU91" s="94">
        <f t="shared" si="66"/>
        <v>0</v>
      </c>
      <c r="AV91" s="93">
        <v>210</v>
      </c>
      <c r="AW91" s="95">
        <f t="shared" si="67"/>
        <v>-89.16</v>
      </c>
      <c r="AX91" s="92">
        <f t="shared" si="68"/>
        <v>3470.0420000000004</v>
      </c>
      <c r="AY91" s="93">
        <f t="shared" si="69"/>
        <v>3414.1660000000002</v>
      </c>
      <c r="AZ91" s="94">
        <f t="shared" si="70"/>
        <v>55.876000000000204</v>
      </c>
      <c r="BA91" s="93">
        <f t="shared" si="71"/>
        <v>3484</v>
      </c>
      <c r="BB91" s="95">
        <f t="shared" si="72"/>
        <v>-13.957999999999629</v>
      </c>
      <c r="BC91" s="92">
        <f>+赤れんが!X91/1000</f>
        <v>500</v>
      </c>
      <c r="BD91" s="189">
        <f>+赤れんが!Y91/1000</f>
        <v>6.6343212545342266E-6</v>
      </c>
      <c r="BE91" s="92">
        <f t="shared" si="73"/>
        <v>500.00000663432127</v>
      </c>
      <c r="BF91" s="92">
        <f>+料飲共通!W90/1000</f>
        <v>0</v>
      </c>
      <c r="BG91" s="93">
        <v>0</v>
      </c>
      <c r="BH91" s="94">
        <f t="shared" si="74"/>
        <v>0</v>
      </c>
      <c r="BI91" s="93">
        <v>50</v>
      </c>
      <c r="BJ91" s="95">
        <f t="shared" si="75"/>
        <v>-50</v>
      </c>
      <c r="BK91" s="92">
        <f t="shared" si="76"/>
        <v>10881.047006634322</v>
      </c>
      <c r="BL91" s="93">
        <f t="shared" si="77"/>
        <v>13014.989000000001</v>
      </c>
      <c r="BM91" s="94">
        <f t="shared" si="43"/>
        <v>-2133.9419933656791</v>
      </c>
      <c r="BN91" s="93">
        <f t="shared" si="78"/>
        <v>13940</v>
      </c>
      <c r="BO91" s="95">
        <f t="shared" si="79"/>
        <v>-3058.9529933656777</v>
      </c>
      <c r="BP91" s="92">
        <f t="shared" si="80"/>
        <v>10381.047</v>
      </c>
      <c r="BQ91" s="93">
        <f t="shared" si="81"/>
        <v>13014.989000000001</v>
      </c>
      <c r="BR91" s="94">
        <f t="shared" si="84"/>
        <v>-2633.9420000000009</v>
      </c>
      <c r="BS91" s="93">
        <f t="shared" si="82"/>
        <v>13395</v>
      </c>
      <c r="BT91" s="95">
        <f t="shared" si="83"/>
        <v>-3013.9529999999995</v>
      </c>
    </row>
    <row r="92" spans="1:72" s="88" customFormat="1" ht="22" hidden="1" customHeight="1" outlineLevel="1">
      <c r="A92" s="138"/>
      <c r="B92" s="90" t="s">
        <v>103</v>
      </c>
      <c r="C92" s="91"/>
      <c r="D92" s="91"/>
      <c r="E92" s="92">
        <f>+ﾇｰﾍﾞﾙﾌﾟｰｽ!W91/1000</f>
        <v>0</v>
      </c>
      <c r="F92" s="93">
        <v>0</v>
      </c>
      <c r="G92" s="94">
        <f t="shared" si="44"/>
        <v>0</v>
      </c>
      <c r="H92" s="93">
        <v>0</v>
      </c>
      <c r="I92" s="97">
        <f t="shared" si="45"/>
        <v>0</v>
      </c>
      <c r="J92" s="189">
        <f>+ｶﾌｪﾙﾎﾟ!W91/1000</f>
        <v>0</v>
      </c>
      <c r="K92" s="93">
        <v>0</v>
      </c>
      <c r="L92" s="94">
        <f t="shared" si="46"/>
        <v>0</v>
      </c>
      <c r="M92" s="93">
        <v>0</v>
      </c>
      <c r="N92" s="190">
        <f t="shared" si="47"/>
        <v>0</v>
      </c>
      <c r="O92" s="96">
        <f>+ｶﾌｪｾﾚｽﾃ!W91/1000</f>
        <v>0</v>
      </c>
      <c r="P92" s="93">
        <v>0</v>
      </c>
      <c r="Q92" s="94">
        <f t="shared" si="48"/>
        <v>0</v>
      </c>
      <c r="R92" s="93">
        <v>0</v>
      </c>
      <c r="S92" s="97">
        <f t="shared" si="49"/>
        <v>0</v>
      </c>
      <c r="T92" s="92">
        <f t="shared" si="50"/>
        <v>0</v>
      </c>
      <c r="U92" s="93">
        <f t="shared" si="51"/>
        <v>0</v>
      </c>
      <c r="V92" s="94">
        <f t="shared" si="52"/>
        <v>0</v>
      </c>
      <c r="W92" s="93">
        <f t="shared" si="53"/>
        <v>0</v>
      </c>
      <c r="X92" s="95">
        <f t="shared" si="54"/>
        <v>0</v>
      </c>
      <c r="Y92" s="96">
        <v>0</v>
      </c>
      <c r="Z92" s="93">
        <v>0</v>
      </c>
      <c r="AA92" s="94">
        <f t="shared" si="55"/>
        <v>0</v>
      </c>
      <c r="AB92" s="93">
        <v>0</v>
      </c>
      <c r="AC92" s="190">
        <f t="shared" si="56"/>
        <v>0</v>
      </c>
      <c r="AD92" s="96">
        <f>+ｼﾞｭｴﾙｽﾞ!W91/1000</f>
        <v>0</v>
      </c>
      <c r="AE92" s="93">
        <v>0</v>
      </c>
      <c r="AF92" s="94">
        <f t="shared" si="57"/>
        <v>0</v>
      </c>
      <c r="AG92" s="93">
        <v>0</v>
      </c>
      <c r="AH92" s="95">
        <f t="shared" si="58"/>
        <v>0</v>
      </c>
      <c r="AI92" s="92">
        <f t="shared" si="59"/>
        <v>0</v>
      </c>
      <c r="AJ92" s="93">
        <f t="shared" si="60"/>
        <v>0</v>
      </c>
      <c r="AK92" s="94">
        <f t="shared" si="61"/>
        <v>0</v>
      </c>
      <c r="AL92" s="93">
        <f t="shared" si="62"/>
        <v>0</v>
      </c>
      <c r="AM92" s="95">
        <f t="shared" si="63"/>
        <v>0</v>
      </c>
      <c r="AN92" s="92">
        <f>+ｶﾞｰﾃﾞﾝ!W91/1000</f>
        <v>0</v>
      </c>
      <c r="AO92" s="93">
        <v>0</v>
      </c>
      <c r="AP92" s="94">
        <f t="shared" si="64"/>
        <v>0</v>
      </c>
      <c r="AQ92" s="93">
        <v>0</v>
      </c>
      <c r="AR92" s="97">
        <f t="shared" si="65"/>
        <v>0</v>
      </c>
      <c r="AS92" s="189">
        <f>+ﾋﾞｱｶﾞｰﾃﾞﾝ!W91/1000</f>
        <v>0</v>
      </c>
      <c r="AT92" s="93">
        <v>0</v>
      </c>
      <c r="AU92" s="94">
        <f t="shared" si="66"/>
        <v>0</v>
      </c>
      <c r="AV92" s="93">
        <v>0</v>
      </c>
      <c r="AW92" s="95">
        <f t="shared" si="67"/>
        <v>0</v>
      </c>
      <c r="AX92" s="92">
        <f t="shared" si="68"/>
        <v>0</v>
      </c>
      <c r="AY92" s="93">
        <f t="shared" si="69"/>
        <v>0</v>
      </c>
      <c r="AZ92" s="94">
        <f t="shared" si="70"/>
        <v>0</v>
      </c>
      <c r="BA92" s="93">
        <f t="shared" si="71"/>
        <v>0</v>
      </c>
      <c r="BB92" s="95">
        <f t="shared" si="72"/>
        <v>0</v>
      </c>
      <c r="BC92" s="92">
        <f>+料飲共通!H91/1000</f>
        <v>0</v>
      </c>
      <c r="BD92" s="189">
        <f>+料飲共通!I91/1000</f>
        <v>0</v>
      </c>
      <c r="BE92" s="92">
        <f t="shared" si="73"/>
        <v>0</v>
      </c>
      <c r="BF92" s="92">
        <f>+料飲共通!W91/1000</f>
        <v>0</v>
      </c>
      <c r="BG92" s="93">
        <v>0</v>
      </c>
      <c r="BH92" s="94">
        <f t="shared" si="74"/>
        <v>0</v>
      </c>
      <c r="BI92" s="93">
        <v>0</v>
      </c>
      <c r="BJ92" s="95">
        <f t="shared" si="75"/>
        <v>0</v>
      </c>
      <c r="BK92" s="92">
        <f t="shared" si="76"/>
        <v>0</v>
      </c>
      <c r="BL92" s="93">
        <f t="shared" si="77"/>
        <v>0</v>
      </c>
      <c r="BM92" s="94">
        <f t="shared" si="43"/>
        <v>0</v>
      </c>
      <c r="BN92" s="93">
        <f t="shared" si="78"/>
        <v>0</v>
      </c>
      <c r="BO92" s="95">
        <f t="shared" si="79"/>
        <v>0</v>
      </c>
      <c r="BP92" s="92">
        <f t="shared" si="80"/>
        <v>0</v>
      </c>
      <c r="BQ92" s="93">
        <f t="shared" si="81"/>
        <v>0</v>
      </c>
      <c r="BR92" s="94">
        <f t="shared" si="84"/>
        <v>0</v>
      </c>
      <c r="BS92" s="93">
        <f t="shared" si="82"/>
        <v>0</v>
      </c>
      <c r="BT92" s="95">
        <f t="shared" si="83"/>
        <v>0</v>
      </c>
    </row>
    <row r="93" spans="1:72" s="88" customFormat="1" ht="22" hidden="1" customHeight="1" outlineLevel="1">
      <c r="A93" s="138"/>
      <c r="B93" s="90" t="s">
        <v>169</v>
      </c>
      <c r="C93" s="91"/>
      <c r="D93" s="91"/>
      <c r="E93" s="92">
        <f>+ﾇｰﾍﾞﾙﾌﾟｰｽ!W92/1000</f>
        <v>218.34399999999999</v>
      </c>
      <c r="F93" s="93">
        <v>218.34200000000001</v>
      </c>
      <c r="G93" s="94">
        <f t="shared" si="44"/>
        <v>1.999999999981128E-3</v>
      </c>
      <c r="H93" s="93">
        <v>162</v>
      </c>
      <c r="I93" s="97">
        <f t="shared" si="45"/>
        <v>56.343999999999994</v>
      </c>
      <c r="J93" s="189">
        <f>+ｶﾌｪﾙﾎﾟ!W92/1000</f>
        <v>63.332999999999998</v>
      </c>
      <c r="K93" s="93">
        <v>63.332999999999998</v>
      </c>
      <c r="L93" s="94">
        <f t="shared" si="46"/>
        <v>0</v>
      </c>
      <c r="M93" s="93">
        <v>0</v>
      </c>
      <c r="N93" s="190">
        <f t="shared" si="47"/>
        <v>63.332999999999998</v>
      </c>
      <c r="O93" s="96">
        <f>+ｶﾌｪｾﾚｽﾃ!W92/1000</f>
        <v>0</v>
      </c>
      <c r="P93" s="93">
        <v>0</v>
      </c>
      <c r="Q93" s="94">
        <f t="shared" si="48"/>
        <v>0</v>
      </c>
      <c r="R93" s="93">
        <v>0</v>
      </c>
      <c r="S93" s="97">
        <f t="shared" si="49"/>
        <v>0</v>
      </c>
      <c r="T93" s="92">
        <f t="shared" si="50"/>
        <v>281.67700000000002</v>
      </c>
      <c r="U93" s="93">
        <f t="shared" si="51"/>
        <v>281.67500000000001</v>
      </c>
      <c r="V93" s="94">
        <f t="shared" si="52"/>
        <v>2.0000000000095497E-3</v>
      </c>
      <c r="W93" s="93">
        <f t="shared" si="53"/>
        <v>162</v>
      </c>
      <c r="X93" s="95">
        <f t="shared" si="54"/>
        <v>119.67700000000002</v>
      </c>
      <c r="Y93" s="96">
        <v>0</v>
      </c>
      <c r="Z93" s="93">
        <v>117.94799999999999</v>
      </c>
      <c r="AA93" s="94">
        <f t="shared" si="55"/>
        <v>-117.94799999999999</v>
      </c>
      <c r="AB93" s="93">
        <v>117</v>
      </c>
      <c r="AC93" s="190">
        <f t="shared" si="56"/>
        <v>-117</v>
      </c>
      <c r="AD93" s="96">
        <f>+ｼﾞｭｴﾙｽﾞ!W92/1000</f>
        <v>319.36900000000003</v>
      </c>
      <c r="AE93" s="93">
        <v>417.19799999999998</v>
      </c>
      <c r="AF93" s="94">
        <f t="shared" si="57"/>
        <v>-97.828999999999951</v>
      </c>
      <c r="AG93" s="93">
        <v>160</v>
      </c>
      <c r="AH93" s="95">
        <f t="shared" si="58"/>
        <v>159.36900000000003</v>
      </c>
      <c r="AI93" s="92">
        <f t="shared" si="59"/>
        <v>319.36900000000003</v>
      </c>
      <c r="AJ93" s="93">
        <f t="shared" si="60"/>
        <v>535.14599999999996</v>
      </c>
      <c r="AK93" s="94">
        <f t="shared" si="61"/>
        <v>-215.77699999999993</v>
      </c>
      <c r="AL93" s="93">
        <f t="shared" si="62"/>
        <v>277</v>
      </c>
      <c r="AM93" s="95">
        <f t="shared" si="63"/>
        <v>42.369000000000028</v>
      </c>
      <c r="AN93" s="92">
        <f>+ｶﾞｰﾃﾞﾝ!W92/1000</f>
        <v>1292.5920000000001</v>
      </c>
      <c r="AO93" s="93">
        <v>1292.5709999999999</v>
      </c>
      <c r="AP93" s="94">
        <f t="shared" si="64"/>
        <v>2.1000000000185537E-2</v>
      </c>
      <c r="AQ93" s="93">
        <v>1177</v>
      </c>
      <c r="AR93" s="97">
        <f t="shared" si="65"/>
        <v>115.5920000000001</v>
      </c>
      <c r="AS93" s="189">
        <f>+ﾋﾞｱｶﾞｰﾃﾞﾝ!W92/1000</f>
        <v>263.33300000000003</v>
      </c>
      <c r="AT93" s="93">
        <v>263.33300000000003</v>
      </c>
      <c r="AU93" s="94">
        <f t="shared" si="66"/>
        <v>0</v>
      </c>
      <c r="AV93" s="93">
        <v>0</v>
      </c>
      <c r="AW93" s="95">
        <f t="shared" si="67"/>
        <v>263.33300000000003</v>
      </c>
      <c r="AX93" s="92">
        <f t="shared" si="68"/>
        <v>1555.9250000000002</v>
      </c>
      <c r="AY93" s="93">
        <f t="shared" si="69"/>
        <v>1555.904</v>
      </c>
      <c r="AZ93" s="94">
        <f t="shared" si="70"/>
        <v>2.1000000000185537E-2</v>
      </c>
      <c r="BA93" s="93">
        <f t="shared" si="71"/>
        <v>1177</v>
      </c>
      <c r="BB93" s="95">
        <f t="shared" si="72"/>
        <v>378.92500000000018</v>
      </c>
      <c r="BC93" s="92">
        <f>+料飲共通!H92/1000</f>
        <v>0</v>
      </c>
      <c r="BD93" s="189">
        <f>+料飲共通!I92/1000</f>
        <v>0</v>
      </c>
      <c r="BE93" s="92">
        <f t="shared" si="73"/>
        <v>0</v>
      </c>
      <c r="BF93" s="92">
        <f>+料飲共通!W92/1000</f>
        <v>0</v>
      </c>
      <c r="BG93" s="93">
        <v>0</v>
      </c>
      <c r="BH93" s="94">
        <f t="shared" si="74"/>
        <v>0</v>
      </c>
      <c r="BI93" s="93">
        <v>0</v>
      </c>
      <c r="BJ93" s="95">
        <f t="shared" si="75"/>
        <v>0</v>
      </c>
      <c r="BK93" s="92">
        <f t="shared" si="76"/>
        <v>2156.9710000000005</v>
      </c>
      <c r="BL93" s="93">
        <f t="shared" si="77"/>
        <v>2372.7249999999999</v>
      </c>
      <c r="BM93" s="94">
        <f t="shared" si="43"/>
        <v>-215.75399999999945</v>
      </c>
      <c r="BN93" s="93">
        <f t="shared" si="78"/>
        <v>1616</v>
      </c>
      <c r="BO93" s="95">
        <f t="shared" si="79"/>
        <v>540.97100000000046</v>
      </c>
      <c r="BP93" s="92">
        <f t="shared" si="80"/>
        <v>2156.9710000000005</v>
      </c>
      <c r="BQ93" s="93">
        <f t="shared" si="81"/>
        <v>2254.777</v>
      </c>
      <c r="BR93" s="94">
        <f t="shared" si="84"/>
        <v>-97.805999999999585</v>
      </c>
      <c r="BS93" s="93">
        <f t="shared" si="82"/>
        <v>1499</v>
      </c>
      <c r="BT93" s="95">
        <f t="shared" si="83"/>
        <v>657.97100000000046</v>
      </c>
    </row>
    <row r="94" spans="1:72" s="88" customFormat="1" ht="22" hidden="1" customHeight="1" outlineLevel="1">
      <c r="A94" s="138"/>
      <c r="B94" s="90" t="s">
        <v>171</v>
      </c>
      <c r="C94" s="91"/>
      <c r="D94" s="91"/>
      <c r="E94" s="92">
        <f>+ﾇｰﾍﾞﾙﾌﾟｰｽ!W93/1000</f>
        <v>0</v>
      </c>
      <c r="F94" s="93">
        <v>0</v>
      </c>
      <c r="G94" s="94">
        <f t="shared" si="44"/>
        <v>0</v>
      </c>
      <c r="H94" s="93">
        <v>0</v>
      </c>
      <c r="I94" s="97">
        <f t="shared" si="45"/>
        <v>0</v>
      </c>
      <c r="J94" s="189">
        <f>+ｶﾌｪﾙﾎﾟ!W93/1000</f>
        <v>0</v>
      </c>
      <c r="K94" s="93">
        <v>0</v>
      </c>
      <c r="L94" s="94">
        <f t="shared" si="46"/>
        <v>0</v>
      </c>
      <c r="M94" s="93">
        <v>0</v>
      </c>
      <c r="N94" s="190">
        <f t="shared" si="47"/>
        <v>0</v>
      </c>
      <c r="O94" s="96">
        <f>+ｶﾌｪｾﾚｽﾃ!W93/1000</f>
        <v>0</v>
      </c>
      <c r="P94" s="93">
        <v>0</v>
      </c>
      <c r="Q94" s="94">
        <f t="shared" si="48"/>
        <v>0</v>
      </c>
      <c r="R94" s="93">
        <v>0</v>
      </c>
      <c r="S94" s="97">
        <f t="shared" si="49"/>
        <v>0</v>
      </c>
      <c r="T94" s="92">
        <f t="shared" si="50"/>
        <v>0</v>
      </c>
      <c r="U94" s="93">
        <f t="shared" si="51"/>
        <v>0</v>
      </c>
      <c r="V94" s="94">
        <f t="shared" si="52"/>
        <v>0</v>
      </c>
      <c r="W94" s="93">
        <f t="shared" si="53"/>
        <v>0</v>
      </c>
      <c r="X94" s="95">
        <f t="shared" si="54"/>
        <v>0</v>
      </c>
      <c r="Y94" s="96">
        <v>0</v>
      </c>
      <c r="Z94" s="93">
        <v>0</v>
      </c>
      <c r="AA94" s="94">
        <f t="shared" si="55"/>
        <v>0</v>
      </c>
      <c r="AB94" s="93">
        <v>0</v>
      </c>
      <c r="AC94" s="190">
        <f t="shared" si="56"/>
        <v>0</v>
      </c>
      <c r="AD94" s="96">
        <f>+ｼﾞｭｴﾙｽﾞ!W93/1000</f>
        <v>0</v>
      </c>
      <c r="AE94" s="93">
        <v>0</v>
      </c>
      <c r="AF94" s="94">
        <f t="shared" si="57"/>
        <v>0</v>
      </c>
      <c r="AG94" s="93">
        <v>0</v>
      </c>
      <c r="AH94" s="95">
        <f t="shared" si="58"/>
        <v>0</v>
      </c>
      <c r="AI94" s="92">
        <f t="shared" si="59"/>
        <v>0</v>
      </c>
      <c r="AJ94" s="93">
        <f t="shared" si="60"/>
        <v>0</v>
      </c>
      <c r="AK94" s="94">
        <f t="shared" si="61"/>
        <v>0</v>
      </c>
      <c r="AL94" s="93">
        <f t="shared" si="62"/>
        <v>0</v>
      </c>
      <c r="AM94" s="95">
        <f t="shared" si="63"/>
        <v>0</v>
      </c>
      <c r="AN94" s="92">
        <f>+ｶﾞｰﾃﾞﾝ!W93/1000</f>
        <v>0</v>
      </c>
      <c r="AO94" s="93">
        <v>0</v>
      </c>
      <c r="AP94" s="94">
        <f t="shared" si="64"/>
        <v>0</v>
      </c>
      <c r="AQ94" s="93">
        <v>0</v>
      </c>
      <c r="AR94" s="97">
        <f t="shared" si="65"/>
        <v>0</v>
      </c>
      <c r="AS94" s="189">
        <f>+ﾋﾞｱｶﾞｰﾃﾞﾝ!W93/1000</f>
        <v>0</v>
      </c>
      <c r="AT94" s="93">
        <v>0</v>
      </c>
      <c r="AU94" s="94">
        <f t="shared" si="66"/>
        <v>0</v>
      </c>
      <c r="AV94" s="93">
        <v>0</v>
      </c>
      <c r="AW94" s="95">
        <f t="shared" si="67"/>
        <v>0</v>
      </c>
      <c r="AX94" s="92">
        <f t="shared" si="68"/>
        <v>0</v>
      </c>
      <c r="AY94" s="93">
        <f t="shared" si="69"/>
        <v>0</v>
      </c>
      <c r="AZ94" s="94">
        <f t="shared" si="70"/>
        <v>0</v>
      </c>
      <c r="BA94" s="93">
        <f t="shared" si="71"/>
        <v>0</v>
      </c>
      <c r="BB94" s="95">
        <f t="shared" si="72"/>
        <v>0</v>
      </c>
      <c r="BC94" s="92">
        <f>+赤れんが!X94/1000</f>
        <v>719.721</v>
      </c>
      <c r="BD94" s="189">
        <f>+赤れんが!Z94/1000</f>
        <v>300</v>
      </c>
      <c r="BE94" s="92">
        <f t="shared" si="73"/>
        <v>1019.721</v>
      </c>
      <c r="BF94" s="92">
        <f>+料飲共通!W93/1000</f>
        <v>0</v>
      </c>
      <c r="BG94" s="93">
        <v>0</v>
      </c>
      <c r="BH94" s="94">
        <f t="shared" si="74"/>
        <v>0</v>
      </c>
      <c r="BI94" s="93">
        <v>0</v>
      </c>
      <c r="BJ94" s="95">
        <f t="shared" si="75"/>
        <v>0</v>
      </c>
      <c r="BK94" s="92">
        <f t="shared" si="76"/>
        <v>1019.721</v>
      </c>
      <c r="BL94" s="93">
        <f t="shared" si="77"/>
        <v>0</v>
      </c>
      <c r="BM94" s="94">
        <f t="shared" si="43"/>
        <v>1019.721</v>
      </c>
      <c r="BN94" s="93">
        <f t="shared" si="78"/>
        <v>0</v>
      </c>
      <c r="BO94" s="95">
        <f t="shared" si="79"/>
        <v>1019.721</v>
      </c>
      <c r="BP94" s="92">
        <f t="shared" si="80"/>
        <v>0</v>
      </c>
      <c r="BQ94" s="93">
        <f t="shared" si="81"/>
        <v>0</v>
      </c>
      <c r="BR94" s="94">
        <f t="shared" si="84"/>
        <v>0</v>
      </c>
      <c r="BS94" s="93">
        <f t="shared" si="82"/>
        <v>0</v>
      </c>
      <c r="BT94" s="95">
        <f t="shared" si="83"/>
        <v>0</v>
      </c>
    </row>
    <row r="95" spans="1:72" s="88" customFormat="1" ht="22" hidden="1" customHeight="1" outlineLevel="1">
      <c r="A95" s="138"/>
      <c r="B95" s="90" t="s">
        <v>173</v>
      </c>
      <c r="C95" s="91"/>
      <c r="D95" s="91"/>
      <c r="E95" s="92">
        <f>+ﾇｰﾍﾞﾙﾌﾟｰｽ!W94/1000</f>
        <v>67.998999999999995</v>
      </c>
      <c r="F95" s="93">
        <v>68</v>
      </c>
      <c r="G95" s="94">
        <f t="shared" si="44"/>
        <v>-1.0000000000047748E-3</v>
      </c>
      <c r="H95" s="93">
        <v>68</v>
      </c>
      <c r="I95" s="97">
        <f t="shared" si="45"/>
        <v>-1.0000000000047748E-3</v>
      </c>
      <c r="J95" s="189">
        <f>+ｶﾌｪﾙﾎﾟ!W94/1000</f>
        <v>0</v>
      </c>
      <c r="K95" s="93">
        <v>0</v>
      </c>
      <c r="L95" s="94">
        <f t="shared" si="46"/>
        <v>0</v>
      </c>
      <c r="M95" s="93">
        <v>0</v>
      </c>
      <c r="N95" s="190">
        <f t="shared" si="47"/>
        <v>0</v>
      </c>
      <c r="O95" s="96">
        <f>+ｶﾌｪｾﾚｽﾃ!W94/1000</f>
        <v>0</v>
      </c>
      <c r="P95" s="93">
        <v>0</v>
      </c>
      <c r="Q95" s="94">
        <f t="shared" si="48"/>
        <v>0</v>
      </c>
      <c r="R95" s="93">
        <v>0</v>
      </c>
      <c r="S95" s="97">
        <f t="shared" si="49"/>
        <v>0</v>
      </c>
      <c r="T95" s="92">
        <f t="shared" si="50"/>
        <v>67.998999999999995</v>
      </c>
      <c r="U95" s="93">
        <f t="shared" si="51"/>
        <v>68</v>
      </c>
      <c r="V95" s="94">
        <f t="shared" si="52"/>
        <v>-1.0000000000047748E-3</v>
      </c>
      <c r="W95" s="93">
        <f t="shared" si="53"/>
        <v>68</v>
      </c>
      <c r="X95" s="95">
        <f t="shared" si="54"/>
        <v>-1.0000000000047748E-3</v>
      </c>
      <c r="Y95" s="96">
        <v>0</v>
      </c>
      <c r="Z95" s="93">
        <v>0</v>
      </c>
      <c r="AA95" s="94">
        <f t="shared" si="55"/>
        <v>0</v>
      </c>
      <c r="AB95" s="93">
        <v>0</v>
      </c>
      <c r="AC95" s="190">
        <f t="shared" si="56"/>
        <v>0</v>
      </c>
      <c r="AD95" s="96">
        <f>+ｼﾞｭｴﾙｽﾞ!W94/1000</f>
        <v>0</v>
      </c>
      <c r="AE95" s="93">
        <v>0</v>
      </c>
      <c r="AF95" s="94">
        <f t="shared" si="57"/>
        <v>0</v>
      </c>
      <c r="AG95" s="93">
        <v>0</v>
      </c>
      <c r="AH95" s="95">
        <f t="shared" si="58"/>
        <v>0</v>
      </c>
      <c r="AI95" s="92">
        <f t="shared" si="59"/>
        <v>0</v>
      </c>
      <c r="AJ95" s="93">
        <f t="shared" si="60"/>
        <v>0</v>
      </c>
      <c r="AK95" s="94">
        <f t="shared" si="61"/>
        <v>0</v>
      </c>
      <c r="AL95" s="93">
        <f t="shared" si="62"/>
        <v>0</v>
      </c>
      <c r="AM95" s="95">
        <f t="shared" si="63"/>
        <v>0</v>
      </c>
      <c r="AN95" s="92">
        <f>+ｶﾞｰﾃﾞﾝ!W94/1000</f>
        <v>0</v>
      </c>
      <c r="AO95" s="93">
        <v>0</v>
      </c>
      <c r="AP95" s="94">
        <f t="shared" si="64"/>
        <v>0</v>
      </c>
      <c r="AQ95" s="93">
        <v>0</v>
      </c>
      <c r="AR95" s="97">
        <f t="shared" si="65"/>
        <v>0</v>
      </c>
      <c r="AS95" s="189">
        <f>+ﾋﾞｱｶﾞｰﾃﾞﾝ!W94/1000</f>
        <v>0</v>
      </c>
      <c r="AT95" s="93">
        <v>0</v>
      </c>
      <c r="AU95" s="94">
        <f t="shared" si="66"/>
        <v>0</v>
      </c>
      <c r="AV95" s="93">
        <v>0</v>
      </c>
      <c r="AW95" s="95">
        <f t="shared" si="67"/>
        <v>0</v>
      </c>
      <c r="AX95" s="92">
        <f t="shared" si="68"/>
        <v>0</v>
      </c>
      <c r="AY95" s="93">
        <f t="shared" si="69"/>
        <v>0</v>
      </c>
      <c r="AZ95" s="94">
        <f t="shared" si="70"/>
        <v>0</v>
      </c>
      <c r="BA95" s="93">
        <f t="shared" si="71"/>
        <v>0</v>
      </c>
      <c r="BB95" s="95">
        <f t="shared" si="72"/>
        <v>0</v>
      </c>
      <c r="BC95" s="92">
        <f>+料飲共通!H94/1000</f>
        <v>0</v>
      </c>
      <c r="BD95" s="189">
        <f>+料飲共通!I94/1000</f>
        <v>0</v>
      </c>
      <c r="BE95" s="92">
        <f t="shared" si="73"/>
        <v>0</v>
      </c>
      <c r="BF95" s="92">
        <f>+料飲共通!W94/1000</f>
        <v>0</v>
      </c>
      <c r="BG95" s="93">
        <v>0</v>
      </c>
      <c r="BH95" s="94">
        <f t="shared" si="74"/>
        <v>0</v>
      </c>
      <c r="BI95" s="93">
        <v>0</v>
      </c>
      <c r="BJ95" s="95">
        <f t="shared" si="75"/>
        <v>0</v>
      </c>
      <c r="BK95" s="92">
        <f t="shared" si="76"/>
        <v>67.998999999999995</v>
      </c>
      <c r="BL95" s="93">
        <f t="shared" si="77"/>
        <v>68</v>
      </c>
      <c r="BM95" s="94">
        <f t="shared" si="43"/>
        <v>-1.0000000000047748E-3</v>
      </c>
      <c r="BN95" s="93">
        <f t="shared" si="78"/>
        <v>68</v>
      </c>
      <c r="BO95" s="95">
        <f t="shared" si="79"/>
        <v>-1.0000000000047748E-3</v>
      </c>
      <c r="BP95" s="92">
        <f t="shared" si="80"/>
        <v>67.998999999999995</v>
      </c>
      <c r="BQ95" s="93">
        <f t="shared" si="81"/>
        <v>68</v>
      </c>
      <c r="BR95" s="94">
        <f t="shared" si="84"/>
        <v>-1.0000000000047748E-3</v>
      </c>
      <c r="BS95" s="93">
        <f t="shared" si="82"/>
        <v>68</v>
      </c>
      <c r="BT95" s="95">
        <f t="shared" si="83"/>
        <v>-1.0000000000047748E-3</v>
      </c>
    </row>
    <row r="96" spans="1:72" s="88" customFormat="1" ht="22" hidden="1" customHeight="1" outlineLevel="1">
      <c r="A96" s="138"/>
      <c r="B96" s="90" t="s">
        <v>175</v>
      </c>
      <c r="C96" s="91"/>
      <c r="D96" s="91"/>
      <c r="E96" s="92">
        <f>+ﾇｰﾍﾞﾙﾌﾟｰｽ!W95/1000</f>
        <v>0</v>
      </c>
      <c r="F96" s="93">
        <v>0</v>
      </c>
      <c r="G96" s="94">
        <f t="shared" si="44"/>
        <v>0</v>
      </c>
      <c r="H96" s="93">
        <v>0</v>
      </c>
      <c r="I96" s="97">
        <f t="shared" si="45"/>
        <v>0</v>
      </c>
      <c r="J96" s="189">
        <f>+ｶﾌｪﾙﾎﾟ!W95/1000</f>
        <v>0</v>
      </c>
      <c r="K96" s="93">
        <v>0</v>
      </c>
      <c r="L96" s="94">
        <f t="shared" si="46"/>
        <v>0</v>
      </c>
      <c r="M96" s="93">
        <v>0</v>
      </c>
      <c r="N96" s="190">
        <f t="shared" si="47"/>
        <v>0</v>
      </c>
      <c r="O96" s="96">
        <f>+ｶﾌｪｾﾚｽﾃ!W95/1000</f>
        <v>0</v>
      </c>
      <c r="P96" s="93">
        <v>0</v>
      </c>
      <c r="Q96" s="94">
        <f t="shared" si="48"/>
        <v>0</v>
      </c>
      <c r="R96" s="93">
        <v>0</v>
      </c>
      <c r="S96" s="97">
        <f t="shared" si="49"/>
        <v>0</v>
      </c>
      <c r="T96" s="92">
        <f t="shared" si="50"/>
        <v>0</v>
      </c>
      <c r="U96" s="93">
        <f t="shared" si="51"/>
        <v>0</v>
      </c>
      <c r="V96" s="94">
        <f t="shared" si="52"/>
        <v>0</v>
      </c>
      <c r="W96" s="93">
        <f t="shared" si="53"/>
        <v>0</v>
      </c>
      <c r="X96" s="95">
        <f t="shared" si="54"/>
        <v>0</v>
      </c>
      <c r="Y96" s="96">
        <v>0</v>
      </c>
      <c r="Z96" s="93">
        <v>0</v>
      </c>
      <c r="AA96" s="94">
        <f t="shared" si="55"/>
        <v>0</v>
      </c>
      <c r="AB96" s="93">
        <v>0</v>
      </c>
      <c r="AC96" s="190">
        <f t="shared" si="56"/>
        <v>0</v>
      </c>
      <c r="AD96" s="96">
        <f>+ｼﾞｭｴﾙｽﾞ!W95/1000</f>
        <v>0</v>
      </c>
      <c r="AE96" s="93">
        <v>0</v>
      </c>
      <c r="AF96" s="94">
        <f t="shared" si="57"/>
        <v>0</v>
      </c>
      <c r="AG96" s="93">
        <v>0</v>
      </c>
      <c r="AH96" s="95">
        <f t="shared" si="58"/>
        <v>0</v>
      </c>
      <c r="AI96" s="92">
        <f t="shared" si="59"/>
        <v>0</v>
      </c>
      <c r="AJ96" s="93">
        <f t="shared" si="60"/>
        <v>0</v>
      </c>
      <c r="AK96" s="94">
        <f t="shared" si="61"/>
        <v>0</v>
      </c>
      <c r="AL96" s="93">
        <f t="shared" si="62"/>
        <v>0</v>
      </c>
      <c r="AM96" s="95">
        <f t="shared" si="63"/>
        <v>0</v>
      </c>
      <c r="AN96" s="92">
        <f>+ｶﾞｰﾃﾞﾝ!W95/1000</f>
        <v>0</v>
      </c>
      <c r="AO96" s="93">
        <v>0</v>
      </c>
      <c r="AP96" s="94">
        <f t="shared" si="64"/>
        <v>0</v>
      </c>
      <c r="AQ96" s="93">
        <v>0</v>
      </c>
      <c r="AR96" s="97">
        <f t="shared" si="65"/>
        <v>0</v>
      </c>
      <c r="AS96" s="189">
        <f>+ﾋﾞｱｶﾞｰﾃﾞﾝ!W95/1000</f>
        <v>0</v>
      </c>
      <c r="AT96" s="93">
        <v>0</v>
      </c>
      <c r="AU96" s="94">
        <f t="shared" si="66"/>
        <v>0</v>
      </c>
      <c r="AV96" s="93">
        <v>0</v>
      </c>
      <c r="AW96" s="95">
        <f t="shared" si="67"/>
        <v>0</v>
      </c>
      <c r="AX96" s="92">
        <f t="shared" si="68"/>
        <v>0</v>
      </c>
      <c r="AY96" s="93">
        <f t="shared" si="69"/>
        <v>0</v>
      </c>
      <c r="AZ96" s="94">
        <f t="shared" si="70"/>
        <v>0</v>
      </c>
      <c r="BA96" s="93">
        <f t="shared" si="71"/>
        <v>0</v>
      </c>
      <c r="BB96" s="95">
        <f t="shared" si="72"/>
        <v>0</v>
      </c>
      <c r="BC96" s="92">
        <f>+料飲共通!H95/1000</f>
        <v>0</v>
      </c>
      <c r="BD96" s="189">
        <f>+料飲共通!I95/1000</f>
        <v>0</v>
      </c>
      <c r="BE96" s="92">
        <f t="shared" si="73"/>
        <v>0</v>
      </c>
      <c r="BF96" s="92">
        <f>+料飲共通!W95/1000</f>
        <v>0</v>
      </c>
      <c r="BG96" s="93">
        <v>0</v>
      </c>
      <c r="BH96" s="94">
        <f t="shared" si="74"/>
        <v>0</v>
      </c>
      <c r="BI96" s="93">
        <v>0</v>
      </c>
      <c r="BJ96" s="95">
        <f t="shared" si="75"/>
        <v>0</v>
      </c>
      <c r="BK96" s="92">
        <f t="shared" si="76"/>
        <v>0</v>
      </c>
      <c r="BL96" s="93">
        <f t="shared" si="77"/>
        <v>0</v>
      </c>
      <c r="BM96" s="94">
        <f t="shared" si="43"/>
        <v>0</v>
      </c>
      <c r="BN96" s="93">
        <f t="shared" si="78"/>
        <v>0</v>
      </c>
      <c r="BO96" s="95">
        <f t="shared" si="79"/>
        <v>0</v>
      </c>
      <c r="BP96" s="92">
        <f t="shared" si="80"/>
        <v>0</v>
      </c>
      <c r="BQ96" s="93">
        <f t="shared" si="81"/>
        <v>0</v>
      </c>
      <c r="BR96" s="94">
        <f t="shared" si="84"/>
        <v>0</v>
      </c>
      <c r="BS96" s="93">
        <f t="shared" si="82"/>
        <v>0</v>
      </c>
      <c r="BT96" s="95">
        <f t="shared" si="83"/>
        <v>0</v>
      </c>
    </row>
    <row r="97" spans="1:72" s="88" customFormat="1" ht="22" hidden="1" customHeight="1" outlineLevel="1" thickBot="1">
      <c r="A97" s="138"/>
      <c r="B97" s="90" t="s">
        <v>177</v>
      </c>
      <c r="C97" s="91"/>
      <c r="D97" s="91"/>
      <c r="E97" s="92">
        <f>+ﾇｰﾍﾞﾙﾌﾟｰｽ!W96/1000</f>
        <v>0</v>
      </c>
      <c r="F97" s="93">
        <v>0</v>
      </c>
      <c r="G97" s="94">
        <f t="shared" si="44"/>
        <v>0</v>
      </c>
      <c r="H97" s="93">
        <v>0</v>
      </c>
      <c r="I97" s="97">
        <f t="shared" si="45"/>
        <v>0</v>
      </c>
      <c r="J97" s="189">
        <f>+ｶﾌｪﾙﾎﾟ!W96/1000</f>
        <v>0</v>
      </c>
      <c r="K97" s="93">
        <v>0</v>
      </c>
      <c r="L97" s="94">
        <f t="shared" si="46"/>
        <v>0</v>
      </c>
      <c r="M97" s="93">
        <v>0</v>
      </c>
      <c r="N97" s="190">
        <f t="shared" si="47"/>
        <v>0</v>
      </c>
      <c r="O97" s="96">
        <f>+ｶﾌｪｾﾚｽﾃ!W96/1000</f>
        <v>0</v>
      </c>
      <c r="P97" s="93">
        <v>0</v>
      </c>
      <c r="Q97" s="94">
        <f t="shared" si="48"/>
        <v>0</v>
      </c>
      <c r="R97" s="93">
        <v>0</v>
      </c>
      <c r="S97" s="97">
        <f t="shared" si="49"/>
        <v>0</v>
      </c>
      <c r="T97" s="92">
        <f t="shared" si="50"/>
        <v>0</v>
      </c>
      <c r="U97" s="93">
        <f t="shared" si="51"/>
        <v>0</v>
      </c>
      <c r="V97" s="94">
        <f t="shared" si="52"/>
        <v>0</v>
      </c>
      <c r="W97" s="93">
        <f t="shared" si="53"/>
        <v>0</v>
      </c>
      <c r="X97" s="95">
        <f t="shared" si="54"/>
        <v>0</v>
      </c>
      <c r="Y97" s="96">
        <v>0</v>
      </c>
      <c r="Z97" s="93">
        <v>0</v>
      </c>
      <c r="AA97" s="94">
        <f t="shared" si="55"/>
        <v>0</v>
      </c>
      <c r="AB97" s="93">
        <v>0</v>
      </c>
      <c r="AC97" s="190">
        <f t="shared" si="56"/>
        <v>0</v>
      </c>
      <c r="AD97" s="96">
        <f>+ｼﾞｭｴﾙｽﾞ!W96/1000</f>
        <v>0</v>
      </c>
      <c r="AE97" s="93">
        <v>0</v>
      </c>
      <c r="AF97" s="94">
        <f t="shared" si="57"/>
        <v>0</v>
      </c>
      <c r="AG97" s="93">
        <v>0</v>
      </c>
      <c r="AH97" s="95">
        <f t="shared" si="58"/>
        <v>0</v>
      </c>
      <c r="AI97" s="92">
        <f t="shared" si="59"/>
        <v>0</v>
      </c>
      <c r="AJ97" s="93">
        <f t="shared" si="60"/>
        <v>0</v>
      </c>
      <c r="AK97" s="94">
        <f t="shared" si="61"/>
        <v>0</v>
      </c>
      <c r="AL97" s="93">
        <f t="shared" si="62"/>
        <v>0</v>
      </c>
      <c r="AM97" s="95">
        <f t="shared" si="63"/>
        <v>0</v>
      </c>
      <c r="AN97" s="92">
        <f>+ｶﾞｰﾃﾞﾝ!W96/1000</f>
        <v>0</v>
      </c>
      <c r="AO97" s="93">
        <v>0</v>
      </c>
      <c r="AP97" s="94">
        <f t="shared" si="64"/>
        <v>0</v>
      </c>
      <c r="AQ97" s="93">
        <v>0</v>
      </c>
      <c r="AR97" s="97">
        <f t="shared" si="65"/>
        <v>0</v>
      </c>
      <c r="AS97" s="189">
        <f>+ﾋﾞｱｶﾞｰﾃﾞﾝ!W96/1000</f>
        <v>0</v>
      </c>
      <c r="AT97" s="93">
        <v>0</v>
      </c>
      <c r="AU97" s="94">
        <f t="shared" si="66"/>
        <v>0</v>
      </c>
      <c r="AV97" s="93">
        <v>0</v>
      </c>
      <c r="AW97" s="95">
        <f t="shared" si="67"/>
        <v>0</v>
      </c>
      <c r="AX97" s="92">
        <f t="shared" si="68"/>
        <v>0</v>
      </c>
      <c r="AY97" s="93">
        <f t="shared" si="69"/>
        <v>0</v>
      </c>
      <c r="AZ97" s="94">
        <f t="shared" si="70"/>
        <v>0</v>
      </c>
      <c r="BA97" s="93">
        <f t="shared" si="71"/>
        <v>0</v>
      </c>
      <c r="BB97" s="95">
        <f t="shared" si="72"/>
        <v>0</v>
      </c>
      <c r="BC97" s="92">
        <f>+料飲共通!H96/1000</f>
        <v>0</v>
      </c>
      <c r="BD97" s="189">
        <f>+料飲共通!I96/1000</f>
        <v>0</v>
      </c>
      <c r="BE97" s="92">
        <f t="shared" si="73"/>
        <v>0</v>
      </c>
      <c r="BF97" s="92">
        <f>+料飲共通!W96/1000</f>
        <v>0</v>
      </c>
      <c r="BG97" s="93">
        <v>0</v>
      </c>
      <c r="BH97" s="94">
        <f t="shared" si="74"/>
        <v>0</v>
      </c>
      <c r="BI97" s="93">
        <v>0</v>
      </c>
      <c r="BJ97" s="95">
        <f t="shared" si="75"/>
        <v>0</v>
      </c>
      <c r="BK97" s="92">
        <f t="shared" si="76"/>
        <v>0</v>
      </c>
      <c r="BL97" s="93">
        <f t="shared" si="77"/>
        <v>0</v>
      </c>
      <c r="BM97" s="94">
        <f t="shared" si="43"/>
        <v>0</v>
      </c>
      <c r="BN97" s="93">
        <f t="shared" si="78"/>
        <v>0</v>
      </c>
      <c r="BO97" s="95">
        <f t="shared" si="79"/>
        <v>0</v>
      </c>
      <c r="BP97" s="92">
        <f t="shared" si="80"/>
        <v>0</v>
      </c>
      <c r="BQ97" s="93">
        <f t="shared" si="81"/>
        <v>0</v>
      </c>
      <c r="BR97" s="94">
        <f t="shared" si="84"/>
        <v>0</v>
      </c>
      <c r="BS97" s="93">
        <f t="shared" si="82"/>
        <v>0</v>
      </c>
      <c r="BT97" s="95">
        <f t="shared" si="83"/>
        <v>0</v>
      </c>
    </row>
    <row r="98" spans="1:72" s="88" customFormat="1" ht="22" customHeight="1" collapsed="1" thickTop="1" thickBot="1">
      <c r="A98" s="140" t="s">
        <v>179</v>
      </c>
      <c r="B98" s="141"/>
      <c r="C98" s="141"/>
      <c r="D98" s="141"/>
      <c r="E98" s="142">
        <f>+ﾇｰﾍﾞﾙﾌﾟｰｽ!W97/1000</f>
        <v>84301.857980000001</v>
      </c>
      <c r="F98" s="143">
        <v>83512.812999999995</v>
      </c>
      <c r="G98" s="143">
        <f t="shared" si="44"/>
        <v>789.04498000000603</v>
      </c>
      <c r="H98" s="143">
        <v>83036</v>
      </c>
      <c r="I98" s="145">
        <f t="shared" si="45"/>
        <v>1265.8579800000007</v>
      </c>
      <c r="J98" s="203">
        <f>+ｶﾌｪﾙﾎﾟ!W97/1000</f>
        <v>6405.1620000000003</v>
      </c>
      <c r="K98" s="143">
        <v>6853.973</v>
      </c>
      <c r="L98" s="143">
        <f t="shared" si="46"/>
        <v>-448.81099999999969</v>
      </c>
      <c r="M98" s="143">
        <v>5887</v>
      </c>
      <c r="N98" s="204">
        <f t="shared" si="47"/>
        <v>518.16200000000026</v>
      </c>
      <c r="O98" s="145">
        <f>+ｶﾌｪｾﾚｽﾃ!W97/1000</f>
        <v>4993.9669999999996</v>
      </c>
      <c r="P98" s="143">
        <v>5459.6980000000003</v>
      </c>
      <c r="Q98" s="143">
        <f t="shared" si="48"/>
        <v>-465.73100000000068</v>
      </c>
      <c r="R98" s="143">
        <v>4955</v>
      </c>
      <c r="S98" s="145">
        <f t="shared" si="49"/>
        <v>38.966999999999643</v>
      </c>
      <c r="T98" s="142">
        <f t="shared" si="50"/>
        <v>95700.986980000001</v>
      </c>
      <c r="U98" s="143">
        <f t="shared" si="51"/>
        <v>95826.483999999997</v>
      </c>
      <c r="V98" s="143">
        <f t="shared" si="52"/>
        <v>-125.49701999999525</v>
      </c>
      <c r="W98" s="143">
        <f t="shared" si="53"/>
        <v>93878</v>
      </c>
      <c r="X98" s="144">
        <f t="shared" si="54"/>
        <v>1822.9869800000015</v>
      </c>
      <c r="Y98" s="145">
        <v>0</v>
      </c>
      <c r="Z98" s="143">
        <v>7895.3104000000003</v>
      </c>
      <c r="AA98" s="143">
        <f t="shared" si="55"/>
        <v>-7895.3104000000003</v>
      </c>
      <c r="AB98" s="143">
        <v>14731</v>
      </c>
      <c r="AC98" s="204">
        <f t="shared" si="56"/>
        <v>-14731</v>
      </c>
      <c r="AD98" s="145">
        <f>+ｼﾞｭｴﾙｽﾞ!W97/1000</f>
        <v>93090.879419999997</v>
      </c>
      <c r="AE98" s="143">
        <v>94500.210999999996</v>
      </c>
      <c r="AF98" s="143">
        <f t="shared" si="57"/>
        <v>-1409.3315799999982</v>
      </c>
      <c r="AG98" s="143">
        <v>89661</v>
      </c>
      <c r="AH98" s="144">
        <f t="shared" si="58"/>
        <v>3429.8794199999975</v>
      </c>
      <c r="AI98" s="142">
        <f t="shared" si="59"/>
        <v>93090.879419999997</v>
      </c>
      <c r="AJ98" s="143">
        <f t="shared" si="60"/>
        <v>102395.5214</v>
      </c>
      <c r="AK98" s="143">
        <f t="shared" si="61"/>
        <v>-9304.6419800000003</v>
      </c>
      <c r="AL98" s="143">
        <f t="shared" si="62"/>
        <v>104392</v>
      </c>
      <c r="AM98" s="144">
        <f t="shared" si="63"/>
        <v>-11301.120580000003</v>
      </c>
      <c r="AN98" s="142">
        <f>+AN20+AN38+AN86</f>
        <v>102988.39200000001</v>
      </c>
      <c r="AO98" s="143">
        <v>101422.97300000001</v>
      </c>
      <c r="AP98" s="143">
        <f t="shared" si="64"/>
        <v>1565.4189999999944</v>
      </c>
      <c r="AQ98" s="143">
        <v>114332</v>
      </c>
      <c r="AR98" s="145">
        <f t="shared" si="65"/>
        <v>-11343.607999999993</v>
      </c>
      <c r="AS98" s="203">
        <f>+AS20+AS38+AS86</f>
        <v>89563.119371999986</v>
      </c>
      <c r="AT98" s="143">
        <v>100734.341</v>
      </c>
      <c r="AU98" s="143">
        <f t="shared" si="66"/>
        <v>-11171.221628000014</v>
      </c>
      <c r="AV98" s="143">
        <v>68756</v>
      </c>
      <c r="AW98" s="144">
        <f t="shared" si="67"/>
        <v>20807.119371999986</v>
      </c>
      <c r="AX98" s="142">
        <f t="shared" si="68"/>
        <v>192551.51137199998</v>
      </c>
      <c r="AY98" s="143">
        <f t="shared" si="69"/>
        <v>202157.31400000001</v>
      </c>
      <c r="AZ98" s="143">
        <f t="shared" si="70"/>
        <v>-9605.802628000034</v>
      </c>
      <c r="BA98" s="143">
        <f t="shared" si="71"/>
        <v>183088</v>
      </c>
      <c r="BB98" s="144">
        <f t="shared" si="72"/>
        <v>9463.511371999979</v>
      </c>
      <c r="BC98" s="142">
        <f>+BC20+BC38+BC86</f>
        <v>51986.062600439196</v>
      </c>
      <c r="BD98" s="203">
        <f>+BD20+BD38+BD86</f>
        <v>29406.633009145487</v>
      </c>
      <c r="BE98" s="142">
        <f t="shared" si="73"/>
        <v>81392.695609584684</v>
      </c>
      <c r="BF98" s="142">
        <f>+料飲共通!W97/1000</f>
        <v>28024.132448</v>
      </c>
      <c r="BG98" s="143">
        <v>31553.218000000001</v>
      </c>
      <c r="BH98" s="143">
        <f t="shared" si="74"/>
        <v>-3529.0855520000005</v>
      </c>
      <c r="BI98" s="143">
        <v>28451</v>
      </c>
      <c r="BJ98" s="144">
        <f t="shared" si="75"/>
        <v>-426.86755199999971</v>
      </c>
      <c r="BK98" s="142">
        <f t="shared" si="76"/>
        <v>490760.20582958468</v>
      </c>
      <c r="BL98" s="143">
        <f t="shared" si="77"/>
        <v>431932.53740000003</v>
      </c>
      <c r="BM98" s="143">
        <f t="shared" si="43"/>
        <v>58827.66842958465</v>
      </c>
      <c r="BN98" s="143">
        <f t="shared" si="78"/>
        <v>409809</v>
      </c>
      <c r="BO98" s="144">
        <f t="shared" si="79"/>
        <v>80951.20582958468</v>
      </c>
      <c r="BP98" s="142">
        <f t="shared" si="80"/>
        <v>409367.51022</v>
      </c>
      <c r="BQ98" s="143">
        <f t="shared" si="81"/>
        <v>424037.22700000001</v>
      </c>
      <c r="BR98" s="143">
        <f t="shared" si="84"/>
        <v>-14669.716780000017</v>
      </c>
      <c r="BS98" s="143">
        <f t="shared" si="82"/>
        <v>395078</v>
      </c>
      <c r="BT98" s="144">
        <f t="shared" si="83"/>
        <v>14289.510219999996</v>
      </c>
    </row>
    <row r="99" spans="1:72" s="88" customFormat="1" ht="22" customHeight="1" thickBot="1">
      <c r="A99" s="146" t="s">
        <v>181</v>
      </c>
      <c r="B99" s="147"/>
      <c r="C99" s="147"/>
      <c r="D99" s="147"/>
      <c r="E99" s="148">
        <f>+ﾇｰﾍﾞﾙﾌﾟｰｽ!W98/1000</f>
        <v>-14568.142980000001</v>
      </c>
      <c r="F99" s="149">
        <v>-14004.138309999998</v>
      </c>
      <c r="G99" s="149">
        <f t="shared" si="44"/>
        <v>-564.00467000000208</v>
      </c>
      <c r="H99" s="149">
        <v>-20270</v>
      </c>
      <c r="I99" s="151">
        <f t="shared" si="45"/>
        <v>5701.8570199999995</v>
      </c>
      <c r="J99" s="205">
        <f>+ｶﾌｪﾙﾎﾟ!W98/1000</f>
        <v>-140.93604000000028</v>
      </c>
      <c r="K99" s="149">
        <v>-1241.8376243999992</v>
      </c>
      <c r="L99" s="149">
        <f t="shared" si="46"/>
        <v>1100.9015843999989</v>
      </c>
      <c r="M99" s="149">
        <v>1018</v>
      </c>
      <c r="N99" s="206">
        <f t="shared" si="47"/>
        <v>-1158.9360400000003</v>
      </c>
      <c r="O99" s="151">
        <f>+ｶﾌｪｾﾚｽﾃ!W98/1000</f>
        <v>8662.0879999999997</v>
      </c>
      <c r="P99" s="149">
        <v>7673.2022593000011</v>
      </c>
      <c r="Q99" s="149">
        <f t="shared" si="48"/>
        <v>988.88574069999868</v>
      </c>
      <c r="R99" s="149">
        <v>5845</v>
      </c>
      <c r="S99" s="151">
        <f t="shared" si="49"/>
        <v>2817.0879999999997</v>
      </c>
      <c r="T99" s="148">
        <f t="shared" si="50"/>
        <v>-6046.9910200000013</v>
      </c>
      <c r="U99" s="149">
        <f t="shared" si="51"/>
        <v>-7572.7736750999966</v>
      </c>
      <c r="V99" s="149">
        <f t="shared" si="52"/>
        <v>1525.7826550999953</v>
      </c>
      <c r="W99" s="149">
        <f t="shared" si="53"/>
        <v>-13407</v>
      </c>
      <c r="X99" s="150">
        <f t="shared" si="54"/>
        <v>7360.0089799999987</v>
      </c>
      <c r="Y99" s="151">
        <v>0</v>
      </c>
      <c r="Z99" s="149">
        <v>7870.9378729999999</v>
      </c>
      <c r="AA99" s="149">
        <f t="shared" si="55"/>
        <v>-7870.9378729999999</v>
      </c>
      <c r="AB99" s="149">
        <v>-813</v>
      </c>
      <c r="AC99" s="206">
        <f t="shared" si="56"/>
        <v>813</v>
      </c>
      <c r="AD99" s="151">
        <f>+ｼﾞｭｴﾙｽﾞ!W98/1000</f>
        <v>23985.671355000006</v>
      </c>
      <c r="AE99" s="149">
        <v>18479.628442000001</v>
      </c>
      <c r="AF99" s="149">
        <f t="shared" si="57"/>
        <v>5506.0429130000048</v>
      </c>
      <c r="AG99" s="149">
        <v>9181</v>
      </c>
      <c r="AH99" s="150">
        <f t="shared" si="58"/>
        <v>14804.671355000006</v>
      </c>
      <c r="AI99" s="148">
        <f t="shared" si="59"/>
        <v>23985.671355000006</v>
      </c>
      <c r="AJ99" s="149">
        <f t="shared" si="60"/>
        <v>26350.566315</v>
      </c>
      <c r="AK99" s="149">
        <f t="shared" si="61"/>
        <v>-2364.8949599999942</v>
      </c>
      <c r="AL99" s="149">
        <f t="shared" si="62"/>
        <v>8368</v>
      </c>
      <c r="AM99" s="150">
        <f t="shared" si="63"/>
        <v>15617.671355000006</v>
      </c>
      <c r="AN99" s="148">
        <f>+AN19-AN98</f>
        <v>-8621.8033200000209</v>
      </c>
      <c r="AO99" s="149">
        <v>-10462.916215999998</v>
      </c>
      <c r="AP99" s="149">
        <f t="shared" si="64"/>
        <v>1841.1128959999769</v>
      </c>
      <c r="AQ99" s="149">
        <v>-21784</v>
      </c>
      <c r="AR99" s="151">
        <f t="shared" si="65"/>
        <v>13162.196679999979</v>
      </c>
      <c r="AS99" s="205">
        <f>+AS19-AS98</f>
        <v>15800.808955500019</v>
      </c>
      <c r="AT99" s="149">
        <v>-3617.8469999999943</v>
      </c>
      <c r="AU99" s="149">
        <f t="shared" si="66"/>
        <v>19418.655955500013</v>
      </c>
      <c r="AV99" s="149">
        <v>26699</v>
      </c>
      <c r="AW99" s="150">
        <f t="shared" si="67"/>
        <v>-10898.191044499981</v>
      </c>
      <c r="AX99" s="148">
        <f t="shared" si="68"/>
        <v>7179.0056354999979</v>
      </c>
      <c r="AY99" s="149">
        <f t="shared" si="69"/>
        <v>-14080.763215999992</v>
      </c>
      <c r="AZ99" s="149">
        <f t="shared" si="70"/>
        <v>21259.76885149999</v>
      </c>
      <c r="BA99" s="149">
        <f t="shared" si="71"/>
        <v>4915</v>
      </c>
      <c r="BB99" s="150">
        <f t="shared" si="72"/>
        <v>2264.0056354999979</v>
      </c>
      <c r="BC99" s="148">
        <f>+BC19-BC98</f>
        <v>1900.5973995608074</v>
      </c>
      <c r="BD99" s="205">
        <f>+BD19-BD98</f>
        <v>3289.9269908545139</v>
      </c>
      <c r="BE99" s="148">
        <f t="shared" si="73"/>
        <v>5190.5243904153212</v>
      </c>
      <c r="BF99" s="148">
        <f>+料飲共通!W98/1000</f>
        <v>-28024.132448</v>
      </c>
      <c r="BG99" s="149">
        <v>-31553.218000000001</v>
      </c>
      <c r="BH99" s="149">
        <f t="shared" si="74"/>
        <v>3529.0855520000005</v>
      </c>
      <c r="BI99" s="149">
        <v>-28451</v>
      </c>
      <c r="BJ99" s="150">
        <f t="shared" si="75"/>
        <v>426.86755199999971</v>
      </c>
      <c r="BK99" s="148">
        <f t="shared" si="76"/>
        <v>2284.0779129153234</v>
      </c>
      <c r="BL99" s="149">
        <f t="shared" si="77"/>
        <v>-26856.18857609999</v>
      </c>
      <c r="BM99" s="149">
        <f t="shared" si="43"/>
        <v>29140.266489015314</v>
      </c>
      <c r="BN99" s="149">
        <f t="shared" si="78"/>
        <v>-28575</v>
      </c>
      <c r="BO99" s="150">
        <f t="shared" si="79"/>
        <v>30859.077912915323</v>
      </c>
      <c r="BP99" s="148">
        <f t="shared" si="80"/>
        <v>-2906.4464774999979</v>
      </c>
      <c r="BQ99" s="149">
        <f t="shared" si="81"/>
        <v>-34727.126449099989</v>
      </c>
      <c r="BR99" s="149">
        <f t="shared" si="84"/>
        <v>31820.679971599991</v>
      </c>
      <c r="BS99" s="149">
        <f t="shared" si="82"/>
        <v>-27762</v>
      </c>
      <c r="BT99" s="150">
        <f t="shared" si="83"/>
        <v>24855.553522500002</v>
      </c>
    </row>
    <row r="100" spans="1:72" s="88" customFormat="1" ht="22" customHeight="1">
      <c r="A100" s="152" t="s">
        <v>183</v>
      </c>
      <c r="B100" s="153"/>
      <c r="C100" s="153"/>
      <c r="D100" s="153"/>
      <c r="E100" s="154">
        <f>+ﾇｰﾍﾞﾙﾌﾟｰｽ!W99/1000</f>
        <v>85.542000000000002</v>
      </c>
      <c r="F100" s="155">
        <v>85.542000000000002</v>
      </c>
      <c r="G100" s="156">
        <f t="shared" si="44"/>
        <v>0</v>
      </c>
      <c r="H100" s="155">
        <v>94</v>
      </c>
      <c r="I100" s="159">
        <f t="shared" si="45"/>
        <v>-8.4579999999999984</v>
      </c>
      <c r="J100" s="207">
        <f>+ｶﾌｪﾙﾎﾟ!W99/1000</f>
        <v>0</v>
      </c>
      <c r="K100" s="155">
        <v>0</v>
      </c>
      <c r="L100" s="156">
        <f t="shared" si="46"/>
        <v>0</v>
      </c>
      <c r="M100" s="155">
        <v>1</v>
      </c>
      <c r="N100" s="208">
        <f t="shared" si="47"/>
        <v>-1</v>
      </c>
      <c r="O100" s="158">
        <f>+ｶﾌｪｾﾚｽﾃ!W99/1000</f>
        <v>0</v>
      </c>
      <c r="P100" s="155">
        <v>0</v>
      </c>
      <c r="Q100" s="156">
        <f t="shared" si="48"/>
        <v>0</v>
      </c>
      <c r="R100" s="155">
        <v>3</v>
      </c>
      <c r="S100" s="159">
        <f t="shared" si="49"/>
        <v>-3</v>
      </c>
      <c r="T100" s="154">
        <f t="shared" si="50"/>
        <v>85.542000000000002</v>
      </c>
      <c r="U100" s="155">
        <f t="shared" si="51"/>
        <v>85.542000000000002</v>
      </c>
      <c r="V100" s="156">
        <f t="shared" si="52"/>
        <v>0</v>
      </c>
      <c r="W100" s="155">
        <f t="shared" si="53"/>
        <v>98</v>
      </c>
      <c r="X100" s="157">
        <f t="shared" si="54"/>
        <v>-12.457999999999998</v>
      </c>
      <c r="Y100" s="158">
        <v>0</v>
      </c>
      <c r="Z100" s="155">
        <v>0</v>
      </c>
      <c r="AA100" s="156">
        <f t="shared" si="55"/>
        <v>0</v>
      </c>
      <c r="AB100" s="155">
        <v>0</v>
      </c>
      <c r="AC100" s="208">
        <f t="shared" si="56"/>
        <v>0</v>
      </c>
      <c r="AD100" s="158">
        <f>+ｼﾞｭｴﾙｽﾞ!W99/1000</f>
        <v>480.93</v>
      </c>
      <c r="AE100" s="155">
        <v>480.93</v>
      </c>
      <c r="AF100" s="156">
        <f t="shared" si="57"/>
        <v>0</v>
      </c>
      <c r="AG100" s="155">
        <v>2889</v>
      </c>
      <c r="AH100" s="157">
        <f t="shared" si="58"/>
        <v>-2408.0700000000002</v>
      </c>
      <c r="AI100" s="154">
        <f t="shared" si="59"/>
        <v>480.93</v>
      </c>
      <c r="AJ100" s="155">
        <f t="shared" si="60"/>
        <v>480.93</v>
      </c>
      <c r="AK100" s="156">
        <f t="shared" si="61"/>
        <v>0</v>
      </c>
      <c r="AL100" s="155">
        <f t="shared" si="62"/>
        <v>2889</v>
      </c>
      <c r="AM100" s="157">
        <f t="shared" si="63"/>
        <v>-2408.0700000000002</v>
      </c>
      <c r="AN100" s="154">
        <f>+ｶﾞｰﾃﾞﾝ!W99/1000</f>
        <v>41.814</v>
      </c>
      <c r="AO100" s="155">
        <v>41.814</v>
      </c>
      <c r="AP100" s="156">
        <f t="shared" si="64"/>
        <v>0</v>
      </c>
      <c r="AQ100" s="155">
        <v>27</v>
      </c>
      <c r="AR100" s="159">
        <f t="shared" si="65"/>
        <v>14.814</v>
      </c>
      <c r="AS100" s="207">
        <f>+ﾋﾞｱｶﾞｰﾃﾞﾝ!W99/1000</f>
        <v>0</v>
      </c>
      <c r="AT100" s="155">
        <v>0</v>
      </c>
      <c r="AU100" s="156">
        <f t="shared" si="66"/>
        <v>0</v>
      </c>
      <c r="AV100" s="155">
        <v>3</v>
      </c>
      <c r="AW100" s="157">
        <f t="shared" si="67"/>
        <v>-3</v>
      </c>
      <c r="AX100" s="154">
        <f t="shared" si="68"/>
        <v>41.814</v>
      </c>
      <c r="AY100" s="155">
        <f t="shared" si="69"/>
        <v>41.814</v>
      </c>
      <c r="AZ100" s="156">
        <f t="shared" si="70"/>
        <v>0</v>
      </c>
      <c r="BA100" s="155">
        <f t="shared" si="71"/>
        <v>30</v>
      </c>
      <c r="BB100" s="157">
        <f t="shared" si="72"/>
        <v>11.814</v>
      </c>
      <c r="BC100" s="154">
        <v>0</v>
      </c>
      <c r="BD100" s="207">
        <v>0</v>
      </c>
      <c r="BE100" s="154">
        <f t="shared" si="73"/>
        <v>0</v>
      </c>
      <c r="BF100" s="154">
        <f>+料飲共通!W99/1000</f>
        <v>15</v>
      </c>
      <c r="BG100" s="155">
        <v>15</v>
      </c>
      <c r="BH100" s="156">
        <f t="shared" si="74"/>
        <v>0</v>
      </c>
      <c r="BI100" s="155">
        <v>0</v>
      </c>
      <c r="BJ100" s="157">
        <f t="shared" si="75"/>
        <v>15</v>
      </c>
      <c r="BK100" s="154">
        <f t="shared" si="76"/>
        <v>623.28599999999994</v>
      </c>
      <c r="BL100" s="155">
        <f t="shared" si="77"/>
        <v>623.28599999999994</v>
      </c>
      <c r="BM100" s="156">
        <f t="shared" si="43"/>
        <v>0</v>
      </c>
      <c r="BN100" s="155">
        <f t="shared" si="78"/>
        <v>3017</v>
      </c>
      <c r="BO100" s="157">
        <f t="shared" si="79"/>
        <v>-2393.7139999999999</v>
      </c>
      <c r="BP100" s="154">
        <f t="shared" si="80"/>
        <v>623.28599999999994</v>
      </c>
      <c r="BQ100" s="155">
        <f t="shared" si="81"/>
        <v>623.28599999999994</v>
      </c>
      <c r="BR100" s="156">
        <f t="shared" si="84"/>
        <v>0</v>
      </c>
      <c r="BS100" s="155">
        <f t="shared" si="82"/>
        <v>3017</v>
      </c>
      <c r="BT100" s="157">
        <f t="shared" si="83"/>
        <v>-2393.7139999999999</v>
      </c>
    </row>
    <row r="101" spans="1:72" s="88" customFormat="1" ht="22" hidden="1" customHeight="1" outlineLevel="1">
      <c r="A101" s="160"/>
      <c r="B101" s="139" t="s">
        <v>185</v>
      </c>
      <c r="C101" s="91"/>
      <c r="D101" s="91"/>
      <c r="E101" s="92">
        <f>+ﾇｰﾍﾞﾙﾌﾟｰｽ!W100/1000</f>
        <v>0</v>
      </c>
      <c r="F101" s="93">
        <v>0</v>
      </c>
      <c r="G101" s="94">
        <f t="shared" si="44"/>
        <v>0</v>
      </c>
      <c r="H101" s="93">
        <v>0</v>
      </c>
      <c r="I101" s="97">
        <f t="shared" si="45"/>
        <v>0</v>
      </c>
      <c r="J101" s="189">
        <f>+ｶﾌｪﾙﾎﾟ!W100/1000</f>
        <v>0</v>
      </c>
      <c r="K101" s="93">
        <v>0</v>
      </c>
      <c r="L101" s="94">
        <f t="shared" si="46"/>
        <v>0</v>
      </c>
      <c r="M101" s="93">
        <v>0</v>
      </c>
      <c r="N101" s="190">
        <f t="shared" si="47"/>
        <v>0</v>
      </c>
      <c r="O101" s="96">
        <f>+ｶﾌｪｾﾚｽﾃ!W100/1000</f>
        <v>0</v>
      </c>
      <c r="P101" s="93">
        <v>0</v>
      </c>
      <c r="Q101" s="94">
        <f t="shared" si="48"/>
        <v>0</v>
      </c>
      <c r="R101" s="93">
        <v>0</v>
      </c>
      <c r="S101" s="97">
        <f t="shared" si="49"/>
        <v>0</v>
      </c>
      <c r="T101" s="92">
        <f t="shared" si="50"/>
        <v>0</v>
      </c>
      <c r="U101" s="93">
        <f t="shared" si="51"/>
        <v>0</v>
      </c>
      <c r="V101" s="94">
        <f t="shared" si="52"/>
        <v>0</v>
      </c>
      <c r="W101" s="93">
        <f t="shared" si="53"/>
        <v>0</v>
      </c>
      <c r="X101" s="95">
        <f t="shared" si="54"/>
        <v>0</v>
      </c>
      <c r="Y101" s="96">
        <v>0</v>
      </c>
      <c r="Z101" s="93">
        <v>0</v>
      </c>
      <c r="AA101" s="94">
        <f t="shared" si="55"/>
        <v>0</v>
      </c>
      <c r="AB101" s="93">
        <v>0</v>
      </c>
      <c r="AC101" s="190">
        <f t="shared" si="56"/>
        <v>0</v>
      </c>
      <c r="AD101" s="96">
        <f>+ｼﾞｭｴﾙｽﾞ!W100/1000</f>
        <v>0</v>
      </c>
      <c r="AE101" s="93">
        <v>0</v>
      </c>
      <c r="AF101" s="94">
        <f t="shared" si="57"/>
        <v>0</v>
      </c>
      <c r="AG101" s="93">
        <v>0</v>
      </c>
      <c r="AH101" s="95">
        <f t="shared" si="58"/>
        <v>0</v>
      </c>
      <c r="AI101" s="92">
        <f t="shared" si="59"/>
        <v>0</v>
      </c>
      <c r="AJ101" s="93">
        <f t="shared" si="60"/>
        <v>0</v>
      </c>
      <c r="AK101" s="94">
        <f t="shared" si="61"/>
        <v>0</v>
      </c>
      <c r="AL101" s="93">
        <f t="shared" si="62"/>
        <v>0</v>
      </c>
      <c r="AM101" s="95">
        <f t="shared" si="63"/>
        <v>0</v>
      </c>
      <c r="AN101" s="92">
        <f>+ｶﾞｰﾃﾞﾝ!W100/1000</f>
        <v>0</v>
      </c>
      <c r="AO101" s="93">
        <v>0</v>
      </c>
      <c r="AP101" s="94">
        <f t="shared" si="64"/>
        <v>0</v>
      </c>
      <c r="AQ101" s="93">
        <v>0</v>
      </c>
      <c r="AR101" s="97">
        <f t="shared" si="65"/>
        <v>0</v>
      </c>
      <c r="AS101" s="189">
        <f>+ﾋﾞｱｶﾞｰﾃﾞﾝ!W100/1000</f>
        <v>0</v>
      </c>
      <c r="AT101" s="93">
        <v>0</v>
      </c>
      <c r="AU101" s="94">
        <f t="shared" si="66"/>
        <v>0</v>
      </c>
      <c r="AV101" s="93">
        <v>0</v>
      </c>
      <c r="AW101" s="95">
        <f t="shared" si="67"/>
        <v>0</v>
      </c>
      <c r="AX101" s="92">
        <f t="shared" si="68"/>
        <v>0</v>
      </c>
      <c r="AY101" s="93">
        <f t="shared" si="69"/>
        <v>0</v>
      </c>
      <c r="AZ101" s="94">
        <f t="shared" si="70"/>
        <v>0</v>
      </c>
      <c r="BA101" s="93">
        <f t="shared" si="71"/>
        <v>0</v>
      </c>
      <c r="BB101" s="95">
        <f t="shared" si="72"/>
        <v>0</v>
      </c>
      <c r="BC101" s="92">
        <f>+料飲共通!H100/1000</f>
        <v>0</v>
      </c>
      <c r="BD101" s="189">
        <f>+料飲共通!I100/1000</f>
        <v>0</v>
      </c>
      <c r="BE101" s="92">
        <f t="shared" si="73"/>
        <v>0</v>
      </c>
      <c r="BF101" s="92">
        <f>+料飲共通!W100/1000</f>
        <v>0</v>
      </c>
      <c r="BG101" s="93">
        <v>0</v>
      </c>
      <c r="BH101" s="94">
        <f t="shared" si="74"/>
        <v>0</v>
      </c>
      <c r="BI101" s="93">
        <v>0</v>
      </c>
      <c r="BJ101" s="95">
        <f t="shared" si="75"/>
        <v>0</v>
      </c>
      <c r="BK101" s="92">
        <f t="shared" si="76"/>
        <v>0</v>
      </c>
      <c r="BL101" s="93">
        <f t="shared" si="77"/>
        <v>0</v>
      </c>
      <c r="BM101" s="94">
        <f t="shared" si="43"/>
        <v>0</v>
      </c>
      <c r="BN101" s="93">
        <f t="shared" si="78"/>
        <v>0</v>
      </c>
      <c r="BO101" s="95">
        <f t="shared" si="79"/>
        <v>0</v>
      </c>
      <c r="BP101" s="92">
        <f t="shared" si="80"/>
        <v>0</v>
      </c>
      <c r="BQ101" s="93">
        <f t="shared" si="81"/>
        <v>0</v>
      </c>
      <c r="BR101" s="94">
        <f t="shared" si="84"/>
        <v>0</v>
      </c>
      <c r="BS101" s="93">
        <f t="shared" si="82"/>
        <v>0</v>
      </c>
      <c r="BT101" s="95">
        <f t="shared" si="83"/>
        <v>0</v>
      </c>
    </row>
    <row r="102" spans="1:72" s="88" customFormat="1" ht="22" hidden="1" customHeight="1" outlineLevel="1" thickBot="1">
      <c r="A102" s="161"/>
      <c r="B102" s="162"/>
      <c r="C102" s="91" t="s">
        <v>187</v>
      </c>
      <c r="D102" s="91"/>
      <c r="E102" s="92">
        <f>+ﾇｰﾍﾞﾙﾌﾟｰｽ!W101/1000</f>
        <v>0</v>
      </c>
      <c r="F102" s="93">
        <v>0</v>
      </c>
      <c r="G102" s="94">
        <f t="shared" si="44"/>
        <v>0</v>
      </c>
      <c r="H102" s="93">
        <v>0</v>
      </c>
      <c r="I102" s="97">
        <f t="shared" si="45"/>
        <v>0</v>
      </c>
      <c r="J102" s="189">
        <f>+ｶﾌｪﾙﾎﾟ!W101/1000</f>
        <v>0</v>
      </c>
      <c r="K102" s="93">
        <v>0</v>
      </c>
      <c r="L102" s="94">
        <f t="shared" si="46"/>
        <v>0</v>
      </c>
      <c r="M102" s="93">
        <v>0</v>
      </c>
      <c r="N102" s="190">
        <f t="shared" si="47"/>
        <v>0</v>
      </c>
      <c r="O102" s="96">
        <f>+ｶﾌｪｾﾚｽﾃ!W101/1000</f>
        <v>0</v>
      </c>
      <c r="P102" s="93">
        <v>0</v>
      </c>
      <c r="Q102" s="94">
        <f t="shared" si="48"/>
        <v>0</v>
      </c>
      <c r="R102" s="93">
        <v>0</v>
      </c>
      <c r="S102" s="97">
        <f t="shared" si="49"/>
        <v>0</v>
      </c>
      <c r="T102" s="92">
        <f t="shared" si="50"/>
        <v>0</v>
      </c>
      <c r="U102" s="93">
        <f t="shared" si="51"/>
        <v>0</v>
      </c>
      <c r="V102" s="94">
        <f t="shared" si="52"/>
        <v>0</v>
      </c>
      <c r="W102" s="93">
        <f t="shared" si="53"/>
        <v>0</v>
      </c>
      <c r="X102" s="95">
        <f t="shared" si="54"/>
        <v>0</v>
      </c>
      <c r="Y102" s="96">
        <v>0</v>
      </c>
      <c r="Z102" s="93">
        <v>0</v>
      </c>
      <c r="AA102" s="94">
        <f t="shared" si="55"/>
        <v>0</v>
      </c>
      <c r="AB102" s="93">
        <v>0</v>
      </c>
      <c r="AC102" s="190">
        <f t="shared" si="56"/>
        <v>0</v>
      </c>
      <c r="AD102" s="96">
        <f>+ｼﾞｭｴﾙｽﾞ!W101/1000</f>
        <v>0</v>
      </c>
      <c r="AE102" s="93">
        <v>0</v>
      </c>
      <c r="AF102" s="94">
        <f t="shared" si="57"/>
        <v>0</v>
      </c>
      <c r="AG102" s="93">
        <v>0</v>
      </c>
      <c r="AH102" s="95">
        <f t="shared" si="58"/>
        <v>0</v>
      </c>
      <c r="AI102" s="92">
        <f t="shared" si="59"/>
        <v>0</v>
      </c>
      <c r="AJ102" s="93">
        <f t="shared" si="60"/>
        <v>0</v>
      </c>
      <c r="AK102" s="94">
        <f t="shared" si="61"/>
        <v>0</v>
      </c>
      <c r="AL102" s="93">
        <f t="shared" si="62"/>
        <v>0</v>
      </c>
      <c r="AM102" s="95">
        <f t="shared" si="63"/>
        <v>0</v>
      </c>
      <c r="AN102" s="92">
        <f>+ｶﾞｰﾃﾞﾝ!W101/1000</f>
        <v>0</v>
      </c>
      <c r="AO102" s="93">
        <v>0</v>
      </c>
      <c r="AP102" s="94">
        <f t="shared" si="64"/>
        <v>0</v>
      </c>
      <c r="AQ102" s="93">
        <v>0</v>
      </c>
      <c r="AR102" s="97">
        <f t="shared" si="65"/>
        <v>0</v>
      </c>
      <c r="AS102" s="189">
        <f>+ﾋﾞｱｶﾞｰﾃﾞﾝ!W101/1000</f>
        <v>0</v>
      </c>
      <c r="AT102" s="93">
        <v>0</v>
      </c>
      <c r="AU102" s="94">
        <f t="shared" si="66"/>
        <v>0</v>
      </c>
      <c r="AV102" s="93">
        <v>0</v>
      </c>
      <c r="AW102" s="95">
        <f t="shared" si="67"/>
        <v>0</v>
      </c>
      <c r="AX102" s="92">
        <f t="shared" si="68"/>
        <v>0</v>
      </c>
      <c r="AY102" s="93">
        <f t="shared" si="69"/>
        <v>0</v>
      </c>
      <c r="AZ102" s="94">
        <f t="shared" si="70"/>
        <v>0</v>
      </c>
      <c r="BA102" s="93">
        <f t="shared" si="71"/>
        <v>0</v>
      </c>
      <c r="BB102" s="95">
        <f t="shared" si="72"/>
        <v>0</v>
      </c>
      <c r="BC102" s="92">
        <f>+料飲共通!H101/1000</f>
        <v>0</v>
      </c>
      <c r="BD102" s="189">
        <f>+料飲共通!I101/1000</f>
        <v>0</v>
      </c>
      <c r="BE102" s="92">
        <f t="shared" si="73"/>
        <v>0</v>
      </c>
      <c r="BF102" s="92">
        <f>+料飲共通!W101/1000</f>
        <v>0</v>
      </c>
      <c r="BG102" s="93">
        <v>0</v>
      </c>
      <c r="BH102" s="94">
        <f t="shared" si="74"/>
        <v>0</v>
      </c>
      <c r="BI102" s="93">
        <v>0</v>
      </c>
      <c r="BJ102" s="95">
        <f t="shared" si="75"/>
        <v>0</v>
      </c>
      <c r="BK102" s="92">
        <f t="shared" si="76"/>
        <v>0</v>
      </c>
      <c r="BL102" s="93">
        <f t="shared" si="77"/>
        <v>0</v>
      </c>
      <c r="BM102" s="94">
        <f t="shared" si="43"/>
        <v>0</v>
      </c>
      <c r="BN102" s="93">
        <f t="shared" si="78"/>
        <v>0</v>
      </c>
      <c r="BO102" s="95">
        <f t="shared" si="79"/>
        <v>0</v>
      </c>
      <c r="BP102" s="92">
        <f t="shared" si="80"/>
        <v>0</v>
      </c>
      <c r="BQ102" s="93">
        <f t="shared" si="81"/>
        <v>0</v>
      </c>
      <c r="BR102" s="94">
        <f t="shared" si="84"/>
        <v>0</v>
      </c>
      <c r="BS102" s="93">
        <f t="shared" si="82"/>
        <v>0</v>
      </c>
      <c r="BT102" s="95">
        <f t="shared" si="83"/>
        <v>0</v>
      </c>
    </row>
    <row r="103" spans="1:72" s="88" customFormat="1" ht="22" hidden="1" customHeight="1" outlineLevel="1" thickBot="1">
      <c r="A103" s="161"/>
      <c r="B103" s="162"/>
      <c r="C103" s="91" t="s">
        <v>189</v>
      </c>
      <c r="D103" s="91"/>
      <c r="E103" s="92">
        <f>+ﾇｰﾍﾞﾙﾌﾟｰｽ!W102/1000</f>
        <v>0</v>
      </c>
      <c r="F103" s="93">
        <v>0</v>
      </c>
      <c r="G103" s="94">
        <f t="shared" si="44"/>
        <v>0</v>
      </c>
      <c r="H103" s="93">
        <v>0</v>
      </c>
      <c r="I103" s="97">
        <f t="shared" si="45"/>
        <v>0</v>
      </c>
      <c r="J103" s="189">
        <f>+ｶﾌｪﾙﾎﾟ!W102/1000</f>
        <v>0</v>
      </c>
      <c r="K103" s="93">
        <v>0</v>
      </c>
      <c r="L103" s="94">
        <f t="shared" si="46"/>
        <v>0</v>
      </c>
      <c r="M103" s="93">
        <v>0</v>
      </c>
      <c r="N103" s="190">
        <f t="shared" si="47"/>
        <v>0</v>
      </c>
      <c r="O103" s="96">
        <f>+ｶﾌｪｾﾚｽﾃ!W102/1000</f>
        <v>0</v>
      </c>
      <c r="P103" s="93">
        <v>0</v>
      </c>
      <c r="Q103" s="94">
        <f t="shared" si="48"/>
        <v>0</v>
      </c>
      <c r="R103" s="93">
        <v>0</v>
      </c>
      <c r="S103" s="97">
        <f t="shared" si="49"/>
        <v>0</v>
      </c>
      <c r="T103" s="92">
        <f t="shared" si="50"/>
        <v>0</v>
      </c>
      <c r="U103" s="93">
        <f t="shared" si="51"/>
        <v>0</v>
      </c>
      <c r="V103" s="94">
        <f t="shared" si="52"/>
        <v>0</v>
      </c>
      <c r="W103" s="93">
        <f t="shared" si="53"/>
        <v>0</v>
      </c>
      <c r="X103" s="95">
        <f t="shared" si="54"/>
        <v>0</v>
      </c>
      <c r="Y103" s="96">
        <v>0</v>
      </c>
      <c r="Z103" s="93">
        <v>0</v>
      </c>
      <c r="AA103" s="94">
        <f t="shared" si="55"/>
        <v>0</v>
      </c>
      <c r="AB103" s="93">
        <v>0</v>
      </c>
      <c r="AC103" s="190">
        <f t="shared" si="56"/>
        <v>0</v>
      </c>
      <c r="AD103" s="96">
        <f>+ｼﾞｭｴﾙｽﾞ!W102/1000</f>
        <v>0</v>
      </c>
      <c r="AE103" s="93">
        <v>0</v>
      </c>
      <c r="AF103" s="94">
        <f t="shared" si="57"/>
        <v>0</v>
      </c>
      <c r="AG103" s="93">
        <v>0</v>
      </c>
      <c r="AH103" s="95">
        <f t="shared" si="58"/>
        <v>0</v>
      </c>
      <c r="AI103" s="92">
        <f t="shared" si="59"/>
        <v>0</v>
      </c>
      <c r="AJ103" s="93">
        <f t="shared" si="60"/>
        <v>0</v>
      </c>
      <c r="AK103" s="94">
        <f t="shared" si="61"/>
        <v>0</v>
      </c>
      <c r="AL103" s="93">
        <f t="shared" si="62"/>
        <v>0</v>
      </c>
      <c r="AM103" s="95">
        <f t="shared" si="63"/>
        <v>0</v>
      </c>
      <c r="AN103" s="92">
        <f>+ｶﾞｰﾃﾞﾝ!W102/1000</f>
        <v>0</v>
      </c>
      <c r="AO103" s="93">
        <v>0</v>
      </c>
      <c r="AP103" s="94">
        <f t="shared" si="64"/>
        <v>0</v>
      </c>
      <c r="AQ103" s="93">
        <v>0</v>
      </c>
      <c r="AR103" s="97">
        <f t="shared" si="65"/>
        <v>0</v>
      </c>
      <c r="AS103" s="189">
        <f>+ﾋﾞｱｶﾞｰﾃﾞﾝ!W102/1000</f>
        <v>0</v>
      </c>
      <c r="AT103" s="93">
        <v>0</v>
      </c>
      <c r="AU103" s="94">
        <f t="shared" si="66"/>
        <v>0</v>
      </c>
      <c r="AV103" s="93">
        <v>0</v>
      </c>
      <c r="AW103" s="95">
        <f t="shared" si="67"/>
        <v>0</v>
      </c>
      <c r="AX103" s="92">
        <f t="shared" si="68"/>
        <v>0</v>
      </c>
      <c r="AY103" s="93">
        <f t="shared" si="69"/>
        <v>0</v>
      </c>
      <c r="AZ103" s="94">
        <f t="shared" si="70"/>
        <v>0</v>
      </c>
      <c r="BA103" s="93">
        <f t="shared" si="71"/>
        <v>0</v>
      </c>
      <c r="BB103" s="95">
        <f t="shared" si="72"/>
        <v>0</v>
      </c>
      <c r="BC103" s="92">
        <f>+料飲共通!H102/1000</f>
        <v>0</v>
      </c>
      <c r="BD103" s="189">
        <f>+料飲共通!I102/1000</f>
        <v>0</v>
      </c>
      <c r="BE103" s="92">
        <f t="shared" si="73"/>
        <v>0</v>
      </c>
      <c r="BF103" s="92">
        <f>+料飲共通!W102/1000</f>
        <v>0</v>
      </c>
      <c r="BG103" s="93">
        <v>0</v>
      </c>
      <c r="BH103" s="94">
        <f t="shared" si="74"/>
        <v>0</v>
      </c>
      <c r="BI103" s="93">
        <v>0</v>
      </c>
      <c r="BJ103" s="95">
        <f t="shared" si="75"/>
        <v>0</v>
      </c>
      <c r="BK103" s="92">
        <f t="shared" si="76"/>
        <v>0</v>
      </c>
      <c r="BL103" s="93">
        <f t="shared" si="77"/>
        <v>0</v>
      </c>
      <c r="BM103" s="94">
        <f t="shared" si="43"/>
        <v>0</v>
      </c>
      <c r="BN103" s="93">
        <f t="shared" si="78"/>
        <v>0</v>
      </c>
      <c r="BO103" s="95">
        <f t="shared" si="79"/>
        <v>0</v>
      </c>
      <c r="BP103" s="92">
        <f t="shared" si="80"/>
        <v>0</v>
      </c>
      <c r="BQ103" s="93">
        <f t="shared" si="81"/>
        <v>0</v>
      </c>
      <c r="BR103" s="94">
        <f t="shared" si="84"/>
        <v>0</v>
      </c>
      <c r="BS103" s="93">
        <f t="shared" si="82"/>
        <v>0</v>
      </c>
      <c r="BT103" s="95">
        <f t="shared" si="83"/>
        <v>0</v>
      </c>
    </row>
    <row r="104" spans="1:72" s="88" customFormat="1" ht="22" hidden="1" customHeight="1" outlineLevel="1" thickBot="1">
      <c r="A104" s="161"/>
      <c r="B104" s="162"/>
      <c r="C104" s="91" t="s">
        <v>191</v>
      </c>
      <c r="D104" s="91"/>
      <c r="E104" s="92">
        <f>+ﾇｰﾍﾞﾙﾌﾟｰｽ!W103/1000</f>
        <v>0</v>
      </c>
      <c r="F104" s="93">
        <v>0</v>
      </c>
      <c r="G104" s="94">
        <f t="shared" si="44"/>
        <v>0</v>
      </c>
      <c r="H104" s="93">
        <v>0</v>
      </c>
      <c r="I104" s="97">
        <f t="shared" si="45"/>
        <v>0</v>
      </c>
      <c r="J104" s="189">
        <f>+ｶﾌｪﾙﾎﾟ!W103/1000</f>
        <v>0</v>
      </c>
      <c r="K104" s="93">
        <v>0</v>
      </c>
      <c r="L104" s="94">
        <f t="shared" si="46"/>
        <v>0</v>
      </c>
      <c r="M104" s="93">
        <v>0</v>
      </c>
      <c r="N104" s="190">
        <f t="shared" si="47"/>
        <v>0</v>
      </c>
      <c r="O104" s="96">
        <f>+ｶﾌｪｾﾚｽﾃ!W103/1000</f>
        <v>0</v>
      </c>
      <c r="P104" s="93">
        <v>0</v>
      </c>
      <c r="Q104" s="94">
        <f t="shared" si="48"/>
        <v>0</v>
      </c>
      <c r="R104" s="93">
        <v>0</v>
      </c>
      <c r="S104" s="97">
        <f t="shared" si="49"/>
        <v>0</v>
      </c>
      <c r="T104" s="92">
        <f t="shared" si="50"/>
        <v>0</v>
      </c>
      <c r="U104" s="93">
        <f t="shared" si="51"/>
        <v>0</v>
      </c>
      <c r="V104" s="94">
        <f t="shared" si="52"/>
        <v>0</v>
      </c>
      <c r="W104" s="93">
        <f t="shared" si="53"/>
        <v>0</v>
      </c>
      <c r="X104" s="95">
        <f t="shared" si="54"/>
        <v>0</v>
      </c>
      <c r="Y104" s="96">
        <v>0</v>
      </c>
      <c r="Z104" s="93">
        <v>0</v>
      </c>
      <c r="AA104" s="94">
        <f t="shared" si="55"/>
        <v>0</v>
      </c>
      <c r="AB104" s="93">
        <v>0</v>
      </c>
      <c r="AC104" s="190">
        <f t="shared" si="56"/>
        <v>0</v>
      </c>
      <c r="AD104" s="96">
        <f>+ｼﾞｭｴﾙｽﾞ!W103/1000</f>
        <v>0</v>
      </c>
      <c r="AE104" s="93">
        <v>0</v>
      </c>
      <c r="AF104" s="94">
        <f t="shared" si="57"/>
        <v>0</v>
      </c>
      <c r="AG104" s="93">
        <v>0</v>
      </c>
      <c r="AH104" s="95">
        <f t="shared" si="58"/>
        <v>0</v>
      </c>
      <c r="AI104" s="92">
        <f t="shared" si="59"/>
        <v>0</v>
      </c>
      <c r="AJ104" s="93">
        <f t="shared" si="60"/>
        <v>0</v>
      </c>
      <c r="AK104" s="94">
        <f t="shared" si="61"/>
        <v>0</v>
      </c>
      <c r="AL104" s="93">
        <f t="shared" si="62"/>
        <v>0</v>
      </c>
      <c r="AM104" s="95">
        <f t="shared" si="63"/>
        <v>0</v>
      </c>
      <c r="AN104" s="92">
        <f>+ｶﾞｰﾃﾞﾝ!W103/1000</f>
        <v>0</v>
      </c>
      <c r="AO104" s="93">
        <v>0</v>
      </c>
      <c r="AP104" s="94">
        <f t="shared" si="64"/>
        <v>0</v>
      </c>
      <c r="AQ104" s="93">
        <v>0</v>
      </c>
      <c r="AR104" s="97">
        <f t="shared" si="65"/>
        <v>0</v>
      </c>
      <c r="AS104" s="189">
        <f>+ﾋﾞｱｶﾞｰﾃﾞﾝ!W103/1000</f>
        <v>0</v>
      </c>
      <c r="AT104" s="93">
        <v>0</v>
      </c>
      <c r="AU104" s="94">
        <f t="shared" si="66"/>
        <v>0</v>
      </c>
      <c r="AV104" s="93">
        <v>0</v>
      </c>
      <c r="AW104" s="95">
        <f t="shared" si="67"/>
        <v>0</v>
      </c>
      <c r="AX104" s="92">
        <f t="shared" si="68"/>
        <v>0</v>
      </c>
      <c r="AY104" s="93">
        <f t="shared" si="69"/>
        <v>0</v>
      </c>
      <c r="AZ104" s="94">
        <f t="shared" si="70"/>
        <v>0</v>
      </c>
      <c r="BA104" s="93">
        <f t="shared" si="71"/>
        <v>0</v>
      </c>
      <c r="BB104" s="95">
        <f t="shared" si="72"/>
        <v>0</v>
      </c>
      <c r="BC104" s="92">
        <f>+料飲共通!H103/1000</f>
        <v>0</v>
      </c>
      <c r="BD104" s="189">
        <f>+料飲共通!I103/1000</f>
        <v>0</v>
      </c>
      <c r="BE104" s="92">
        <f t="shared" si="73"/>
        <v>0</v>
      </c>
      <c r="BF104" s="92">
        <f>+料飲共通!W103/1000</f>
        <v>0</v>
      </c>
      <c r="BG104" s="93">
        <v>0</v>
      </c>
      <c r="BH104" s="94">
        <f t="shared" si="74"/>
        <v>0</v>
      </c>
      <c r="BI104" s="93">
        <v>0</v>
      </c>
      <c r="BJ104" s="95">
        <f t="shared" si="75"/>
        <v>0</v>
      </c>
      <c r="BK104" s="92">
        <f t="shared" si="76"/>
        <v>0</v>
      </c>
      <c r="BL104" s="93">
        <f t="shared" si="77"/>
        <v>0</v>
      </c>
      <c r="BM104" s="94">
        <f t="shared" si="43"/>
        <v>0</v>
      </c>
      <c r="BN104" s="93">
        <f t="shared" si="78"/>
        <v>0</v>
      </c>
      <c r="BO104" s="95">
        <f t="shared" si="79"/>
        <v>0</v>
      </c>
      <c r="BP104" s="92">
        <f t="shared" si="80"/>
        <v>0</v>
      </c>
      <c r="BQ104" s="93">
        <f t="shared" si="81"/>
        <v>0</v>
      </c>
      <c r="BR104" s="94">
        <f t="shared" si="84"/>
        <v>0</v>
      </c>
      <c r="BS104" s="93">
        <f t="shared" si="82"/>
        <v>0</v>
      </c>
      <c r="BT104" s="95">
        <f t="shared" si="83"/>
        <v>0</v>
      </c>
    </row>
    <row r="105" spans="1:72" s="88" customFormat="1" ht="22" hidden="1" customHeight="1" outlineLevel="1" thickBot="1">
      <c r="A105" s="161"/>
      <c r="B105" s="90" t="s">
        <v>193</v>
      </c>
      <c r="C105" s="91"/>
      <c r="D105" s="91"/>
      <c r="E105" s="92">
        <f>+ﾇｰﾍﾞﾙﾌﾟｰｽ!W104/1000</f>
        <v>0</v>
      </c>
      <c r="F105" s="93">
        <v>0</v>
      </c>
      <c r="G105" s="94">
        <f t="shared" si="44"/>
        <v>0</v>
      </c>
      <c r="H105" s="93">
        <v>0</v>
      </c>
      <c r="I105" s="97">
        <f t="shared" si="45"/>
        <v>0</v>
      </c>
      <c r="J105" s="189">
        <f>+ｶﾌｪﾙﾎﾟ!W104/1000</f>
        <v>0</v>
      </c>
      <c r="K105" s="93">
        <v>0</v>
      </c>
      <c r="L105" s="94">
        <f t="shared" si="46"/>
        <v>0</v>
      </c>
      <c r="M105" s="93">
        <v>0</v>
      </c>
      <c r="N105" s="190">
        <f t="shared" si="47"/>
        <v>0</v>
      </c>
      <c r="O105" s="96">
        <f>+ｶﾌｪｾﾚｽﾃ!W104/1000</f>
        <v>0</v>
      </c>
      <c r="P105" s="93">
        <v>0</v>
      </c>
      <c r="Q105" s="94">
        <f t="shared" si="48"/>
        <v>0</v>
      </c>
      <c r="R105" s="93">
        <v>0</v>
      </c>
      <c r="S105" s="97">
        <f t="shared" si="49"/>
        <v>0</v>
      </c>
      <c r="T105" s="92">
        <f t="shared" si="50"/>
        <v>0</v>
      </c>
      <c r="U105" s="93">
        <f t="shared" si="51"/>
        <v>0</v>
      </c>
      <c r="V105" s="94">
        <f t="shared" si="52"/>
        <v>0</v>
      </c>
      <c r="W105" s="93">
        <f t="shared" si="53"/>
        <v>0</v>
      </c>
      <c r="X105" s="95">
        <f t="shared" si="54"/>
        <v>0</v>
      </c>
      <c r="Y105" s="96">
        <v>0</v>
      </c>
      <c r="Z105" s="93">
        <v>0</v>
      </c>
      <c r="AA105" s="94">
        <f t="shared" si="55"/>
        <v>0</v>
      </c>
      <c r="AB105" s="93">
        <v>0</v>
      </c>
      <c r="AC105" s="190">
        <f t="shared" si="56"/>
        <v>0</v>
      </c>
      <c r="AD105" s="96">
        <f>+ｼﾞｭｴﾙｽﾞ!W104/1000</f>
        <v>0</v>
      </c>
      <c r="AE105" s="93">
        <v>0</v>
      </c>
      <c r="AF105" s="94">
        <f t="shared" si="57"/>
        <v>0</v>
      </c>
      <c r="AG105" s="93">
        <v>0</v>
      </c>
      <c r="AH105" s="95">
        <f t="shared" si="58"/>
        <v>0</v>
      </c>
      <c r="AI105" s="92">
        <f t="shared" si="59"/>
        <v>0</v>
      </c>
      <c r="AJ105" s="93">
        <f t="shared" si="60"/>
        <v>0</v>
      </c>
      <c r="AK105" s="94">
        <f t="shared" si="61"/>
        <v>0</v>
      </c>
      <c r="AL105" s="93">
        <f t="shared" si="62"/>
        <v>0</v>
      </c>
      <c r="AM105" s="95">
        <f t="shared" si="63"/>
        <v>0</v>
      </c>
      <c r="AN105" s="92">
        <f>+ｶﾞｰﾃﾞﾝ!W104/1000</f>
        <v>0</v>
      </c>
      <c r="AO105" s="93">
        <v>0</v>
      </c>
      <c r="AP105" s="94">
        <f t="shared" si="64"/>
        <v>0</v>
      </c>
      <c r="AQ105" s="93">
        <v>0</v>
      </c>
      <c r="AR105" s="97">
        <f t="shared" si="65"/>
        <v>0</v>
      </c>
      <c r="AS105" s="189">
        <f>+ﾋﾞｱｶﾞｰﾃﾞﾝ!W104/1000</f>
        <v>0</v>
      </c>
      <c r="AT105" s="93">
        <v>0</v>
      </c>
      <c r="AU105" s="94">
        <f t="shared" si="66"/>
        <v>0</v>
      </c>
      <c r="AV105" s="93">
        <v>0</v>
      </c>
      <c r="AW105" s="95">
        <f t="shared" si="67"/>
        <v>0</v>
      </c>
      <c r="AX105" s="92">
        <f t="shared" si="68"/>
        <v>0</v>
      </c>
      <c r="AY105" s="93">
        <f t="shared" si="69"/>
        <v>0</v>
      </c>
      <c r="AZ105" s="94">
        <f t="shared" si="70"/>
        <v>0</v>
      </c>
      <c r="BA105" s="93">
        <f t="shared" si="71"/>
        <v>0</v>
      </c>
      <c r="BB105" s="95">
        <f t="shared" si="72"/>
        <v>0</v>
      </c>
      <c r="BC105" s="92">
        <f>+料飲共通!H104/1000</f>
        <v>0</v>
      </c>
      <c r="BD105" s="189">
        <f>+料飲共通!I104/1000</f>
        <v>0</v>
      </c>
      <c r="BE105" s="92">
        <f t="shared" si="73"/>
        <v>0</v>
      </c>
      <c r="BF105" s="92">
        <f>+料飲共通!W104/1000</f>
        <v>0</v>
      </c>
      <c r="BG105" s="93">
        <v>0</v>
      </c>
      <c r="BH105" s="94">
        <f t="shared" si="74"/>
        <v>0</v>
      </c>
      <c r="BI105" s="93">
        <v>0</v>
      </c>
      <c r="BJ105" s="95">
        <f t="shared" si="75"/>
        <v>0</v>
      </c>
      <c r="BK105" s="92">
        <f t="shared" si="76"/>
        <v>0</v>
      </c>
      <c r="BL105" s="93">
        <f t="shared" si="77"/>
        <v>0</v>
      </c>
      <c r="BM105" s="94">
        <f t="shared" si="43"/>
        <v>0</v>
      </c>
      <c r="BN105" s="93">
        <f t="shared" si="78"/>
        <v>0</v>
      </c>
      <c r="BO105" s="95">
        <f t="shared" si="79"/>
        <v>0</v>
      </c>
      <c r="BP105" s="92">
        <f t="shared" si="80"/>
        <v>0</v>
      </c>
      <c r="BQ105" s="93">
        <f t="shared" si="81"/>
        <v>0</v>
      </c>
      <c r="BR105" s="94">
        <f t="shared" si="84"/>
        <v>0</v>
      </c>
      <c r="BS105" s="93">
        <f t="shared" si="82"/>
        <v>0</v>
      </c>
      <c r="BT105" s="95">
        <f t="shared" si="83"/>
        <v>0</v>
      </c>
    </row>
    <row r="106" spans="1:72" s="88" customFormat="1" ht="22" hidden="1" customHeight="1" outlineLevel="1" thickBot="1">
      <c r="A106" s="161"/>
      <c r="B106" s="90" t="s">
        <v>195</v>
      </c>
      <c r="C106" s="91"/>
      <c r="D106" s="91"/>
      <c r="E106" s="92">
        <f>+ﾇｰﾍﾞﾙﾌﾟｰｽ!W105/1000</f>
        <v>85.542000000000002</v>
      </c>
      <c r="F106" s="93">
        <v>85.542000000000002</v>
      </c>
      <c r="G106" s="94">
        <f t="shared" si="44"/>
        <v>0</v>
      </c>
      <c r="H106" s="93">
        <v>94</v>
      </c>
      <c r="I106" s="97">
        <f t="shared" si="45"/>
        <v>-8.4579999999999984</v>
      </c>
      <c r="J106" s="189">
        <f>+ｶﾌｪﾙﾎﾟ!W105/1000</f>
        <v>0</v>
      </c>
      <c r="K106" s="93">
        <v>0</v>
      </c>
      <c r="L106" s="94">
        <f t="shared" si="46"/>
        <v>0</v>
      </c>
      <c r="M106" s="93">
        <v>1</v>
      </c>
      <c r="N106" s="190">
        <f t="shared" si="47"/>
        <v>-1</v>
      </c>
      <c r="O106" s="96">
        <f>+ｶﾌｪｾﾚｽﾃ!W105/1000</f>
        <v>0</v>
      </c>
      <c r="P106" s="93">
        <v>0</v>
      </c>
      <c r="Q106" s="94">
        <f t="shared" si="48"/>
        <v>0</v>
      </c>
      <c r="R106" s="93">
        <v>3</v>
      </c>
      <c r="S106" s="97">
        <f t="shared" si="49"/>
        <v>-3</v>
      </c>
      <c r="T106" s="92">
        <f t="shared" si="50"/>
        <v>85.542000000000002</v>
      </c>
      <c r="U106" s="93">
        <f t="shared" si="51"/>
        <v>85.542000000000002</v>
      </c>
      <c r="V106" s="94">
        <f t="shared" si="52"/>
        <v>0</v>
      </c>
      <c r="W106" s="93">
        <f t="shared" si="53"/>
        <v>98</v>
      </c>
      <c r="X106" s="95">
        <f t="shared" si="54"/>
        <v>-12.457999999999998</v>
      </c>
      <c r="Y106" s="96">
        <v>0</v>
      </c>
      <c r="Z106" s="93">
        <v>0</v>
      </c>
      <c r="AA106" s="94">
        <f t="shared" si="55"/>
        <v>0</v>
      </c>
      <c r="AB106" s="93">
        <v>0</v>
      </c>
      <c r="AC106" s="190">
        <f t="shared" si="56"/>
        <v>0</v>
      </c>
      <c r="AD106" s="96">
        <f>+ｼﾞｭｴﾙｽﾞ!W105/1000</f>
        <v>480.93</v>
      </c>
      <c r="AE106" s="93">
        <v>480.93</v>
      </c>
      <c r="AF106" s="94">
        <f t="shared" si="57"/>
        <v>0</v>
      </c>
      <c r="AG106" s="93">
        <v>2889</v>
      </c>
      <c r="AH106" s="95">
        <f t="shared" si="58"/>
        <v>-2408.0700000000002</v>
      </c>
      <c r="AI106" s="92">
        <f t="shared" si="59"/>
        <v>480.93</v>
      </c>
      <c r="AJ106" s="93">
        <f t="shared" si="60"/>
        <v>480.93</v>
      </c>
      <c r="AK106" s="94">
        <f t="shared" si="61"/>
        <v>0</v>
      </c>
      <c r="AL106" s="93">
        <f t="shared" si="62"/>
        <v>2889</v>
      </c>
      <c r="AM106" s="95">
        <f t="shared" si="63"/>
        <v>-2408.0700000000002</v>
      </c>
      <c r="AN106" s="92">
        <f>+ｶﾞｰﾃﾞﾝ!W105/1000</f>
        <v>41.814</v>
      </c>
      <c r="AO106" s="93">
        <v>41.814</v>
      </c>
      <c r="AP106" s="94">
        <f t="shared" si="64"/>
        <v>0</v>
      </c>
      <c r="AQ106" s="93">
        <v>27</v>
      </c>
      <c r="AR106" s="97">
        <f t="shared" si="65"/>
        <v>14.814</v>
      </c>
      <c r="AS106" s="189">
        <f>+ﾋﾞｱｶﾞｰﾃﾞﾝ!W105/1000</f>
        <v>0</v>
      </c>
      <c r="AT106" s="93">
        <v>0</v>
      </c>
      <c r="AU106" s="94">
        <f t="shared" si="66"/>
        <v>0</v>
      </c>
      <c r="AV106" s="93">
        <v>3</v>
      </c>
      <c r="AW106" s="95">
        <f t="shared" si="67"/>
        <v>-3</v>
      </c>
      <c r="AX106" s="92">
        <f t="shared" si="68"/>
        <v>41.814</v>
      </c>
      <c r="AY106" s="93">
        <f t="shared" si="69"/>
        <v>41.814</v>
      </c>
      <c r="AZ106" s="94">
        <f t="shared" si="70"/>
        <v>0</v>
      </c>
      <c r="BA106" s="93">
        <f t="shared" si="71"/>
        <v>30</v>
      </c>
      <c r="BB106" s="95">
        <f t="shared" si="72"/>
        <v>11.814</v>
      </c>
      <c r="BC106" s="92">
        <f>+料飲共通!H105/1000</f>
        <v>0</v>
      </c>
      <c r="BD106" s="189">
        <f>+料飲共通!I105/1000</f>
        <v>0</v>
      </c>
      <c r="BE106" s="92">
        <f t="shared" si="73"/>
        <v>0</v>
      </c>
      <c r="BF106" s="92">
        <f>+料飲共通!W105/1000</f>
        <v>15</v>
      </c>
      <c r="BG106" s="93">
        <v>15</v>
      </c>
      <c r="BH106" s="94">
        <f t="shared" si="74"/>
        <v>0</v>
      </c>
      <c r="BI106" s="93">
        <v>0</v>
      </c>
      <c r="BJ106" s="95">
        <f t="shared" si="75"/>
        <v>15</v>
      </c>
      <c r="BK106" s="92">
        <f t="shared" si="76"/>
        <v>623.28599999999994</v>
      </c>
      <c r="BL106" s="93">
        <f t="shared" si="77"/>
        <v>623.28599999999994</v>
      </c>
      <c r="BM106" s="94">
        <f t="shared" si="43"/>
        <v>0</v>
      </c>
      <c r="BN106" s="93">
        <f t="shared" si="78"/>
        <v>3017</v>
      </c>
      <c r="BO106" s="95">
        <f t="shared" si="79"/>
        <v>-2393.7139999999999</v>
      </c>
      <c r="BP106" s="92">
        <f t="shared" si="80"/>
        <v>623.28599999999994</v>
      </c>
      <c r="BQ106" s="93">
        <f t="shared" si="81"/>
        <v>623.28599999999994</v>
      </c>
      <c r="BR106" s="94">
        <f t="shared" si="84"/>
        <v>0</v>
      </c>
      <c r="BS106" s="93">
        <f t="shared" si="82"/>
        <v>3017</v>
      </c>
      <c r="BT106" s="95">
        <f t="shared" si="83"/>
        <v>-2393.7139999999999</v>
      </c>
    </row>
    <row r="107" spans="1:72" s="88" customFormat="1" ht="22" hidden="1" customHeight="1" outlineLevel="1" thickBot="1">
      <c r="A107" s="161"/>
      <c r="B107" s="90" t="s">
        <v>191</v>
      </c>
      <c r="C107" s="91"/>
      <c r="D107" s="91"/>
      <c r="E107" s="92">
        <f>+ﾇｰﾍﾞﾙﾌﾟｰｽ!W106/1000</f>
        <v>0</v>
      </c>
      <c r="F107" s="93">
        <v>0</v>
      </c>
      <c r="G107" s="94">
        <f t="shared" si="44"/>
        <v>0</v>
      </c>
      <c r="H107" s="93">
        <v>0</v>
      </c>
      <c r="I107" s="97">
        <f t="shared" si="45"/>
        <v>0</v>
      </c>
      <c r="J107" s="189">
        <f>+ｶﾌｪﾙﾎﾟ!W106/1000</f>
        <v>0</v>
      </c>
      <c r="K107" s="93">
        <v>0</v>
      </c>
      <c r="L107" s="94">
        <f t="shared" si="46"/>
        <v>0</v>
      </c>
      <c r="M107" s="93">
        <v>0</v>
      </c>
      <c r="N107" s="190">
        <f t="shared" si="47"/>
        <v>0</v>
      </c>
      <c r="O107" s="96">
        <f>+ｶﾌｪｾﾚｽﾃ!W106/1000</f>
        <v>0</v>
      </c>
      <c r="P107" s="93">
        <v>0</v>
      </c>
      <c r="Q107" s="94">
        <f t="shared" si="48"/>
        <v>0</v>
      </c>
      <c r="R107" s="93">
        <v>0</v>
      </c>
      <c r="S107" s="97">
        <f t="shared" si="49"/>
        <v>0</v>
      </c>
      <c r="T107" s="92">
        <f t="shared" si="50"/>
        <v>0</v>
      </c>
      <c r="U107" s="93">
        <f t="shared" si="51"/>
        <v>0</v>
      </c>
      <c r="V107" s="94">
        <f t="shared" si="52"/>
        <v>0</v>
      </c>
      <c r="W107" s="93">
        <f t="shared" si="53"/>
        <v>0</v>
      </c>
      <c r="X107" s="95">
        <f t="shared" si="54"/>
        <v>0</v>
      </c>
      <c r="Y107" s="96">
        <v>0</v>
      </c>
      <c r="Z107" s="93">
        <v>0</v>
      </c>
      <c r="AA107" s="94">
        <f t="shared" si="55"/>
        <v>0</v>
      </c>
      <c r="AB107" s="93">
        <v>0</v>
      </c>
      <c r="AC107" s="190">
        <f t="shared" si="56"/>
        <v>0</v>
      </c>
      <c r="AD107" s="96">
        <f>+ｼﾞｭｴﾙｽﾞ!W106/1000</f>
        <v>0</v>
      </c>
      <c r="AE107" s="93">
        <v>0</v>
      </c>
      <c r="AF107" s="94">
        <f t="shared" si="57"/>
        <v>0</v>
      </c>
      <c r="AG107" s="93">
        <v>0</v>
      </c>
      <c r="AH107" s="95">
        <f t="shared" si="58"/>
        <v>0</v>
      </c>
      <c r="AI107" s="92">
        <f t="shared" si="59"/>
        <v>0</v>
      </c>
      <c r="AJ107" s="93">
        <f t="shared" si="60"/>
        <v>0</v>
      </c>
      <c r="AK107" s="94">
        <f t="shared" si="61"/>
        <v>0</v>
      </c>
      <c r="AL107" s="93">
        <f t="shared" si="62"/>
        <v>0</v>
      </c>
      <c r="AM107" s="95">
        <f t="shared" si="63"/>
        <v>0</v>
      </c>
      <c r="AN107" s="92">
        <f>+ｶﾞｰﾃﾞﾝ!W106/1000</f>
        <v>0</v>
      </c>
      <c r="AO107" s="93">
        <v>0</v>
      </c>
      <c r="AP107" s="94">
        <f t="shared" si="64"/>
        <v>0</v>
      </c>
      <c r="AQ107" s="93">
        <v>0</v>
      </c>
      <c r="AR107" s="97">
        <f t="shared" si="65"/>
        <v>0</v>
      </c>
      <c r="AS107" s="189">
        <f>+ﾋﾞｱｶﾞｰﾃﾞﾝ!W106/1000</f>
        <v>0</v>
      </c>
      <c r="AT107" s="93">
        <v>0</v>
      </c>
      <c r="AU107" s="94">
        <f t="shared" si="66"/>
        <v>0</v>
      </c>
      <c r="AV107" s="93">
        <v>0</v>
      </c>
      <c r="AW107" s="95">
        <f t="shared" si="67"/>
        <v>0</v>
      </c>
      <c r="AX107" s="92">
        <f t="shared" si="68"/>
        <v>0</v>
      </c>
      <c r="AY107" s="93">
        <f t="shared" si="69"/>
        <v>0</v>
      </c>
      <c r="AZ107" s="94">
        <f t="shared" si="70"/>
        <v>0</v>
      </c>
      <c r="BA107" s="93">
        <f t="shared" si="71"/>
        <v>0</v>
      </c>
      <c r="BB107" s="95">
        <f t="shared" si="72"/>
        <v>0</v>
      </c>
      <c r="BC107" s="92">
        <f>+料飲共通!H106/1000</f>
        <v>0</v>
      </c>
      <c r="BD107" s="189">
        <f>+料飲共通!I106/1000</f>
        <v>0</v>
      </c>
      <c r="BE107" s="92">
        <f t="shared" si="73"/>
        <v>0</v>
      </c>
      <c r="BF107" s="92">
        <f>+料飲共通!W106/1000</f>
        <v>0</v>
      </c>
      <c r="BG107" s="93">
        <v>0</v>
      </c>
      <c r="BH107" s="94">
        <f t="shared" si="74"/>
        <v>0</v>
      </c>
      <c r="BI107" s="93">
        <v>0</v>
      </c>
      <c r="BJ107" s="95">
        <f t="shared" si="75"/>
        <v>0</v>
      </c>
      <c r="BK107" s="92">
        <f t="shared" si="76"/>
        <v>0</v>
      </c>
      <c r="BL107" s="93">
        <f t="shared" si="77"/>
        <v>0</v>
      </c>
      <c r="BM107" s="94">
        <f t="shared" si="43"/>
        <v>0</v>
      </c>
      <c r="BN107" s="93">
        <f t="shared" si="78"/>
        <v>0</v>
      </c>
      <c r="BO107" s="95">
        <f t="shared" si="79"/>
        <v>0</v>
      </c>
      <c r="BP107" s="92">
        <f t="shared" si="80"/>
        <v>0</v>
      </c>
      <c r="BQ107" s="93">
        <f t="shared" si="81"/>
        <v>0</v>
      </c>
      <c r="BR107" s="94">
        <f t="shared" si="84"/>
        <v>0</v>
      </c>
      <c r="BS107" s="93">
        <f t="shared" si="82"/>
        <v>0</v>
      </c>
      <c r="BT107" s="95">
        <f t="shared" si="83"/>
        <v>0</v>
      </c>
    </row>
    <row r="108" spans="1:72" s="88" customFormat="1" ht="22" customHeight="1" collapsed="1" thickBot="1">
      <c r="A108" s="163" t="s">
        <v>198</v>
      </c>
      <c r="B108" s="164"/>
      <c r="C108" s="164"/>
      <c r="D108" s="164"/>
      <c r="E108" s="165">
        <f>+ﾇｰﾍﾞﾙﾌﾟｰｽ!W107/1000</f>
        <v>0</v>
      </c>
      <c r="F108" s="166">
        <v>0</v>
      </c>
      <c r="G108" s="167">
        <f t="shared" si="44"/>
        <v>0</v>
      </c>
      <c r="H108" s="166">
        <v>0</v>
      </c>
      <c r="I108" s="170">
        <f t="shared" si="45"/>
        <v>0</v>
      </c>
      <c r="J108" s="209">
        <f>+ｶﾌｪﾙﾎﾟ!W107/1000</f>
        <v>84.4</v>
      </c>
      <c r="K108" s="166">
        <v>84.4</v>
      </c>
      <c r="L108" s="167">
        <f t="shared" si="46"/>
        <v>0</v>
      </c>
      <c r="M108" s="166">
        <v>163</v>
      </c>
      <c r="N108" s="210">
        <f t="shared" si="47"/>
        <v>-78.599999999999994</v>
      </c>
      <c r="O108" s="169">
        <f>+ｶﾌｪｾﾚｽﾃ!W107/1000</f>
        <v>82.35</v>
      </c>
      <c r="P108" s="166">
        <v>82.35</v>
      </c>
      <c r="Q108" s="167">
        <f t="shared" si="48"/>
        <v>0</v>
      </c>
      <c r="R108" s="166">
        <v>80</v>
      </c>
      <c r="S108" s="170">
        <f t="shared" si="49"/>
        <v>2.3499999999999943</v>
      </c>
      <c r="T108" s="165">
        <f t="shared" si="50"/>
        <v>166.75</v>
      </c>
      <c r="U108" s="166">
        <f t="shared" si="51"/>
        <v>166.75</v>
      </c>
      <c r="V108" s="167">
        <f t="shared" si="52"/>
        <v>0</v>
      </c>
      <c r="W108" s="166">
        <f t="shared" si="53"/>
        <v>243</v>
      </c>
      <c r="X108" s="168">
        <f t="shared" si="54"/>
        <v>-76.25</v>
      </c>
      <c r="Y108" s="169">
        <v>0</v>
      </c>
      <c r="Z108" s="166">
        <v>0</v>
      </c>
      <c r="AA108" s="167">
        <f t="shared" si="55"/>
        <v>0</v>
      </c>
      <c r="AB108" s="166">
        <v>0</v>
      </c>
      <c r="AC108" s="210">
        <f t="shared" si="56"/>
        <v>0</v>
      </c>
      <c r="AD108" s="169">
        <f>+ｼﾞｭｴﾙｽﾞ!W107/1000</f>
        <v>0</v>
      </c>
      <c r="AE108" s="166">
        <v>0</v>
      </c>
      <c r="AF108" s="167">
        <f t="shared" si="57"/>
        <v>0</v>
      </c>
      <c r="AG108" s="166">
        <v>0</v>
      </c>
      <c r="AH108" s="168">
        <f t="shared" si="58"/>
        <v>0</v>
      </c>
      <c r="AI108" s="165">
        <f t="shared" si="59"/>
        <v>0</v>
      </c>
      <c r="AJ108" s="166">
        <f t="shared" si="60"/>
        <v>0</v>
      </c>
      <c r="AK108" s="167">
        <f t="shared" si="61"/>
        <v>0</v>
      </c>
      <c r="AL108" s="166">
        <f t="shared" si="62"/>
        <v>0</v>
      </c>
      <c r="AM108" s="168">
        <f t="shared" si="63"/>
        <v>0</v>
      </c>
      <c r="AN108" s="165">
        <f>+ｶﾞｰﾃﾞﾝ!W107/1000</f>
        <v>3.0000000000000001E-3</v>
      </c>
      <c r="AO108" s="166">
        <v>3.0000000000000001E-3</v>
      </c>
      <c r="AP108" s="167">
        <f t="shared" si="64"/>
        <v>0</v>
      </c>
      <c r="AQ108" s="166">
        <v>7</v>
      </c>
      <c r="AR108" s="170">
        <f t="shared" si="65"/>
        <v>-6.9969999999999999</v>
      </c>
      <c r="AS108" s="209">
        <f>+ﾋﾞｱｶﾞｰﾃﾞﾝ!W107/1000</f>
        <v>2.4</v>
      </c>
      <c r="AT108" s="166">
        <v>2.4</v>
      </c>
      <c r="AU108" s="167">
        <f t="shared" si="66"/>
        <v>0</v>
      </c>
      <c r="AV108" s="166">
        <v>7</v>
      </c>
      <c r="AW108" s="168">
        <f t="shared" si="67"/>
        <v>-4.5999999999999996</v>
      </c>
      <c r="AX108" s="165">
        <f t="shared" si="68"/>
        <v>2.403</v>
      </c>
      <c r="AY108" s="166">
        <f t="shared" si="69"/>
        <v>2.403</v>
      </c>
      <c r="AZ108" s="167">
        <f t="shared" si="70"/>
        <v>0</v>
      </c>
      <c r="BA108" s="166">
        <f t="shared" si="71"/>
        <v>14</v>
      </c>
      <c r="BB108" s="168">
        <f t="shared" si="72"/>
        <v>-11.597</v>
      </c>
      <c r="BC108" s="165">
        <v>0</v>
      </c>
      <c r="BD108" s="209">
        <v>0</v>
      </c>
      <c r="BE108" s="165">
        <f t="shared" si="73"/>
        <v>0</v>
      </c>
      <c r="BF108" s="165">
        <f>+料飲共通!W107/1000</f>
        <v>0</v>
      </c>
      <c r="BG108" s="166">
        <v>0</v>
      </c>
      <c r="BH108" s="167">
        <f t="shared" si="74"/>
        <v>0</v>
      </c>
      <c r="BI108" s="166">
        <v>0</v>
      </c>
      <c r="BJ108" s="168">
        <f t="shared" si="75"/>
        <v>0</v>
      </c>
      <c r="BK108" s="165">
        <f t="shared" si="76"/>
        <v>169.15299999999999</v>
      </c>
      <c r="BL108" s="166">
        <f t="shared" si="77"/>
        <v>169.15299999999999</v>
      </c>
      <c r="BM108" s="167">
        <f t="shared" si="43"/>
        <v>0</v>
      </c>
      <c r="BN108" s="166">
        <f t="shared" si="78"/>
        <v>257</v>
      </c>
      <c r="BO108" s="168">
        <f t="shared" si="79"/>
        <v>-87.847000000000008</v>
      </c>
      <c r="BP108" s="165">
        <f t="shared" si="80"/>
        <v>169.15299999999999</v>
      </c>
      <c r="BQ108" s="166">
        <f t="shared" si="81"/>
        <v>169.15299999999999</v>
      </c>
      <c r="BR108" s="167">
        <f t="shared" si="84"/>
        <v>0</v>
      </c>
      <c r="BS108" s="166">
        <f t="shared" si="82"/>
        <v>257</v>
      </c>
      <c r="BT108" s="168">
        <f t="shared" si="83"/>
        <v>-87.847000000000008</v>
      </c>
    </row>
    <row r="109" spans="1:72" s="88" customFormat="1" ht="22" hidden="1" customHeight="1" outlineLevel="1" thickBot="1">
      <c r="A109" s="160"/>
      <c r="B109" s="139" t="s">
        <v>200</v>
      </c>
      <c r="C109" s="91"/>
      <c r="D109" s="91"/>
      <c r="E109" s="92">
        <f>+ﾇｰﾍﾞﾙﾌﾟｰｽ!W108/1000</f>
        <v>0</v>
      </c>
      <c r="F109" s="93">
        <v>0</v>
      </c>
      <c r="G109" s="93">
        <f t="shared" si="44"/>
        <v>0</v>
      </c>
      <c r="H109" s="93">
        <v>0</v>
      </c>
      <c r="I109" s="96">
        <f t="shared" si="45"/>
        <v>0</v>
      </c>
      <c r="J109" s="189">
        <f>+ｶﾌｪﾙﾎﾟ!W108/1000</f>
        <v>0</v>
      </c>
      <c r="K109" s="93">
        <v>0</v>
      </c>
      <c r="L109" s="93">
        <f t="shared" si="46"/>
        <v>0</v>
      </c>
      <c r="M109" s="93">
        <v>0</v>
      </c>
      <c r="N109" s="211">
        <f t="shared" si="47"/>
        <v>0</v>
      </c>
      <c r="O109" s="96">
        <f>+ｶﾌｪｾﾚｽﾃ!W108/1000</f>
        <v>0</v>
      </c>
      <c r="P109" s="93">
        <v>0</v>
      </c>
      <c r="Q109" s="93">
        <f t="shared" si="48"/>
        <v>0</v>
      </c>
      <c r="R109" s="93">
        <v>0</v>
      </c>
      <c r="S109" s="96">
        <f t="shared" si="49"/>
        <v>0</v>
      </c>
      <c r="T109" s="92">
        <f t="shared" si="50"/>
        <v>0</v>
      </c>
      <c r="U109" s="93">
        <f t="shared" si="51"/>
        <v>0</v>
      </c>
      <c r="V109" s="93">
        <f t="shared" si="52"/>
        <v>0</v>
      </c>
      <c r="W109" s="93">
        <f t="shared" si="53"/>
        <v>0</v>
      </c>
      <c r="X109" s="171">
        <f t="shared" si="54"/>
        <v>0</v>
      </c>
      <c r="Y109" s="96">
        <v>0</v>
      </c>
      <c r="Z109" s="93">
        <v>0</v>
      </c>
      <c r="AA109" s="93">
        <f t="shared" si="55"/>
        <v>0</v>
      </c>
      <c r="AB109" s="93">
        <v>0</v>
      </c>
      <c r="AC109" s="211">
        <f t="shared" si="56"/>
        <v>0</v>
      </c>
      <c r="AD109" s="96">
        <f>+ｼﾞｭｴﾙｽﾞ!W108/1000</f>
        <v>0</v>
      </c>
      <c r="AE109" s="93">
        <v>0</v>
      </c>
      <c r="AF109" s="93">
        <f t="shared" si="57"/>
        <v>0</v>
      </c>
      <c r="AG109" s="93">
        <v>0</v>
      </c>
      <c r="AH109" s="171">
        <f t="shared" si="58"/>
        <v>0</v>
      </c>
      <c r="AI109" s="92">
        <f t="shared" si="59"/>
        <v>0</v>
      </c>
      <c r="AJ109" s="93">
        <f t="shared" si="60"/>
        <v>0</v>
      </c>
      <c r="AK109" s="93">
        <f t="shared" si="61"/>
        <v>0</v>
      </c>
      <c r="AL109" s="93">
        <f t="shared" si="62"/>
        <v>0</v>
      </c>
      <c r="AM109" s="171">
        <f t="shared" si="63"/>
        <v>0</v>
      </c>
      <c r="AN109" s="92">
        <f>+ｶﾞｰﾃﾞﾝ!W108/1000</f>
        <v>0</v>
      </c>
      <c r="AO109" s="93">
        <v>0</v>
      </c>
      <c r="AP109" s="93">
        <f t="shared" si="64"/>
        <v>0</v>
      </c>
      <c r="AQ109" s="93">
        <v>0</v>
      </c>
      <c r="AR109" s="96">
        <f t="shared" si="65"/>
        <v>0</v>
      </c>
      <c r="AS109" s="189">
        <f>+ﾋﾞｱｶﾞｰﾃﾞﾝ!W108/1000</f>
        <v>0</v>
      </c>
      <c r="AT109" s="93">
        <v>0</v>
      </c>
      <c r="AU109" s="93">
        <f t="shared" si="66"/>
        <v>0</v>
      </c>
      <c r="AV109" s="93">
        <v>0</v>
      </c>
      <c r="AW109" s="171">
        <f t="shared" si="67"/>
        <v>0</v>
      </c>
      <c r="AX109" s="92">
        <f t="shared" si="68"/>
        <v>0</v>
      </c>
      <c r="AY109" s="93">
        <f t="shared" si="69"/>
        <v>0</v>
      </c>
      <c r="AZ109" s="93">
        <f t="shared" si="70"/>
        <v>0</v>
      </c>
      <c r="BA109" s="93">
        <f t="shared" si="71"/>
        <v>0</v>
      </c>
      <c r="BB109" s="171">
        <f t="shared" si="72"/>
        <v>0</v>
      </c>
      <c r="BC109" s="92">
        <f>+料飲共通!H108/1000</f>
        <v>0</v>
      </c>
      <c r="BD109" s="189">
        <f>+料飲共通!I108/1000</f>
        <v>0</v>
      </c>
      <c r="BE109" s="92">
        <f t="shared" si="73"/>
        <v>0</v>
      </c>
      <c r="BF109" s="92">
        <f>+料飲共通!W108/1000</f>
        <v>0</v>
      </c>
      <c r="BG109" s="93">
        <v>0</v>
      </c>
      <c r="BH109" s="93">
        <f t="shared" si="74"/>
        <v>0</v>
      </c>
      <c r="BI109" s="93">
        <v>0</v>
      </c>
      <c r="BJ109" s="171">
        <f t="shared" si="75"/>
        <v>0</v>
      </c>
      <c r="BK109" s="92">
        <f t="shared" si="76"/>
        <v>0</v>
      </c>
      <c r="BL109" s="93">
        <f t="shared" si="77"/>
        <v>0</v>
      </c>
      <c r="BM109" s="93">
        <f t="shared" si="43"/>
        <v>0</v>
      </c>
      <c r="BN109" s="93">
        <f t="shared" si="78"/>
        <v>0</v>
      </c>
      <c r="BO109" s="171">
        <f t="shared" si="79"/>
        <v>0</v>
      </c>
      <c r="BP109" s="92">
        <f t="shared" si="80"/>
        <v>0</v>
      </c>
      <c r="BQ109" s="93">
        <f t="shared" si="81"/>
        <v>0</v>
      </c>
      <c r="BR109" s="93">
        <f t="shared" si="84"/>
        <v>0</v>
      </c>
      <c r="BS109" s="93">
        <f t="shared" si="82"/>
        <v>0</v>
      </c>
      <c r="BT109" s="171">
        <f t="shared" si="83"/>
        <v>0</v>
      </c>
    </row>
    <row r="110" spans="1:72" s="88" customFormat="1" ht="22" hidden="1" customHeight="1" outlineLevel="1" thickBot="1">
      <c r="A110" s="161"/>
      <c r="B110" s="90" t="s">
        <v>202</v>
      </c>
      <c r="C110" s="91"/>
      <c r="D110" s="91"/>
      <c r="E110" s="92">
        <f>+ﾇｰﾍﾞﾙﾌﾟｰｽ!W109/1000</f>
        <v>0</v>
      </c>
      <c r="F110" s="93">
        <v>0</v>
      </c>
      <c r="G110" s="93">
        <f t="shared" si="44"/>
        <v>0</v>
      </c>
      <c r="H110" s="93">
        <v>0</v>
      </c>
      <c r="I110" s="96">
        <f t="shared" si="45"/>
        <v>0</v>
      </c>
      <c r="J110" s="189">
        <f>+ｶﾌｪﾙﾎﾟ!W109/1000</f>
        <v>84.4</v>
      </c>
      <c r="K110" s="93">
        <v>84.4</v>
      </c>
      <c r="L110" s="93">
        <f t="shared" si="46"/>
        <v>0</v>
      </c>
      <c r="M110" s="93">
        <v>163</v>
      </c>
      <c r="N110" s="211">
        <f t="shared" si="47"/>
        <v>-78.599999999999994</v>
      </c>
      <c r="O110" s="96">
        <f>+ｶﾌｪｾﾚｽﾃ!W109/1000</f>
        <v>84.4</v>
      </c>
      <c r="P110" s="93">
        <v>84.4</v>
      </c>
      <c r="Q110" s="93">
        <f t="shared" si="48"/>
        <v>0</v>
      </c>
      <c r="R110" s="93">
        <v>80</v>
      </c>
      <c r="S110" s="96">
        <f t="shared" si="49"/>
        <v>4.4000000000000057</v>
      </c>
      <c r="T110" s="92">
        <f t="shared" si="50"/>
        <v>168.8</v>
      </c>
      <c r="U110" s="93">
        <f t="shared" si="51"/>
        <v>168.8</v>
      </c>
      <c r="V110" s="93">
        <f t="shared" si="52"/>
        <v>0</v>
      </c>
      <c r="W110" s="93">
        <f t="shared" si="53"/>
        <v>243</v>
      </c>
      <c r="X110" s="171">
        <f t="shared" si="54"/>
        <v>-74.199999999999989</v>
      </c>
      <c r="Y110" s="96">
        <v>0</v>
      </c>
      <c r="Z110" s="93">
        <v>0</v>
      </c>
      <c r="AA110" s="93">
        <f t="shared" si="55"/>
        <v>0</v>
      </c>
      <c r="AB110" s="93">
        <v>0</v>
      </c>
      <c r="AC110" s="211">
        <f t="shared" si="56"/>
        <v>0</v>
      </c>
      <c r="AD110" s="96">
        <f>+ｼﾞｭｴﾙｽﾞ!W109/1000</f>
        <v>0</v>
      </c>
      <c r="AE110" s="93">
        <v>0</v>
      </c>
      <c r="AF110" s="93">
        <f t="shared" si="57"/>
        <v>0</v>
      </c>
      <c r="AG110" s="93">
        <v>0</v>
      </c>
      <c r="AH110" s="171">
        <f t="shared" si="58"/>
        <v>0</v>
      </c>
      <c r="AI110" s="92">
        <f t="shared" si="59"/>
        <v>0</v>
      </c>
      <c r="AJ110" s="93">
        <f t="shared" si="60"/>
        <v>0</v>
      </c>
      <c r="AK110" s="93">
        <f t="shared" si="61"/>
        <v>0</v>
      </c>
      <c r="AL110" s="93">
        <f t="shared" si="62"/>
        <v>0</v>
      </c>
      <c r="AM110" s="171">
        <f t="shared" si="63"/>
        <v>0</v>
      </c>
      <c r="AN110" s="92">
        <f>+ｶﾞｰﾃﾞﾝ!W109/1000</f>
        <v>3.0000000000000001E-3</v>
      </c>
      <c r="AO110" s="93">
        <v>3.0000000000000001E-3</v>
      </c>
      <c r="AP110" s="93">
        <f t="shared" si="64"/>
        <v>0</v>
      </c>
      <c r="AQ110" s="93">
        <v>3</v>
      </c>
      <c r="AR110" s="96">
        <f t="shared" si="65"/>
        <v>-2.9969999999999999</v>
      </c>
      <c r="AS110" s="189">
        <f>+ﾋﾞｱｶﾞｰﾃﾞﾝ!W109/1000</f>
        <v>0.7</v>
      </c>
      <c r="AT110" s="93">
        <v>0.7</v>
      </c>
      <c r="AU110" s="93">
        <f t="shared" si="66"/>
        <v>0</v>
      </c>
      <c r="AV110" s="93">
        <v>2</v>
      </c>
      <c r="AW110" s="171">
        <f t="shared" si="67"/>
        <v>-1.3</v>
      </c>
      <c r="AX110" s="92">
        <f t="shared" si="68"/>
        <v>0.70299999999999996</v>
      </c>
      <c r="AY110" s="93">
        <f t="shared" si="69"/>
        <v>0.70299999999999996</v>
      </c>
      <c r="AZ110" s="93">
        <f t="shared" si="70"/>
        <v>0</v>
      </c>
      <c r="BA110" s="93">
        <f t="shared" si="71"/>
        <v>5</v>
      </c>
      <c r="BB110" s="171">
        <f t="shared" si="72"/>
        <v>-4.2969999999999997</v>
      </c>
      <c r="BC110" s="92">
        <f>+料飲共通!H109/1000</f>
        <v>0</v>
      </c>
      <c r="BD110" s="189">
        <f>+料飲共通!I109/1000</f>
        <v>0</v>
      </c>
      <c r="BE110" s="92">
        <f t="shared" si="73"/>
        <v>0</v>
      </c>
      <c r="BF110" s="92">
        <f>+料飲共通!W109/1000</f>
        <v>0</v>
      </c>
      <c r="BG110" s="93">
        <v>0</v>
      </c>
      <c r="BH110" s="93">
        <f t="shared" si="74"/>
        <v>0</v>
      </c>
      <c r="BI110" s="93">
        <v>0</v>
      </c>
      <c r="BJ110" s="171">
        <f t="shared" si="75"/>
        <v>0</v>
      </c>
      <c r="BK110" s="92">
        <f t="shared" si="76"/>
        <v>169.50300000000001</v>
      </c>
      <c r="BL110" s="93">
        <f t="shared" si="77"/>
        <v>169.50300000000001</v>
      </c>
      <c r="BM110" s="93">
        <f t="shared" si="43"/>
        <v>0</v>
      </c>
      <c r="BN110" s="93">
        <f t="shared" si="78"/>
        <v>248</v>
      </c>
      <c r="BO110" s="171">
        <f t="shared" si="79"/>
        <v>-78.496999999999986</v>
      </c>
      <c r="BP110" s="92">
        <f t="shared" si="80"/>
        <v>169.50300000000001</v>
      </c>
      <c r="BQ110" s="93">
        <f t="shared" si="81"/>
        <v>169.50300000000001</v>
      </c>
      <c r="BR110" s="93">
        <f t="shared" si="84"/>
        <v>0</v>
      </c>
      <c r="BS110" s="93">
        <f t="shared" si="82"/>
        <v>248</v>
      </c>
      <c r="BT110" s="171">
        <f t="shared" si="83"/>
        <v>-78.496999999999986</v>
      </c>
    </row>
    <row r="111" spans="1:72" s="88" customFormat="1" ht="22" hidden="1" customHeight="1" outlineLevel="1" thickBot="1">
      <c r="A111" s="161"/>
      <c r="B111" s="90" t="s">
        <v>191</v>
      </c>
      <c r="C111" s="91"/>
      <c r="D111" s="91"/>
      <c r="E111" s="92">
        <f>+ﾇｰﾍﾞﾙﾌﾟｰｽ!W110/1000</f>
        <v>0</v>
      </c>
      <c r="F111" s="93">
        <v>0</v>
      </c>
      <c r="G111" s="93">
        <f t="shared" si="44"/>
        <v>0</v>
      </c>
      <c r="H111" s="93">
        <v>0</v>
      </c>
      <c r="I111" s="96">
        <f t="shared" si="45"/>
        <v>0</v>
      </c>
      <c r="J111" s="189">
        <f>+ｶﾌｪﾙﾎﾟ!W110/1000</f>
        <v>0</v>
      </c>
      <c r="K111" s="93">
        <v>0</v>
      </c>
      <c r="L111" s="93">
        <f t="shared" si="46"/>
        <v>0</v>
      </c>
      <c r="M111" s="93">
        <v>0</v>
      </c>
      <c r="N111" s="211">
        <f t="shared" si="47"/>
        <v>0</v>
      </c>
      <c r="O111" s="96">
        <f>+ｶﾌｪｾﾚｽﾃ!W110/1000</f>
        <v>-2.0499999999999998</v>
      </c>
      <c r="P111" s="93">
        <v>-2.0499999999999998</v>
      </c>
      <c r="Q111" s="93">
        <f t="shared" si="48"/>
        <v>0</v>
      </c>
      <c r="R111" s="93">
        <v>0</v>
      </c>
      <c r="S111" s="96">
        <f t="shared" si="49"/>
        <v>-2.0499999999999998</v>
      </c>
      <c r="T111" s="92">
        <f t="shared" si="50"/>
        <v>-2.0499999999999998</v>
      </c>
      <c r="U111" s="93">
        <f t="shared" si="51"/>
        <v>-2.0499999999999998</v>
      </c>
      <c r="V111" s="93">
        <f t="shared" si="52"/>
        <v>0</v>
      </c>
      <c r="W111" s="93">
        <f t="shared" si="53"/>
        <v>0</v>
      </c>
      <c r="X111" s="171">
        <f t="shared" si="54"/>
        <v>-2.0499999999999998</v>
      </c>
      <c r="Y111" s="96">
        <v>0</v>
      </c>
      <c r="Z111" s="93">
        <v>0</v>
      </c>
      <c r="AA111" s="93">
        <f t="shared" si="55"/>
        <v>0</v>
      </c>
      <c r="AB111" s="93">
        <v>0</v>
      </c>
      <c r="AC111" s="211">
        <f t="shared" si="56"/>
        <v>0</v>
      </c>
      <c r="AD111" s="96">
        <f>+ｼﾞｭｴﾙｽﾞ!W110/1000</f>
        <v>0</v>
      </c>
      <c r="AE111" s="93">
        <v>0</v>
      </c>
      <c r="AF111" s="93">
        <f t="shared" si="57"/>
        <v>0</v>
      </c>
      <c r="AG111" s="93">
        <v>0</v>
      </c>
      <c r="AH111" s="171">
        <f t="shared" si="58"/>
        <v>0</v>
      </c>
      <c r="AI111" s="92">
        <f t="shared" si="59"/>
        <v>0</v>
      </c>
      <c r="AJ111" s="93">
        <f t="shared" si="60"/>
        <v>0</v>
      </c>
      <c r="AK111" s="93">
        <f t="shared" si="61"/>
        <v>0</v>
      </c>
      <c r="AL111" s="93">
        <f t="shared" si="62"/>
        <v>0</v>
      </c>
      <c r="AM111" s="171">
        <f t="shared" si="63"/>
        <v>0</v>
      </c>
      <c r="AN111" s="92">
        <f>+ｶﾞｰﾃﾞﾝ!W110/1000</f>
        <v>0</v>
      </c>
      <c r="AO111" s="93">
        <v>0</v>
      </c>
      <c r="AP111" s="93">
        <f t="shared" si="64"/>
        <v>0</v>
      </c>
      <c r="AQ111" s="93">
        <v>4</v>
      </c>
      <c r="AR111" s="96">
        <f t="shared" si="65"/>
        <v>-4</v>
      </c>
      <c r="AS111" s="189">
        <f>+ﾋﾞｱｶﾞｰﾃﾞﾝ!W110/1000</f>
        <v>1.7</v>
      </c>
      <c r="AT111" s="93">
        <v>1.7</v>
      </c>
      <c r="AU111" s="93">
        <f t="shared" si="66"/>
        <v>0</v>
      </c>
      <c r="AV111" s="93">
        <v>5</v>
      </c>
      <c r="AW111" s="171">
        <f t="shared" si="67"/>
        <v>-3.3</v>
      </c>
      <c r="AX111" s="92">
        <f t="shared" si="68"/>
        <v>1.7</v>
      </c>
      <c r="AY111" s="93">
        <f t="shared" si="69"/>
        <v>1.7</v>
      </c>
      <c r="AZ111" s="93">
        <f t="shared" si="70"/>
        <v>0</v>
      </c>
      <c r="BA111" s="93">
        <f t="shared" si="71"/>
        <v>9</v>
      </c>
      <c r="BB111" s="171">
        <f t="shared" si="72"/>
        <v>-7.3</v>
      </c>
      <c r="BC111" s="92">
        <f>+料飲共通!H110/1000</f>
        <v>0</v>
      </c>
      <c r="BD111" s="189">
        <f>+料飲共通!I110/1000</f>
        <v>0</v>
      </c>
      <c r="BE111" s="92">
        <f t="shared" si="73"/>
        <v>0</v>
      </c>
      <c r="BF111" s="92">
        <f>+料飲共通!W110/1000</f>
        <v>0</v>
      </c>
      <c r="BG111" s="93">
        <v>0</v>
      </c>
      <c r="BH111" s="93">
        <f t="shared" si="74"/>
        <v>0</v>
      </c>
      <c r="BI111" s="93">
        <v>0</v>
      </c>
      <c r="BJ111" s="171">
        <f t="shared" si="75"/>
        <v>0</v>
      </c>
      <c r="BK111" s="92">
        <f t="shared" si="76"/>
        <v>-0.34999999999999987</v>
      </c>
      <c r="BL111" s="93">
        <f t="shared" si="77"/>
        <v>-0.34999999999999987</v>
      </c>
      <c r="BM111" s="93">
        <f t="shared" si="43"/>
        <v>0</v>
      </c>
      <c r="BN111" s="93">
        <f t="shared" si="78"/>
        <v>9</v>
      </c>
      <c r="BO111" s="171">
        <f t="shared" si="79"/>
        <v>-9.35</v>
      </c>
      <c r="BP111" s="92">
        <f t="shared" si="80"/>
        <v>-0.34999999999999987</v>
      </c>
      <c r="BQ111" s="93">
        <f t="shared" si="81"/>
        <v>-0.34999999999999987</v>
      </c>
      <c r="BR111" s="93">
        <f t="shared" si="84"/>
        <v>0</v>
      </c>
      <c r="BS111" s="93">
        <f t="shared" si="82"/>
        <v>9</v>
      </c>
      <c r="BT111" s="171">
        <f t="shared" si="83"/>
        <v>-9.35</v>
      </c>
    </row>
    <row r="112" spans="1:72" s="88" customFormat="1" ht="22" customHeight="1" collapsed="1" thickBot="1">
      <c r="A112" s="146" t="s">
        <v>205</v>
      </c>
      <c r="B112" s="147"/>
      <c r="C112" s="147"/>
      <c r="D112" s="147"/>
      <c r="E112" s="148">
        <f>+ﾇｰﾍﾞﾙﾌﾟｰｽ!W111/1000</f>
        <v>-14482.600980000001</v>
      </c>
      <c r="F112" s="149">
        <v>-13918.596309999999</v>
      </c>
      <c r="G112" s="149">
        <f>+E112-F112</f>
        <v>-564.00467000000208</v>
      </c>
      <c r="H112" s="149">
        <v>-20176</v>
      </c>
      <c r="I112" s="151">
        <f t="shared" si="45"/>
        <v>5693.3990199999989</v>
      </c>
      <c r="J112" s="205">
        <f>+ｶﾌｪﾙﾎﾟ!W111/1000</f>
        <v>-225.33604000000028</v>
      </c>
      <c r="K112" s="149">
        <v>-1326.237624399999</v>
      </c>
      <c r="L112" s="149">
        <f>+J112-K112</f>
        <v>1100.9015843999987</v>
      </c>
      <c r="M112" s="149">
        <v>856</v>
      </c>
      <c r="N112" s="206">
        <f t="shared" si="47"/>
        <v>-1081.3360400000004</v>
      </c>
      <c r="O112" s="151">
        <f>+ｶﾌｪｾﾚｽﾃ!W111/1000</f>
        <v>8579.7379999999994</v>
      </c>
      <c r="P112" s="149">
        <v>7590.8522593000007</v>
      </c>
      <c r="Q112" s="149">
        <f>+O112-P112</f>
        <v>988.88574069999868</v>
      </c>
      <c r="R112" s="149">
        <v>5768</v>
      </c>
      <c r="S112" s="151">
        <f t="shared" si="49"/>
        <v>2811.7379999999994</v>
      </c>
      <c r="T112" s="148">
        <f t="shared" si="50"/>
        <v>-6128.1990200000018</v>
      </c>
      <c r="U112" s="149">
        <f t="shared" si="51"/>
        <v>-7653.9816750999971</v>
      </c>
      <c r="V112" s="149">
        <f>+T112-U112</f>
        <v>1525.7826550999953</v>
      </c>
      <c r="W112" s="149">
        <f t="shared" si="53"/>
        <v>-13552</v>
      </c>
      <c r="X112" s="150">
        <f t="shared" si="54"/>
        <v>7423.8009799999982</v>
      </c>
      <c r="Y112" s="151">
        <v>0</v>
      </c>
      <c r="Z112" s="149">
        <v>7870.9378729999999</v>
      </c>
      <c r="AA112" s="149">
        <f>+Y112-Z112</f>
        <v>-7870.9378729999999</v>
      </c>
      <c r="AB112" s="149">
        <v>-813</v>
      </c>
      <c r="AC112" s="206">
        <f t="shared" si="56"/>
        <v>813</v>
      </c>
      <c r="AD112" s="151">
        <f>+ｼﾞｭｴﾙｽﾞ!W111/1000</f>
        <v>24466.601355000003</v>
      </c>
      <c r="AE112" s="149">
        <v>18960.558442000001</v>
      </c>
      <c r="AF112" s="149">
        <f>+AD112-AE112</f>
        <v>5506.0429130000011</v>
      </c>
      <c r="AG112" s="149">
        <v>12070</v>
      </c>
      <c r="AH112" s="150">
        <f t="shared" si="58"/>
        <v>12396.601355000003</v>
      </c>
      <c r="AI112" s="148">
        <f t="shared" si="59"/>
        <v>24466.601355000003</v>
      </c>
      <c r="AJ112" s="149">
        <f t="shared" si="60"/>
        <v>26831.496315</v>
      </c>
      <c r="AK112" s="149">
        <f>+AI112-AJ112</f>
        <v>-2364.8949599999978</v>
      </c>
      <c r="AL112" s="149">
        <f t="shared" si="62"/>
        <v>11257</v>
      </c>
      <c r="AM112" s="150">
        <f t="shared" si="63"/>
        <v>13209.601355000003</v>
      </c>
      <c r="AN112" s="148">
        <f>+AN99+AN100-AN108</f>
        <v>-8579.9923200000212</v>
      </c>
      <c r="AO112" s="149">
        <v>-10421.105215999998</v>
      </c>
      <c r="AP112" s="149">
        <f>+AN112-AO112</f>
        <v>1841.1128959999769</v>
      </c>
      <c r="AQ112" s="149">
        <v>-21764</v>
      </c>
      <c r="AR112" s="151">
        <f t="shared" si="65"/>
        <v>13184.007679999979</v>
      </c>
      <c r="AS112" s="205">
        <f>+AS99+AS100-AS108</f>
        <v>15798.408955500019</v>
      </c>
      <c r="AT112" s="149">
        <v>-3620.2469999999944</v>
      </c>
      <c r="AU112" s="149">
        <f>+AS112-AT112</f>
        <v>19418.655955500013</v>
      </c>
      <c r="AV112" s="149">
        <v>26695</v>
      </c>
      <c r="AW112" s="150">
        <f t="shared" si="67"/>
        <v>-10896.591044499981</v>
      </c>
      <c r="AX112" s="148">
        <f t="shared" si="68"/>
        <v>7218.4166354999979</v>
      </c>
      <c r="AY112" s="149">
        <f t="shared" si="69"/>
        <v>-14041.352215999992</v>
      </c>
      <c r="AZ112" s="149">
        <f t="shared" si="70"/>
        <v>21259.76885149999</v>
      </c>
      <c r="BA112" s="149">
        <f t="shared" si="71"/>
        <v>4931</v>
      </c>
      <c r="BB112" s="150">
        <f t="shared" si="72"/>
        <v>2287.4166354999979</v>
      </c>
      <c r="BC112" s="148">
        <f>+BC99+BC100-BC108</f>
        <v>1900.5973995608074</v>
      </c>
      <c r="BD112" s="205">
        <f>+BD99+BD100-BD108</f>
        <v>3289.9269908545139</v>
      </c>
      <c r="BE112" s="148">
        <f t="shared" si="73"/>
        <v>5190.5243904153212</v>
      </c>
      <c r="BF112" s="148">
        <f>+料飲共通!W111/1000</f>
        <v>-28009.132448</v>
      </c>
      <c r="BG112" s="149">
        <v>-31538.218000000001</v>
      </c>
      <c r="BH112" s="149">
        <f>+BF112-BG112</f>
        <v>3529.0855520000005</v>
      </c>
      <c r="BI112" s="149">
        <v>-28451</v>
      </c>
      <c r="BJ112" s="150">
        <f t="shared" si="75"/>
        <v>441.86755199999971</v>
      </c>
      <c r="BK112" s="148">
        <f t="shared" si="76"/>
        <v>2738.2109129153177</v>
      </c>
      <c r="BL112" s="149">
        <f t="shared" si="77"/>
        <v>-26402.055576099989</v>
      </c>
      <c r="BM112" s="149">
        <f t="shared" si="43"/>
        <v>29140.266489015306</v>
      </c>
      <c r="BN112" s="149">
        <f t="shared" si="78"/>
        <v>-25815</v>
      </c>
      <c r="BO112" s="150">
        <f t="shared" si="79"/>
        <v>28553.210912915318</v>
      </c>
      <c r="BP112" s="148">
        <f t="shared" si="80"/>
        <v>-2452.3134775000035</v>
      </c>
      <c r="BQ112" s="149">
        <f t="shared" si="81"/>
        <v>-34272.993449099988</v>
      </c>
      <c r="BR112" s="149">
        <f>+BP112-BQ112</f>
        <v>31820.679971599984</v>
      </c>
      <c r="BS112" s="149">
        <f t="shared" si="82"/>
        <v>-25002</v>
      </c>
      <c r="BT112" s="150">
        <f t="shared" si="83"/>
        <v>22549.686522499996</v>
      </c>
    </row>
    <row r="113" spans="1:72" s="88" customFormat="1" ht="22" customHeight="1">
      <c r="A113" s="152" t="s">
        <v>207</v>
      </c>
      <c r="B113" s="153"/>
      <c r="C113" s="153"/>
      <c r="D113" s="153"/>
      <c r="E113" s="154">
        <f>+ﾇｰﾍﾞﾙﾌﾟｰｽ!W112/1000</f>
        <v>0</v>
      </c>
      <c r="F113" s="155">
        <v>0</v>
      </c>
      <c r="G113" s="156">
        <f t="shared" ref="G113:G119" si="85">+E113-F113</f>
        <v>0</v>
      </c>
      <c r="H113" s="155">
        <v>0</v>
      </c>
      <c r="I113" s="159">
        <f t="shared" si="45"/>
        <v>0</v>
      </c>
      <c r="J113" s="207">
        <f>+ｶﾌｪﾙﾎﾟ!W112/1000</f>
        <v>0</v>
      </c>
      <c r="K113" s="155">
        <v>0</v>
      </c>
      <c r="L113" s="156">
        <f t="shared" ref="L113:L119" si="86">+J113-K113</f>
        <v>0</v>
      </c>
      <c r="M113" s="155">
        <v>0</v>
      </c>
      <c r="N113" s="208">
        <f t="shared" si="47"/>
        <v>0</v>
      </c>
      <c r="O113" s="158">
        <f>+ｶﾌｪｾﾚｽﾃ!W112/1000</f>
        <v>0</v>
      </c>
      <c r="P113" s="155">
        <v>0</v>
      </c>
      <c r="Q113" s="156">
        <f t="shared" ref="Q113:Q119" si="87">+O113-P113</f>
        <v>0</v>
      </c>
      <c r="R113" s="155">
        <v>0</v>
      </c>
      <c r="S113" s="159">
        <f t="shared" si="49"/>
        <v>0</v>
      </c>
      <c r="T113" s="154">
        <f t="shared" si="50"/>
        <v>0</v>
      </c>
      <c r="U113" s="155">
        <f t="shared" si="51"/>
        <v>0</v>
      </c>
      <c r="V113" s="156">
        <f t="shared" ref="V113:V118" si="88">+T113-U113</f>
        <v>0</v>
      </c>
      <c r="W113" s="155">
        <f t="shared" si="53"/>
        <v>0</v>
      </c>
      <c r="X113" s="157">
        <f t="shared" si="54"/>
        <v>0</v>
      </c>
      <c r="Y113" s="158">
        <v>0</v>
      </c>
      <c r="Z113" s="155">
        <v>0</v>
      </c>
      <c r="AA113" s="156">
        <f t="shared" ref="AA113:AA119" si="89">+Y113-Z113</f>
        <v>0</v>
      </c>
      <c r="AB113" s="155">
        <v>0</v>
      </c>
      <c r="AC113" s="208">
        <f t="shared" si="56"/>
        <v>0</v>
      </c>
      <c r="AD113" s="158">
        <f>+ｼﾞｭｴﾙｽﾞ!W112/1000</f>
        <v>0</v>
      </c>
      <c r="AE113" s="155">
        <v>0</v>
      </c>
      <c r="AF113" s="156">
        <f t="shared" ref="AF113:AF119" si="90">+AD113-AE113</f>
        <v>0</v>
      </c>
      <c r="AG113" s="155">
        <v>0</v>
      </c>
      <c r="AH113" s="157">
        <f t="shared" si="58"/>
        <v>0</v>
      </c>
      <c r="AI113" s="154">
        <f t="shared" si="59"/>
        <v>0</v>
      </c>
      <c r="AJ113" s="155">
        <f t="shared" si="60"/>
        <v>0</v>
      </c>
      <c r="AK113" s="156">
        <f t="shared" ref="AK113:AK119" si="91">+AI113-AJ113</f>
        <v>0</v>
      </c>
      <c r="AL113" s="155">
        <f t="shared" si="62"/>
        <v>0</v>
      </c>
      <c r="AM113" s="157">
        <f t="shared" si="63"/>
        <v>0</v>
      </c>
      <c r="AN113" s="154">
        <f>+ｶﾞｰﾃﾞﾝ!W112/1000</f>
        <v>0</v>
      </c>
      <c r="AO113" s="155">
        <v>0</v>
      </c>
      <c r="AP113" s="156">
        <f t="shared" ref="AP113:AP119" si="92">+AN113-AO113</f>
        <v>0</v>
      </c>
      <c r="AQ113" s="155">
        <v>0</v>
      </c>
      <c r="AR113" s="159">
        <f t="shared" si="65"/>
        <v>0</v>
      </c>
      <c r="AS113" s="207">
        <f>+ﾋﾞｱｶﾞｰﾃﾞﾝ!W112/1000</f>
        <v>0</v>
      </c>
      <c r="AT113" s="155">
        <v>0</v>
      </c>
      <c r="AU113" s="156">
        <f t="shared" ref="AU113:AU119" si="93">+AS113-AT113</f>
        <v>0</v>
      </c>
      <c r="AV113" s="155">
        <v>0</v>
      </c>
      <c r="AW113" s="157">
        <f t="shared" si="67"/>
        <v>0</v>
      </c>
      <c r="AX113" s="154">
        <f t="shared" si="68"/>
        <v>0</v>
      </c>
      <c r="AY113" s="155">
        <f t="shared" si="69"/>
        <v>0</v>
      </c>
      <c r="AZ113" s="156">
        <f t="shared" si="70"/>
        <v>0</v>
      </c>
      <c r="BA113" s="155">
        <f t="shared" si="71"/>
        <v>0</v>
      </c>
      <c r="BB113" s="157">
        <f t="shared" si="72"/>
        <v>0</v>
      </c>
      <c r="BC113" s="154">
        <v>0</v>
      </c>
      <c r="BD113" s="207">
        <v>0</v>
      </c>
      <c r="BE113" s="154">
        <f t="shared" si="73"/>
        <v>0</v>
      </c>
      <c r="BF113" s="154">
        <f>+料飲共通!W112/1000</f>
        <v>0</v>
      </c>
      <c r="BG113" s="155">
        <v>0</v>
      </c>
      <c r="BH113" s="156">
        <f t="shared" ref="BH113:BH119" si="94">+BF113-BG113</f>
        <v>0</v>
      </c>
      <c r="BI113" s="155">
        <v>0</v>
      </c>
      <c r="BJ113" s="157">
        <f t="shared" si="75"/>
        <v>0</v>
      </c>
      <c r="BK113" s="154">
        <f t="shared" si="76"/>
        <v>0</v>
      </c>
      <c r="BL113" s="155">
        <f t="shared" si="77"/>
        <v>0</v>
      </c>
      <c r="BM113" s="156">
        <f t="shared" si="43"/>
        <v>0</v>
      </c>
      <c r="BN113" s="155">
        <f t="shared" si="78"/>
        <v>0</v>
      </c>
      <c r="BO113" s="157">
        <f t="shared" si="79"/>
        <v>0</v>
      </c>
      <c r="BP113" s="154">
        <f t="shared" si="80"/>
        <v>0</v>
      </c>
      <c r="BQ113" s="155">
        <f t="shared" si="81"/>
        <v>0</v>
      </c>
      <c r="BR113" s="156">
        <f t="shared" ref="BR113:BR119" si="95">+BP113-BQ113</f>
        <v>0</v>
      </c>
      <c r="BS113" s="155">
        <f t="shared" si="82"/>
        <v>0</v>
      </c>
      <c r="BT113" s="157">
        <f t="shared" si="83"/>
        <v>0</v>
      </c>
    </row>
    <row r="114" spans="1:72" s="88" customFormat="1" ht="22" hidden="1" customHeight="1" outlineLevel="1">
      <c r="A114" s="160"/>
      <c r="B114" s="139" t="s">
        <v>209</v>
      </c>
      <c r="C114" s="91"/>
      <c r="D114" s="91"/>
      <c r="E114" s="92">
        <f>+ﾇｰﾍﾞﾙﾌﾟｰｽ!W113/1000</f>
        <v>0</v>
      </c>
      <c r="F114" s="93">
        <v>0</v>
      </c>
      <c r="G114" s="94">
        <f t="shared" si="85"/>
        <v>0</v>
      </c>
      <c r="H114" s="93">
        <v>0</v>
      </c>
      <c r="I114" s="97">
        <f t="shared" si="45"/>
        <v>0</v>
      </c>
      <c r="J114" s="189">
        <f>+ｶﾌｪﾙﾎﾟ!W113/1000</f>
        <v>0</v>
      </c>
      <c r="K114" s="93">
        <v>0</v>
      </c>
      <c r="L114" s="94">
        <f t="shared" si="86"/>
        <v>0</v>
      </c>
      <c r="M114" s="93">
        <v>0</v>
      </c>
      <c r="N114" s="190">
        <f t="shared" si="47"/>
        <v>0</v>
      </c>
      <c r="O114" s="96">
        <f>+ｶﾌｪｾﾚｽﾃ!W113/1000</f>
        <v>0</v>
      </c>
      <c r="P114" s="93">
        <v>0</v>
      </c>
      <c r="Q114" s="94">
        <f t="shared" si="87"/>
        <v>0</v>
      </c>
      <c r="R114" s="93">
        <v>0</v>
      </c>
      <c r="S114" s="97">
        <f t="shared" si="49"/>
        <v>0</v>
      </c>
      <c r="T114" s="92">
        <f t="shared" si="50"/>
        <v>0</v>
      </c>
      <c r="U114" s="93">
        <f t="shared" si="51"/>
        <v>0</v>
      </c>
      <c r="V114" s="94">
        <f t="shared" si="88"/>
        <v>0</v>
      </c>
      <c r="W114" s="93">
        <f t="shared" si="53"/>
        <v>0</v>
      </c>
      <c r="X114" s="95">
        <f t="shared" si="54"/>
        <v>0</v>
      </c>
      <c r="Y114" s="96">
        <v>0</v>
      </c>
      <c r="Z114" s="93">
        <v>0</v>
      </c>
      <c r="AA114" s="94">
        <f t="shared" si="89"/>
        <v>0</v>
      </c>
      <c r="AB114" s="93">
        <v>0</v>
      </c>
      <c r="AC114" s="190">
        <f t="shared" si="56"/>
        <v>0</v>
      </c>
      <c r="AD114" s="96">
        <f>+ｼﾞｭｴﾙｽﾞ!W113/1000</f>
        <v>0</v>
      </c>
      <c r="AE114" s="93">
        <v>0</v>
      </c>
      <c r="AF114" s="94">
        <f t="shared" si="90"/>
        <v>0</v>
      </c>
      <c r="AG114" s="93">
        <v>0</v>
      </c>
      <c r="AH114" s="95">
        <f t="shared" si="58"/>
        <v>0</v>
      </c>
      <c r="AI114" s="92">
        <f t="shared" si="59"/>
        <v>0</v>
      </c>
      <c r="AJ114" s="93">
        <f t="shared" si="60"/>
        <v>0</v>
      </c>
      <c r="AK114" s="94">
        <f t="shared" si="91"/>
        <v>0</v>
      </c>
      <c r="AL114" s="93">
        <f t="shared" si="62"/>
        <v>0</v>
      </c>
      <c r="AM114" s="95">
        <f t="shared" si="63"/>
        <v>0</v>
      </c>
      <c r="AN114" s="92">
        <f>+ｶﾞｰﾃﾞﾝ!W113/1000</f>
        <v>0</v>
      </c>
      <c r="AO114" s="93">
        <v>0</v>
      </c>
      <c r="AP114" s="94">
        <f t="shared" si="92"/>
        <v>0</v>
      </c>
      <c r="AQ114" s="93">
        <v>0</v>
      </c>
      <c r="AR114" s="97">
        <f t="shared" si="65"/>
        <v>0</v>
      </c>
      <c r="AS114" s="189">
        <f>+ﾋﾞｱｶﾞｰﾃﾞﾝ!W113/1000</f>
        <v>0</v>
      </c>
      <c r="AT114" s="93">
        <v>0</v>
      </c>
      <c r="AU114" s="94">
        <f t="shared" si="93"/>
        <v>0</v>
      </c>
      <c r="AV114" s="93">
        <v>0</v>
      </c>
      <c r="AW114" s="95">
        <f t="shared" si="67"/>
        <v>0</v>
      </c>
      <c r="AX114" s="92">
        <f t="shared" si="68"/>
        <v>0</v>
      </c>
      <c r="AY114" s="93">
        <f t="shared" si="69"/>
        <v>0</v>
      </c>
      <c r="AZ114" s="94">
        <f t="shared" si="70"/>
        <v>0</v>
      </c>
      <c r="BA114" s="93">
        <f t="shared" si="71"/>
        <v>0</v>
      </c>
      <c r="BB114" s="95">
        <f t="shared" si="72"/>
        <v>0</v>
      </c>
      <c r="BC114" s="92">
        <f>+料飲共通!H113/1000</f>
        <v>0</v>
      </c>
      <c r="BD114" s="189">
        <f>+料飲共通!I113/1000</f>
        <v>0</v>
      </c>
      <c r="BE114" s="92">
        <f t="shared" si="73"/>
        <v>0</v>
      </c>
      <c r="BF114" s="92">
        <f>+料飲共通!W113/1000</f>
        <v>0</v>
      </c>
      <c r="BG114" s="93">
        <v>0</v>
      </c>
      <c r="BH114" s="94">
        <f t="shared" si="94"/>
        <v>0</v>
      </c>
      <c r="BI114" s="93">
        <v>0</v>
      </c>
      <c r="BJ114" s="95">
        <f t="shared" si="75"/>
        <v>0</v>
      </c>
      <c r="BK114" s="92">
        <f t="shared" si="76"/>
        <v>0</v>
      </c>
      <c r="BL114" s="93">
        <f t="shared" si="77"/>
        <v>0</v>
      </c>
      <c r="BM114" s="94">
        <f t="shared" si="43"/>
        <v>0</v>
      </c>
      <c r="BN114" s="93">
        <f t="shared" si="78"/>
        <v>0</v>
      </c>
      <c r="BO114" s="95">
        <f t="shared" si="79"/>
        <v>0</v>
      </c>
      <c r="BP114" s="92">
        <f t="shared" si="80"/>
        <v>0</v>
      </c>
      <c r="BQ114" s="93">
        <f t="shared" si="81"/>
        <v>0</v>
      </c>
      <c r="BR114" s="94">
        <f t="shared" si="95"/>
        <v>0</v>
      </c>
      <c r="BS114" s="93">
        <f t="shared" si="82"/>
        <v>0</v>
      </c>
      <c r="BT114" s="95">
        <f t="shared" si="83"/>
        <v>0</v>
      </c>
    </row>
    <row r="115" spans="1:72" s="88" customFormat="1" ht="22" hidden="1" customHeight="1" outlineLevel="1" thickBot="1">
      <c r="A115" s="161"/>
      <c r="B115" s="90" t="s">
        <v>191</v>
      </c>
      <c r="C115" s="91"/>
      <c r="D115" s="91"/>
      <c r="E115" s="92">
        <f>+ﾇｰﾍﾞﾙﾌﾟｰｽ!W114/1000</f>
        <v>0</v>
      </c>
      <c r="F115" s="93">
        <v>0</v>
      </c>
      <c r="G115" s="94">
        <f t="shared" si="85"/>
        <v>0</v>
      </c>
      <c r="H115" s="93">
        <v>0</v>
      </c>
      <c r="I115" s="97">
        <f t="shared" si="45"/>
        <v>0</v>
      </c>
      <c r="J115" s="189">
        <f>+ｶﾌｪﾙﾎﾟ!W114/1000</f>
        <v>0</v>
      </c>
      <c r="K115" s="93">
        <v>0</v>
      </c>
      <c r="L115" s="94">
        <f t="shared" si="86"/>
        <v>0</v>
      </c>
      <c r="M115" s="93">
        <v>0</v>
      </c>
      <c r="N115" s="190">
        <f t="shared" si="47"/>
        <v>0</v>
      </c>
      <c r="O115" s="96">
        <f>+ｶﾌｪｾﾚｽﾃ!W114/1000</f>
        <v>0</v>
      </c>
      <c r="P115" s="93">
        <v>0</v>
      </c>
      <c r="Q115" s="94">
        <f t="shared" si="87"/>
        <v>0</v>
      </c>
      <c r="R115" s="93">
        <v>0</v>
      </c>
      <c r="S115" s="97">
        <f t="shared" si="49"/>
        <v>0</v>
      </c>
      <c r="T115" s="92">
        <f t="shared" si="50"/>
        <v>0</v>
      </c>
      <c r="U115" s="93">
        <f t="shared" si="51"/>
        <v>0</v>
      </c>
      <c r="V115" s="94">
        <f t="shared" si="88"/>
        <v>0</v>
      </c>
      <c r="W115" s="93">
        <f t="shared" si="53"/>
        <v>0</v>
      </c>
      <c r="X115" s="95">
        <f t="shared" si="54"/>
        <v>0</v>
      </c>
      <c r="Y115" s="96">
        <v>0</v>
      </c>
      <c r="Z115" s="93">
        <v>0</v>
      </c>
      <c r="AA115" s="94">
        <f t="shared" si="89"/>
        <v>0</v>
      </c>
      <c r="AB115" s="93">
        <v>0</v>
      </c>
      <c r="AC115" s="190">
        <f t="shared" si="56"/>
        <v>0</v>
      </c>
      <c r="AD115" s="96">
        <f>+ｼﾞｭｴﾙｽﾞ!W114/1000</f>
        <v>0</v>
      </c>
      <c r="AE115" s="93">
        <v>0</v>
      </c>
      <c r="AF115" s="94">
        <f t="shared" si="90"/>
        <v>0</v>
      </c>
      <c r="AG115" s="93">
        <v>0</v>
      </c>
      <c r="AH115" s="95">
        <f t="shared" si="58"/>
        <v>0</v>
      </c>
      <c r="AI115" s="92">
        <f t="shared" si="59"/>
        <v>0</v>
      </c>
      <c r="AJ115" s="93">
        <f t="shared" si="60"/>
        <v>0</v>
      </c>
      <c r="AK115" s="94">
        <f t="shared" si="91"/>
        <v>0</v>
      </c>
      <c r="AL115" s="93">
        <f t="shared" si="62"/>
        <v>0</v>
      </c>
      <c r="AM115" s="95">
        <f t="shared" si="63"/>
        <v>0</v>
      </c>
      <c r="AN115" s="92">
        <f>+ｶﾞｰﾃﾞﾝ!W114/1000</f>
        <v>0</v>
      </c>
      <c r="AO115" s="93">
        <v>0</v>
      </c>
      <c r="AP115" s="94">
        <f t="shared" si="92"/>
        <v>0</v>
      </c>
      <c r="AQ115" s="93">
        <v>0</v>
      </c>
      <c r="AR115" s="97">
        <f t="shared" si="65"/>
        <v>0</v>
      </c>
      <c r="AS115" s="189">
        <f>+ﾋﾞｱｶﾞｰﾃﾞﾝ!W114/1000</f>
        <v>0</v>
      </c>
      <c r="AT115" s="93">
        <v>0</v>
      </c>
      <c r="AU115" s="94">
        <f t="shared" si="93"/>
        <v>0</v>
      </c>
      <c r="AV115" s="93">
        <v>0</v>
      </c>
      <c r="AW115" s="95">
        <f t="shared" si="67"/>
        <v>0</v>
      </c>
      <c r="AX115" s="92">
        <f t="shared" si="68"/>
        <v>0</v>
      </c>
      <c r="AY115" s="93">
        <f t="shared" si="69"/>
        <v>0</v>
      </c>
      <c r="AZ115" s="94">
        <f t="shared" si="70"/>
        <v>0</v>
      </c>
      <c r="BA115" s="93">
        <f t="shared" si="71"/>
        <v>0</v>
      </c>
      <c r="BB115" s="95">
        <f t="shared" si="72"/>
        <v>0</v>
      </c>
      <c r="BC115" s="92">
        <f>+料飲共通!H114/1000</f>
        <v>0</v>
      </c>
      <c r="BD115" s="189">
        <f>+料飲共通!I114/1000</f>
        <v>0</v>
      </c>
      <c r="BE115" s="92">
        <f t="shared" si="73"/>
        <v>0</v>
      </c>
      <c r="BF115" s="92">
        <f>+料飲共通!W114/1000</f>
        <v>0</v>
      </c>
      <c r="BG115" s="93">
        <v>0</v>
      </c>
      <c r="BH115" s="94">
        <f t="shared" si="94"/>
        <v>0</v>
      </c>
      <c r="BI115" s="93">
        <v>0</v>
      </c>
      <c r="BJ115" s="95">
        <f t="shared" si="75"/>
        <v>0</v>
      </c>
      <c r="BK115" s="92">
        <f t="shared" si="76"/>
        <v>0</v>
      </c>
      <c r="BL115" s="93">
        <f t="shared" si="77"/>
        <v>0</v>
      </c>
      <c r="BM115" s="94">
        <f t="shared" si="43"/>
        <v>0</v>
      </c>
      <c r="BN115" s="93">
        <f t="shared" si="78"/>
        <v>0</v>
      </c>
      <c r="BO115" s="95">
        <f t="shared" si="79"/>
        <v>0</v>
      </c>
      <c r="BP115" s="92">
        <f t="shared" si="80"/>
        <v>0</v>
      </c>
      <c r="BQ115" s="93">
        <f t="shared" si="81"/>
        <v>0</v>
      </c>
      <c r="BR115" s="94">
        <f t="shared" si="95"/>
        <v>0</v>
      </c>
      <c r="BS115" s="93">
        <f t="shared" si="82"/>
        <v>0</v>
      </c>
      <c r="BT115" s="95">
        <f t="shared" si="83"/>
        <v>0</v>
      </c>
    </row>
    <row r="116" spans="1:72" s="88" customFormat="1" ht="22" customHeight="1" collapsed="1" thickBot="1">
      <c r="A116" s="163" t="s">
        <v>212</v>
      </c>
      <c r="B116" s="164"/>
      <c r="C116" s="164"/>
      <c r="D116" s="164"/>
      <c r="E116" s="165">
        <f>+ﾇｰﾍﾞﾙﾌﾟｰｽ!W115/1000</f>
        <v>0</v>
      </c>
      <c r="F116" s="166">
        <v>0</v>
      </c>
      <c r="G116" s="167">
        <f t="shared" si="85"/>
        <v>0</v>
      </c>
      <c r="H116" s="166">
        <v>40</v>
      </c>
      <c r="I116" s="170">
        <f t="shared" si="45"/>
        <v>-40</v>
      </c>
      <c r="J116" s="209">
        <f>+ｶﾌｪﾙﾎﾟ!W115/1000</f>
        <v>0</v>
      </c>
      <c r="K116" s="166">
        <v>0</v>
      </c>
      <c r="L116" s="167">
        <f t="shared" si="86"/>
        <v>0</v>
      </c>
      <c r="M116" s="166">
        <v>0</v>
      </c>
      <c r="N116" s="210">
        <f t="shared" si="47"/>
        <v>0</v>
      </c>
      <c r="O116" s="169">
        <f>+ｶﾌｪｾﾚｽﾃ!W115/1000</f>
        <v>0</v>
      </c>
      <c r="P116" s="166">
        <v>0</v>
      </c>
      <c r="Q116" s="167">
        <f t="shared" si="87"/>
        <v>0</v>
      </c>
      <c r="R116" s="166">
        <v>0</v>
      </c>
      <c r="S116" s="170">
        <f t="shared" si="49"/>
        <v>0</v>
      </c>
      <c r="T116" s="165">
        <f t="shared" si="50"/>
        <v>0</v>
      </c>
      <c r="U116" s="166">
        <f t="shared" si="51"/>
        <v>0</v>
      </c>
      <c r="V116" s="167">
        <f t="shared" si="88"/>
        <v>0</v>
      </c>
      <c r="W116" s="166">
        <f t="shared" si="53"/>
        <v>40</v>
      </c>
      <c r="X116" s="168">
        <f t="shared" si="54"/>
        <v>-40</v>
      </c>
      <c r="Y116" s="169">
        <v>0</v>
      </c>
      <c r="Z116" s="166">
        <v>0</v>
      </c>
      <c r="AA116" s="167">
        <f t="shared" si="89"/>
        <v>0</v>
      </c>
      <c r="AB116" s="166">
        <v>0</v>
      </c>
      <c r="AC116" s="210">
        <f t="shared" si="56"/>
        <v>0</v>
      </c>
      <c r="AD116" s="169">
        <f>+ｼﾞｭｴﾙｽﾞ!W115/1000</f>
        <v>0</v>
      </c>
      <c r="AE116" s="166">
        <v>0</v>
      </c>
      <c r="AF116" s="167">
        <f t="shared" si="90"/>
        <v>0</v>
      </c>
      <c r="AG116" s="166">
        <v>0</v>
      </c>
      <c r="AH116" s="168">
        <f t="shared" si="58"/>
        <v>0</v>
      </c>
      <c r="AI116" s="165">
        <f t="shared" si="59"/>
        <v>0</v>
      </c>
      <c r="AJ116" s="166">
        <f t="shared" si="60"/>
        <v>0</v>
      </c>
      <c r="AK116" s="167">
        <f t="shared" si="91"/>
        <v>0</v>
      </c>
      <c r="AL116" s="166">
        <f t="shared" si="62"/>
        <v>0</v>
      </c>
      <c r="AM116" s="168">
        <f t="shared" si="63"/>
        <v>0</v>
      </c>
      <c r="AN116" s="165">
        <f>+ｶﾞｰﾃﾞﾝ!W115/1000</f>
        <v>0</v>
      </c>
      <c r="AO116" s="166">
        <v>0</v>
      </c>
      <c r="AP116" s="167">
        <f t="shared" si="92"/>
        <v>0</v>
      </c>
      <c r="AQ116" s="166">
        <v>0</v>
      </c>
      <c r="AR116" s="170">
        <f t="shared" si="65"/>
        <v>0</v>
      </c>
      <c r="AS116" s="209">
        <f>+ﾋﾞｱｶﾞｰﾃﾞﾝ!W115/1000</f>
        <v>0</v>
      </c>
      <c r="AT116" s="166">
        <v>0</v>
      </c>
      <c r="AU116" s="167">
        <f t="shared" si="93"/>
        <v>0</v>
      </c>
      <c r="AV116" s="166">
        <v>0</v>
      </c>
      <c r="AW116" s="168">
        <f t="shared" si="67"/>
        <v>0</v>
      </c>
      <c r="AX116" s="165">
        <f t="shared" si="68"/>
        <v>0</v>
      </c>
      <c r="AY116" s="166">
        <f t="shared" si="69"/>
        <v>0</v>
      </c>
      <c r="AZ116" s="167">
        <f t="shared" si="70"/>
        <v>0</v>
      </c>
      <c r="BA116" s="166">
        <f t="shared" si="71"/>
        <v>0</v>
      </c>
      <c r="BB116" s="168">
        <f t="shared" si="72"/>
        <v>0</v>
      </c>
      <c r="BC116" s="165">
        <v>0</v>
      </c>
      <c r="BD116" s="209">
        <v>0</v>
      </c>
      <c r="BE116" s="165">
        <f t="shared" si="73"/>
        <v>0</v>
      </c>
      <c r="BF116" s="165">
        <f>+料飲共通!W115/1000</f>
        <v>0</v>
      </c>
      <c r="BG116" s="166">
        <v>0</v>
      </c>
      <c r="BH116" s="167">
        <f t="shared" si="94"/>
        <v>0</v>
      </c>
      <c r="BI116" s="166">
        <v>0</v>
      </c>
      <c r="BJ116" s="168">
        <f t="shared" si="75"/>
        <v>0</v>
      </c>
      <c r="BK116" s="165">
        <f t="shared" si="76"/>
        <v>0</v>
      </c>
      <c r="BL116" s="166">
        <f t="shared" si="77"/>
        <v>0</v>
      </c>
      <c r="BM116" s="167">
        <f t="shared" si="43"/>
        <v>0</v>
      </c>
      <c r="BN116" s="166">
        <f t="shared" si="78"/>
        <v>40</v>
      </c>
      <c r="BO116" s="168">
        <f t="shared" si="79"/>
        <v>-40</v>
      </c>
      <c r="BP116" s="165">
        <f t="shared" si="80"/>
        <v>0</v>
      </c>
      <c r="BQ116" s="166">
        <f t="shared" si="81"/>
        <v>0</v>
      </c>
      <c r="BR116" s="167">
        <f t="shared" si="95"/>
        <v>0</v>
      </c>
      <c r="BS116" s="166">
        <f t="shared" si="82"/>
        <v>40</v>
      </c>
      <c r="BT116" s="168">
        <f t="shared" si="83"/>
        <v>-40</v>
      </c>
    </row>
    <row r="117" spans="1:72" s="88" customFormat="1" ht="22" hidden="1" customHeight="1" outlineLevel="1" thickBot="1">
      <c r="A117" s="160"/>
      <c r="B117" s="139" t="s">
        <v>214</v>
      </c>
      <c r="C117" s="91"/>
      <c r="D117" s="91"/>
      <c r="E117" s="92">
        <f>+ﾇｰﾍﾞﾙﾌﾟｰｽ!W116/1000</f>
        <v>0</v>
      </c>
      <c r="F117" s="93">
        <v>0</v>
      </c>
      <c r="G117" s="93">
        <f t="shared" si="85"/>
        <v>0</v>
      </c>
      <c r="H117" s="93">
        <v>40</v>
      </c>
      <c r="I117" s="96">
        <f t="shared" si="45"/>
        <v>-40</v>
      </c>
      <c r="J117" s="189">
        <f>+ｶﾌｪﾙﾎﾟ!W116/1000</f>
        <v>0</v>
      </c>
      <c r="K117" s="93">
        <v>0</v>
      </c>
      <c r="L117" s="93">
        <f t="shared" si="86"/>
        <v>0</v>
      </c>
      <c r="M117" s="93">
        <v>0</v>
      </c>
      <c r="N117" s="211">
        <f t="shared" si="47"/>
        <v>0</v>
      </c>
      <c r="O117" s="96">
        <f>+ｶﾌｪｾﾚｽﾃ!W116/1000</f>
        <v>0</v>
      </c>
      <c r="P117" s="93">
        <v>0</v>
      </c>
      <c r="Q117" s="93">
        <f t="shared" si="87"/>
        <v>0</v>
      </c>
      <c r="R117" s="93">
        <v>0</v>
      </c>
      <c r="S117" s="96">
        <f t="shared" si="49"/>
        <v>0</v>
      </c>
      <c r="T117" s="92">
        <f t="shared" si="50"/>
        <v>0</v>
      </c>
      <c r="U117" s="93">
        <f t="shared" si="51"/>
        <v>0</v>
      </c>
      <c r="V117" s="93">
        <f t="shared" si="88"/>
        <v>0</v>
      </c>
      <c r="W117" s="93">
        <f t="shared" si="53"/>
        <v>40</v>
      </c>
      <c r="X117" s="171">
        <f t="shared" si="54"/>
        <v>-40</v>
      </c>
      <c r="Y117" s="96">
        <v>0</v>
      </c>
      <c r="Z117" s="93">
        <v>0</v>
      </c>
      <c r="AA117" s="93">
        <f t="shared" si="89"/>
        <v>0</v>
      </c>
      <c r="AB117" s="93">
        <v>0</v>
      </c>
      <c r="AC117" s="211">
        <f t="shared" si="56"/>
        <v>0</v>
      </c>
      <c r="AD117" s="96">
        <f>+ｼﾞｭｴﾙｽﾞ!W116/1000</f>
        <v>0</v>
      </c>
      <c r="AE117" s="93">
        <v>0</v>
      </c>
      <c r="AF117" s="93">
        <f t="shared" si="90"/>
        <v>0</v>
      </c>
      <c r="AG117" s="93">
        <v>0</v>
      </c>
      <c r="AH117" s="171">
        <f t="shared" si="58"/>
        <v>0</v>
      </c>
      <c r="AI117" s="92">
        <f t="shared" si="59"/>
        <v>0</v>
      </c>
      <c r="AJ117" s="93">
        <f t="shared" si="60"/>
        <v>0</v>
      </c>
      <c r="AK117" s="93">
        <f t="shared" si="91"/>
        <v>0</v>
      </c>
      <c r="AL117" s="93">
        <f t="shared" si="62"/>
        <v>0</v>
      </c>
      <c r="AM117" s="171">
        <f t="shared" si="63"/>
        <v>0</v>
      </c>
      <c r="AN117" s="92">
        <f>+ｶﾞｰﾃﾞﾝ!W116/1000</f>
        <v>0</v>
      </c>
      <c r="AO117" s="93">
        <v>0</v>
      </c>
      <c r="AP117" s="93">
        <f t="shared" si="92"/>
        <v>0</v>
      </c>
      <c r="AQ117" s="93">
        <v>0</v>
      </c>
      <c r="AR117" s="96">
        <f t="shared" si="65"/>
        <v>0</v>
      </c>
      <c r="AS117" s="189">
        <f>+ﾋﾞｱｶﾞｰﾃﾞﾝ!W116/1000</f>
        <v>0</v>
      </c>
      <c r="AT117" s="93">
        <v>0</v>
      </c>
      <c r="AU117" s="93">
        <f t="shared" si="93"/>
        <v>0</v>
      </c>
      <c r="AV117" s="93">
        <v>0</v>
      </c>
      <c r="AW117" s="171">
        <f t="shared" si="67"/>
        <v>0</v>
      </c>
      <c r="AX117" s="92">
        <f t="shared" si="68"/>
        <v>0</v>
      </c>
      <c r="AY117" s="93">
        <f t="shared" si="69"/>
        <v>0</v>
      </c>
      <c r="AZ117" s="93">
        <f t="shared" si="70"/>
        <v>0</v>
      </c>
      <c r="BA117" s="93">
        <f t="shared" si="71"/>
        <v>0</v>
      </c>
      <c r="BB117" s="171">
        <f t="shared" si="72"/>
        <v>0</v>
      </c>
      <c r="BC117" s="92">
        <f>+料飲共通!H116/1000</f>
        <v>0</v>
      </c>
      <c r="BD117" s="189">
        <f>+料飲共通!I116/1000</f>
        <v>0</v>
      </c>
      <c r="BE117" s="92">
        <f t="shared" si="73"/>
        <v>0</v>
      </c>
      <c r="BF117" s="92">
        <f>+料飲共通!W116/1000</f>
        <v>0</v>
      </c>
      <c r="BG117" s="93">
        <v>0</v>
      </c>
      <c r="BH117" s="93">
        <f t="shared" si="94"/>
        <v>0</v>
      </c>
      <c r="BI117" s="93">
        <v>0</v>
      </c>
      <c r="BJ117" s="171">
        <f t="shared" si="75"/>
        <v>0</v>
      </c>
      <c r="BK117" s="92">
        <f t="shared" si="76"/>
        <v>0</v>
      </c>
      <c r="BL117" s="93">
        <f t="shared" si="77"/>
        <v>0</v>
      </c>
      <c r="BM117" s="93">
        <f t="shared" si="43"/>
        <v>0</v>
      </c>
      <c r="BN117" s="93">
        <f t="shared" si="78"/>
        <v>40</v>
      </c>
      <c r="BO117" s="171">
        <f t="shared" si="79"/>
        <v>-40</v>
      </c>
      <c r="BP117" s="92">
        <f t="shared" si="80"/>
        <v>0</v>
      </c>
      <c r="BQ117" s="93">
        <f t="shared" si="81"/>
        <v>0</v>
      </c>
      <c r="BR117" s="93">
        <f t="shared" si="95"/>
        <v>0</v>
      </c>
      <c r="BS117" s="93">
        <f t="shared" si="82"/>
        <v>40</v>
      </c>
      <c r="BT117" s="171">
        <f t="shared" si="83"/>
        <v>-40</v>
      </c>
    </row>
    <row r="118" spans="1:72" s="88" customFormat="1" ht="22" hidden="1" customHeight="1" outlineLevel="1" thickBot="1">
      <c r="A118" s="161"/>
      <c r="B118" s="90" t="s">
        <v>191</v>
      </c>
      <c r="C118" s="91"/>
      <c r="D118" s="91"/>
      <c r="E118" s="92">
        <f>+ﾇｰﾍﾞﾙﾌﾟｰｽ!W117/1000</f>
        <v>0</v>
      </c>
      <c r="F118" s="93">
        <v>0</v>
      </c>
      <c r="G118" s="93">
        <f t="shared" si="85"/>
        <v>0</v>
      </c>
      <c r="H118" s="93">
        <v>0</v>
      </c>
      <c r="I118" s="96">
        <f t="shared" si="45"/>
        <v>0</v>
      </c>
      <c r="J118" s="189">
        <f>+ｶﾌｪﾙﾎﾟ!W117/1000</f>
        <v>0</v>
      </c>
      <c r="K118" s="93">
        <v>0</v>
      </c>
      <c r="L118" s="93">
        <f t="shared" si="86"/>
        <v>0</v>
      </c>
      <c r="M118" s="93">
        <v>0</v>
      </c>
      <c r="N118" s="211">
        <f t="shared" si="47"/>
        <v>0</v>
      </c>
      <c r="O118" s="96">
        <f>+ｶﾌｪｾﾚｽﾃ!W117/1000</f>
        <v>0</v>
      </c>
      <c r="P118" s="93">
        <v>0</v>
      </c>
      <c r="Q118" s="93">
        <f t="shared" si="87"/>
        <v>0</v>
      </c>
      <c r="R118" s="93">
        <v>0</v>
      </c>
      <c r="S118" s="96">
        <f t="shared" si="49"/>
        <v>0</v>
      </c>
      <c r="T118" s="92">
        <f t="shared" si="50"/>
        <v>0</v>
      </c>
      <c r="U118" s="93">
        <f t="shared" si="51"/>
        <v>0</v>
      </c>
      <c r="V118" s="93">
        <f t="shared" si="88"/>
        <v>0</v>
      </c>
      <c r="W118" s="93">
        <f t="shared" si="53"/>
        <v>0</v>
      </c>
      <c r="X118" s="171">
        <f t="shared" si="54"/>
        <v>0</v>
      </c>
      <c r="Y118" s="96">
        <v>0</v>
      </c>
      <c r="Z118" s="93">
        <v>0</v>
      </c>
      <c r="AA118" s="93">
        <f t="shared" si="89"/>
        <v>0</v>
      </c>
      <c r="AB118" s="93">
        <v>0</v>
      </c>
      <c r="AC118" s="211">
        <f t="shared" si="56"/>
        <v>0</v>
      </c>
      <c r="AD118" s="96">
        <f>+ｼﾞｭｴﾙｽﾞ!W117/1000</f>
        <v>0</v>
      </c>
      <c r="AE118" s="93">
        <v>0</v>
      </c>
      <c r="AF118" s="93">
        <f t="shared" si="90"/>
        <v>0</v>
      </c>
      <c r="AG118" s="93">
        <v>0</v>
      </c>
      <c r="AH118" s="171">
        <f t="shared" si="58"/>
        <v>0</v>
      </c>
      <c r="AI118" s="92">
        <f t="shared" si="59"/>
        <v>0</v>
      </c>
      <c r="AJ118" s="93">
        <f t="shared" si="60"/>
        <v>0</v>
      </c>
      <c r="AK118" s="93">
        <f t="shared" si="91"/>
        <v>0</v>
      </c>
      <c r="AL118" s="93">
        <f t="shared" si="62"/>
        <v>0</v>
      </c>
      <c r="AM118" s="171">
        <f t="shared" si="63"/>
        <v>0</v>
      </c>
      <c r="AN118" s="92">
        <f>+ｶﾞｰﾃﾞﾝ!W117/1000</f>
        <v>0</v>
      </c>
      <c r="AO118" s="93">
        <v>0</v>
      </c>
      <c r="AP118" s="93">
        <f t="shared" si="92"/>
        <v>0</v>
      </c>
      <c r="AQ118" s="93">
        <v>0</v>
      </c>
      <c r="AR118" s="96">
        <f t="shared" si="65"/>
        <v>0</v>
      </c>
      <c r="AS118" s="189">
        <f>+ﾋﾞｱｶﾞｰﾃﾞﾝ!W117/1000</f>
        <v>0</v>
      </c>
      <c r="AT118" s="93">
        <v>0</v>
      </c>
      <c r="AU118" s="93">
        <f t="shared" si="93"/>
        <v>0</v>
      </c>
      <c r="AV118" s="93">
        <v>0</v>
      </c>
      <c r="AW118" s="171">
        <f t="shared" si="67"/>
        <v>0</v>
      </c>
      <c r="AX118" s="92">
        <f t="shared" si="68"/>
        <v>0</v>
      </c>
      <c r="AY118" s="93">
        <f t="shared" si="69"/>
        <v>0</v>
      </c>
      <c r="AZ118" s="93">
        <f t="shared" si="70"/>
        <v>0</v>
      </c>
      <c r="BA118" s="93">
        <f t="shared" si="71"/>
        <v>0</v>
      </c>
      <c r="BB118" s="171">
        <f t="shared" si="72"/>
        <v>0</v>
      </c>
      <c r="BC118" s="92">
        <f>+料飲共通!H117/1000</f>
        <v>0</v>
      </c>
      <c r="BD118" s="189">
        <f>+料飲共通!I117/1000</f>
        <v>0</v>
      </c>
      <c r="BE118" s="92">
        <f t="shared" si="73"/>
        <v>0</v>
      </c>
      <c r="BF118" s="92">
        <f>+料飲共通!W117/1000</f>
        <v>0</v>
      </c>
      <c r="BG118" s="93">
        <v>0</v>
      </c>
      <c r="BH118" s="93">
        <f t="shared" si="94"/>
        <v>0</v>
      </c>
      <c r="BI118" s="93">
        <v>0</v>
      </c>
      <c r="BJ118" s="171">
        <f t="shared" si="75"/>
        <v>0</v>
      </c>
      <c r="BK118" s="92">
        <f t="shared" si="76"/>
        <v>0</v>
      </c>
      <c r="BL118" s="93">
        <f t="shared" si="77"/>
        <v>0</v>
      </c>
      <c r="BM118" s="93">
        <f t="shared" si="43"/>
        <v>0</v>
      </c>
      <c r="BN118" s="93">
        <f t="shared" si="78"/>
        <v>0</v>
      </c>
      <c r="BO118" s="171">
        <f t="shared" si="79"/>
        <v>0</v>
      </c>
      <c r="BP118" s="92">
        <f t="shared" si="80"/>
        <v>0</v>
      </c>
      <c r="BQ118" s="93">
        <f t="shared" si="81"/>
        <v>0</v>
      </c>
      <c r="BR118" s="93">
        <f t="shared" si="95"/>
        <v>0</v>
      </c>
      <c r="BS118" s="93">
        <f t="shared" si="82"/>
        <v>0</v>
      </c>
      <c r="BT118" s="171">
        <f t="shared" si="83"/>
        <v>0</v>
      </c>
    </row>
    <row r="119" spans="1:72" s="88" customFormat="1" ht="22" customHeight="1" collapsed="1" thickBot="1">
      <c r="A119" s="146" t="s">
        <v>217</v>
      </c>
      <c r="B119" s="147"/>
      <c r="C119" s="147"/>
      <c r="D119" s="147"/>
      <c r="E119" s="148">
        <f>+ﾇｰﾍﾞﾙﾌﾟｰｽ!W118/1000</f>
        <v>-14482.600980000001</v>
      </c>
      <c r="F119" s="149">
        <v>-13918.596309999999</v>
      </c>
      <c r="G119" s="149">
        <f t="shared" si="85"/>
        <v>-564.00467000000208</v>
      </c>
      <c r="H119" s="149">
        <v>-20216</v>
      </c>
      <c r="I119" s="151">
        <f t="shared" si="45"/>
        <v>5733.3990199999989</v>
      </c>
      <c r="J119" s="205">
        <f>+ｶﾌｪﾙﾎﾟ!W118/1000</f>
        <v>-225.33604000000028</v>
      </c>
      <c r="K119" s="149">
        <v>-1326.237624399999</v>
      </c>
      <c r="L119" s="149">
        <f t="shared" si="86"/>
        <v>1100.9015843999987</v>
      </c>
      <c r="M119" s="149">
        <v>856</v>
      </c>
      <c r="N119" s="206">
        <f t="shared" si="47"/>
        <v>-1081.3360400000004</v>
      </c>
      <c r="O119" s="151">
        <f>+ｶﾌｪｾﾚｽﾃ!W118/1000</f>
        <v>8579.7379999999994</v>
      </c>
      <c r="P119" s="149">
        <v>7590.8522593000007</v>
      </c>
      <c r="Q119" s="149">
        <f t="shared" si="87"/>
        <v>988.88574069999868</v>
      </c>
      <c r="R119" s="149">
        <v>5768</v>
      </c>
      <c r="S119" s="151">
        <f t="shared" si="49"/>
        <v>2811.7379999999994</v>
      </c>
      <c r="T119" s="148">
        <f t="shared" si="50"/>
        <v>-6128.1990200000018</v>
      </c>
      <c r="U119" s="149">
        <f t="shared" si="51"/>
        <v>-7653.9816750999971</v>
      </c>
      <c r="V119" s="149">
        <f>+T119-U119</f>
        <v>1525.7826550999953</v>
      </c>
      <c r="W119" s="149">
        <f t="shared" si="53"/>
        <v>-13592</v>
      </c>
      <c r="X119" s="150">
        <f t="shared" si="54"/>
        <v>7463.8009799999982</v>
      </c>
      <c r="Y119" s="151">
        <v>0</v>
      </c>
      <c r="Z119" s="149">
        <v>7870.9378729999999</v>
      </c>
      <c r="AA119" s="149">
        <f t="shared" si="89"/>
        <v>-7870.9378729999999</v>
      </c>
      <c r="AB119" s="149">
        <v>-813</v>
      </c>
      <c r="AC119" s="206">
        <f t="shared" si="56"/>
        <v>813</v>
      </c>
      <c r="AD119" s="151">
        <f>+ｼﾞｭｴﾙｽﾞ!W118/1000</f>
        <v>24466.601355000003</v>
      </c>
      <c r="AE119" s="149">
        <v>18960.558442000001</v>
      </c>
      <c r="AF119" s="149">
        <f t="shared" si="90"/>
        <v>5506.0429130000011</v>
      </c>
      <c r="AG119" s="149">
        <v>12070</v>
      </c>
      <c r="AH119" s="150">
        <f t="shared" si="58"/>
        <v>12396.601355000003</v>
      </c>
      <c r="AI119" s="148">
        <f t="shared" si="59"/>
        <v>24466.601355000003</v>
      </c>
      <c r="AJ119" s="149">
        <f t="shared" si="60"/>
        <v>26831.496315</v>
      </c>
      <c r="AK119" s="149">
        <f t="shared" si="91"/>
        <v>-2364.8949599999978</v>
      </c>
      <c r="AL119" s="149">
        <f t="shared" si="62"/>
        <v>11257</v>
      </c>
      <c r="AM119" s="150">
        <f t="shared" si="63"/>
        <v>13209.601355000003</v>
      </c>
      <c r="AN119" s="148">
        <f>+AN112+AN113-AN116</f>
        <v>-8579.9923200000212</v>
      </c>
      <c r="AO119" s="149">
        <v>-10421.105215999998</v>
      </c>
      <c r="AP119" s="149">
        <f t="shared" si="92"/>
        <v>1841.1128959999769</v>
      </c>
      <c r="AQ119" s="149">
        <v>-21764</v>
      </c>
      <c r="AR119" s="151">
        <f t="shared" si="65"/>
        <v>13184.007679999979</v>
      </c>
      <c r="AS119" s="205">
        <f>+AS112+AS113-AS116</f>
        <v>15798.408955500019</v>
      </c>
      <c r="AT119" s="149">
        <v>-3620.2469999999944</v>
      </c>
      <c r="AU119" s="149">
        <f t="shared" si="93"/>
        <v>19418.655955500013</v>
      </c>
      <c r="AV119" s="149">
        <v>26695</v>
      </c>
      <c r="AW119" s="150">
        <f t="shared" si="67"/>
        <v>-10896.591044499981</v>
      </c>
      <c r="AX119" s="148">
        <f t="shared" si="68"/>
        <v>7218.4166354999979</v>
      </c>
      <c r="AY119" s="149">
        <f t="shared" si="69"/>
        <v>-14041.352215999992</v>
      </c>
      <c r="AZ119" s="149">
        <f t="shared" si="70"/>
        <v>21259.76885149999</v>
      </c>
      <c r="BA119" s="149">
        <f t="shared" si="71"/>
        <v>4931</v>
      </c>
      <c r="BB119" s="150">
        <f t="shared" si="72"/>
        <v>2287.4166354999979</v>
      </c>
      <c r="BC119" s="148">
        <f>+BC112+BC113-BC116</f>
        <v>1900.5973995608074</v>
      </c>
      <c r="BD119" s="205">
        <f>+BD112+BD113-BD116</f>
        <v>3289.9269908545139</v>
      </c>
      <c r="BE119" s="148">
        <f t="shared" si="73"/>
        <v>5190.5243904153212</v>
      </c>
      <c r="BF119" s="148">
        <f>+料飲共通!W118/1000</f>
        <v>-28009.132448</v>
      </c>
      <c r="BG119" s="149">
        <v>-31538.218000000001</v>
      </c>
      <c r="BH119" s="149">
        <f t="shared" si="94"/>
        <v>3529.0855520000005</v>
      </c>
      <c r="BI119" s="149">
        <v>-28451</v>
      </c>
      <c r="BJ119" s="150">
        <f t="shared" si="75"/>
        <v>441.86755199999971</v>
      </c>
      <c r="BK119" s="148">
        <f t="shared" si="76"/>
        <v>2738.2109129153177</v>
      </c>
      <c r="BL119" s="149">
        <f t="shared" si="77"/>
        <v>-26402.055576099989</v>
      </c>
      <c r="BM119" s="149">
        <f>+BK119-BL119</f>
        <v>29140.266489015306</v>
      </c>
      <c r="BN119" s="149">
        <f>+W119+AL119+BA119+BI119</f>
        <v>-25855</v>
      </c>
      <c r="BO119" s="150">
        <f t="shared" si="79"/>
        <v>28593.210912915318</v>
      </c>
      <c r="BP119" s="148">
        <f t="shared" si="80"/>
        <v>-2452.3134775000035</v>
      </c>
      <c r="BQ119" s="149">
        <f t="shared" si="81"/>
        <v>-34272.993449099988</v>
      </c>
      <c r="BR119" s="149">
        <f t="shared" si="95"/>
        <v>31820.679971599984</v>
      </c>
      <c r="BS119" s="149">
        <f t="shared" si="82"/>
        <v>-25042</v>
      </c>
      <c r="BT119" s="150">
        <f t="shared" si="83"/>
        <v>22589.686522499996</v>
      </c>
    </row>
    <row r="120" spans="1:72" hidden="1" outlineLevel="1">
      <c r="A120" s="172"/>
      <c r="B120" s="172"/>
      <c r="C120" s="176"/>
      <c r="D120" s="176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173" t="e">
        <f>+#REF!+#REF!+#REF!+#REF!+#REF!+#REF!+#REF!+#REF!</f>
        <v>#REF!</v>
      </c>
      <c r="BL120" s="173" t="e">
        <f>+#REF!+#REF!+#REF!+#REF!+#REF!+#REF!+#REF!+#REF!</f>
        <v>#REF!</v>
      </c>
      <c r="BM120" s="173" t="e">
        <f>+#REF!+#REF!+#REF!+#REF!+#REF!+#REF!+#REF!+#REF!</f>
        <v>#REF!</v>
      </c>
      <c r="BN120" s="173" t="e">
        <f>+#REF!+#REF!+#REF!+#REF!+#REF!+#REF!+#REF!+#REF!</f>
        <v>#REF!</v>
      </c>
      <c r="BO120" s="173" t="e">
        <f>+#REF!+#REF!+#REF!+#REF!+#REF!+#REF!+#REF!+#REF!</f>
        <v>#REF!</v>
      </c>
      <c r="BP120" s="173" t="e">
        <f>+#REF!+#REF!+#REF!+#REF!+#REF!+#REF!+#REF!+#REF!</f>
        <v>#REF!</v>
      </c>
      <c r="BQ120" s="173" t="e">
        <f>+#REF!+#REF!+#REF!+#REF!+#REF!+#REF!+#REF!+#REF!</f>
        <v>#REF!</v>
      </c>
      <c r="BR120" s="173" t="e">
        <f>+#REF!+#REF!+#REF!+#REF!+#REF!+#REF!+#REF!+#REF!</f>
        <v>#REF!</v>
      </c>
      <c r="BS120" s="173" t="e">
        <f>+#REF!+#REF!+#REF!+#REF!+#REF!+#REF!+#REF!+#REF!</f>
        <v>#REF!</v>
      </c>
      <c r="BT120" s="173" t="e">
        <f>+#REF!+#REF!+#REF!+#REF!+#REF!+#REF!+#REF!+#REF!</f>
        <v>#REF!</v>
      </c>
    </row>
    <row r="121" spans="1:72" hidden="1" outlineLevel="1">
      <c r="C121" s="176"/>
      <c r="D121" s="176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173" t="e">
        <f t="shared" ref="BK121:BT121" si="96">+BK119-BK120</f>
        <v>#REF!</v>
      </c>
      <c r="BL121" s="173" t="e">
        <f t="shared" si="96"/>
        <v>#REF!</v>
      </c>
      <c r="BM121" s="173" t="e">
        <f t="shared" si="96"/>
        <v>#REF!</v>
      </c>
      <c r="BN121" s="173" t="e">
        <f t="shared" si="96"/>
        <v>#REF!</v>
      </c>
      <c r="BO121" s="173" t="e">
        <f t="shared" si="96"/>
        <v>#REF!</v>
      </c>
      <c r="BP121" s="173" t="e">
        <f t="shared" si="96"/>
        <v>#REF!</v>
      </c>
      <c r="BQ121" s="173" t="e">
        <f t="shared" si="96"/>
        <v>#REF!</v>
      </c>
      <c r="BR121" s="173" t="e">
        <f t="shared" si="96"/>
        <v>#REF!</v>
      </c>
      <c r="BS121" s="173" t="e">
        <f t="shared" si="96"/>
        <v>#REF!</v>
      </c>
      <c r="BT121" s="173" t="e">
        <f t="shared" si="96"/>
        <v>#REF!</v>
      </c>
    </row>
    <row r="122" spans="1:72" collapsed="1">
      <c r="BK122" s="54">
        <f>+E119+J119+O119+Y119+AD119+AN119+AS119+BC119+BD119+BF119-BK119</f>
        <v>0</v>
      </c>
      <c r="BL122" s="54">
        <f>+F119+K119+P119+Z119+AE119+AO119+AT119+BG119-BL119</f>
        <v>0</v>
      </c>
      <c r="BM122" s="54">
        <f>+G119+L119+Q119+AA119+AF119+AP119+AU119+BH119-BM119</f>
        <v>-5190.5243904153176</v>
      </c>
      <c r="BN122" s="54">
        <f>+H119+M119+R119+AB119+AG119+AQ119+AV119+BI119-BN119</f>
        <v>0</v>
      </c>
      <c r="BO122" s="54">
        <f>+I119+N119+S119+AC119+AH119+AR119+AW119+BJ119-BO119</f>
        <v>-5190.5243904153212</v>
      </c>
      <c r="BP122" s="54"/>
      <c r="BQ122" s="54"/>
      <c r="BR122" s="54"/>
      <c r="BS122" s="54"/>
      <c r="BT122" s="54"/>
    </row>
  </sheetData>
  <mergeCells count="18">
    <mergeCell ref="BP5:BT5"/>
    <mergeCell ref="BP2:BT2"/>
    <mergeCell ref="AK2:AM2"/>
    <mergeCell ref="BM2:BO2"/>
    <mergeCell ref="Y5:AC5"/>
    <mergeCell ref="AI4:AM5"/>
    <mergeCell ref="AX4:BB5"/>
    <mergeCell ref="BF5:BJ5"/>
    <mergeCell ref="BE4:BE5"/>
    <mergeCell ref="BK5:BO5"/>
    <mergeCell ref="A3:B6"/>
    <mergeCell ref="AD5:AH5"/>
    <mergeCell ref="AN5:AR5"/>
    <mergeCell ref="AS5:AW5"/>
    <mergeCell ref="E5:I5"/>
    <mergeCell ref="J5:N5"/>
    <mergeCell ref="O5:S5"/>
    <mergeCell ref="T4:X5"/>
  </mergeCells>
  <phoneticPr fontId="2"/>
  <printOptions verticalCentered="1"/>
  <pageMargins left="0.59055118110236227" right="0" top="0" bottom="0" header="0" footer="0"/>
  <pageSetup paperSize="8" scale="59" fitToWidth="0" orientation="landscape" cellComments="asDisplayed" r:id="rId1"/>
  <colBreaks count="2" manualBreakCount="2">
    <brk id="39" max="118" man="1"/>
    <brk id="67" max="118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6A5A-B0F5-46BB-BE8C-C6C42E63C4D3}">
  <dimension ref="A1:W118"/>
  <sheetViews>
    <sheetView showGridLines="0" workbookViewId="0">
      <pane xSplit="10" ySplit="5" topLeftCell="K15" activePane="bottomRight" state="frozen"/>
      <selection activeCell="T120" sqref="T120"/>
      <selection pane="topRight" activeCell="T120" sqref="T120"/>
      <selection pane="bottomLeft" activeCell="T120" sqref="T120"/>
      <selection pane="bottomRight" activeCell="K29" sqref="K29:V29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16384" width="9" style="51"/>
  </cols>
  <sheetData>
    <row r="1" spans="1:23" ht="20" customHeight="1">
      <c r="A1" s="56" t="s">
        <v>226</v>
      </c>
    </row>
    <row r="3" spans="1:23" ht="11.75" customHeight="1">
      <c r="A3" s="57" t="s">
        <v>218</v>
      </c>
    </row>
    <row r="4" spans="1:23" s="58" customFormat="1" ht="11.75" customHeight="1">
      <c r="A4" s="574" t="s">
        <v>0</v>
      </c>
      <c r="B4" s="576" t="s">
        <v>1</v>
      </c>
      <c r="C4" s="577"/>
      <c r="D4" s="577"/>
      <c r="E4" s="577"/>
      <c r="F4" s="577"/>
      <c r="G4" s="577"/>
      <c r="H4" s="577"/>
      <c r="I4" s="577"/>
      <c r="J4" s="578"/>
      <c r="K4" s="55" t="s">
        <v>227</v>
      </c>
      <c r="L4" s="55" t="s">
        <v>228</v>
      </c>
      <c r="M4" s="55" t="s">
        <v>229</v>
      </c>
      <c r="N4" s="55" t="s">
        <v>230</v>
      </c>
      <c r="O4" s="55" t="s">
        <v>231</v>
      </c>
      <c r="P4" s="55" t="s">
        <v>232</v>
      </c>
      <c r="Q4" s="55" t="s">
        <v>233</v>
      </c>
      <c r="R4" s="55" t="s">
        <v>234</v>
      </c>
      <c r="S4" s="55" t="s">
        <v>235</v>
      </c>
      <c r="T4" s="55" t="s">
        <v>236</v>
      </c>
      <c r="U4" s="55" t="s">
        <v>237</v>
      </c>
      <c r="V4" s="55" t="s">
        <v>238</v>
      </c>
      <c r="W4" s="52" t="s">
        <v>225</v>
      </c>
    </row>
    <row r="5" spans="1:23" s="58" customFormat="1" ht="17" customHeight="1">
      <c r="A5" s="575"/>
      <c r="B5" s="579"/>
      <c r="C5" s="580"/>
      <c r="D5" s="580"/>
      <c r="E5" s="580"/>
      <c r="F5" s="580"/>
      <c r="G5" s="580"/>
      <c r="H5" s="580"/>
      <c r="I5" s="580"/>
      <c r="J5" s="581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</row>
    <row r="6" spans="1:23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0</v>
      </c>
      <c r="L6" s="7">
        <f t="shared" ref="L6:V6" si="0">SUM(L7:L16)</f>
        <v>0</v>
      </c>
      <c r="M6" s="7">
        <f t="shared" si="0"/>
        <v>0</v>
      </c>
      <c r="N6" s="7">
        <f t="shared" si="0"/>
        <v>0</v>
      </c>
      <c r="O6" s="7">
        <f t="shared" si="0"/>
        <v>0</v>
      </c>
      <c r="P6" s="7">
        <f t="shared" si="0"/>
        <v>0</v>
      </c>
      <c r="Q6" s="7">
        <f t="shared" si="0"/>
        <v>0</v>
      </c>
      <c r="R6" s="7">
        <f t="shared" si="0"/>
        <v>0</v>
      </c>
      <c r="S6" s="7">
        <f t="shared" si="0"/>
        <v>0</v>
      </c>
      <c r="T6" s="7">
        <f t="shared" si="0"/>
        <v>0</v>
      </c>
      <c r="U6" s="7">
        <f t="shared" si="0"/>
        <v>0</v>
      </c>
      <c r="V6" s="7">
        <f t="shared" si="0"/>
        <v>0</v>
      </c>
      <c r="W6" s="7">
        <f>SUM(K6:V6)</f>
        <v>0</v>
      </c>
    </row>
    <row r="7" spans="1:23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f t="shared" ref="W7:W70" si="1">SUM(K7:V7)</f>
        <v>0</v>
      </c>
    </row>
    <row r="8" spans="1:23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f t="shared" si="1"/>
        <v>0</v>
      </c>
    </row>
    <row r="9" spans="1:23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f t="shared" si="1"/>
        <v>0</v>
      </c>
    </row>
    <row r="10" spans="1:23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f t="shared" si="1"/>
        <v>0</v>
      </c>
    </row>
    <row r="11" spans="1:23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f t="shared" si="1"/>
        <v>0</v>
      </c>
    </row>
    <row r="12" spans="1:23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f t="shared" si="1"/>
        <v>0</v>
      </c>
    </row>
    <row r="13" spans="1:23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f t="shared" si="1"/>
        <v>0</v>
      </c>
    </row>
    <row r="14" spans="1:23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f t="shared" si="1"/>
        <v>0</v>
      </c>
    </row>
    <row r="15" spans="1:23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f t="shared" si="1"/>
        <v>0</v>
      </c>
    </row>
    <row r="16" spans="1:23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f t="shared" si="1"/>
        <v>0</v>
      </c>
    </row>
    <row r="17" spans="1:23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f t="shared" si="1"/>
        <v>0</v>
      </c>
    </row>
    <row r="18" spans="1:23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0</v>
      </c>
      <c r="L18" s="17">
        <f t="shared" ref="L18:V18" si="2">L6-L17</f>
        <v>0</v>
      </c>
      <c r="M18" s="17">
        <f t="shared" si="2"/>
        <v>0</v>
      </c>
      <c r="N18" s="17">
        <f t="shared" si="2"/>
        <v>0</v>
      </c>
      <c r="O18" s="17">
        <f t="shared" si="2"/>
        <v>0</v>
      </c>
      <c r="P18" s="17">
        <f t="shared" si="2"/>
        <v>0</v>
      </c>
      <c r="Q18" s="17">
        <f t="shared" si="2"/>
        <v>0</v>
      </c>
      <c r="R18" s="17">
        <f t="shared" si="2"/>
        <v>0</v>
      </c>
      <c r="S18" s="17">
        <f t="shared" si="2"/>
        <v>0</v>
      </c>
      <c r="T18" s="17">
        <f t="shared" si="2"/>
        <v>0</v>
      </c>
      <c r="U18" s="17">
        <f t="shared" si="2"/>
        <v>0</v>
      </c>
      <c r="V18" s="17">
        <f t="shared" si="2"/>
        <v>0</v>
      </c>
      <c r="W18" s="17">
        <f t="shared" si="1"/>
        <v>0</v>
      </c>
    </row>
    <row r="19" spans="1:23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1413826</v>
      </c>
      <c r="L19" s="21">
        <f t="shared" ref="L19:V19" si="3">SUM(L20:L22,L26,L29:L31,L35:L36)</f>
        <v>1563519</v>
      </c>
      <c r="M19" s="21">
        <f t="shared" si="3"/>
        <v>4176417</v>
      </c>
      <c r="N19" s="21">
        <f t="shared" si="3"/>
        <v>1952116.40175</v>
      </c>
      <c r="O19" s="21">
        <f t="shared" si="3"/>
        <v>1563519</v>
      </c>
      <c r="P19" s="21">
        <f t="shared" si="3"/>
        <v>1563519</v>
      </c>
      <c r="Q19" s="21">
        <f t="shared" si="3"/>
        <v>2087682</v>
      </c>
      <c r="R19" s="21">
        <f t="shared" si="3"/>
        <v>1642043.37</v>
      </c>
      <c r="S19" s="21">
        <f t="shared" si="3"/>
        <v>4308579</v>
      </c>
      <c r="T19" s="21">
        <f t="shared" si="3"/>
        <v>1981225.67625</v>
      </c>
      <c r="U19" s="21">
        <f t="shared" si="3"/>
        <v>1563519</v>
      </c>
      <c r="V19" s="21">
        <f t="shared" si="3"/>
        <v>1764317</v>
      </c>
      <c r="W19" s="21">
        <f t="shared" si="1"/>
        <v>25580282.447999999</v>
      </c>
    </row>
    <row r="20" spans="1:23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f t="shared" si="1"/>
        <v>0</v>
      </c>
    </row>
    <row r="21" spans="1:23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>
        <v>1334450</v>
      </c>
      <c r="L21" s="47">
        <v>1334450</v>
      </c>
      <c r="M21" s="47">
        <v>3915635</v>
      </c>
      <c r="N21" s="47">
        <v>1334450</v>
      </c>
      <c r="O21" s="47">
        <v>1334450</v>
      </c>
      <c r="P21" s="47">
        <v>1334450</v>
      </c>
      <c r="Q21" s="47">
        <v>1852250</v>
      </c>
      <c r="R21" s="47">
        <v>1334450</v>
      </c>
      <c r="S21" s="47">
        <v>4046195</v>
      </c>
      <c r="T21" s="47">
        <v>1345420</v>
      </c>
      <c r="U21" s="47">
        <v>1334450</v>
      </c>
      <c r="V21" s="47">
        <v>1345420</v>
      </c>
      <c r="W21" s="47">
        <f t="shared" si="1"/>
        <v>21846070</v>
      </c>
    </row>
    <row r="22" spans="1:23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0</v>
      </c>
      <c r="L22" s="12">
        <f t="shared" ref="L22:V22" si="4">SUM(L23:L25)</f>
        <v>0</v>
      </c>
      <c r="M22" s="12">
        <f t="shared" si="4"/>
        <v>0</v>
      </c>
      <c r="N22" s="12">
        <f t="shared" si="4"/>
        <v>0</v>
      </c>
      <c r="O22" s="12">
        <f t="shared" si="4"/>
        <v>0</v>
      </c>
      <c r="P22" s="12">
        <f t="shared" si="4"/>
        <v>0</v>
      </c>
      <c r="Q22" s="12">
        <f t="shared" si="4"/>
        <v>0</v>
      </c>
      <c r="R22" s="12">
        <f t="shared" si="4"/>
        <v>0</v>
      </c>
      <c r="S22" s="12">
        <f t="shared" si="4"/>
        <v>0</v>
      </c>
      <c r="T22" s="12">
        <f t="shared" si="4"/>
        <v>0</v>
      </c>
      <c r="U22" s="12">
        <f t="shared" si="4"/>
        <v>0</v>
      </c>
      <c r="V22" s="12">
        <f t="shared" si="4"/>
        <v>0</v>
      </c>
      <c r="W22" s="12">
        <f t="shared" si="1"/>
        <v>0</v>
      </c>
    </row>
    <row r="23" spans="1:23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f t="shared" si="1"/>
        <v>0</v>
      </c>
    </row>
    <row r="24" spans="1:23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f t="shared" si="1"/>
        <v>0</v>
      </c>
    </row>
    <row r="25" spans="1:23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f t="shared" si="1"/>
        <v>0</v>
      </c>
    </row>
    <row r="26" spans="1:23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f t="shared" si="1"/>
        <v>0</v>
      </c>
    </row>
    <row r="27" spans="1:23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</row>
    <row r="28" spans="1:23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</row>
    <row r="29" spans="1:23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>
        <v>16638</v>
      </c>
      <c r="L29" s="47">
        <v>206331</v>
      </c>
      <c r="M29" s="47">
        <v>238044</v>
      </c>
      <c r="N29" s="47">
        <v>594928.40174999996</v>
      </c>
      <c r="O29" s="47">
        <v>206331</v>
      </c>
      <c r="P29" s="47">
        <v>206331</v>
      </c>
      <c r="Q29" s="47">
        <v>212694</v>
      </c>
      <c r="R29" s="47">
        <v>284855.37</v>
      </c>
      <c r="S29" s="47">
        <v>239646</v>
      </c>
      <c r="T29" s="47">
        <v>613067.67625000002</v>
      </c>
      <c r="U29" s="47">
        <v>206331</v>
      </c>
      <c r="V29" s="47">
        <v>396159</v>
      </c>
      <c r="W29" s="47">
        <f t="shared" si="1"/>
        <v>3421356.4479999999</v>
      </c>
    </row>
    <row r="30" spans="1:23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>
        <v>1200</v>
      </c>
      <c r="L30" s="47">
        <v>1200</v>
      </c>
      <c r="M30" s="47">
        <v>1200</v>
      </c>
      <c r="N30" s="47">
        <v>1200</v>
      </c>
      <c r="O30" s="47">
        <v>1200</v>
      </c>
      <c r="P30" s="47">
        <v>1200</v>
      </c>
      <c r="Q30" s="47">
        <v>1200</v>
      </c>
      <c r="R30" s="47">
        <v>1200</v>
      </c>
      <c r="S30" s="47">
        <v>1200</v>
      </c>
      <c r="T30" s="47">
        <v>1200</v>
      </c>
      <c r="U30" s="47">
        <v>1200</v>
      </c>
      <c r="V30" s="47">
        <v>1200</v>
      </c>
      <c r="W30" s="47">
        <f t="shared" si="1"/>
        <v>14400</v>
      </c>
    </row>
    <row r="31" spans="1:23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41800</v>
      </c>
      <c r="L31" s="12">
        <f t="shared" ref="L31:V31" si="5">SUM(L32:L34)</f>
        <v>1800</v>
      </c>
      <c r="M31" s="12">
        <f t="shared" si="5"/>
        <v>1800</v>
      </c>
      <c r="N31" s="12">
        <f t="shared" si="5"/>
        <v>1800</v>
      </c>
      <c r="O31" s="12">
        <f t="shared" si="5"/>
        <v>1800</v>
      </c>
      <c r="P31" s="12">
        <f t="shared" si="5"/>
        <v>1800</v>
      </c>
      <c r="Q31" s="12">
        <f t="shared" si="5"/>
        <v>1800</v>
      </c>
      <c r="R31" s="12">
        <f t="shared" si="5"/>
        <v>1800</v>
      </c>
      <c r="S31" s="12">
        <f t="shared" si="5"/>
        <v>1800</v>
      </c>
      <c r="T31" s="12">
        <f t="shared" si="5"/>
        <v>1800</v>
      </c>
      <c r="U31" s="12">
        <f t="shared" si="5"/>
        <v>1800</v>
      </c>
      <c r="V31" s="12">
        <f t="shared" si="5"/>
        <v>1800</v>
      </c>
      <c r="W31" s="12">
        <f t="shared" si="1"/>
        <v>61600</v>
      </c>
    </row>
    <row r="32" spans="1:23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>
        <v>1800</v>
      </c>
      <c r="L32" s="47">
        <v>1800</v>
      </c>
      <c r="M32" s="47">
        <v>1800</v>
      </c>
      <c r="N32" s="47">
        <v>1800</v>
      </c>
      <c r="O32" s="47">
        <v>1800</v>
      </c>
      <c r="P32" s="47">
        <v>1800</v>
      </c>
      <c r="Q32" s="47">
        <v>1800</v>
      </c>
      <c r="R32" s="47">
        <v>1800</v>
      </c>
      <c r="S32" s="47">
        <v>1800</v>
      </c>
      <c r="T32" s="47">
        <v>1800</v>
      </c>
      <c r="U32" s="47">
        <v>1800</v>
      </c>
      <c r="V32" s="47">
        <v>1800</v>
      </c>
      <c r="W32" s="47">
        <f t="shared" si="1"/>
        <v>21600</v>
      </c>
    </row>
    <row r="33" spans="1:23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>
        <v>40000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f t="shared" si="1"/>
        <v>40000</v>
      </c>
    </row>
    <row r="34" spans="1:23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>
        <v>0</v>
      </c>
      <c r="V34" s="47">
        <v>0</v>
      </c>
      <c r="W34" s="47">
        <f t="shared" si="1"/>
        <v>0</v>
      </c>
    </row>
    <row r="35" spans="1:23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19738</v>
      </c>
      <c r="L35" s="47">
        <v>19738</v>
      </c>
      <c r="M35" s="47">
        <v>19738</v>
      </c>
      <c r="N35" s="47">
        <v>19738</v>
      </c>
      <c r="O35" s="47">
        <v>19738</v>
      </c>
      <c r="P35" s="47">
        <v>19738</v>
      </c>
      <c r="Q35" s="47">
        <v>19738</v>
      </c>
      <c r="R35" s="47">
        <v>19738</v>
      </c>
      <c r="S35" s="47">
        <v>19738</v>
      </c>
      <c r="T35" s="47">
        <v>19738</v>
      </c>
      <c r="U35" s="47">
        <v>19738</v>
      </c>
      <c r="V35" s="47">
        <v>19738</v>
      </c>
      <c r="W35" s="47">
        <f t="shared" si="1"/>
        <v>236856</v>
      </c>
    </row>
    <row r="36" spans="1:23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53">
        <f t="shared" si="1"/>
        <v>0</v>
      </c>
    </row>
    <row r="37" spans="1:23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70300</v>
      </c>
      <c r="L37" s="25">
        <f t="shared" ref="L37:V37" si="6">SUM(L38:L41,L46,L50,L57:L58,L61:L67,L70:L72,L78:L80,L83:L84)</f>
        <v>75300</v>
      </c>
      <c r="M37" s="25">
        <f t="shared" si="6"/>
        <v>260800</v>
      </c>
      <c r="N37" s="25">
        <f t="shared" si="6"/>
        <v>100300</v>
      </c>
      <c r="O37" s="25">
        <f t="shared" si="6"/>
        <v>104550</v>
      </c>
      <c r="P37" s="25">
        <f t="shared" si="6"/>
        <v>130300</v>
      </c>
      <c r="Q37" s="25">
        <f t="shared" si="6"/>
        <v>50800</v>
      </c>
      <c r="R37" s="25">
        <f t="shared" si="6"/>
        <v>475300</v>
      </c>
      <c r="S37" s="25">
        <f t="shared" si="6"/>
        <v>261800</v>
      </c>
      <c r="T37" s="25">
        <f t="shared" si="6"/>
        <v>256300</v>
      </c>
      <c r="U37" s="25">
        <f t="shared" si="6"/>
        <v>411800</v>
      </c>
      <c r="V37" s="25">
        <f t="shared" si="6"/>
        <v>246300</v>
      </c>
      <c r="W37" s="25">
        <f t="shared" si="1"/>
        <v>2443850</v>
      </c>
    </row>
    <row r="38" spans="1:23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f t="shared" si="1"/>
        <v>0</v>
      </c>
    </row>
    <row r="39" spans="1:23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f t="shared" si="1"/>
        <v>0</v>
      </c>
    </row>
    <row r="40" spans="1:23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</row>
    <row r="41" spans="1:23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0</v>
      </c>
      <c r="L41" s="12">
        <f t="shared" ref="L41:V41" si="7">SUM(L42:L45)</f>
        <v>0</v>
      </c>
      <c r="M41" s="12">
        <f t="shared" si="7"/>
        <v>0</v>
      </c>
      <c r="N41" s="12">
        <f t="shared" si="7"/>
        <v>0</v>
      </c>
      <c r="O41" s="12">
        <f t="shared" si="7"/>
        <v>0</v>
      </c>
      <c r="P41" s="12">
        <f t="shared" si="7"/>
        <v>0</v>
      </c>
      <c r="Q41" s="12">
        <f t="shared" si="7"/>
        <v>0</v>
      </c>
      <c r="R41" s="12">
        <f t="shared" si="7"/>
        <v>0</v>
      </c>
      <c r="S41" s="12">
        <f t="shared" si="7"/>
        <v>0</v>
      </c>
      <c r="T41" s="12">
        <f t="shared" si="7"/>
        <v>0</v>
      </c>
      <c r="U41" s="12">
        <f t="shared" si="7"/>
        <v>0</v>
      </c>
      <c r="V41" s="12">
        <f t="shared" si="7"/>
        <v>0</v>
      </c>
      <c r="W41" s="12">
        <f t="shared" si="1"/>
        <v>0</v>
      </c>
    </row>
    <row r="42" spans="1:23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</row>
    <row r="43" spans="1:23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f t="shared" si="1"/>
        <v>0</v>
      </c>
    </row>
    <row r="44" spans="1:23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</row>
    <row r="45" spans="1:23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f t="shared" si="1"/>
        <v>0</v>
      </c>
    </row>
    <row r="46" spans="1:23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0</v>
      </c>
      <c r="L46" s="12">
        <f t="shared" ref="L46:V46" si="8">SUM(L47:L49)</f>
        <v>0</v>
      </c>
      <c r="M46" s="12">
        <f t="shared" si="8"/>
        <v>0</v>
      </c>
      <c r="N46" s="12">
        <f t="shared" si="8"/>
        <v>0</v>
      </c>
      <c r="O46" s="12">
        <f t="shared" si="8"/>
        <v>0</v>
      </c>
      <c r="P46" s="12">
        <f t="shared" si="8"/>
        <v>0</v>
      </c>
      <c r="Q46" s="12">
        <f t="shared" si="8"/>
        <v>0</v>
      </c>
      <c r="R46" s="12">
        <f t="shared" si="8"/>
        <v>0</v>
      </c>
      <c r="S46" s="12">
        <f t="shared" si="8"/>
        <v>0</v>
      </c>
      <c r="T46" s="12">
        <f t="shared" si="8"/>
        <v>0</v>
      </c>
      <c r="U46" s="12">
        <f t="shared" si="8"/>
        <v>0</v>
      </c>
      <c r="V46" s="12">
        <f t="shared" si="8"/>
        <v>0</v>
      </c>
      <c r="W46" s="12">
        <f t="shared" si="1"/>
        <v>0</v>
      </c>
    </row>
    <row r="47" spans="1:23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</row>
    <row r="48" spans="1:23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0</v>
      </c>
    </row>
    <row r="49" spans="1:23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0</v>
      </c>
    </row>
    <row r="50" spans="1:23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9">SUM(L51:L56)</f>
        <v>0</v>
      </c>
      <c r="M50" s="12">
        <f t="shared" si="9"/>
        <v>0</v>
      </c>
      <c r="N50" s="12">
        <f t="shared" si="9"/>
        <v>0</v>
      </c>
      <c r="O50" s="12">
        <f t="shared" si="9"/>
        <v>0</v>
      </c>
      <c r="P50" s="12">
        <f t="shared" si="9"/>
        <v>0</v>
      </c>
      <c r="Q50" s="12">
        <f t="shared" si="9"/>
        <v>0</v>
      </c>
      <c r="R50" s="12">
        <f t="shared" si="9"/>
        <v>0</v>
      </c>
      <c r="S50" s="12">
        <f t="shared" si="9"/>
        <v>0</v>
      </c>
      <c r="T50" s="12">
        <f t="shared" si="9"/>
        <v>0</v>
      </c>
      <c r="U50" s="12">
        <f t="shared" si="9"/>
        <v>0</v>
      </c>
      <c r="V50" s="12">
        <f t="shared" si="9"/>
        <v>0</v>
      </c>
      <c r="W50" s="12">
        <f t="shared" si="1"/>
        <v>0</v>
      </c>
    </row>
    <row r="51" spans="1:23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</row>
    <row r="52" spans="1:23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0</v>
      </c>
    </row>
    <row r="53" spans="1:23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</row>
    <row r="54" spans="1:23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</row>
    <row r="55" spans="1:23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0</v>
      </c>
    </row>
    <row r="56" spans="1:23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</row>
    <row r="57" spans="1:23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</row>
    <row r="58" spans="1:23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20000</v>
      </c>
      <c r="L58" s="12">
        <f t="shared" ref="L58:V58" si="10">SUM(L59:L60)</f>
        <v>0</v>
      </c>
      <c r="M58" s="12">
        <f t="shared" si="10"/>
        <v>0</v>
      </c>
      <c r="N58" s="12">
        <f t="shared" si="10"/>
        <v>0</v>
      </c>
      <c r="O58" s="12">
        <f t="shared" si="10"/>
        <v>0</v>
      </c>
      <c r="P58" s="12">
        <f t="shared" si="10"/>
        <v>20000</v>
      </c>
      <c r="Q58" s="12">
        <f t="shared" si="10"/>
        <v>0</v>
      </c>
      <c r="R58" s="12">
        <f t="shared" si="10"/>
        <v>0</v>
      </c>
      <c r="S58" s="12">
        <f t="shared" si="10"/>
        <v>0</v>
      </c>
      <c r="T58" s="12">
        <f t="shared" si="10"/>
        <v>20000</v>
      </c>
      <c r="U58" s="12">
        <f t="shared" si="10"/>
        <v>0</v>
      </c>
      <c r="V58" s="12">
        <f t="shared" si="10"/>
        <v>0</v>
      </c>
      <c r="W58" s="12">
        <f t="shared" si="1"/>
        <v>60000</v>
      </c>
    </row>
    <row r="59" spans="1:23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20000</v>
      </c>
      <c r="L59" s="47">
        <v>0</v>
      </c>
      <c r="M59" s="47">
        <v>0</v>
      </c>
      <c r="N59" s="47">
        <v>0</v>
      </c>
      <c r="O59" s="47">
        <v>0</v>
      </c>
      <c r="P59" s="47">
        <v>20000</v>
      </c>
      <c r="Q59" s="47">
        <v>0</v>
      </c>
      <c r="R59" s="47">
        <v>0</v>
      </c>
      <c r="S59" s="47">
        <v>0</v>
      </c>
      <c r="T59" s="47">
        <v>20000</v>
      </c>
      <c r="U59" s="47">
        <v>0</v>
      </c>
      <c r="V59" s="47">
        <v>0</v>
      </c>
      <c r="W59" s="47">
        <f t="shared" si="1"/>
        <v>60000</v>
      </c>
    </row>
    <row r="60" spans="1:23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</row>
    <row r="61" spans="1:23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f t="shared" si="1"/>
        <v>0</v>
      </c>
    </row>
    <row r="62" spans="1:23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</row>
    <row r="63" spans="1:23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f t="shared" si="1"/>
        <v>0</v>
      </c>
    </row>
    <row r="64" spans="1:23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15000</v>
      </c>
      <c r="T64" s="47">
        <v>0</v>
      </c>
      <c r="U64" s="47">
        <v>0</v>
      </c>
      <c r="V64" s="47">
        <v>0</v>
      </c>
      <c r="W64" s="47">
        <f t="shared" si="1"/>
        <v>15000</v>
      </c>
    </row>
    <row r="65" spans="1:23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7500</v>
      </c>
      <c r="L65" s="47">
        <v>32000</v>
      </c>
      <c r="M65" s="47">
        <v>7500</v>
      </c>
      <c r="N65" s="47">
        <v>32000</v>
      </c>
      <c r="O65" s="47">
        <v>36250</v>
      </c>
      <c r="P65" s="47">
        <v>32000</v>
      </c>
      <c r="Q65" s="47">
        <v>7500</v>
      </c>
      <c r="R65" s="47">
        <v>32000</v>
      </c>
      <c r="S65" s="47">
        <v>168500</v>
      </c>
      <c r="T65" s="47">
        <v>193000</v>
      </c>
      <c r="U65" s="47">
        <v>168500</v>
      </c>
      <c r="V65" s="47">
        <v>193000</v>
      </c>
      <c r="W65" s="47">
        <f t="shared" si="1"/>
        <v>909750</v>
      </c>
    </row>
    <row r="66" spans="1:23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</row>
    <row r="67" spans="1:23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500</v>
      </c>
      <c r="L67" s="12">
        <f t="shared" ref="L67:V67" si="11">SUM(L68:L69)</f>
        <v>1000</v>
      </c>
      <c r="M67" s="12">
        <f t="shared" si="11"/>
        <v>1000</v>
      </c>
      <c r="N67" s="12">
        <f t="shared" si="11"/>
        <v>1000</v>
      </c>
      <c r="O67" s="12">
        <f t="shared" si="11"/>
        <v>1000</v>
      </c>
      <c r="P67" s="12">
        <f t="shared" si="11"/>
        <v>1000</v>
      </c>
      <c r="Q67" s="12">
        <f t="shared" si="11"/>
        <v>1000</v>
      </c>
      <c r="R67" s="12">
        <f t="shared" si="11"/>
        <v>1000</v>
      </c>
      <c r="S67" s="12">
        <f t="shared" si="11"/>
        <v>1000</v>
      </c>
      <c r="T67" s="12">
        <f t="shared" si="11"/>
        <v>1000</v>
      </c>
      <c r="U67" s="12">
        <f t="shared" si="11"/>
        <v>1000</v>
      </c>
      <c r="V67" s="12">
        <f t="shared" si="11"/>
        <v>1000</v>
      </c>
      <c r="W67" s="12">
        <f t="shared" si="1"/>
        <v>11500</v>
      </c>
    </row>
    <row r="68" spans="1:23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500</v>
      </c>
      <c r="L68" s="47">
        <v>1000</v>
      </c>
      <c r="M68" s="47">
        <v>1000</v>
      </c>
      <c r="N68" s="47">
        <v>1000</v>
      </c>
      <c r="O68" s="47">
        <v>1000</v>
      </c>
      <c r="P68" s="47">
        <v>1000</v>
      </c>
      <c r="Q68" s="47">
        <v>1000</v>
      </c>
      <c r="R68" s="47">
        <v>1000</v>
      </c>
      <c r="S68" s="47">
        <v>1000</v>
      </c>
      <c r="T68" s="47">
        <v>1000</v>
      </c>
      <c r="U68" s="47">
        <v>1000</v>
      </c>
      <c r="V68" s="47">
        <v>1000</v>
      </c>
      <c r="W68" s="47">
        <f t="shared" si="1"/>
        <v>11500</v>
      </c>
    </row>
    <row r="69" spans="1:23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</row>
    <row r="70" spans="1:23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26500</v>
      </c>
      <c r="L70" s="47">
        <v>26500</v>
      </c>
      <c r="M70" s="47">
        <v>226500</v>
      </c>
      <c r="N70" s="47">
        <v>51500</v>
      </c>
      <c r="O70" s="47">
        <v>51500</v>
      </c>
      <c r="P70" s="47">
        <v>51500</v>
      </c>
      <c r="Q70" s="47">
        <v>26500</v>
      </c>
      <c r="R70" s="47">
        <v>26500</v>
      </c>
      <c r="S70" s="47">
        <v>51500</v>
      </c>
      <c r="T70" s="47">
        <v>26500</v>
      </c>
      <c r="U70" s="47">
        <v>226500</v>
      </c>
      <c r="V70" s="47">
        <v>26500</v>
      </c>
      <c r="W70" s="47">
        <f t="shared" si="1"/>
        <v>818000</v>
      </c>
    </row>
    <row r="71" spans="1:23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15800</v>
      </c>
      <c r="L71" s="47">
        <v>15800</v>
      </c>
      <c r="M71" s="47">
        <v>15800</v>
      </c>
      <c r="N71" s="47">
        <v>15800</v>
      </c>
      <c r="O71" s="47">
        <v>15800</v>
      </c>
      <c r="P71" s="47">
        <v>15800</v>
      </c>
      <c r="Q71" s="47">
        <v>15800</v>
      </c>
      <c r="R71" s="47">
        <v>15800</v>
      </c>
      <c r="S71" s="47">
        <v>15800</v>
      </c>
      <c r="T71" s="47">
        <v>15800</v>
      </c>
      <c r="U71" s="47">
        <v>15800</v>
      </c>
      <c r="V71" s="47">
        <v>15800</v>
      </c>
      <c r="W71" s="47">
        <f t="shared" ref="W71:W118" si="12">SUM(K71:V71)</f>
        <v>189600</v>
      </c>
    </row>
    <row r="72" spans="1:23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0</v>
      </c>
      <c r="L72" s="12">
        <f t="shared" ref="L72:V72" si="13">SUM(L73:L77)</f>
        <v>0</v>
      </c>
      <c r="M72" s="12">
        <f t="shared" si="13"/>
        <v>0</v>
      </c>
      <c r="N72" s="12">
        <f t="shared" si="13"/>
        <v>0</v>
      </c>
      <c r="O72" s="12">
        <f t="shared" si="13"/>
        <v>0</v>
      </c>
      <c r="P72" s="12">
        <f t="shared" si="13"/>
        <v>0</v>
      </c>
      <c r="Q72" s="12">
        <f t="shared" si="13"/>
        <v>0</v>
      </c>
      <c r="R72" s="12">
        <f t="shared" si="13"/>
        <v>0</v>
      </c>
      <c r="S72" s="12">
        <f t="shared" si="13"/>
        <v>0</v>
      </c>
      <c r="T72" s="12">
        <f t="shared" si="13"/>
        <v>0</v>
      </c>
      <c r="U72" s="12">
        <f t="shared" si="13"/>
        <v>0</v>
      </c>
      <c r="V72" s="12">
        <f t="shared" si="13"/>
        <v>0</v>
      </c>
      <c r="W72" s="12">
        <f t="shared" si="12"/>
        <v>0</v>
      </c>
    </row>
    <row r="73" spans="1:23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f t="shared" si="12"/>
        <v>0</v>
      </c>
    </row>
    <row r="74" spans="1:23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f t="shared" si="12"/>
        <v>0</v>
      </c>
    </row>
    <row r="75" spans="1:23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f t="shared" si="12"/>
        <v>0</v>
      </c>
    </row>
    <row r="76" spans="1:23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2"/>
        <v>0</v>
      </c>
    </row>
    <row r="77" spans="1:23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2"/>
        <v>0</v>
      </c>
    </row>
    <row r="78" spans="1:23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f t="shared" si="12"/>
        <v>0</v>
      </c>
    </row>
    <row r="79" spans="1:23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400000</v>
      </c>
      <c r="S79" s="47">
        <v>0</v>
      </c>
      <c r="T79" s="47">
        <v>0</v>
      </c>
      <c r="U79" s="47">
        <v>0</v>
      </c>
      <c r="V79" s="47">
        <v>0</v>
      </c>
      <c r="W79" s="47">
        <f t="shared" si="12"/>
        <v>400000</v>
      </c>
    </row>
    <row r="80" spans="1:23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4">SUM(L81:L82)</f>
        <v>0</v>
      </c>
      <c r="M80" s="12">
        <f t="shared" si="14"/>
        <v>10000</v>
      </c>
      <c r="N80" s="12">
        <f t="shared" si="14"/>
        <v>0</v>
      </c>
      <c r="O80" s="12">
        <f t="shared" si="14"/>
        <v>0</v>
      </c>
      <c r="P80" s="12">
        <f t="shared" si="14"/>
        <v>10000</v>
      </c>
      <c r="Q80" s="12">
        <f t="shared" si="14"/>
        <v>0</v>
      </c>
      <c r="R80" s="12">
        <f t="shared" si="14"/>
        <v>0</v>
      </c>
      <c r="S80" s="12">
        <f t="shared" si="14"/>
        <v>10000</v>
      </c>
      <c r="T80" s="12">
        <f t="shared" si="14"/>
        <v>0</v>
      </c>
      <c r="U80" s="12">
        <f t="shared" si="14"/>
        <v>0</v>
      </c>
      <c r="V80" s="12">
        <f t="shared" si="14"/>
        <v>10000</v>
      </c>
      <c r="W80" s="12">
        <f t="shared" si="12"/>
        <v>40000</v>
      </c>
    </row>
    <row r="81" spans="1:23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10000</v>
      </c>
      <c r="N81" s="47">
        <v>0</v>
      </c>
      <c r="O81" s="47">
        <v>0</v>
      </c>
      <c r="P81" s="47">
        <v>10000</v>
      </c>
      <c r="Q81" s="47">
        <v>0</v>
      </c>
      <c r="R81" s="47">
        <v>0</v>
      </c>
      <c r="S81" s="47">
        <v>10000</v>
      </c>
      <c r="T81" s="47">
        <v>0</v>
      </c>
      <c r="U81" s="47">
        <v>0</v>
      </c>
      <c r="V81" s="47">
        <v>10000</v>
      </c>
      <c r="W81" s="47">
        <f t="shared" si="12"/>
        <v>40000</v>
      </c>
    </row>
    <row r="82" spans="1:23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2"/>
        <v>0</v>
      </c>
    </row>
    <row r="83" spans="1:23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2"/>
        <v>0</v>
      </c>
    </row>
    <row r="84" spans="1:23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2"/>
        <v>0</v>
      </c>
    </row>
    <row r="85" spans="1:23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0</v>
      </c>
      <c r="L85" s="25">
        <f t="shared" ref="L85:V85" si="15">SUM(L86:L96)</f>
        <v>0</v>
      </c>
      <c r="M85" s="25">
        <f t="shared" si="15"/>
        <v>0</v>
      </c>
      <c r="N85" s="25">
        <f t="shared" si="15"/>
        <v>0</v>
      </c>
      <c r="O85" s="25">
        <f t="shared" si="15"/>
        <v>0</v>
      </c>
      <c r="P85" s="25">
        <f t="shared" si="15"/>
        <v>0</v>
      </c>
      <c r="Q85" s="25">
        <f t="shared" si="15"/>
        <v>0</v>
      </c>
      <c r="R85" s="25">
        <f t="shared" si="15"/>
        <v>0</v>
      </c>
      <c r="S85" s="25">
        <f t="shared" si="15"/>
        <v>0</v>
      </c>
      <c r="T85" s="25">
        <f t="shared" si="15"/>
        <v>0</v>
      </c>
      <c r="U85" s="25">
        <f t="shared" si="15"/>
        <v>0</v>
      </c>
      <c r="V85" s="25">
        <f t="shared" si="15"/>
        <v>0</v>
      </c>
      <c r="W85" s="25">
        <f t="shared" si="12"/>
        <v>0</v>
      </c>
    </row>
    <row r="86" spans="1:23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>
        <v>0</v>
      </c>
      <c r="L86" s="47">
        <v>0</v>
      </c>
      <c r="M86" s="47">
        <v>0</v>
      </c>
      <c r="N86" s="47">
        <v>0</v>
      </c>
      <c r="O86" s="47">
        <v>0</v>
      </c>
      <c r="P86" s="47">
        <v>0</v>
      </c>
      <c r="Q86" s="47">
        <v>0</v>
      </c>
      <c r="R86" s="47">
        <v>0</v>
      </c>
      <c r="S86" s="47">
        <v>0</v>
      </c>
      <c r="T86" s="47">
        <v>0</v>
      </c>
      <c r="U86" s="47">
        <v>0</v>
      </c>
      <c r="V86" s="47">
        <v>0</v>
      </c>
      <c r="W86" s="47">
        <f t="shared" si="12"/>
        <v>0</v>
      </c>
    </row>
    <row r="87" spans="1:23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</v>
      </c>
      <c r="V87" s="47">
        <v>0</v>
      </c>
      <c r="W87" s="47">
        <f t="shared" si="12"/>
        <v>0</v>
      </c>
    </row>
    <row r="88" spans="1:23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v>0</v>
      </c>
      <c r="U88" s="47">
        <v>0</v>
      </c>
      <c r="V88" s="47">
        <v>0</v>
      </c>
      <c r="W88" s="47">
        <f t="shared" si="12"/>
        <v>0</v>
      </c>
    </row>
    <row r="89" spans="1:23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>
        <v>0</v>
      </c>
      <c r="L89" s="47">
        <v>0</v>
      </c>
      <c r="M89" s="47">
        <v>0</v>
      </c>
      <c r="N89" s="47">
        <v>0</v>
      </c>
      <c r="O89" s="47">
        <v>0</v>
      </c>
      <c r="P89" s="47">
        <v>0</v>
      </c>
      <c r="Q89" s="47">
        <v>0</v>
      </c>
      <c r="R89" s="47">
        <v>0</v>
      </c>
      <c r="S89" s="47">
        <v>0</v>
      </c>
      <c r="T89" s="47">
        <v>0</v>
      </c>
      <c r="U89" s="47">
        <v>0</v>
      </c>
      <c r="V89" s="47">
        <v>0</v>
      </c>
      <c r="W89" s="47">
        <f t="shared" si="12"/>
        <v>0</v>
      </c>
    </row>
    <row r="90" spans="1:23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0</v>
      </c>
      <c r="L90" s="47">
        <v>0</v>
      </c>
      <c r="M90" s="47">
        <v>0</v>
      </c>
      <c r="N90" s="47">
        <v>0</v>
      </c>
      <c r="O90" s="47">
        <v>0</v>
      </c>
      <c r="P90" s="47">
        <v>0</v>
      </c>
      <c r="Q90" s="47">
        <v>0</v>
      </c>
      <c r="R90" s="47">
        <v>0</v>
      </c>
      <c r="S90" s="47">
        <v>0</v>
      </c>
      <c r="T90" s="47">
        <v>0</v>
      </c>
      <c r="U90" s="47">
        <v>0</v>
      </c>
      <c r="V90" s="47">
        <v>0</v>
      </c>
      <c r="W90" s="47">
        <f t="shared" si="12"/>
        <v>0</v>
      </c>
    </row>
    <row r="91" spans="1:23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0</v>
      </c>
      <c r="R91" s="47">
        <v>0</v>
      </c>
      <c r="S91" s="47">
        <v>0</v>
      </c>
      <c r="T91" s="47">
        <v>0</v>
      </c>
      <c r="U91" s="47">
        <v>0</v>
      </c>
      <c r="V91" s="47">
        <v>0</v>
      </c>
      <c r="W91" s="47">
        <f t="shared" si="12"/>
        <v>0</v>
      </c>
    </row>
    <row r="92" spans="1:23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0</v>
      </c>
      <c r="L92" s="47">
        <v>0</v>
      </c>
      <c r="M92" s="47">
        <v>0</v>
      </c>
      <c r="N92" s="47">
        <v>0</v>
      </c>
      <c r="O92" s="47">
        <v>0</v>
      </c>
      <c r="P92" s="47">
        <v>0</v>
      </c>
      <c r="Q92" s="47">
        <v>0</v>
      </c>
      <c r="R92" s="47">
        <v>0</v>
      </c>
      <c r="S92" s="47">
        <v>0</v>
      </c>
      <c r="T92" s="47">
        <v>0</v>
      </c>
      <c r="U92" s="47">
        <v>0</v>
      </c>
      <c r="V92" s="47">
        <v>0</v>
      </c>
      <c r="W92" s="47">
        <f t="shared" si="12"/>
        <v>0</v>
      </c>
    </row>
    <row r="93" spans="1:23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0</v>
      </c>
      <c r="S93" s="47">
        <v>0</v>
      </c>
      <c r="T93" s="47">
        <v>0</v>
      </c>
      <c r="U93" s="47">
        <v>0</v>
      </c>
      <c r="V93" s="47">
        <v>0</v>
      </c>
      <c r="W93" s="47">
        <f t="shared" si="12"/>
        <v>0</v>
      </c>
    </row>
    <row r="94" spans="1:23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0</v>
      </c>
      <c r="S94" s="47">
        <v>0</v>
      </c>
      <c r="T94" s="47">
        <v>0</v>
      </c>
      <c r="U94" s="47">
        <v>0</v>
      </c>
      <c r="V94" s="47">
        <v>0</v>
      </c>
      <c r="W94" s="47">
        <f t="shared" si="12"/>
        <v>0</v>
      </c>
    </row>
    <row r="95" spans="1:23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0</v>
      </c>
      <c r="T95" s="47">
        <v>0</v>
      </c>
      <c r="U95" s="47">
        <v>0</v>
      </c>
      <c r="V95" s="47">
        <v>0</v>
      </c>
      <c r="W95" s="47">
        <f t="shared" si="12"/>
        <v>0</v>
      </c>
    </row>
    <row r="96" spans="1:23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f t="shared" si="12"/>
        <v>0</v>
      </c>
    </row>
    <row r="97" spans="1:23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1484126</v>
      </c>
      <c r="L97" s="29">
        <f t="shared" ref="L97:V97" si="16">L37+L19+L85</f>
        <v>1638819</v>
      </c>
      <c r="M97" s="29">
        <f t="shared" si="16"/>
        <v>4437217</v>
      </c>
      <c r="N97" s="29">
        <f t="shared" si="16"/>
        <v>2052416.40175</v>
      </c>
      <c r="O97" s="29">
        <f t="shared" si="16"/>
        <v>1668069</v>
      </c>
      <c r="P97" s="29">
        <f t="shared" si="16"/>
        <v>1693819</v>
      </c>
      <c r="Q97" s="29">
        <f t="shared" si="16"/>
        <v>2138482</v>
      </c>
      <c r="R97" s="29">
        <f t="shared" si="16"/>
        <v>2117343.37</v>
      </c>
      <c r="S97" s="29">
        <f t="shared" si="16"/>
        <v>4570379</v>
      </c>
      <c r="T97" s="29">
        <f t="shared" si="16"/>
        <v>2237525.67625</v>
      </c>
      <c r="U97" s="29">
        <f t="shared" si="16"/>
        <v>1975319</v>
      </c>
      <c r="V97" s="29">
        <f t="shared" si="16"/>
        <v>2010617</v>
      </c>
      <c r="W97" s="29">
        <f>SUM(K97:V97)</f>
        <v>28024132.447999999</v>
      </c>
    </row>
    <row r="98" spans="1:23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-1484126</v>
      </c>
      <c r="L98" s="33">
        <f t="shared" ref="L98:V98" si="17">L18-L97</f>
        <v>-1638819</v>
      </c>
      <c r="M98" s="33">
        <f t="shared" si="17"/>
        <v>-4437217</v>
      </c>
      <c r="N98" s="33">
        <f t="shared" si="17"/>
        <v>-2052416.40175</v>
      </c>
      <c r="O98" s="33">
        <f t="shared" si="17"/>
        <v>-1668069</v>
      </c>
      <c r="P98" s="33">
        <f t="shared" si="17"/>
        <v>-1693819</v>
      </c>
      <c r="Q98" s="33">
        <f t="shared" si="17"/>
        <v>-2138482</v>
      </c>
      <c r="R98" s="33">
        <f t="shared" si="17"/>
        <v>-2117343.37</v>
      </c>
      <c r="S98" s="33">
        <f t="shared" si="17"/>
        <v>-4570379</v>
      </c>
      <c r="T98" s="33">
        <f t="shared" si="17"/>
        <v>-2237525.67625</v>
      </c>
      <c r="U98" s="33">
        <f t="shared" si="17"/>
        <v>-1975319</v>
      </c>
      <c r="V98" s="33">
        <f t="shared" si="17"/>
        <v>-2010617</v>
      </c>
      <c r="W98" s="33">
        <f t="shared" si="12"/>
        <v>-28024132.447999999</v>
      </c>
    </row>
    <row r="99" spans="1:23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10000</v>
      </c>
      <c r="L99" s="37">
        <f t="shared" ref="L99:V99" si="18">SUM(L100,L104:L106)</f>
        <v>0</v>
      </c>
      <c r="M99" s="37">
        <f t="shared" si="18"/>
        <v>0</v>
      </c>
      <c r="N99" s="37">
        <f t="shared" si="18"/>
        <v>0</v>
      </c>
      <c r="O99" s="37">
        <f t="shared" si="18"/>
        <v>5000</v>
      </c>
      <c r="P99" s="37">
        <f t="shared" si="18"/>
        <v>0</v>
      </c>
      <c r="Q99" s="37">
        <f t="shared" si="18"/>
        <v>0</v>
      </c>
      <c r="R99" s="37">
        <f t="shared" si="18"/>
        <v>0</v>
      </c>
      <c r="S99" s="37">
        <f t="shared" si="18"/>
        <v>0</v>
      </c>
      <c r="T99" s="37">
        <f t="shared" si="18"/>
        <v>0</v>
      </c>
      <c r="U99" s="37">
        <f t="shared" si="18"/>
        <v>0</v>
      </c>
      <c r="V99" s="37">
        <f t="shared" si="18"/>
        <v>0</v>
      </c>
      <c r="W99" s="37">
        <f t="shared" si="12"/>
        <v>15000</v>
      </c>
    </row>
    <row r="100" spans="1:23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19">SUM(L101:L103)</f>
        <v>0</v>
      </c>
      <c r="M100" s="12">
        <f t="shared" si="19"/>
        <v>0</v>
      </c>
      <c r="N100" s="12">
        <f t="shared" si="19"/>
        <v>0</v>
      </c>
      <c r="O100" s="12">
        <f t="shared" si="19"/>
        <v>0</v>
      </c>
      <c r="P100" s="12">
        <f t="shared" si="19"/>
        <v>0</v>
      </c>
      <c r="Q100" s="12">
        <f t="shared" si="19"/>
        <v>0</v>
      </c>
      <c r="R100" s="12">
        <f t="shared" si="19"/>
        <v>0</v>
      </c>
      <c r="S100" s="12">
        <f t="shared" si="19"/>
        <v>0</v>
      </c>
      <c r="T100" s="12">
        <f t="shared" si="19"/>
        <v>0</v>
      </c>
      <c r="U100" s="12">
        <f t="shared" si="19"/>
        <v>0</v>
      </c>
      <c r="V100" s="12">
        <f t="shared" si="19"/>
        <v>0</v>
      </c>
      <c r="W100" s="12">
        <f t="shared" si="12"/>
        <v>0</v>
      </c>
    </row>
    <row r="101" spans="1:23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0</v>
      </c>
      <c r="R101" s="47">
        <v>0</v>
      </c>
      <c r="S101" s="47">
        <v>0</v>
      </c>
      <c r="T101" s="47">
        <v>0</v>
      </c>
      <c r="U101" s="47">
        <v>0</v>
      </c>
      <c r="V101" s="47">
        <v>0</v>
      </c>
      <c r="W101" s="47">
        <f t="shared" si="12"/>
        <v>0</v>
      </c>
    </row>
    <row r="102" spans="1:23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>
        <v>0</v>
      </c>
      <c r="L102" s="47">
        <v>0</v>
      </c>
      <c r="M102" s="47">
        <v>0</v>
      </c>
      <c r="N102" s="47">
        <v>0</v>
      </c>
      <c r="O102" s="47">
        <v>0</v>
      </c>
      <c r="P102" s="47">
        <v>0</v>
      </c>
      <c r="Q102" s="47">
        <v>0</v>
      </c>
      <c r="R102" s="47">
        <v>0</v>
      </c>
      <c r="S102" s="47">
        <v>0</v>
      </c>
      <c r="T102" s="47">
        <v>0</v>
      </c>
      <c r="U102" s="47">
        <v>0</v>
      </c>
      <c r="V102" s="47">
        <v>0</v>
      </c>
      <c r="W102" s="47">
        <f t="shared" si="12"/>
        <v>0</v>
      </c>
    </row>
    <row r="103" spans="1:23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f t="shared" si="12"/>
        <v>0</v>
      </c>
    </row>
    <row r="104" spans="1:23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v>0</v>
      </c>
      <c r="Q104" s="47">
        <v>0</v>
      </c>
      <c r="R104" s="47">
        <v>0</v>
      </c>
      <c r="S104" s="47">
        <v>0</v>
      </c>
      <c r="T104" s="47">
        <v>0</v>
      </c>
      <c r="U104" s="47">
        <v>0</v>
      </c>
      <c r="V104" s="47">
        <v>0</v>
      </c>
      <c r="W104" s="47">
        <f t="shared" si="12"/>
        <v>0</v>
      </c>
    </row>
    <row r="105" spans="1:23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>
        <v>10000</v>
      </c>
      <c r="L105" s="47">
        <v>0</v>
      </c>
      <c r="M105" s="47">
        <v>0</v>
      </c>
      <c r="N105" s="47">
        <v>0</v>
      </c>
      <c r="O105" s="47">
        <v>5000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f t="shared" si="12"/>
        <v>15000</v>
      </c>
    </row>
    <row r="106" spans="1:23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0</v>
      </c>
      <c r="U106" s="47">
        <v>0</v>
      </c>
      <c r="V106" s="47">
        <v>0</v>
      </c>
      <c r="W106" s="47">
        <f t="shared" si="12"/>
        <v>0</v>
      </c>
    </row>
    <row r="107" spans="1:23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0">SUM(L108:L110)</f>
        <v>0</v>
      </c>
      <c r="M107" s="41">
        <f t="shared" si="20"/>
        <v>0</v>
      </c>
      <c r="N107" s="41">
        <f t="shared" si="20"/>
        <v>0</v>
      </c>
      <c r="O107" s="41">
        <f t="shared" si="20"/>
        <v>0</v>
      </c>
      <c r="P107" s="41">
        <f t="shared" si="20"/>
        <v>0</v>
      </c>
      <c r="Q107" s="41">
        <f t="shared" si="20"/>
        <v>0</v>
      </c>
      <c r="R107" s="41">
        <f t="shared" si="20"/>
        <v>0</v>
      </c>
      <c r="S107" s="41">
        <f t="shared" si="20"/>
        <v>0</v>
      </c>
      <c r="T107" s="41">
        <f t="shared" si="20"/>
        <v>0</v>
      </c>
      <c r="U107" s="41">
        <f t="shared" si="20"/>
        <v>0</v>
      </c>
      <c r="V107" s="41">
        <f t="shared" si="20"/>
        <v>0</v>
      </c>
      <c r="W107" s="41">
        <f t="shared" si="12"/>
        <v>0</v>
      </c>
    </row>
    <row r="108" spans="1:23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f t="shared" si="12"/>
        <v>0</v>
      </c>
    </row>
    <row r="109" spans="1:23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f t="shared" si="12"/>
        <v>0</v>
      </c>
    </row>
    <row r="110" spans="1:23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>
        <v>0</v>
      </c>
      <c r="L110" s="47">
        <v>0</v>
      </c>
      <c r="M110" s="47">
        <v>0</v>
      </c>
      <c r="N110" s="47">
        <v>0</v>
      </c>
      <c r="O110" s="47">
        <v>0</v>
      </c>
      <c r="P110" s="47">
        <v>0</v>
      </c>
      <c r="Q110" s="47">
        <v>0</v>
      </c>
      <c r="R110" s="47">
        <v>0</v>
      </c>
      <c r="S110" s="47">
        <v>0</v>
      </c>
      <c r="T110" s="47">
        <v>0</v>
      </c>
      <c r="U110" s="47">
        <v>0</v>
      </c>
      <c r="V110" s="47">
        <v>0</v>
      </c>
      <c r="W110" s="47">
        <f t="shared" si="12"/>
        <v>0</v>
      </c>
    </row>
    <row r="111" spans="1:23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-1474126</v>
      </c>
      <c r="L111" s="33">
        <f t="shared" ref="L111:V111" si="21">L98+L99-L107</f>
        <v>-1638819</v>
      </c>
      <c r="M111" s="33">
        <f t="shared" si="21"/>
        <v>-4437217</v>
      </c>
      <c r="N111" s="33">
        <f t="shared" si="21"/>
        <v>-2052416.40175</v>
      </c>
      <c r="O111" s="33">
        <f t="shared" si="21"/>
        <v>-1663069</v>
      </c>
      <c r="P111" s="33">
        <f t="shared" si="21"/>
        <v>-1693819</v>
      </c>
      <c r="Q111" s="33">
        <f t="shared" si="21"/>
        <v>-2138482</v>
      </c>
      <c r="R111" s="33">
        <f t="shared" si="21"/>
        <v>-2117343.37</v>
      </c>
      <c r="S111" s="33">
        <f t="shared" si="21"/>
        <v>-4570379</v>
      </c>
      <c r="T111" s="33">
        <f t="shared" si="21"/>
        <v>-2237525.67625</v>
      </c>
      <c r="U111" s="33">
        <f t="shared" si="21"/>
        <v>-1975319</v>
      </c>
      <c r="V111" s="33">
        <f t="shared" si="21"/>
        <v>-2010617</v>
      </c>
      <c r="W111" s="33">
        <f t="shared" si="12"/>
        <v>-28009132.447999999</v>
      </c>
    </row>
    <row r="112" spans="1:23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2">SUM(L113:L114)</f>
        <v>0</v>
      </c>
      <c r="M112" s="37">
        <f t="shared" si="22"/>
        <v>0</v>
      </c>
      <c r="N112" s="37">
        <f t="shared" si="22"/>
        <v>0</v>
      </c>
      <c r="O112" s="37">
        <f t="shared" si="22"/>
        <v>0</v>
      </c>
      <c r="P112" s="37">
        <f t="shared" si="22"/>
        <v>0</v>
      </c>
      <c r="Q112" s="37">
        <f t="shared" si="22"/>
        <v>0</v>
      </c>
      <c r="R112" s="37">
        <f t="shared" si="22"/>
        <v>0</v>
      </c>
      <c r="S112" s="37">
        <f t="shared" si="22"/>
        <v>0</v>
      </c>
      <c r="T112" s="37">
        <f t="shared" si="22"/>
        <v>0</v>
      </c>
      <c r="U112" s="37">
        <f t="shared" si="22"/>
        <v>0</v>
      </c>
      <c r="V112" s="37">
        <f t="shared" si="22"/>
        <v>0</v>
      </c>
      <c r="W112" s="37">
        <f t="shared" si="12"/>
        <v>0</v>
      </c>
    </row>
    <row r="113" spans="1:23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f t="shared" si="12"/>
        <v>0</v>
      </c>
    </row>
    <row r="114" spans="1:23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v>0</v>
      </c>
      <c r="Q114" s="47">
        <v>0</v>
      </c>
      <c r="R114" s="47">
        <v>0</v>
      </c>
      <c r="S114" s="47">
        <v>0</v>
      </c>
      <c r="T114" s="47">
        <v>0</v>
      </c>
      <c r="U114" s="47">
        <v>0</v>
      </c>
      <c r="V114" s="47">
        <v>0</v>
      </c>
      <c r="W114" s="47">
        <f t="shared" si="12"/>
        <v>0</v>
      </c>
    </row>
    <row r="115" spans="1:23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3">SUM(L116:L117)</f>
        <v>0</v>
      </c>
      <c r="M115" s="41">
        <f t="shared" si="23"/>
        <v>0</v>
      </c>
      <c r="N115" s="41">
        <f t="shared" si="23"/>
        <v>0</v>
      </c>
      <c r="O115" s="41">
        <f t="shared" si="23"/>
        <v>0</v>
      </c>
      <c r="P115" s="41">
        <f t="shared" si="23"/>
        <v>0</v>
      </c>
      <c r="Q115" s="41">
        <f t="shared" si="23"/>
        <v>0</v>
      </c>
      <c r="R115" s="41">
        <f t="shared" si="23"/>
        <v>0</v>
      </c>
      <c r="S115" s="41">
        <f t="shared" si="23"/>
        <v>0</v>
      </c>
      <c r="T115" s="41">
        <f t="shared" si="23"/>
        <v>0</v>
      </c>
      <c r="U115" s="41">
        <f t="shared" si="23"/>
        <v>0</v>
      </c>
      <c r="V115" s="41">
        <f t="shared" si="23"/>
        <v>0</v>
      </c>
      <c r="W115" s="41">
        <f t="shared" si="12"/>
        <v>0</v>
      </c>
    </row>
    <row r="116" spans="1:23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7">
        <v>0</v>
      </c>
      <c r="Q116" s="47">
        <v>0</v>
      </c>
      <c r="R116" s="47">
        <v>0</v>
      </c>
      <c r="S116" s="47">
        <v>0</v>
      </c>
      <c r="T116" s="47">
        <v>0</v>
      </c>
      <c r="U116" s="47">
        <v>0</v>
      </c>
      <c r="V116" s="47">
        <v>0</v>
      </c>
      <c r="W116" s="47">
        <f t="shared" si="12"/>
        <v>0</v>
      </c>
    </row>
    <row r="117" spans="1:23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f t="shared" si="12"/>
        <v>0</v>
      </c>
    </row>
    <row r="118" spans="1:23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-1474126</v>
      </c>
      <c r="L118" s="46">
        <f t="shared" ref="L118:V118" si="24">L111+L112-L115</f>
        <v>-1638819</v>
      </c>
      <c r="M118" s="46">
        <f t="shared" si="24"/>
        <v>-4437217</v>
      </c>
      <c r="N118" s="46">
        <f t="shared" si="24"/>
        <v>-2052416.40175</v>
      </c>
      <c r="O118" s="46">
        <f t="shared" si="24"/>
        <v>-1663069</v>
      </c>
      <c r="P118" s="46">
        <f t="shared" si="24"/>
        <v>-1693819</v>
      </c>
      <c r="Q118" s="46">
        <f t="shared" si="24"/>
        <v>-2138482</v>
      </c>
      <c r="R118" s="46">
        <f t="shared" si="24"/>
        <v>-2117343.37</v>
      </c>
      <c r="S118" s="46">
        <f t="shared" si="24"/>
        <v>-4570379</v>
      </c>
      <c r="T118" s="46">
        <f t="shared" si="24"/>
        <v>-2237525.67625</v>
      </c>
      <c r="U118" s="46">
        <f t="shared" si="24"/>
        <v>-1975319</v>
      </c>
      <c r="V118" s="46">
        <f t="shared" si="24"/>
        <v>-2010617</v>
      </c>
      <c r="W118" s="46">
        <f t="shared" si="12"/>
        <v>-28009132.447999999</v>
      </c>
    </row>
  </sheetData>
  <mergeCells count="2">
    <mergeCell ref="A4:A5"/>
    <mergeCell ref="B4:J5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7BF9-C335-46EA-878D-B23AAA8BD134}">
  <dimension ref="A1:W118"/>
  <sheetViews>
    <sheetView showGridLines="0" workbookViewId="0">
      <pane xSplit="10" ySplit="5" topLeftCell="K12" activePane="bottomRight" state="frozen"/>
      <selection activeCell="T120" sqref="T120"/>
      <selection pane="topRight" activeCell="T120" sqref="T120"/>
      <selection pane="bottomLeft" activeCell="T120" sqref="T120"/>
      <selection pane="bottomRight" activeCell="T120" sqref="T120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16384" width="9" style="51"/>
  </cols>
  <sheetData>
    <row r="1" spans="1:23" ht="20" customHeight="1">
      <c r="A1" s="56" t="s">
        <v>226</v>
      </c>
    </row>
    <row r="3" spans="1:23" ht="11.75" customHeight="1">
      <c r="A3" s="57" t="s">
        <v>219</v>
      </c>
    </row>
    <row r="4" spans="1:23" s="58" customFormat="1" ht="11.75" customHeight="1">
      <c r="A4" s="574" t="s">
        <v>0</v>
      </c>
      <c r="B4" s="576" t="s">
        <v>1</v>
      </c>
      <c r="C4" s="577"/>
      <c r="D4" s="577"/>
      <c r="E4" s="577"/>
      <c r="F4" s="577"/>
      <c r="G4" s="577"/>
      <c r="H4" s="577"/>
      <c r="I4" s="577"/>
      <c r="J4" s="578"/>
      <c r="K4" s="55" t="s">
        <v>227</v>
      </c>
      <c r="L4" s="55" t="s">
        <v>228</v>
      </c>
      <c r="M4" s="55" t="s">
        <v>229</v>
      </c>
      <c r="N4" s="55" t="s">
        <v>230</v>
      </c>
      <c r="O4" s="55" t="s">
        <v>231</v>
      </c>
      <c r="P4" s="55" t="s">
        <v>232</v>
      </c>
      <c r="Q4" s="55" t="s">
        <v>233</v>
      </c>
      <c r="R4" s="55" t="s">
        <v>234</v>
      </c>
      <c r="S4" s="55" t="s">
        <v>235</v>
      </c>
      <c r="T4" s="55" t="s">
        <v>236</v>
      </c>
      <c r="U4" s="55" t="s">
        <v>237</v>
      </c>
      <c r="V4" s="55" t="s">
        <v>238</v>
      </c>
      <c r="W4" s="52" t="s">
        <v>225</v>
      </c>
    </row>
    <row r="5" spans="1:23" s="58" customFormat="1" ht="17" customHeight="1">
      <c r="A5" s="575"/>
      <c r="B5" s="579"/>
      <c r="C5" s="580"/>
      <c r="D5" s="580"/>
      <c r="E5" s="580"/>
      <c r="F5" s="580"/>
      <c r="G5" s="580"/>
      <c r="H5" s="580"/>
      <c r="I5" s="580"/>
      <c r="J5" s="581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</row>
    <row r="6" spans="1:23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4894000</v>
      </c>
      <c r="L6" s="7">
        <f t="shared" ref="L6:V6" si="0">SUM(L7:L16)</f>
        <v>8210000</v>
      </c>
      <c r="M6" s="7">
        <f t="shared" si="0"/>
        <v>9617000</v>
      </c>
      <c r="N6" s="7">
        <f t="shared" si="0"/>
        <v>9017000</v>
      </c>
      <c r="O6" s="7">
        <f t="shared" si="0"/>
        <v>10237500</v>
      </c>
      <c r="P6" s="7">
        <f t="shared" si="0"/>
        <v>10015000</v>
      </c>
      <c r="Q6" s="7">
        <f t="shared" si="0"/>
        <v>9529000</v>
      </c>
      <c r="R6" s="7">
        <f t="shared" si="0"/>
        <v>8475000</v>
      </c>
      <c r="S6" s="7">
        <f t="shared" si="0"/>
        <v>11092000</v>
      </c>
      <c r="T6" s="7">
        <f t="shared" si="0"/>
        <v>5400000</v>
      </c>
      <c r="U6" s="7">
        <f t="shared" si="0"/>
        <v>6160000</v>
      </c>
      <c r="V6" s="7">
        <f t="shared" si="0"/>
        <v>5570000</v>
      </c>
      <c r="W6" s="7">
        <f>SUM(K6:V6)</f>
        <v>98216500</v>
      </c>
    </row>
    <row r="7" spans="1:23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4894000</v>
      </c>
      <c r="L7" s="47">
        <v>8210000</v>
      </c>
      <c r="M7" s="47">
        <v>9617000</v>
      </c>
      <c r="N7" s="47">
        <v>9017000</v>
      </c>
      <c r="O7" s="47">
        <v>10237500</v>
      </c>
      <c r="P7" s="47">
        <v>10015000</v>
      </c>
      <c r="Q7" s="47">
        <v>9529000</v>
      </c>
      <c r="R7" s="47">
        <v>8475000</v>
      </c>
      <c r="S7" s="47">
        <v>11092000</v>
      </c>
      <c r="T7" s="47">
        <v>5400000</v>
      </c>
      <c r="U7" s="47">
        <v>6160000</v>
      </c>
      <c r="V7" s="47">
        <v>5570000</v>
      </c>
      <c r="W7" s="47">
        <f t="shared" ref="W7:W70" si="1">SUM(K7:V7)</f>
        <v>98216500</v>
      </c>
    </row>
    <row r="8" spans="1:23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f t="shared" si="1"/>
        <v>0</v>
      </c>
    </row>
    <row r="9" spans="1:23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f t="shared" si="1"/>
        <v>0</v>
      </c>
    </row>
    <row r="10" spans="1:23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f t="shared" si="1"/>
        <v>0</v>
      </c>
    </row>
    <row r="11" spans="1:23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f t="shared" si="1"/>
        <v>0</v>
      </c>
    </row>
    <row r="12" spans="1:23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f t="shared" si="1"/>
        <v>0</v>
      </c>
    </row>
    <row r="13" spans="1:23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f t="shared" si="1"/>
        <v>0</v>
      </c>
    </row>
    <row r="14" spans="1:23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f t="shared" si="1"/>
        <v>0</v>
      </c>
    </row>
    <row r="15" spans="1:23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f t="shared" si="1"/>
        <v>0</v>
      </c>
    </row>
    <row r="16" spans="1:23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f t="shared" si="1"/>
        <v>0</v>
      </c>
    </row>
    <row r="17" spans="1:23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f>K7*0.29</f>
        <v>1419260</v>
      </c>
      <c r="L17" s="48">
        <f t="shared" ref="L17:V17" si="2">L7*0.29</f>
        <v>2380900</v>
      </c>
      <c r="M17" s="48">
        <f t="shared" si="2"/>
        <v>2788930</v>
      </c>
      <c r="N17" s="48">
        <f t="shared" si="2"/>
        <v>2614930</v>
      </c>
      <c r="O17" s="48">
        <f t="shared" si="2"/>
        <v>2968875</v>
      </c>
      <c r="P17" s="48">
        <f t="shared" si="2"/>
        <v>2904350</v>
      </c>
      <c r="Q17" s="48">
        <f t="shared" si="2"/>
        <v>2763410</v>
      </c>
      <c r="R17" s="48">
        <f t="shared" si="2"/>
        <v>2457750</v>
      </c>
      <c r="S17" s="48">
        <f t="shared" si="2"/>
        <v>3216680</v>
      </c>
      <c r="T17" s="48">
        <f t="shared" si="2"/>
        <v>1566000</v>
      </c>
      <c r="U17" s="48">
        <f t="shared" si="2"/>
        <v>1786399.9999999998</v>
      </c>
      <c r="V17" s="48">
        <f t="shared" si="2"/>
        <v>1615300</v>
      </c>
      <c r="W17" s="48">
        <f t="shared" si="1"/>
        <v>28482785</v>
      </c>
    </row>
    <row r="18" spans="1:23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3474740</v>
      </c>
      <c r="L18" s="17">
        <f t="shared" ref="L18:V18" si="3">L6-L17</f>
        <v>5829100</v>
      </c>
      <c r="M18" s="17">
        <f t="shared" si="3"/>
        <v>6828070</v>
      </c>
      <c r="N18" s="17">
        <f t="shared" si="3"/>
        <v>6402070</v>
      </c>
      <c r="O18" s="17">
        <f t="shared" si="3"/>
        <v>7268625</v>
      </c>
      <c r="P18" s="17">
        <f t="shared" si="3"/>
        <v>7110650</v>
      </c>
      <c r="Q18" s="17">
        <f t="shared" si="3"/>
        <v>6765590</v>
      </c>
      <c r="R18" s="17">
        <f t="shared" si="3"/>
        <v>6017250</v>
      </c>
      <c r="S18" s="17">
        <f t="shared" si="3"/>
        <v>7875320</v>
      </c>
      <c r="T18" s="17">
        <f t="shared" si="3"/>
        <v>3834000</v>
      </c>
      <c r="U18" s="17">
        <f t="shared" si="3"/>
        <v>4373600</v>
      </c>
      <c r="V18" s="17">
        <f t="shared" si="3"/>
        <v>3954700</v>
      </c>
      <c r="W18" s="17">
        <f t="shared" si="1"/>
        <v>69733715</v>
      </c>
    </row>
    <row r="19" spans="1:23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3392673</v>
      </c>
      <c r="L19" s="21">
        <f t="shared" ref="L19:V19" si="4">SUM(L20:L22,L26,L29:L31,L35:L36)</f>
        <v>3635335</v>
      </c>
      <c r="M19" s="21">
        <f t="shared" si="4"/>
        <v>6259465</v>
      </c>
      <c r="N19" s="21">
        <f t="shared" si="4"/>
        <v>4301300.1999999993</v>
      </c>
      <c r="O19" s="21">
        <f t="shared" si="4"/>
        <v>3927721</v>
      </c>
      <c r="P19" s="21">
        <f t="shared" si="4"/>
        <v>3635335</v>
      </c>
      <c r="Q19" s="21">
        <f t="shared" si="4"/>
        <v>3815933</v>
      </c>
      <c r="R19" s="21">
        <f t="shared" si="4"/>
        <v>3662197.48</v>
      </c>
      <c r="S19" s="21">
        <f t="shared" si="4"/>
        <v>8849457</v>
      </c>
      <c r="T19" s="21">
        <f t="shared" si="4"/>
        <v>4539376.3</v>
      </c>
      <c r="U19" s="21">
        <f t="shared" si="4"/>
        <v>3635335</v>
      </c>
      <c r="V19" s="21">
        <f t="shared" si="4"/>
        <v>4013069</v>
      </c>
      <c r="W19" s="21">
        <f>SUM(K19:V19)</f>
        <v>53667196.979999997</v>
      </c>
    </row>
    <row r="20" spans="1:23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f t="shared" si="1"/>
        <v>0</v>
      </c>
    </row>
    <row r="21" spans="1:23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f t="shared" si="1"/>
        <v>0</v>
      </c>
    </row>
    <row r="22" spans="1:23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2916720</v>
      </c>
      <c r="L22" s="12">
        <f t="shared" ref="L22:V22" si="5">SUM(L23:L25)</f>
        <v>3028750</v>
      </c>
      <c r="M22" s="12">
        <f t="shared" si="5"/>
        <v>5621030</v>
      </c>
      <c r="N22" s="12">
        <f t="shared" si="5"/>
        <v>3317590</v>
      </c>
      <c r="O22" s="12">
        <f t="shared" si="5"/>
        <v>3317590</v>
      </c>
      <c r="P22" s="12">
        <f t="shared" si="5"/>
        <v>3028750</v>
      </c>
      <c r="Q22" s="12">
        <f t="shared" si="5"/>
        <v>3207150</v>
      </c>
      <c r="R22" s="12">
        <f t="shared" si="5"/>
        <v>3028750</v>
      </c>
      <c r="S22" s="12">
        <f t="shared" si="5"/>
        <v>8179590</v>
      </c>
      <c r="T22" s="12">
        <f t="shared" si="5"/>
        <v>3028750</v>
      </c>
      <c r="U22" s="12">
        <f t="shared" si="5"/>
        <v>3028750</v>
      </c>
      <c r="V22" s="12">
        <f t="shared" si="5"/>
        <v>2948220</v>
      </c>
      <c r="W22" s="12">
        <f t="shared" si="1"/>
        <v>44651640</v>
      </c>
    </row>
    <row r="23" spans="1:23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>
        <v>2916720</v>
      </c>
      <c r="L23" s="47">
        <v>3013000</v>
      </c>
      <c r="M23" s="47">
        <v>5605280</v>
      </c>
      <c r="N23" s="47">
        <v>3301840</v>
      </c>
      <c r="O23" s="47">
        <v>3301840</v>
      </c>
      <c r="P23" s="47">
        <v>3013000</v>
      </c>
      <c r="Q23" s="47">
        <v>3191400</v>
      </c>
      <c r="R23" s="47">
        <v>3013000</v>
      </c>
      <c r="S23" s="47">
        <v>8163840</v>
      </c>
      <c r="T23" s="47">
        <v>3013000</v>
      </c>
      <c r="U23" s="47">
        <v>3013000</v>
      </c>
      <c r="V23" s="47">
        <v>2916720</v>
      </c>
      <c r="W23" s="47">
        <f t="shared" si="1"/>
        <v>44462640</v>
      </c>
    </row>
    <row r="24" spans="1:23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f t="shared" si="1"/>
        <v>0</v>
      </c>
    </row>
    <row r="25" spans="1:23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>
        <v>0</v>
      </c>
      <c r="L25" s="47">
        <v>15750</v>
      </c>
      <c r="M25" s="47">
        <v>15750</v>
      </c>
      <c r="N25" s="47">
        <v>15750</v>
      </c>
      <c r="O25" s="47">
        <v>15750</v>
      </c>
      <c r="P25" s="47">
        <v>15750</v>
      </c>
      <c r="Q25" s="47">
        <v>15750</v>
      </c>
      <c r="R25" s="47">
        <v>15750</v>
      </c>
      <c r="S25" s="47">
        <v>15750</v>
      </c>
      <c r="T25" s="47">
        <v>15750</v>
      </c>
      <c r="U25" s="47">
        <v>15750</v>
      </c>
      <c r="V25" s="47">
        <v>31500</v>
      </c>
      <c r="W25" s="47">
        <f t="shared" si="1"/>
        <v>189000</v>
      </c>
    </row>
    <row r="26" spans="1:23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f t="shared" si="1"/>
        <v>0</v>
      </c>
    </row>
    <row r="27" spans="1:23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</row>
    <row r="28" spans="1:23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</row>
    <row r="29" spans="1:23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>
        <v>37047</v>
      </c>
      <c r="L29" s="47">
        <v>497679</v>
      </c>
      <c r="M29" s="47">
        <v>529529</v>
      </c>
      <c r="N29" s="47">
        <v>874804.19999999984</v>
      </c>
      <c r="O29" s="47">
        <v>501225</v>
      </c>
      <c r="P29" s="47">
        <v>497679</v>
      </c>
      <c r="Q29" s="47">
        <v>499877</v>
      </c>
      <c r="R29" s="47">
        <v>524541.48</v>
      </c>
      <c r="S29" s="47">
        <v>560961</v>
      </c>
      <c r="T29" s="47">
        <v>1201720.3</v>
      </c>
      <c r="U29" s="47">
        <v>497679</v>
      </c>
      <c r="V29" s="47">
        <v>955943</v>
      </c>
      <c r="W29" s="47">
        <f t="shared" si="1"/>
        <v>7178684.9799999995</v>
      </c>
    </row>
    <row r="30" spans="1:23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>
        <v>4400</v>
      </c>
      <c r="L30" s="47">
        <v>4400</v>
      </c>
      <c r="M30" s="47">
        <v>4400</v>
      </c>
      <c r="N30" s="47">
        <v>4400</v>
      </c>
      <c r="O30" s="47">
        <v>4400</v>
      </c>
      <c r="P30" s="47">
        <v>4400</v>
      </c>
      <c r="Q30" s="47">
        <v>4400</v>
      </c>
      <c r="R30" s="47">
        <v>4400</v>
      </c>
      <c r="S30" s="47">
        <v>4400</v>
      </c>
      <c r="T30" s="47">
        <v>4400</v>
      </c>
      <c r="U30" s="47">
        <v>4400</v>
      </c>
      <c r="V30" s="47">
        <v>4400</v>
      </c>
      <c r="W30" s="47">
        <f t="shared" si="1"/>
        <v>52800</v>
      </c>
    </row>
    <row r="31" spans="1:23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336600</v>
      </c>
      <c r="L31" s="12">
        <f t="shared" ref="L31:V31" si="6">SUM(L32:L34)</f>
        <v>6600</v>
      </c>
      <c r="M31" s="12">
        <f t="shared" si="6"/>
        <v>6600</v>
      </c>
      <c r="N31" s="12">
        <f t="shared" si="6"/>
        <v>6600</v>
      </c>
      <c r="O31" s="12">
        <f t="shared" si="6"/>
        <v>6600</v>
      </c>
      <c r="P31" s="12">
        <f t="shared" si="6"/>
        <v>6600</v>
      </c>
      <c r="Q31" s="12">
        <f t="shared" si="6"/>
        <v>6600</v>
      </c>
      <c r="R31" s="12">
        <f t="shared" si="6"/>
        <v>6600</v>
      </c>
      <c r="S31" s="12">
        <f t="shared" si="6"/>
        <v>6600</v>
      </c>
      <c r="T31" s="12">
        <f t="shared" si="6"/>
        <v>206600</v>
      </c>
      <c r="U31" s="12">
        <f t="shared" si="6"/>
        <v>6600</v>
      </c>
      <c r="V31" s="12">
        <f t="shared" si="6"/>
        <v>6600</v>
      </c>
      <c r="W31" s="12">
        <f t="shared" si="1"/>
        <v>609200</v>
      </c>
    </row>
    <row r="32" spans="1:23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>
        <v>6600</v>
      </c>
      <c r="L32" s="47">
        <v>6600</v>
      </c>
      <c r="M32" s="47">
        <v>6600</v>
      </c>
      <c r="N32" s="47">
        <v>6600</v>
      </c>
      <c r="O32" s="47">
        <v>6600</v>
      </c>
      <c r="P32" s="47">
        <v>6600</v>
      </c>
      <c r="Q32" s="47">
        <v>6600</v>
      </c>
      <c r="R32" s="47">
        <v>6600</v>
      </c>
      <c r="S32" s="47">
        <v>6600</v>
      </c>
      <c r="T32" s="47">
        <v>6600</v>
      </c>
      <c r="U32" s="47">
        <v>6600</v>
      </c>
      <c r="V32" s="47">
        <v>6600</v>
      </c>
      <c r="W32" s="47">
        <f t="shared" si="1"/>
        <v>79200</v>
      </c>
    </row>
    <row r="33" spans="1:23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>
        <v>330000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f t="shared" si="1"/>
        <v>330000</v>
      </c>
    </row>
    <row r="34" spans="1:23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200000</v>
      </c>
      <c r="U34" s="47">
        <v>0</v>
      </c>
      <c r="V34" s="47">
        <v>0</v>
      </c>
      <c r="W34" s="47">
        <f t="shared" si="1"/>
        <v>200000</v>
      </c>
    </row>
    <row r="35" spans="1:23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97906</v>
      </c>
      <c r="L35" s="47">
        <v>97906</v>
      </c>
      <c r="M35" s="47">
        <v>97906</v>
      </c>
      <c r="N35" s="47">
        <v>97906</v>
      </c>
      <c r="O35" s="47">
        <v>97906</v>
      </c>
      <c r="P35" s="47">
        <v>97906</v>
      </c>
      <c r="Q35" s="47">
        <v>97906</v>
      </c>
      <c r="R35" s="47">
        <v>97906</v>
      </c>
      <c r="S35" s="47">
        <v>97906</v>
      </c>
      <c r="T35" s="47">
        <v>97906</v>
      </c>
      <c r="U35" s="47">
        <v>97906</v>
      </c>
      <c r="V35" s="47">
        <v>97906</v>
      </c>
      <c r="W35" s="47">
        <f>SUM(K35:V35)</f>
        <v>1174872</v>
      </c>
    </row>
    <row r="36" spans="1:23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53">
        <f t="shared" si="1"/>
        <v>0</v>
      </c>
    </row>
    <row r="37" spans="1:23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1807850</v>
      </c>
      <c r="L37" s="25">
        <f t="shared" ref="L37:V37" si="7">SUM(L38:L41,L46,L50,L57:L58,L61:L67,L70:L72,L78:L80,L83:L84)</f>
        <v>1287589</v>
      </c>
      <c r="M37" s="25">
        <f t="shared" si="7"/>
        <v>2224399</v>
      </c>
      <c r="N37" s="25">
        <f t="shared" si="7"/>
        <v>2051844</v>
      </c>
      <c r="O37" s="25">
        <f t="shared" si="7"/>
        <v>1912822</v>
      </c>
      <c r="P37" s="25">
        <f t="shared" si="7"/>
        <v>2007787</v>
      </c>
      <c r="Q37" s="25">
        <f t="shared" si="7"/>
        <v>2403587</v>
      </c>
      <c r="R37" s="25">
        <f t="shared" si="7"/>
        <v>2516615</v>
      </c>
      <c r="S37" s="25">
        <f t="shared" si="7"/>
        <v>2766441</v>
      </c>
      <c r="T37" s="25">
        <f t="shared" si="7"/>
        <v>2232179</v>
      </c>
      <c r="U37" s="25">
        <f t="shared" si="7"/>
        <v>1855209</v>
      </c>
      <c r="V37" s="25">
        <f t="shared" si="7"/>
        <v>1753283</v>
      </c>
      <c r="W37" s="25">
        <f t="shared" si="1"/>
        <v>24819605</v>
      </c>
    </row>
    <row r="38" spans="1:23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290000</v>
      </c>
      <c r="L38" s="47">
        <v>30000</v>
      </c>
      <c r="M38" s="47">
        <v>180000</v>
      </c>
      <c r="N38" s="47">
        <v>430000</v>
      </c>
      <c r="O38" s="47">
        <v>280000</v>
      </c>
      <c r="P38" s="47">
        <v>30000</v>
      </c>
      <c r="Q38" s="47">
        <v>380000</v>
      </c>
      <c r="R38" s="47">
        <v>330000</v>
      </c>
      <c r="S38" s="47">
        <v>280000</v>
      </c>
      <c r="T38" s="47">
        <v>230000</v>
      </c>
      <c r="U38" s="47">
        <v>30000</v>
      </c>
      <c r="V38" s="47">
        <v>30000</v>
      </c>
      <c r="W38" s="47">
        <f t="shared" si="1"/>
        <v>2520000</v>
      </c>
    </row>
    <row r="39" spans="1:23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0</v>
      </c>
      <c r="L39" s="47">
        <v>20000</v>
      </c>
      <c r="M39" s="47">
        <v>20000</v>
      </c>
      <c r="N39" s="47">
        <v>20000</v>
      </c>
      <c r="O39" s="47">
        <v>20000</v>
      </c>
      <c r="P39" s="47">
        <v>40000</v>
      </c>
      <c r="Q39" s="47">
        <v>20000</v>
      </c>
      <c r="R39" s="47">
        <v>20000</v>
      </c>
      <c r="S39" s="47">
        <v>20000</v>
      </c>
      <c r="T39" s="47">
        <v>20000</v>
      </c>
      <c r="U39" s="47">
        <v>20000</v>
      </c>
      <c r="V39" s="47">
        <v>40000</v>
      </c>
      <c r="W39" s="47">
        <f t="shared" si="1"/>
        <v>260000</v>
      </c>
    </row>
    <row r="40" spans="1:23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</row>
    <row r="41" spans="1:23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32300</v>
      </c>
      <c r="L41" s="12">
        <f t="shared" ref="L41:V41" si="8">SUM(L42:L45)</f>
        <v>34300</v>
      </c>
      <c r="M41" s="12">
        <f t="shared" si="8"/>
        <v>35300</v>
      </c>
      <c r="N41" s="12">
        <f t="shared" si="8"/>
        <v>36300</v>
      </c>
      <c r="O41" s="12">
        <f t="shared" si="8"/>
        <v>45800</v>
      </c>
      <c r="P41" s="12">
        <f t="shared" si="8"/>
        <v>36300</v>
      </c>
      <c r="Q41" s="12">
        <f t="shared" si="8"/>
        <v>35300</v>
      </c>
      <c r="R41" s="12">
        <f t="shared" si="8"/>
        <v>34300</v>
      </c>
      <c r="S41" s="12">
        <f t="shared" si="8"/>
        <v>36300</v>
      </c>
      <c r="T41" s="12">
        <f t="shared" si="8"/>
        <v>32300</v>
      </c>
      <c r="U41" s="12">
        <f t="shared" si="8"/>
        <v>34300</v>
      </c>
      <c r="V41" s="12">
        <f t="shared" si="8"/>
        <v>32300</v>
      </c>
      <c r="W41" s="12">
        <f t="shared" si="1"/>
        <v>425100</v>
      </c>
    </row>
    <row r="42" spans="1:23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</row>
    <row r="43" spans="1:23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f t="shared" si="1"/>
        <v>0</v>
      </c>
    </row>
    <row r="44" spans="1:23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</row>
    <row r="45" spans="1:23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32300</v>
      </c>
      <c r="L45" s="47">
        <v>34300</v>
      </c>
      <c r="M45" s="47">
        <v>35300</v>
      </c>
      <c r="N45" s="47">
        <v>36300</v>
      </c>
      <c r="O45" s="47">
        <v>45800</v>
      </c>
      <c r="P45" s="47">
        <v>36300</v>
      </c>
      <c r="Q45" s="47">
        <v>35300</v>
      </c>
      <c r="R45" s="47">
        <v>34300</v>
      </c>
      <c r="S45" s="47">
        <v>36300</v>
      </c>
      <c r="T45" s="47">
        <v>32300</v>
      </c>
      <c r="U45" s="47">
        <v>34300</v>
      </c>
      <c r="V45" s="47">
        <v>32300</v>
      </c>
      <c r="W45" s="47">
        <f t="shared" si="1"/>
        <v>425100</v>
      </c>
    </row>
    <row r="46" spans="1:23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4210</v>
      </c>
      <c r="L46" s="12">
        <f t="shared" ref="L46:V46" si="9">SUM(L47:L49)</f>
        <v>0</v>
      </c>
      <c r="M46" s="12">
        <f t="shared" si="9"/>
        <v>0</v>
      </c>
      <c r="N46" s="12">
        <f t="shared" si="9"/>
        <v>0</v>
      </c>
      <c r="O46" s="12">
        <f t="shared" si="9"/>
        <v>0</v>
      </c>
      <c r="P46" s="12">
        <f t="shared" si="9"/>
        <v>0</v>
      </c>
      <c r="Q46" s="12">
        <f t="shared" si="9"/>
        <v>0</v>
      </c>
      <c r="R46" s="12">
        <f t="shared" si="9"/>
        <v>0</v>
      </c>
      <c r="S46" s="12">
        <f t="shared" si="9"/>
        <v>0</v>
      </c>
      <c r="T46" s="12">
        <f t="shared" si="9"/>
        <v>0</v>
      </c>
      <c r="U46" s="12">
        <f t="shared" si="9"/>
        <v>0</v>
      </c>
      <c r="V46" s="12">
        <f t="shared" si="9"/>
        <v>34000</v>
      </c>
      <c r="W46" s="12">
        <f t="shared" si="1"/>
        <v>38210</v>
      </c>
    </row>
    <row r="47" spans="1:23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</row>
    <row r="48" spans="1:23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34000</v>
      </c>
      <c r="W48" s="47">
        <f t="shared" si="1"/>
        <v>34000</v>
      </c>
    </row>
    <row r="49" spans="1:23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4210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4210</v>
      </c>
    </row>
    <row r="50" spans="1:23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0">SUM(L51:L56)</f>
        <v>0</v>
      </c>
      <c r="M50" s="12">
        <f t="shared" si="10"/>
        <v>0</v>
      </c>
      <c r="N50" s="12">
        <f t="shared" si="10"/>
        <v>0</v>
      </c>
      <c r="O50" s="12">
        <f t="shared" si="10"/>
        <v>0</v>
      </c>
      <c r="P50" s="12">
        <f t="shared" si="10"/>
        <v>0</v>
      </c>
      <c r="Q50" s="12">
        <f t="shared" si="10"/>
        <v>0</v>
      </c>
      <c r="R50" s="12">
        <f t="shared" si="10"/>
        <v>0</v>
      </c>
      <c r="S50" s="12">
        <f t="shared" si="10"/>
        <v>0</v>
      </c>
      <c r="T50" s="12">
        <f t="shared" si="10"/>
        <v>0</v>
      </c>
      <c r="U50" s="12">
        <f t="shared" si="10"/>
        <v>0</v>
      </c>
      <c r="V50" s="12">
        <f t="shared" si="10"/>
        <v>0</v>
      </c>
      <c r="W50" s="12">
        <f t="shared" si="1"/>
        <v>0</v>
      </c>
    </row>
    <row r="51" spans="1:23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</row>
    <row r="52" spans="1:23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0</v>
      </c>
    </row>
    <row r="53" spans="1:23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</row>
    <row r="54" spans="1:23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</row>
    <row r="55" spans="1:23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0</v>
      </c>
    </row>
    <row r="56" spans="1:23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</row>
    <row r="57" spans="1:23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</row>
    <row r="58" spans="1:23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40000</v>
      </c>
      <c r="L58" s="12">
        <f t="shared" ref="L58:V58" si="11">SUM(L59:L60)</f>
        <v>0</v>
      </c>
      <c r="M58" s="12">
        <f t="shared" si="11"/>
        <v>0</v>
      </c>
      <c r="N58" s="12">
        <f t="shared" si="11"/>
        <v>20000</v>
      </c>
      <c r="O58" s="12">
        <f t="shared" si="11"/>
        <v>0</v>
      </c>
      <c r="P58" s="12">
        <f t="shared" si="11"/>
        <v>187000</v>
      </c>
      <c r="Q58" s="12">
        <f t="shared" si="11"/>
        <v>20000</v>
      </c>
      <c r="R58" s="12">
        <f t="shared" si="11"/>
        <v>40000</v>
      </c>
      <c r="S58" s="12">
        <f t="shared" si="11"/>
        <v>0</v>
      </c>
      <c r="T58" s="12">
        <f t="shared" si="11"/>
        <v>20000</v>
      </c>
      <c r="U58" s="12">
        <f t="shared" si="11"/>
        <v>0</v>
      </c>
      <c r="V58" s="12">
        <f t="shared" si="11"/>
        <v>87000</v>
      </c>
      <c r="W58" s="12">
        <f t="shared" si="1"/>
        <v>414000</v>
      </c>
    </row>
    <row r="59" spans="1:23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40000</v>
      </c>
      <c r="L59" s="47">
        <v>0</v>
      </c>
      <c r="M59" s="47">
        <v>0</v>
      </c>
      <c r="N59" s="47">
        <v>20000</v>
      </c>
      <c r="O59" s="47">
        <v>0</v>
      </c>
      <c r="P59" s="47">
        <v>187000</v>
      </c>
      <c r="Q59" s="47">
        <v>20000</v>
      </c>
      <c r="R59" s="47">
        <v>40000</v>
      </c>
      <c r="S59" s="47">
        <v>0</v>
      </c>
      <c r="T59" s="47">
        <v>20000</v>
      </c>
      <c r="U59" s="47">
        <v>0</v>
      </c>
      <c r="V59" s="47">
        <v>87000</v>
      </c>
      <c r="W59" s="47">
        <f t="shared" si="1"/>
        <v>414000</v>
      </c>
    </row>
    <row r="60" spans="1:23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</row>
    <row r="61" spans="1:23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89000</v>
      </c>
      <c r="L61" s="47">
        <v>97000</v>
      </c>
      <c r="M61" s="47">
        <v>72000</v>
      </c>
      <c r="N61" s="47">
        <v>72000</v>
      </c>
      <c r="O61" s="47">
        <v>72000</v>
      </c>
      <c r="P61" s="47">
        <v>102000</v>
      </c>
      <c r="Q61" s="47">
        <v>72000</v>
      </c>
      <c r="R61" s="47">
        <v>107000</v>
      </c>
      <c r="S61" s="47">
        <v>72000</v>
      </c>
      <c r="T61" s="47">
        <v>90000</v>
      </c>
      <c r="U61" s="47">
        <v>60000</v>
      </c>
      <c r="V61" s="47">
        <v>79000</v>
      </c>
      <c r="W61" s="47">
        <f t="shared" si="1"/>
        <v>984000</v>
      </c>
    </row>
    <row r="62" spans="1:23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</row>
    <row r="63" spans="1:23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136500</v>
      </c>
      <c r="L63" s="47">
        <v>2000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10000</v>
      </c>
      <c r="W63" s="47">
        <f t="shared" si="1"/>
        <v>148500</v>
      </c>
    </row>
    <row r="64" spans="1:23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130000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f t="shared" si="1"/>
        <v>130000</v>
      </c>
    </row>
    <row r="65" spans="1:23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420620</v>
      </c>
      <c r="L65" s="47">
        <v>204620</v>
      </c>
      <c r="M65" s="47">
        <v>239620</v>
      </c>
      <c r="N65" s="47">
        <v>234620</v>
      </c>
      <c r="O65" s="47">
        <v>234620</v>
      </c>
      <c r="P65" s="47">
        <v>254620</v>
      </c>
      <c r="Q65" s="47">
        <v>254620</v>
      </c>
      <c r="R65" s="47">
        <v>234620</v>
      </c>
      <c r="S65" s="47">
        <v>279620</v>
      </c>
      <c r="T65" s="47">
        <v>214620</v>
      </c>
      <c r="U65" s="47">
        <v>214620</v>
      </c>
      <c r="V65" s="47">
        <v>204620</v>
      </c>
      <c r="W65" s="47">
        <f t="shared" si="1"/>
        <v>2991440</v>
      </c>
    </row>
    <row r="66" spans="1:23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</row>
    <row r="67" spans="1:23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114903</v>
      </c>
      <c r="L67" s="12">
        <f t="shared" ref="L67:V67" si="12">SUM(L68:L69)</f>
        <v>298659</v>
      </c>
      <c r="M67" s="12">
        <f t="shared" si="12"/>
        <v>344112</v>
      </c>
      <c r="N67" s="12">
        <f t="shared" si="12"/>
        <v>553392</v>
      </c>
      <c r="O67" s="12">
        <f t="shared" si="12"/>
        <v>364890</v>
      </c>
      <c r="P67" s="12">
        <f t="shared" si="12"/>
        <v>419069</v>
      </c>
      <c r="Q67" s="12">
        <f t="shared" si="12"/>
        <v>424190</v>
      </c>
      <c r="R67" s="12">
        <f t="shared" si="12"/>
        <v>1015220</v>
      </c>
      <c r="S67" s="12">
        <f t="shared" si="12"/>
        <v>769063</v>
      </c>
      <c r="T67" s="12">
        <f t="shared" si="12"/>
        <v>298306</v>
      </c>
      <c r="U67" s="12">
        <f t="shared" si="12"/>
        <v>312284</v>
      </c>
      <c r="V67" s="12">
        <f t="shared" si="12"/>
        <v>261240</v>
      </c>
      <c r="W67" s="12">
        <f t="shared" si="1"/>
        <v>5175328</v>
      </c>
    </row>
    <row r="68" spans="1:23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114903</v>
      </c>
      <c r="L68" s="47">
        <v>298659</v>
      </c>
      <c r="M68" s="47">
        <v>344112</v>
      </c>
      <c r="N68" s="47">
        <v>553392</v>
      </c>
      <c r="O68" s="47">
        <v>364890</v>
      </c>
      <c r="P68" s="47">
        <v>419069</v>
      </c>
      <c r="Q68" s="47">
        <v>424190</v>
      </c>
      <c r="R68" s="47">
        <v>1015220</v>
      </c>
      <c r="S68" s="47">
        <v>769063</v>
      </c>
      <c r="T68" s="47">
        <v>298306</v>
      </c>
      <c r="U68" s="47">
        <v>312284</v>
      </c>
      <c r="V68" s="47">
        <v>261240</v>
      </c>
      <c r="W68" s="47">
        <f t="shared" si="1"/>
        <v>5175328</v>
      </c>
    </row>
    <row r="69" spans="1:23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</row>
    <row r="70" spans="1:23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5500</v>
      </c>
      <c r="L70" s="47">
        <v>3500</v>
      </c>
      <c r="M70" s="47">
        <v>3500</v>
      </c>
      <c r="N70" s="47">
        <v>4000</v>
      </c>
      <c r="O70" s="47">
        <v>4000</v>
      </c>
      <c r="P70" s="47">
        <v>4000</v>
      </c>
      <c r="Q70" s="47">
        <v>4000</v>
      </c>
      <c r="R70" s="47">
        <v>5000</v>
      </c>
      <c r="S70" s="47">
        <v>4000</v>
      </c>
      <c r="T70" s="47">
        <v>4500</v>
      </c>
      <c r="U70" s="47">
        <v>203500</v>
      </c>
      <c r="V70" s="47">
        <v>4500</v>
      </c>
      <c r="W70" s="47">
        <f t="shared" si="1"/>
        <v>250000</v>
      </c>
    </row>
    <row r="71" spans="1:23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8800</v>
      </c>
      <c r="L71" s="47">
        <v>28700</v>
      </c>
      <c r="M71" s="47">
        <v>31900</v>
      </c>
      <c r="N71" s="47">
        <v>28700</v>
      </c>
      <c r="O71" s="47">
        <v>28700</v>
      </c>
      <c r="P71" s="47">
        <v>28700</v>
      </c>
      <c r="Q71" s="47">
        <v>28700</v>
      </c>
      <c r="R71" s="47">
        <v>33700</v>
      </c>
      <c r="S71" s="47">
        <v>28700</v>
      </c>
      <c r="T71" s="47">
        <v>33700</v>
      </c>
      <c r="U71" s="47">
        <v>28700</v>
      </c>
      <c r="V71" s="47">
        <v>53600</v>
      </c>
      <c r="W71" s="47">
        <f t="shared" ref="W71:W118" si="13">SUM(K71:V71)</f>
        <v>362600</v>
      </c>
    </row>
    <row r="72" spans="1:23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629862</v>
      </c>
      <c r="L72" s="12">
        <f t="shared" ref="L72:V72" si="14">SUM(L73:L77)</f>
        <v>531145</v>
      </c>
      <c r="M72" s="12">
        <f t="shared" si="14"/>
        <v>660357</v>
      </c>
      <c r="N72" s="12">
        <f t="shared" si="14"/>
        <v>615012</v>
      </c>
      <c r="O72" s="12">
        <f t="shared" si="14"/>
        <v>824256</v>
      </c>
      <c r="P72" s="12">
        <f t="shared" si="14"/>
        <v>669188</v>
      </c>
      <c r="Q72" s="12">
        <f t="shared" si="14"/>
        <v>597277</v>
      </c>
      <c r="R72" s="12">
        <f t="shared" si="14"/>
        <v>659275</v>
      </c>
      <c r="S72" s="12">
        <f t="shared" si="14"/>
        <v>839258</v>
      </c>
      <c r="T72" s="12">
        <f t="shared" si="14"/>
        <v>851253</v>
      </c>
      <c r="U72" s="12">
        <f t="shared" si="14"/>
        <v>914305</v>
      </c>
      <c r="V72" s="12">
        <f t="shared" si="14"/>
        <v>879523</v>
      </c>
      <c r="W72" s="12">
        <f t="shared" si="13"/>
        <v>8670711</v>
      </c>
    </row>
    <row r="73" spans="1:23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376891</v>
      </c>
      <c r="L73" s="47">
        <v>339642</v>
      </c>
      <c r="M73" s="47">
        <v>377495</v>
      </c>
      <c r="N73" s="47">
        <v>389730</v>
      </c>
      <c r="O73" s="47">
        <v>423600</v>
      </c>
      <c r="P73" s="47">
        <v>431088</v>
      </c>
      <c r="Q73" s="47">
        <v>366887</v>
      </c>
      <c r="R73" s="47">
        <v>370706</v>
      </c>
      <c r="S73" s="47">
        <v>361180</v>
      </c>
      <c r="T73" s="47">
        <v>408314</v>
      </c>
      <c r="U73" s="47">
        <v>415371</v>
      </c>
      <c r="V73" s="47">
        <v>419086</v>
      </c>
      <c r="W73" s="47">
        <f t="shared" si="13"/>
        <v>4679990</v>
      </c>
    </row>
    <row r="74" spans="1:23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0</v>
      </c>
      <c r="L74" s="47">
        <v>0</v>
      </c>
      <c r="M74" s="47">
        <v>92820</v>
      </c>
      <c r="N74" s="47">
        <v>0</v>
      </c>
      <c r="O74" s="47">
        <v>96595</v>
      </c>
      <c r="P74" s="47">
        <v>0</v>
      </c>
      <c r="Q74" s="47">
        <v>90000</v>
      </c>
      <c r="R74" s="47">
        <v>0</v>
      </c>
      <c r="S74" s="47">
        <v>90000</v>
      </c>
      <c r="T74" s="47">
        <v>0</v>
      </c>
      <c r="U74" s="47">
        <v>90000</v>
      </c>
      <c r="V74" s="47">
        <v>90000</v>
      </c>
      <c r="W74" s="47">
        <f t="shared" si="13"/>
        <v>549415</v>
      </c>
    </row>
    <row r="75" spans="1:23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252971</v>
      </c>
      <c r="L75" s="47">
        <v>191503</v>
      </c>
      <c r="M75" s="47">
        <v>190042</v>
      </c>
      <c r="N75" s="47">
        <v>225282</v>
      </c>
      <c r="O75" s="47">
        <v>304061</v>
      </c>
      <c r="P75" s="47">
        <v>238100</v>
      </c>
      <c r="Q75" s="47">
        <v>140390</v>
      </c>
      <c r="R75" s="47">
        <v>288569</v>
      </c>
      <c r="S75" s="47">
        <v>388078</v>
      </c>
      <c r="T75" s="47">
        <v>442939</v>
      </c>
      <c r="U75" s="47">
        <v>408934</v>
      </c>
      <c r="V75" s="47">
        <v>370437</v>
      </c>
      <c r="W75" s="47">
        <f t="shared" si="13"/>
        <v>3441306</v>
      </c>
    </row>
    <row r="76" spans="1:23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3"/>
        <v>0</v>
      </c>
    </row>
    <row r="77" spans="1:23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3"/>
        <v>0</v>
      </c>
    </row>
    <row r="78" spans="1:23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1155</v>
      </c>
      <c r="L78" s="47">
        <v>2665</v>
      </c>
      <c r="M78" s="47">
        <v>2610</v>
      </c>
      <c r="N78" s="47">
        <v>2820</v>
      </c>
      <c r="O78" s="47">
        <v>3556</v>
      </c>
      <c r="P78" s="47">
        <v>1910</v>
      </c>
      <c r="Q78" s="47">
        <v>2500</v>
      </c>
      <c r="R78" s="47">
        <v>2500</v>
      </c>
      <c r="S78" s="47">
        <v>2500</v>
      </c>
      <c r="T78" s="47">
        <v>2500</v>
      </c>
      <c r="U78" s="47">
        <v>2500</v>
      </c>
      <c r="V78" s="47">
        <v>2500</v>
      </c>
      <c r="W78" s="47">
        <f t="shared" si="13"/>
        <v>29716</v>
      </c>
    </row>
    <row r="79" spans="1:23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35000</v>
      </c>
      <c r="L79" s="47">
        <v>35000</v>
      </c>
      <c r="M79" s="47">
        <v>635000</v>
      </c>
      <c r="N79" s="47">
        <v>35000</v>
      </c>
      <c r="O79" s="47">
        <v>35000</v>
      </c>
      <c r="P79" s="47">
        <v>235000</v>
      </c>
      <c r="Q79" s="47">
        <v>435000</v>
      </c>
      <c r="R79" s="47">
        <v>35000</v>
      </c>
      <c r="S79" s="47">
        <v>435000</v>
      </c>
      <c r="T79" s="47">
        <v>435000</v>
      </c>
      <c r="U79" s="47">
        <v>35000</v>
      </c>
      <c r="V79" s="47">
        <v>35000</v>
      </c>
      <c r="W79" s="47">
        <f t="shared" si="13"/>
        <v>2420000</v>
      </c>
    </row>
    <row r="80" spans="1:23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5">SUM(L81:L82)</f>
        <v>0</v>
      </c>
      <c r="M80" s="12">
        <f t="shared" si="15"/>
        <v>0</v>
      </c>
      <c r="N80" s="12">
        <f t="shared" si="15"/>
        <v>0</v>
      </c>
      <c r="O80" s="12">
        <f t="shared" si="15"/>
        <v>0</v>
      </c>
      <c r="P80" s="12">
        <f t="shared" si="15"/>
        <v>0</v>
      </c>
      <c r="Q80" s="12">
        <f t="shared" si="15"/>
        <v>0</v>
      </c>
      <c r="R80" s="12">
        <f t="shared" si="15"/>
        <v>0</v>
      </c>
      <c r="S80" s="12">
        <f t="shared" si="15"/>
        <v>0</v>
      </c>
      <c r="T80" s="12">
        <f t="shared" si="15"/>
        <v>0</v>
      </c>
      <c r="U80" s="12">
        <f t="shared" si="15"/>
        <v>0</v>
      </c>
      <c r="V80" s="12">
        <f t="shared" si="15"/>
        <v>0</v>
      </c>
      <c r="W80" s="12">
        <f t="shared" si="13"/>
        <v>0</v>
      </c>
    </row>
    <row r="81" spans="1:23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3"/>
        <v>0</v>
      </c>
    </row>
    <row r="82" spans="1:23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3"/>
        <v>0</v>
      </c>
    </row>
    <row r="83" spans="1:23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3"/>
        <v>0</v>
      </c>
    </row>
    <row r="84" spans="1:23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3"/>
        <v>0</v>
      </c>
    </row>
    <row r="85" spans="1:23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680401</v>
      </c>
      <c r="L85" s="25">
        <f t="shared" ref="L85:V85" si="16">SUM(L86:L96)</f>
        <v>680401</v>
      </c>
      <c r="M85" s="25">
        <f t="shared" si="16"/>
        <v>448820</v>
      </c>
      <c r="N85" s="25">
        <f t="shared" si="16"/>
        <v>448795</v>
      </c>
      <c r="O85" s="25">
        <f t="shared" si="16"/>
        <v>448795</v>
      </c>
      <c r="P85" s="25">
        <f t="shared" si="16"/>
        <v>448795</v>
      </c>
      <c r="Q85" s="25">
        <f t="shared" si="16"/>
        <v>448795</v>
      </c>
      <c r="R85" s="25">
        <f t="shared" si="16"/>
        <v>448795</v>
      </c>
      <c r="S85" s="25">
        <f t="shared" si="16"/>
        <v>448795</v>
      </c>
      <c r="T85" s="25">
        <f t="shared" si="16"/>
        <v>448795</v>
      </c>
      <c r="U85" s="25">
        <f t="shared" si="16"/>
        <v>446418</v>
      </c>
      <c r="V85" s="25">
        <f t="shared" si="16"/>
        <v>417451</v>
      </c>
      <c r="W85" s="25">
        <f t="shared" si="13"/>
        <v>5815056</v>
      </c>
    </row>
    <row r="86" spans="1:23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>
        <v>0</v>
      </c>
      <c r="L86" s="47">
        <v>0</v>
      </c>
      <c r="M86" s="47">
        <v>0</v>
      </c>
      <c r="N86" s="47">
        <v>0</v>
      </c>
      <c r="O86" s="47">
        <v>0</v>
      </c>
      <c r="P86" s="47">
        <v>0</v>
      </c>
      <c r="Q86" s="47">
        <v>0</v>
      </c>
      <c r="R86" s="47">
        <v>0</v>
      </c>
      <c r="S86" s="47">
        <v>0</v>
      </c>
      <c r="T86" s="47">
        <v>0</v>
      </c>
      <c r="U86" s="47">
        <v>0</v>
      </c>
      <c r="V86" s="47">
        <v>0</v>
      </c>
      <c r="W86" s="47">
        <f t="shared" si="13"/>
        <v>0</v>
      </c>
    </row>
    <row r="87" spans="1:23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>
        <v>0</v>
      </c>
      <c r="L87" s="47">
        <v>0</v>
      </c>
      <c r="M87" s="47">
        <v>58333</v>
      </c>
      <c r="N87" s="47">
        <v>58333</v>
      </c>
      <c r="O87" s="47">
        <v>58333</v>
      </c>
      <c r="P87" s="47">
        <v>58333</v>
      </c>
      <c r="Q87" s="47">
        <v>58333</v>
      </c>
      <c r="R87" s="47">
        <v>58333</v>
      </c>
      <c r="S87" s="47">
        <v>58333</v>
      </c>
      <c r="T87" s="47">
        <v>58333</v>
      </c>
      <c r="U87" s="47">
        <v>58333</v>
      </c>
      <c r="V87" s="47">
        <v>58336</v>
      </c>
      <c r="W87" s="47">
        <f t="shared" si="13"/>
        <v>583333</v>
      </c>
    </row>
    <row r="88" spans="1:23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v>0</v>
      </c>
      <c r="U88" s="47">
        <v>0</v>
      </c>
      <c r="V88" s="47">
        <v>0</v>
      </c>
      <c r="W88" s="47">
        <f t="shared" si="13"/>
        <v>0</v>
      </c>
    </row>
    <row r="89" spans="1:23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>
        <v>41666</v>
      </c>
      <c r="L89" s="47">
        <v>41666</v>
      </c>
      <c r="M89" s="47">
        <v>41666</v>
      </c>
      <c r="N89" s="47">
        <v>41666</v>
      </c>
      <c r="O89" s="47">
        <v>41666</v>
      </c>
      <c r="P89" s="47">
        <v>41666</v>
      </c>
      <c r="Q89" s="47">
        <v>41666</v>
      </c>
      <c r="R89" s="47">
        <v>41666</v>
      </c>
      <c r="S89" s="47">
        <v>41666</v>
      </c>
      <c r="T89" s="47">
        <v>41666</v>
      </c>
      <c r="U89" s="47">
        <v>41666</v>
      </c>
      <c r="V89" s="47">
        <v>41674</v>
      </c>
      <c r="W89" s="47">
        <f t="shared" si="13"/>
        <v>500000</v>
      </c>
    </row>
    <row r="90" spans="1:23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614874</v>
      </c>
      <c r="L90" s="47">
        <v>614874</v>
      </c>
      <c r="M90" s="47">
        <v>324960</v>
      </c>
      <c r="N90" s="47">
        <v>324935</v>
      </c>
      <c r="O90" s="47">
        <v>324935</v>
      </c>
      <c r="P90" s="47">
        <v>324935</v>
      </c>
      <c r="Q90" s="47">
        <v>324935</v>
      </c>
      <c r="R90" s="47">
        <v>324935</v>
      </c>
      <c r="S90" s="47">
        <v>324935</v>
      </c>
      <c r="T90" s="47">
        <v>324935</v>
      </c>
      <c r="U90" s="47">
        <v>322558</v>
      </c>
      <c r="V90" s="47">
        <v>293569</v>
      </c>
      <c r="W90" s="47">
        <f t="shared" si="13"/>
        <v>4445380</v>
      </c>
    </row>
    <row r="91" spans="1:23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0</v>
      </c>
      <c r="R91" s="47">
        <v>0</v>
      </c>
      <c r="S91" s="47">
        <v>0</v>
      </c>
      <c r="T91" s="47">
        <v>0</v>
      </c>
      <c r="U91" s="47">
        <v>0</v>
      </c>
      <c r="V91" s="47">
        <v>0</v>
      </c>
      <c r="W91" s="47">
        <f t="shared" si="13"/>
        <v>0</v>
      </c>
    </row>
    <row r="92" spans="1:23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18195</v>
      </c>
      <c r="L92" s="47">
        <v>18195</v>
      </c>
      <c r="M92" s="47">
        <v>18195</v>
      </c>
      <c r="N92" s="47">
        <v>18195</v>
      </c>
      <c r="O92" s="47">
        <v>18195</v>
      </c>
      <c r="P92" s="47">
        <v>18195</v>
      </c>
      <c r="Q92" s="47">
        <v>18195</v>
      </c>
      <c r="R92" s="47">
        <v>18195</v>
      </c>
      <c r="S92" s="47">
        <v>18195</v>
      </c>
      <c r="T92" s="47">
        <v>18195</v>
      </c>
      <c r="U92" s="47">
        <v>18195</v>
      </c>
      <c r="V92" s="47">
        <v>18199</v>
      </c>
      <c r="W92" s="47">
        <f t="shared" si="13"/>
        <v>218344</v>
      </c>
    </row>
    <row r="93" spans="1:23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0</v>
      </c>
      <c r="S93" s="47">
        <v>0</v>
      </c>
      <c r="T93" s="47">
        <v>0</v>
      </c>
      <c r="U93" s="47">
        <v>0</v>
      </c>
      <c r="V93" s="47">
        <v>0</v>
      </c>
      <c r="W93" s="47">
        <f t="shared" si="13"/>
        <v>0</v>
      </c>
    </row>
    <row r="94" spans="1:23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>
        <v>5666</v>
      </c>
      <c r="L94" s="47">
        <v>5666</v>
      </c>
      <c r="M94" s="47">
        <v>5666</v>
      </c>
      <c r="N94" s="47">
        <v>5666</v>
      </c>
      <c r="O94" s="47">
        <v>5666</v>
      </c>
      <c r="P94" s="47">
        <v>5666</v>
      </c>
      <c r="Q94" s="47">
        <v>5666</v>
      </c>
      <c r="R94" s="47">
        <v>5666</v>
      </c>
      <c r="S94" s="47">
        <v>5666</v>
      </c>
      <c r="T94" s="47">
        <v>5666</v>
      </c>
      <c r="U94" s="47">
        <v>5666</v>
      </c>
      <c r="V94" s="47">
        <v>5673</v>
      </c>
      <c r="W94" s="47">
        <f t="shared" si="13"/>
        <v>67999</v>
      </c>
    </row>
    <row r="95" spans="1:23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0</v>
      </c>
      <c r="T95" s="47">
        <v>0</v>
      </c>
      <c r="U95" s="47">
        <v>0</v>
      </c>
      <c r="V95" s="47">
        <v>0</v>
      </c>
      <c r="W95" s="47">
        <f t="shared" si="13"/>
        <v>0</v>
      </c>
    </row>
    <row r="96" spans="1:23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f t="shared" si="13"/>
        <v>0</v>
      </c>
    </row>
    <row r="97" spans="1:23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5880924</v>
      </c>
      <c r="L97" s="29">
        <f t="shared" ref="L97:V97" si="17">L37+L19+L85</f>
        <v>5603325</v>
      </c>
      <c r="M97" s="29">
        <f t="shared" si="17"/>
        <v>8932684</v>
      </c>
      <c r="N97" s="29">
        <f t="shared" si="17"/>
        <v>6801939.1999999993</v>
      </c>
      <c r="O97" s="29">
        <f t="shared" si="17"/>
        <v>6289338</v>
      </c>
      <c r="P97" s="29">
        <f t="shared" si="17"/>
        <v>6091917</v>
      </c>
      <c r="Q97" s="29">
        <f t="shared" si="17"/>
        <v>6668315</v>
      </c>
      <c r="R97" s="29">
        <f t="shared" si="17"/>
        <v>6627607.4800000004</v>
      </c>
      <c r="S97" s="29">
        <f t="shared" si="17"/>
        <v>12064693</v>
      </c>
      <c r="T97" s="29">
        <f t="shared" si="17"/>
        <v>7220350.2999999998</v>
      </c>
      <c r="U97" s="29">
        <f t="shared" si="17"/>
        <v>5936962</v>
      </c>
      <c r="V97" s="29">
        <f t="shared" si="17"/>
        <v>6183803</v>
      </c>
      <c r="W97" s="29">
        <f>SUM(K97:V97)</f>
        <v>84301857.980000004</v>
      </c>
    </row>
    <row r="98" spans="1:23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-2406184</v>
      </c>
      <c r="L98" s="33">
        <f t="shared" ref="L98:V98" si="18">L18-L97</f>
        <v>225775</v>
      </c>
      <c r="M98" s="33">
        <f t="shared" si="18"/>
        <v>-2104614</v>
      </c>
      <c r="N98" s="33">
        <f t="shared" si="18"/>
        <v>-399869.19999999925</v>
      </c>
      <c r="O98" s="33">
        <f t="shared" si="18"/>
        <v>979287</v>
      </c>
      <c r="P98" s="33">
        <f t="shared" si="18"/>
        <v>1018733</v>
      </c>
      <c r="Q98" s="33">
        <f t="shared" si="18"/>
        <v>97275</v>
      </c>
      <c r="R98" s="33">
        <f t="shared" si="18"/>
        <v>-610357.48000000045</v>
      </c>
      <c r="S98" s="33">
        <f t="shared" si="18"/>
        <v>-4189373</v>
      </c>
      <c r="T98" s="33">
        <f t="shared" si="18"/>
        <v>-3386350.3</v>
      </c>
      <c r="U98" s="33">
        <f t="shared" si="18"/>
        <v>-1563362</v>
      </c>
      <c r="V98" s="33">
        <f t="shared" si="18"/>
        <v>-2229103</v>
      </c>
      <c r="W98" s="33">
        <f t="shared" si="13"/>
        <v>-14568142.98</v>
      </c>
    </row>
    <row r="99" spans="1:23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12025</v>
      </c>
      <c r="L99" s="37">
        <f t="shared" ref="L99:V99" si="19">SUM(L100,L104:L106)</f>
        <v>62843</v>
      </c>
      <c r="M99" s="37">
        <f t="shared" si="19"/>
        <v>0</v>
      </c>
      <c r="N99" s="37">
        <f t="shared" si="19"/>
        <v>337</v>
      </c>
      <c r="O99" s="37">
        <f t="shared" si="19"/>
        <v>0</v>
      </c>
      <c r="P99" s="37">
        <f t="shared" si="19"/>
        <v>10337</v>
      </c>
      <c r="Q99" s="37">
        <f t="shared" si="19"/>
        <v>0</v>
      </c>
      <c r="R99" s="37">
        <f t="shared" si="19"/>
        <v>0</v>
      </c>
      <c r="S99" s="37">
        <f t="shared" si="19"/>
        <v>0</v>
      </c>
      <c r="T99" s="37">
        <f t="shared" si="19"/>
        <v>0</v>
      </c>
      <c r="U99" s="37">
        <f t="shared" si="19"/>
        <v>0</v>
      </c>
      <c r="V99" s="37">
        <f t="shared" si="19"/>
        <v>0</v>
      </c>
      <c r="W99" s="37">
        <f t="shared" si="13"/>
        <v>85542</v>
      </c>
    </row>
    <row r="100" spans="1:23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0">SUM(L101:L103)</f>
        <v>0</v>
      </c>
      <c r="M100" s="12">
        <f t="shared" si="20"/>
        <v>0</v>
      </c>
      <c r="N100" s="12">
        <f t="shared" si="20"/>
        <v>0</v>
      </c>
      <c r="O100" s="12">
        <f t="shared" si="20"/>
        <v>0</v>
      </c>
      <c r="P100" s="12">
        <f t="shared" si="20"/>
        <v>0</v>
      </c>
      <c r="Q100" s="12">
        <f t="shared" si="20"/>
        <v>0</v>
      </c>
      <c r="R100" s="12">
        <f t="shared" si="20"/>
        <v>0</v>
      </c>
      <c r="S100" s="12">
        <f t="shared" si="20"/>
        <v>0</v>
      </c>
      <c r="T100" s="12">
        <f t="shared" si="20"/>
        <v>0</v>
      </c>
      <c r="U100" s="12">
        <f t="shared" si="20"/>
        <v>0</v>
      </c>
      <c r="V100" s="12">
        <f t="shared" si="20"/>
        <v>0</v>
      </c>
      <c r="W100" s="12">
        <f t="shared" si="13"/>
        <v>0</v>
      </c>
    </row>
    <row r="101" spans="1:23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0</v>
      </c>
      <c r="R101" s="47">
        <v>0</v>
      </c>
      <c r="S101" s="47">
        <v>0</v>
      </c>
      <c r="T101" s="47">
        <v>0</v>
      </c>
      <c r="U101" s="47">
        <v>0</v>
      </c>
      <c r="V101" s="47">
        <v>0</v>
      </c>
      <c r="W101" s="47">
        <f t="shared" si="13"/>
        <v>0</v>
      </c>
    </row>
    <row r="102" spans="1:23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>
        <v>0</v>
      </c>
      <c r="L102" s="47">
        <v>0</v>
      </c>
      <c r="M102" s="47">
        <v>0</v>
      </c>
      <c r="N102" s="47">
        <v>0</v>
      </c>
      <c r="O102" s="47">
        <v>0</v>
      </c>
      <c r="P102" s="47">
        <v>0</v>
      </c>
      <c r="Q102" s="47">
        <v>0</v>
      </c>
      <c r="R102" s="47">
        <v>0</v>
      </c>
      <c r="S102" s="47">
        <v>0</v>
      </c>
      <c r="T102" s="47">
        <v>0</v>
      </c>
      <c r="U102" s="47">
        <v>0</v>
      </c>
      <c r="V102" s="47">
        <v>0</v>
      </c>
      <c r="W102" s="47">
        <f t="shared" si="13"/>
        <v>0</v>
      </c>
    </row>
    <row r="103" spans="1:23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f t="shared" si="13"/>
        <v>0</v>
      </c>
    </row>
    <row r="104" spans="1:23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v>0</v>
      </c>
      <c r="Q104" s="47">
        <v>0</v>
      </c>
      <c r="R104" s="47">
        <v>0</v>
      </c>
      <c r="S104" s="47">
        <v>0</v>
      </c>
      <c r="T104" s="47">
        <v>0</v>
      </c>
      <c r="U104" s="47">
        <v>0</v>
      </c>
      <c r="V104" s="47">
        <v>0</v>
      </c>
      <c r="W104" s="47">
        <f t="shared" si="13"/>
        <v>0</v>
      </c>
    </row>
    <row r="105" spans="1:23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>
        <v>12025</v>
      </c>
      <c r="L105" s="47">
        <v>62843</v>
      </c>
      <c r="M105" s="47">
        <v>0</v>
      </c>
      <c r="N105" s="47">
        <v>337</v>
      </c>
      <c r="O105" s="47">
        <v>0</v>
      </c>
      <c r="P105" s="47">
        <v>10337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f t="shared" si="13"/>
        <v>85542</v>
      </c>
    </row>
    <row r="106" spans="1:23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0</v>
      </c>
      <c r="U106" s="47">
        <v>0</v>
      </c>
      <c r="V106" s="47">
        <v>0</v>
      </c>
      <c r="W106" s="47">
        <f t="shared" si="13"/>
        <v>0</v>
      </c>
    </row>
    <row r="107" spans="1:23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1">SUM(L108:L110)</f>
        <v>0</v>
      </c>
      <c r="M107" s="41">
        <f t="shared" si="21"/>
        <v>0</v>
      </c>
      <c r="N107" s="41">
        <f t="shared" si="21"/>
        <v>0</v>
      </c>
      <c r="O107" s="41">
        <f t="shared" si="21"/>
        <v>0</v>
      </c>
      <c r="P107" s="41">
        <f t="shared" si="21"/>
        <v>0</v>
      </c>
      <c r="Q107" s="41">
        <f t="shared" si="21"/>
        <v>0</v>
      </c>
      <c r="R107" s="41">
        <f t="shared" si="21"/>
        <v>0</v>
      </c>
      <c r="S107" s="41">
        <f t="shared" si="21"/>
        <v>0</v>
      </c>
      <c r="T107" s="41">
        <f t="shared" si="21"/>
        <v>0</v>
      </c>
      <c r="U107" s="41">
        <f t="shared" si="21"/>
        <v>0</v>
      </c>
      <c r="V107" s="41">
        <f t="shared" si="21"/>
        <v>0</v>
      </c>
      <c r="W107" s="41">
        <f t="shared" si="13"/>
        <v>0</v>
      </c>
    </row>
    <row r="108" spans="1:23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f t="shared" si="13"/>
        <v>0</v>
      </c>
    </row>
    <row r="109" spans="1:23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f t="shared" si="13"/>
        <v>0</v>
      </c>
    </row>
    <row r="110" spans="1:23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>
        <v>0</v>
      </c>
      <c r="L110" s="47">
        <v>0</v>
      </c>
      <c r="M110" s="47">
        <v>0</v>
      </c>
      <c r="N110" s="47">
        <v>0</v>
      </c>
      <c r="O110" s="47">
        <v>0</v>
      </c>
      <c r="P110" s="47">
        <v>0</v>
      </c>
      <c r="Q110" s="47">
        <v>0</v>
      </c>
      <c r="R110" s="47">
        <v>0</v>
      </c>
      <c r="S110" s="47">
        <v>0</v>
      </c>
      <c r="T110" s="47">
        <v>0</v>
      </c>
      <c r="U110" s="47">
        <v>0</v>
      </c>
      <c r="V110" s="47">
        <v>0</v>
      </c>
      <c r="W110" s="47">
        <f t="shared" si="13"/>
        <v>0</v>
      </c>
    </row>
    <row r="111" spans="1:23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-2394159</v>
      </c>
      <c r="L111" s="33">
        <f t="shared" ref="L111:V111" si="22">L98+L99-L107</f>
        <v>288618</v>
      </c>
      <c r="M111" s="33">
        <f t="shared" si="22"/>
        <v>-2104614</v>
      </c>
      <c r="N111" s="33">
        <f t="shared" si="22"/>
        <v>-399532.19999999925</v>
      </c>
      <c r="O111" s="33">
        <f t="shared" si="22"/>
        <v>979287</v>
      </c>
      <c r="P111" s="33">
        <f t="shared" si="22"/>
        <v>1029070</v>
      </c>
      <c r="Q111" s="33">
        <f t="shared" si="22"/>
        <v>97275</v>
      </c>
      <c r="R111" s="33">
        <f t="shared" si="22"/>
        <v>-610357.48000000045</v>
      </c>
      <c r="S111" s="33">
        <f t="shared" si="22"/>
        <v>-4189373</v>
      </c>
      <c r="T111" s="33">
        <f t="shared" si="22"/>
        <v>-3386350.3</v>
      </c>
      <c r="U111" s="33">
        <f t="shared" si="22"/>
        <v>-1563362</v>
      </c>
      <c r="V111" s="33">
        <f t="shared" si="22"/>
        <v>-2229103</v>
      </c>
      <c r="W111" s="33">
        <f t="shared" si="13"/>
        <v>-14482600.98</v>
      </c>
    </row>
    <row r="112" spans="1:23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3">SUM(L113:L114)</f>
        <v>0</v>
      </c>
      <c r="M112" s="37">
        <f t="shared" si="23"/>
        <v>0</v>
      </c>
      <c r="N112" s="37">
        <f t="shared" si="23"/>
        <v>0</v>
      </c>
      <c r="O112" s="37">
        <f t="shared" si="23"/>
        <v>0</v>
      </c>
      <c r="P112" s="37">
        <f t="shared" si="23"/>
        <v>0</v>
      </c>
      <c r="Q112" s="37">
        <f t="shared" si="23"/>
        <v>0</v>
      </c>
      <c r="R112" s="37">
        <f t="shared" si="23"/>
        <v>0</v>
      </c>
      <c r="S112" s="37">
        <f t="shared" si="23"/>
        <v>0</v>
      </c>
      <c r="T112" s="37">
        <f t="shared" si="23"/>
        <v>0</v>
      </c>
      <c r="U112" s="37">
        <f t="shared" si="23"/>
        <v>0</v>
      </c>
      <c r="V112" s="37">
        <f t="shared" si="23"/>
        <v>0</v>
      </c>
      <c r="W112" s="37">
        <f t="shared" si="13"/>
        <v>0</v>
      </c>
    </row>
    <row r="113" spans="1:23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f t="shared" si="13"/>
        <v>0</v>
      </c>
    </row>
    <row r="114" spans="1:23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v>0</v>
      </c>
      <c r="Q114" s="47">
        <v>0</v>
      </c>
      <c r="R114" s="47">
        <v>0</v>
      </c>
      <c r="S114" s="47">
        <v>0</v>
      </c>
      <c r="T114" s="47">
        <v>0</v>
      </c>
      <c r="U114" s="47">
        <v>0</v>
      </c>
      <c r="V114" s="47">
        <v>0</v>
      </c>
      <c r="W114" s="47">
        <f t="shared" si="13"/>
        <v>0</v>
      </c>
    </row>
    <row r="115" spans="1:23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4">SUM(L116:L117)</f>
        <v>0</v>
      </c>
      <c r="M115" s="41">
        <f t="shared" si="24"/>
        <v>0</v>
      </c>
      <c r="N115" s="41">
        <f t="shared" si="24"/>
        <v>0</v>
      </c>
      <c r="O115" s="41">
        <f t="shared" si="24"/>
        <v>0</v>
      </c>
      <c r="P115" s="41">
        <f t="shared" si="24"/>
        <v>0</v>
      </c>
      <c r="Q115" s="41">
        <f t="shared" si="24"/>
        <v>0</v>
      </c>
      <c r="R115" s="41">
        <f t="shared" si="24"/>
        <v>0</v>
      </c>
      <c r="S115" s="41">
        <f t="shared" si="24"/>
        <v>0</v>
      </c>
      <c r="T115" s="41">
        <f t="shared" si="24"/>
        <v>0</v>
      </c>
      <c r="U115" s="41">
        <f t="shared" si="24"/>
        <v>0</v>
      </c>
      <c r="V115" s="41">
        <f t="shared" si="24"/>
        <v>0</v>
      </c>
      <c r="W115" s="41">
        <f t="shared" si="13"/>
        <v>0</v>
      </c>
    </row>
    <row r="116" spans="1:23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7">
        <v>0</v>
      </c>
      <c r="Q116" s="47">
        <v>0</v>
      </c>
      <c r="R116" s="47">
        <v>0</v>
      </c>
      <c r="S116" s="47">
        <v>0</v>
      </c>
      <c r="T116" s="47">
        <v>0</v>
      </c>
      <c r="U116" s="47">
        <v>0</v>
      </c>
      <c r="V116" s="47">
        <v>0</v>
      </c>
      <c r="W116" s="47">
        <f t="shared" si="13"/>
        <v>0</v>
      </c>
    </row>
    <row r="117" spans="1:23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f t="shared" si="13"/>
        <v>0</v>
      </c>
    </row>
    <row r="118" spans="1:23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-2394159</v>
      </c>
      <c r="L118" s="46">
        <f t="shared" ref="L118:V118" si="25">L111+L112-L115</f>
        <v>288618</v>
      </c>
      <c r="M118" s="46">
        <f t="shared" si="25"/>
        <v>-2104614</v>
      </c>
      <c r="N118" s="46">
        <f t="shared" si="25"/>
        <v>-399532.19999999925</v>
      </c>
      <c r="O118" s="46">
        <f t="shared" si="25"/>
        <v>979287</v>
      </c>
      <c r="P118" s="46">
        <f t="shared" si="25"/>
        <v>1029070</v>
      </c>
      <c r="Q118" s="46">
        <f t="shared" si="25"/>
        <v>97275</v>
      </c>
      <c r="R118" s="46">
        <f t="shared" si="25"/>
        <v>-610357.48000000045</v>
      </c>
      <c r="S118" s="46">
        <f t="shared" si="25"/>
        <v>-4189373</v>
      </c>
      <c r="T118" s="46">
        <f t="shared" si="25"/>
        <v>-3386350.3</v>
      </c>
      <c r="U118" s="46">
        <f t="shared" si="25"/>
        <v>-1563362</v>
      </c>
      <c r="V118" s="46">
        <f t="shared" si="25"/>
        <v>-2229103</v>
      </c>
      <c r="W118" s="46">
        <f t="shared" si="13"/>
        <v>-14482600.98</v>
      </c>
    </row>
  </sheetData>
  <mergeCells count="2">
    <mergeCell ref="A4:A5"/>
    <mergeCell ref="B4:J5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7E25-2729-4C22-866E-E5C8CF88BE7E}">
  <dimension ref="A1:W118"/>
  <sheetViews>
    <sheetView showGridLines="0" workbookViewId="0">
      <pane xSplit="10" ySplit="5" topLeftCell="K6" activePane="bottomRight" state="frozen"/>
      <selection activeCell="T120" sqref="T120"/>
      <selection pane="topRight" activeCell="T120" sqref="T120"/>
      <selection pane="bottomLeft" activeCell="T120" sqref="T120"/>
      <selection pane="bottomRight" activeCell="T120" sqref="T120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16384" width="9" style="51"/>
  </cols>
  <sheetData>
    <row r="1" spans="1:23" ht="20" customHeight="1">
      <c r="A1" s="56" t="s">
        <v>226</v>
      </c>
    </row>
    <row r="3" spans="1:23" ht="11.75" customHeight="1">
      <c r="A3" s="57" t="s">
        <v>220</v>
      </c>
    </row>
    <row r="4" spans="1:23" s="58" customFormat="1" ht="11.75" customHeight="1">
      <c r="A4" s="574" t="s">
        <v>0</v>
      </c>
      <c r="B4" s="576" t="s">
        <v>1</v>
      </c>
      <c r="C4" s="577"/>
      <c r="D4" s="577"/>
      <c r="E4" s="577"/>
      <c r="F4" s="577"/>
      <c r="G4" s="577"/>
      <c r="H4" s="577"/>
      <c r="I4" s="577"/>
      <c r="J4" s="578"/>
      <c r="K4" s="55" t="s">
        <v>227</v>
      </c>
      <c r="L4" s="55" t="s">
        <v>228</v>
      </c>
      <c r="M4" s="55" t="s">
        <v>229</v>
      </c>
      <c r="N4" s="55" t="s">
        <v>230</v>
      </c>
      <c r="O4" s="55" t="s">
        <v>231</v>
      </c>
      <c r="P4" s="55" t="s">
        <v>232</v>
      </c>
      <c r="Q4" s="55" t="s">
        <v>233</v>
      </c>
      <c r="R4" s="55" t="s">
        <v>234</v>
      </c>
      <c r="S4" s="55" t="s">
        <v>235</v>
      </c>
      <c r="T4" s="55" t="s">
        <v>236</v>
      </c>
      <c r="U4" s="55" t="s">
        <v>237</v>
      </c>
      <c r="V4" s="55" t="s">
        <v>238</v>
      </c>
      <c r="W4" s="52" t="s">
        <v>225</v>
      </c>
    </row>
    <row r="5" spans="1:23" s="58" customFormat="1" ht="17" customHeight="1">
      <c r="A5" s="575"/>
      <c r="B5" s="579"/>
      <c r="C5" s="580"/>
      <c r="D5" s="580"/>
      <c r="E5" s="580"/>
      <c r="F5" s="580"/>
      <c r="G5" s="580"/>
      <c r="H5" s="580"/>
      <c r="I5" s="580"/>
      <c r="J5" s="581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</row>
    <row r="6" spans="1:23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694132</v>
      </c>
      <c r="L6" s="7">
        <f t="shared" ref="L6:V6" si="0">SUM(L7:L16)</f>
        <v>779647</v>
      </c>
      <c r="M6" s="7">
        <f t="shared" si="0"/>
        <v>652567</v>
      </c>
      <c r="N6" s="7">
        <f t="shared" si="0"/>
        <v>727786</v>
      </c>
      <c r="O6" s="7">
        <f t="shared" si="0"/>
        <v>1181051</v>
      </c>
      <c r="P6" s="7">
        <f t="shared" si="0"/>
        <v>689072</v>
      </c>
      <c r="Q6" s="7">
        <f t="shared" si="0"/>
        <v>1025101</v>
      </c>
      <c r="R6" s="7">
        <f t="shared" si="0"/>
        <v>413778</v>
      </c>
      <c r="S6" s="7">
        <f t="shared" si="0"/>
        <v>537498</v>
      </c>
      <c r="T6" s="7">
        <f t="shared" si="0"/>
        <v>1103983</v>
      </c>
      <c r="U6" s="7">
        <f t="shared" si="0"/>
        <v>739017</v>
      </c>
      <c r="V6" s="7">
        <f t="shared" si="0"/>
        <v>668465</v>
      </c>
      <c r="W6" s="7">
        <f>SUM(K6:V6)</f>
        <v>9212097</v>
      </c>
    </row>
    <row r="7" spans="1:23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694132</v>
      </c>
      <c r="L7" s="47">
        <v>779647</v>
      </c>
      <c r="M7" s="47">
        <v>652567</v>
      </c>
      <c r="N7" s="47">
        <v>727786</v>
      </c>
      <c r="O7" s="47">
        <v>1181051</v>
      </c>
      <c r="P7" s="47">
        <v>689072</v>
      </c>
      <c r="Q7" s="47">
        <v>1025101</v>
      </c>
      <c r="R7" s="47">
        <v>413778</v>
      </c>
      <c r="S7" s="47">
        <v>537498</v>
      </c>
      <c r="T7" s="47">
        <v>1103983</v>
      </c>
      <c r="U7" s="47">
        <v>739017</v>
      </c>
      <c r="V7" s="47">
        <v>668465</v>
      </c>
      <c r="W7" s="47">
        <f t="shared" ref="W7:W70" si="1">SUM(K7:V7)</f>
        <v>9212097</v>
      </c>
    </row>
    <row r="8" spans="1:23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f t="shared" si="1"/>
        <v>0</v>
      </c>
    </row>
    <row r="9" spans="1:23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f t="shared" si="1"/>
        <v>0</v>
      </c>
    </row>
    <row r="10" spans="1:23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f t="shared" si="1"/>
        <v>0</v>
      </c>
    </row>
    <row r="11" spans="1:23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f t="shared" si="1"/>
        <v>0</v>
      </c>
    </row>
    <row r="12" spans="1:23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f t="shared" si="1"/>
        <v>0</v>
      </c>
    </row>
    <row r="13" spans="1:23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f t="shared" si="1"/>
        <v>0</v>
      </c>
    </row>
    <row r="14" spans="1:23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f t="shared" si="1"/>
        <v>0</v>
      </c>
    </row>
    <row r="15" spans="1:23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f t="shared" si="1"/>
        <v>0</v>
      </c>
    </row>
    <row r="16" spans="1:23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f t="shared" si="1"/>
        <v>0</v>
      </c>
    </row>
    <row r="17" spans="1:23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f>K7*0.32</f>
        <v>222122.23999999999</v>
      </c>
      <c r="L17" s="48">
        <f t="shared" ref="L17:U17" si="2">L7*0.32</f>
        <v>249487.04</v>
      </c>
      <c r="M17" s="48">
        <f t="shared" si="2"/>
        <v>208821.44</v>
      </c>
      <c r="N17" s="48">
        <f t="shared" si="2"/>
        <v>232891.52000000002</v>
      </c>
      <c r="O17" s="48">
        <f t="shared" si="2"/>
        <v>377936.32</v>
      </c>
      <c r="P17" s="48">
        <f t="shared" si="2"/>
        <v>220503.04000000001</v>
      </c>
      <c r="Q17" s="48">
        <f t="shared" si="2"/>
        <v>328032.32</v>
      </c>
      <c r="R17" s="48">
        <f t="shared" si="2"/>
        <v>132408.95999999999</v>
      </c>
      <c r="S17" s="48">
        <f t="shared" si="2"/>
        <v>171999.36000000002</v>
      </c>
      <c r="T17" s="48">
        <f t="shared" si="2"/>
        <v>353274.56</v>
      </c>
      <c r="U17" s="48">
        <f t="shared" si="2"/>
        <v>236485.44</v>
      </c>
      <c r="V17" s="48">
        <f>V7*0.32</f>
        <v>213908.80000000002</v>
      </c>
      <c r="W17" s="48">
        <f t="shared" si="1"/>
        <v>2947871.04</v>
      </c>
    </row>
    <row r="18" spans="1:23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472009.76</v>
      </c>
      <c r="L18" s="17">
        <f t="shared" ref="L18:V18" si="3">L6-L17</f>
        <v>530159.96</v>
      </c>
      <c r="M18" s="17">
        <f t="shared" si="3"/>
        <v>443745.56</v>
      </c>
      <c r="N18" s="17">
        <f t="shared" si="3"/>
        <v>494894.48</v>
      </c>
      <c r="O18" s="17">
        <f t="shared" si="3"/>
        <v>803114.67999999993</v>
      </c>
      <c r="P18" s="17">
        <f t="shared" si="3"/>
        <v>468568.95999999996</v>
      </c>
      <c r="Q18" s="17">
        <f t="shared" si="3"/>
        <v>697068.67999999993</v>
      </c>
      <c r="R18" s="17">
        <f t="shared" si="3"/>
        <v>281369.04000000004</v>
      </c>
      <c r="S18" s="17">
        <f t="shared" si="3"/>
        <v>365498.64</v>
      </c>
      <c r="T18" s="17">
        <f t="shared" si="3"/>
        <v>750708.44</v>
      </c>
      <c r="U18" s="17">
        <f t="shared" si="3"/>
        <v>502531.56</v>
      </c>
      <c r="V18" s="17">
        <f t="shared" si="3"/>
        <v>454556.19999999995</v>
      </c>
      <c r="W18" s="17">
        <f t="shared" si="1"/>
        <v>6264225.959999999</v>
      </c>
    </row>
    <row r="19" spans="1:23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0</v>
      </c>
      <c r="L19" s="21">
        <f t="shared" ref="L19:V19" si="4">SUM(L20:L22,L26,L29:L31,L35:L36)</f>
        <v>399053</v>
      </c>
      <c r="M19" s="21">
        <f t="shared" si="4"/>
        <v>405429</v>
      </c>
      <c r="N19" s="21">
        <f t="shared" si="4"/>
        <v>416059</v>
      </c>
      <c r="O19" s="21">
        <f t="shared" si="4"/>
        <v>410744</v>
      </c>
      <c r="P19" s="21">
        <f t="shared" si="4"/>
        <v>530853</v>
      </c>
      <c r="Q19" s="21">
        <f t="shared" si="4"/>
        <v>530853</v>
      </c>
      <c r="R19" s="21">
        <f t="shared" si="4"/>
        <v>518098</v>
      </c>
      <c r="S19" s="21">
        <f t="shared" si="4"/>
        <v>504280</v>
      </c>
      <c r="T19" s="21">
        <f t="shared" si="4"/>
        <v>509595</v>
      </c>
      <c r="U19" s="21">
        <f t="shared" si="4"/>
        <v>509595</v>
      </c>
      <c r="V19" s="21">
        <f t="shared" si="4"/>
        <v>-1857685</v>
      </c>
      <c r="W19" s="21">
        <f t="shared" si="1"/>
        <v>2876874</v>
      </c>
    </row>
    <row r="20" spans="1:23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f t="shared" si="1"/>
        <v>0</v>
      </c>
    </row>
    <row r="21" spans="1:23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f t="shared" si="1"/>
        <v>0</v>
      </c>
    </row>
    <row r="22" spans="1:23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0</v>
      </c>
      <c r="L22" s="12">
        <f t="shared" ref="L22:V22" si="5">SUM(L23:L25)</f>
        <v>357000</v>
      </c>
      <c r="M22" s="12">
        <f t="shared" si="5"/>
        <v>363300</v>
      </c>
      <c r="N22" s="12">
        <f t="shared" si="5"/>
        <v>373800</v>
      </c>
      <c r="O22" s="12">
        <f t="shared" si="5"/>
        <v>368550</v>
      </c>
      <c r="P22" s="12">
        <f t="shared" si="5"/>
        <v>463575</v>
      </c>
      <c r="Q22" s="12">
        <f t="shared" si="5"/>
        <v>463575</v>
      </c>
      <c r="R22" s="12">
        <f t="shared" si="5"/>
        <v>450975</v>
      </c>
      <c r="S22" s="12">
        <f t="shared" si="5"/>
        <v>437325</v>
      </c>
      <c r="T22" s="12">
        <f t="shared" si="5"/>
        <v>442575</v>
      </c>
      <c r="U22" s="12">
        <f t="shared" si="5"/>
        <v>442575</v>
      </c>
      <c r="V22" s="12">
        <f t="shared" si="5"/>
        <v>-1639050</v>
      </c>
      <c r="W22" s="12">
        <f t="shared" si="1"/>
        <v>2524200</v>
      </c>
    </row>
    <row r="23" spans="1:23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f t="shared" si="1"/>
        <v>0</v>
      </c>
    </row>
    <row r="24" spans="1:23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f t="shared" si="1"/>
        <v>0</v>
      </c>
    </row>
    <row r="25" spans="1:23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>
        <v>0</v>
      </c>
      <c r="L25" s="47">
        <v>357000</v>
      </c>
      <c r="M25" s="47">
        <v>363300</v>
      </c>
      <c r="N25" s="47">
        <v>373800</v>
      </c>
      <c r="O25" s="47">
        <v>368550</v>
      </c>
      <c r="P25" s="47">
        <v>463575</v>
      </c>
      <c r="Q25" s="47">
        <v>463575</v>
      </c>
      <c r="R25" s="47">
        <v>450975</v>
      </c>
      <c r="S25" s="47">
        <v>437325</v>
      </c>
      <c r="T25" s="47">
        <v>442575</v>
      </c>
      <c r="U25" s="47">
        <v>442575</v>
      </c>
      <c r="V25" s="47">
        <f>885150-2524200</f>
        <v>-1639050</v>
      </c>
      <c r="W25" s="47">
        <f t="shared" si="1"/>
        <v>2524200</v>
      </c>
    </row>
    <row r="26" spans="1:23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f t="shared" si="1"/>
        <v>0</v>
      </c>
    </row>
    <row r="27" spans="1:23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</row>
    <row r="28" spans="1:23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</row>
    <row r="29" spans="1:23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>
        <v>0</v>
      </c>
      <c r="L29" s="47">
        <v>25970</v>
      </c>
      <c r="M29" s="47">
        <v>26046</v>
      </c>
      <c r="N29" s="47">
        <v>26176</v>
      </c>
      <c r="O29" s="47">
        <v>26111</v>
      </c>
      <c r="P29" s="47">
        <v>47567</v>
      </c>
      <c r="Q29" s="47">
        <v>47567</v>
      </c>
      <c r="R29" s="47">
        <v>47412</v>
      </c>
      <c r="S29" s="47">
        <v>47244</v>
      </c>
      <c r="T29" s="47">
        <v>47309</v>
      </c>
      <c r="U29" s="47">
        <v>47309</v>
      </c>
      <c r="V29" s="47">
        <f>94618-241665</f>
        <v>-147047</v>
      </c>
      <c r="W29" s="47">
        <f t="shared" si="1"/>
        <v>241664</v>
      </c>
    </row>
    <row r="30" spans="1:23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f t="shared" si="1"/>
        <v>0</v>
      </c>
    </row>
    <row r="31" spans="1:23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0</v>
      </c>
      <c r="L31" s="12">
        <f t="shared" ref="L31:V31" si="6">SUM(L32:L34)</f>
        <v>0</v>
      </c>
      <c r="M31" s="12">
        <f t="shared" si="6"/>
        <v>0</v>
      </c>
      <c r="N31" s="12">
        <f t="shared" si="6"/>
        <v>0</v>
      </c>
      <c r="O31" s="12">
        <f t="shared" si="6"/>
        <v>0</v>
      </c>
      <c r="P31" s="12">
        <f t="shared" si="6"/>
        <v>0</v>
      </c>
      <c r="Q31" s="12">
        <f t="shared" si="6"/>
        <v>0</v>
      </c>
      <c r="R31" s="12">
        <f t="shared" si="6"/>
        <v>0</v>
      </c>
      <c r="S31" s="12">
        <f t="shared" si="6"/>
        <v>0</v>
      </c>
      <c r="T31" s="12">
        <f t="shared" si="6"/>
        <v>0</v>
      </c>
      <c r="U31" s="12">
        <f t="shared" si="6"/>
        <v>0</v>
      </c>
      <c r="V31" s="12">
        <f t="shared" si="6"/>
        <v>0</v>
      </c>
      <c r="W31" s="12">
        <f t="shared" si="1"/>
        <v>0</v>
      </c>
    </row>
    <row r="32" spans="1:23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f t="shared" si="1"/>
        <v>0</v>
      </c>
    </row>
    <row r="33" spans="1:23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f t="shared" si="1"/>
        <v>0</v>
      </c>
    </row>
    <row r="34" spans="1:23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>
        <f t="shared" si="1"/>
        <v>0</v>
      </c>
    </row>
    <row r="35" spans="1:23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0</v>
      </c>
      <c r="L35" s="47">
        <v>16083</v>
      </c>
      <c r="M35" s="47">
        <v>16083</v>
      </c>
      <c r="N35" s="47">
        <v>16083</v>
      </c>
      <c r="O35" s="47">
        <v>16083</v>
      </c>
      <c r="P35" s="47">
        <v>19711</v>
      </c>
      <c r="Q35" s="47">
        <v>19711</v>
      </c>
      <c r="R35" s="47">
        <v>19711</v>
      </c>
      <c r="S35" s="47">
        <v>19711</v>
      </c>
      <c r="T35" s="47">
        <v>19711</v>
      </c>
      <c r="U35" s="47">
        <v>19711</v>
      </c>
      <c r="V35" s="47">
        <f>39422-111010</f>
        <v>-71588</v>
      </c>
      <c r="W35" s="47">
        <f t="shared" si="1"/>
        <v>111010</v>
      </c>
    </row>
    <row r="36" spans="1:23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53">
        <f t="shared" si="1"/>
        <v>0</v>
      </c>
    </row>
    <row r="37" spans="1:23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234592</v>
      </c>
      <c r="L37" s="25">
        <f t="shared" ref="L37:V37" si="7">SUM(L38:L41,L46,L50,L57:L58,L61:L67,L70:L72,L78:L80,L83:L84)</f>
        <v>203178</v>
      </c>
      <c r="M37" s="25">
        <f t="shared" si="7"/>
        <v>238839</v>
      </c>
      <c r="N37" s="25">
        <f t="shared" si="7"/>
        <v>353660</v>
      </c>
      <c r="O37" s="25">
        <f t="shared" si="7"/>
        <v>312251</v>
      </c>
      <c r="P37" s="25">
        <f t="shared" si="7"/>
        <v>221400</v>
      </c>
      <c r="Q37" s="25">
        <f t="shared" si="7"/>
        <v>192237</v>
      </c>
      <c r="R37" s="25">
        <f t="shared" si="7"/>
        <v>169983</v>
      </c>
      <c r="S37" s="25">
        <f t="shared" si="7"/>
        <v>194062</v>
      </c>
      <c r="T37" s="25">
        <f t="shared" si="7"/>
        <v>257409</v>
      </c>
      <c r="U37" s="25">
        <f t="shared" si="7"/>
        <v>244041</v>
      </c>
      <c r="V37" s="25">
        <f t="shared" si="7"/>
        <v>221753</v>
      </c>
      <c r="W37" s="25">
        <f t="shared" si="1"/>
        <v>2843405</v>
      </c>
    </row>
    <row r="38" spans="1:23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40000</v>
      </c>
      <c r="L38" s="47">
        <v>40000</v>
      </c>
      <c r="M38" s="47">
        <v>50000</v>
      </c>
      <c r="N38" s="47">
        <v>50000</v>
      </c>
      <c r="O38" s="47">
        <v>80000</v>
      </c>
      <c r="P38" s="47">
        <v>50000</v>
      </c>
      <c r="Q38" s="47">
        <v>40000</v>
      </c>
      <c r="R38" s="47">
        <v>30000</v>
      </c>
      <c r="S38" s="47">
        <v>30000</v>
      </c>
      <c r="T38" s="47">
        <v>40000</v>
      </c>
      <c r="U38" s="47">
        <v>70000</v>
      </c>
      <c r="V38" s="47">
        <v>40000</v>
      </c>
      <c r="W38" s="47">
        <f t="shared" si="1"/>
        <v>560000</v>
      </c>
    </row>
    <row r="39" spans="1:23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f t="shared" si="1"/>
        <v>0</v>
      </c>
    </row>
    <row r="40" spans="1:23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</row>
    <row r="41" spans="1:23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9900</v>
      </c>
      <c r="L41" s="12">
        <f t="shared" ref="L41:V41" si="8">SUM(L42:L45)</f>
        <v>6300</v>
      </c>
      <c r="M41" s="12">
        <f t="shared" si="8"/>
        <v>5000</v>
      </c>
      <c r="N41" s="12">
        <f t="shared" si="8"/>
        <v>6300</v>
      </c>
      <c r="O41" s="12">
        <f t="shared" si="8"/>
        <v>5000</v>
      </c>
      <c r="P41" s="12">
        <f t="shared" si="8"/>
        <v>6300</v>
      </c>
      <c r="Q41" s="12">
        <f t="shared" si="8"/>
        <v>5000</v>
      </c>
      <c r="R41" s="12">
        <f t="shared" si="8"/>
        <v>6300</v>
      </c>
      <c r="S41" s="12">
        <f t="shared" si="8"/>
        <v>5000</v>
      </c>
      <c r="T41" s="12">
        <f t="shared" si="8"/>
        <v>6300</v>
      </c>
      <c r="U41" s="12">
        <f t="shared" si="8"/>
        <v>5000</v>
      </c>
      <c r="V41" s="12">
        <f t="shared" si="8"/>
        <v>6300</v>
      </c>
      <c r="W41" s="12">
        <f t="shared" si="1"/>
        <v>72700</v>
      </c>
    </row>
    <row r="42" spans="1:23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</row>
    <row r="43" spans="1:23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f t="shared" si="1"/>
        <v>0</v>
      </c>
    </row>
    <row r="44" spans="1:23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</row>
    <row r="45" spans="1:23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9900</v>
      </c>
      <c r="L45" s="47">
        <v>6300</v>
      </c>
      <c r="M45" s="47">
        <v>5000</v>
      </c>
      <c r="N45" s="47">
        <v>6300</v>
      </c>
      <c r="O45" s="47">
        <v>5000</v>
      </c>
      <c r="P45" s="47">
        <v>6300</v>
      </c>
      <c r="Q45" s="47">
        <v>5000</v>
      </c>
      <c r="R45" s="47">
        <v>6300</v>
      </c>
      <c r="S45" s="47">
        <v>5000</v>
      </c>
      <c r="T45" s="47">
        <v>6300</v>
      </c>
      <c r="U45" s="47">
        <v>5000</v>
      </c>
      <c r="V45" s="47">
        <v>6300</v>
      </c>
      <c r="W45" s="47">
        <f t="shared" si="1"/>
        <v>72700</v>
      </c>
    </row>
    <row r="46" spans="1:23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4210</v>
      </c>
      <c r="L46" s="12">
        <f t="shared" ref="L46:V46" si="9">SUM(L47:L49)</f>
        <v>0</v>
      </c>
      <c r="M46" s="12">
        <f t="shared" si="9"/>
        <v>0</v>
      </c>
      <c r="N46" s="12">
        <f t="shared" si="9"/>
        <v>0</v>
      </c>
      <c r="O46" s="12">
        <f t="shared" si="9"/>
        <v>0</v>
      </c>
      <c r="P46" s="12">
        <f t="shared" si="9"/>
        <v>0</v>
      </c>
      <c r="Q46" s="12">
        <f t="shared" si="9"/>
        <v>0</v>
      </c>
      <c r="R46" s="12">
        <f t="shared" si="9"/>
        <v>0</v>
      </c>
      <c r="S46" s="12">
        <f t="shared" si="9"/>
        <v>0</v>
      </c>
      <c r="T46" s="12">
        <f t="shared" si="9"/>
        <v>0</v>
      </c>
      <c r="U46" s="12">
        <f t="shared" si="9"/>
        <v>0</v>
      </c>
      <c r="V46" s="12">
        <f t="shared" si="9"/>
        <v>0</v>
      </c>
      <c r="W46" s="12">
        <f t="shared" si="1"/>
        <v>4210</v>
      </c>
    </row>
    <row r="47" spans="1:23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</row>
    <row r="48" spans="1:23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>
        <v>4210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4210</v>
      </c>
    </row>
    <row r="49" spans="1:23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/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0</v>
      </c>
    </row>
    <row r="50" spans="1:23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0">SUM(L51:L56)</f>
        <v>0</v>
      </c>
      <c r="M50" s="12">
        <f t="shared" si="10"/>
        <v>0</v>
      </c>
      <c r="N50" s="12">
        <f t="shared" si="10"/>
        <v>0</v>
      </c>
      <c r="O50" s="12">
        <f t="shared" si="10"/>
        <v>0</v>
      </c>
      <c r="P50" s="12">
        <f t="shared" si="10"/>
        <v>0</v>
      </c>
      <c r="Q50" s="12">
        <f t="shared" si="10"/>
        <v>0</v>
      </c>
      <c r="R50" s="12">
        <f t="shared" si="10"/>
        <v>0</v>
      </c>
      <c r="S50" s="12">
        <f t="shared" si="10"/>
        <v>0</v>
      </c>
      <c r="T50" s="12">
        <f t="shared" si="10"/>
        <v>0</v>
      </c>
      <c r="U50" s="12">
        <f t="shared" si="10"/>
        <v>0</v>
      </c>
      <c r="V50" s="12">
        <f t="shared" si="10"/>
        <v>0</v>
      </c>
      <c r="W50" s="12">
        <f t="shared" si="1"/>
        <v>0</v>
      </c>
    </row>
    <row r="51" spans="1:23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</row>
    <row r="52" spans="1:23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0</v>
      </c>
    </row>
    <row r="53" spans="1:23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</row>
    <row r="54" spans="1:23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</row>
    <row r="55" spans="1:23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0</v>
      </c>
    </row>
    <row r="56" spans="1:23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</row>
    <row r="57" spans="1:23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</row>
    <row r="58" spans="1:23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0</v>
      </c>
      <c r="L58" s="12">
        <f t="shared" ref="L58:V58" si="11">SUM(L59:L60)</f>
        <v>0</v>
      </c>
      <c r="M58" s="12">
        <f t="shared" si="11"/>
        <v>0</v>
      </c>
      <c r="N58" s="12">
        <f t="shared" si="11"/>
        <v>0</v>
      </c>
      <c r="O58" s="12">
        <f t="shared" si="11"/>
        <v>0</v>
      </c>
      <c r="P58" s="12">
        <f t="shared" si="11"/>
        <v>0</v>
      </c>
      <c r="Q58" s="12">
        <f t="shared" si="11"/>
        <v>0</v>
      </c>
      <c r="R58" s="12">
        <f t="shared" si="11"/>
        <v>0</v>
      </c>
      <c r="S58" s="12">
        <f t="shared" si="11"/>
        <v>0</v>
      </c>
      <c r="T58" s="12">
        <f t="shared" si="11"/>
        <v>0</v>
      </c>
      <c r="U58" s="12">
        <f t="shared" si="11"/>
        <v>0</v>
      </c>
      <c r="V58" s="12">
        <f t="shared" si="11"/>
        <v>0</v>
      </c>
      <c r="W58" s="12">
        <f t="shared" si="1"/>
        <v>0</v>
      </c>
    </row>
    <row r="59" spans="1:23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f t="shared" si="1"/>
        <v>0</v>
      </c>
    </row>
    <row r="60" spans="1:23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</row>
    <row r="61" spans="1:23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0</v>
      </c>
      <c r="L61" s="47">
        <v>4000</v>
      </c>
      <c r="M61" s="47">
        <v>2500</v>
      </c>
      <c r="N61" s="47">
        <v>2500</v>
      </c>
      <c r="O61" s="47">
        <v>2500</v>
      </c>
      <c r="P61" s="47">
        <v>2500</v>
      </c>
      <c r="Q61" s="47">
        <v>2500</v>
      </c>
      <c r="R61" s="47">
        <v>2500</v>
      </c>
      <c r="S61" s="47">
        <v>2500</v>
      </c>
      <c r="T61" s="47">
        <v>2500</v>
      </c>
      <c r="U61" s="47">
        <v>2500</v>
      </c>
      <c r="V61" s="47">
        <v>4000</v>
      </c>
      <c r="W61" s="47">
        <f t="shared" si="1"/>
        <v>30500</v>
      </c>
    </row>
    <row r="62" spans="1:23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</row>
    <row r="63" spans="1:23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23500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f t="shared" si="1"/>
        <v>23500</v>
      </c>
    </row>
    <row r="64" spans="1:23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f t="shared" si="1"/>
        <v>0</v>
      </c>
    </row>
    <row r="65" spans="1:23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7000</v>
      </c>
      <c r="L65" s="47">
        <v>7000</v>
      </c>
      <c r="M65" s="47">
        <v>7000</v>
      </c>
      <c r="N65" s="47">
        <v>57000</v>
      </c>
      <c r="O65" s="47">
        <v>7000</v>
      </c>
      <c r="P65" s="47">
        <v>7000</v>
      </c>
      <c r="Q65" s="47">
        <v>7000</v>
      </c>
      <c r="R65" s="47">
        <v>7000</v>
      </c>
      <c r="S65" s="47">
        <v>7000</v>
      </c>
      <c r="T65" s="47">
        <v>57000</v>
      </c>
      <c r="U65" s="47">
        <v>7000</v>
      </c>
      <c r="V65" s="47">
        <v>7000</v>
      </c>
      <c r="W65" s="47">
        <f t="shared" si="1"/>
        <v>184000</v>
      </c>
    </row>
    <row r="66" spans="1:23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</row>
    <row r="67" spans="1:23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10000</v>
      </c>
      <c r="L67" s="12">
        <f t="shared" ref="L67:V67" si="12">SUM(L68:L69)</f>
        <v>20000</v>
      </c>
      <c r="M67" s="12">
        <f t="shared" si="12"/>
        <v>20000</v>
      </c>
      <c r="N67" s="12">
        <f t="shared" si="12"/>
        <v>20000</v>
      </c>
      <c r="O67" s="12">
        <f t="shared" si="12"/>
        <v>20000</v>
      </c>
      <c r="P67" s="12">
        <f t="shared" si="12"/>
        <v>10000</v>
      </c>
      <c r="Q67" s="12">
        <f t="shared" si="12"/>
        <v>10000</v>
      </c>
      <c r="R67" s="12">
        <f t="shared" si="12"/>
        <v>10000</v>
      </c>
      <c r="S67" s="12">
        <f t="shared" si="12"/>
        <v>10000</v>
      </c>
      <c r="T67" s="12">
        <f t="shared" si="12"/>
        <v>10000</v>
      </c>
      <c r="U67" s="12">
        <f t="shared" si="12"/>
        <v>10000</v>
      </c>
      <c r="V67" s="12">
        <f t="shared" si="12"/>
        <v>10000</v>
      </c>
      <c r="W67" s="12">
        <f t="shared" si="1"/>
        <v>160000</v>
      </c>
    </row>
    <row r="68" spans="1:23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10000</v>
      </c>
      <c r="L68" s="47">
        <v>20000</v>
      </c>
      <c r="M68" s="47">
        <v>20000</v>
      </c>
      <c r="N68" s="47">
        <v>20000</v>
      </c>
      <c r="O68" s="47">
        <v>20000</v>
      </c>
      <c r="P68" s="47">
        <v>10000</v>
      </c>
      <c r="Q68" s="47">
        <v>10000</v>
      </c>
      <c r="R68" s="47">
        <v>10000</v>
      </c>
      <c r="S68" s="47">
        <v>10000</v>
      </c>
      <c r="T68" s="47">
        <v>10000</v>
      </c>
      <c r="U68" s="47">
        <v>10000</v>
      </c>
      <c r="V68" s="47">
        <v>10000</v>
      </c>
      <c r="W68" s="47">
        <f t="shared" si="1"/>
        <v>160000</v>
      </c>
    </row>
    <row r="69" spans="1:23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</row>
    <row r="70" spans="1:23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f t="shared" si="1"/>
        <v>0</v>
      </c>
    </row>
    <row r="71" spans="1:23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50000</v>
      </c>
      <c r="L71" s="47">
        <v>50000</v>
      </c>
      <c r="M71" s="47">
        <v>60000</v>
      </c>
      <c r="N71" s="47">
        <v>60000</v>
      </c>
      <c r="O71" s="47">
        <v>80000</v>
      </c>
      <c r="P71" s="47">
        <v>50000</v>
      </c>
      <c r="Q71" s="47">
        <v>40000</v>
      </c>
      <c r="R71" s="47">
        <v>20000</v>
      </c>
      <c r="S71" s="47">
        <v>20000</v>
      </c>
      <c r="T71" s="47">
        <v>20000</v>
      </c>
      <c r="U71" s="47">
        <v>20000</v>
      </c>
      <c r="V71" s="47">
        <v>30000</v>
      </c>
      <c r="W71" s="47">
        <f t="shared" ref="W71:W118" si="13">SUM(K71:V71)</f>
        <v>500000</v>
      </c>
    </row>
    <row r="72" spans="1:23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89982</v>
      </c>
      <c r="L72" s="12">
        <f t="shared" ref="L72:V72" si="14">SUM(L73:L77)</f>
        <v>75878</v>
      </c>
      <c r="M72" s="12">
        <f t="shared" si="14"/>
        <v>94339</v>
      </c>
      <c r="N72" s="12">
        <f t="shared" si="14"/>
        <v>87860</v>
      </c>
      <c r="O72" s="12">
        <f t="shared" si="14"/>
        <v>117751</v>
      </c>
      <c r="P72" s="12">
        <f t="shared" si="14"/>
        <v>95600</v>
      </c>
      <c r="Q72" s="12">
        <f t="shared" si="14"/>
        <v>87737</v>
      </c>
      <c r="R72" s="12">
        <f t="shared" si="14"/>
        <v>94183</v>
      </c>
      <c r="S72" s="12">
        <f t="shared" si="14"/>
        <v>119562</v>
      </c>
      <c r="T72" s="12">
        <f t="shared" si="14"/>
        <v>121609</v>
      </c>
      <c r="U72" s="12">
        <f t="shared" si="14"/>
        <v>129541</v>
      </c>
      <c r="V72" s="12">
        <f t="shared" si="14"/>
        <v>124453</v>
      </c>
      <c r="W72" s="12">
        <f t="shared" si="13"/>
        <v>1238495</v>
      </c>
    </row>
    <row r="73" spans="1:23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53842</v>
      </c>
      <c r="L73" s="47">
        <v>48520</v>
      </c>
      <c r="M73" s="47">
        <v>53929</v>
      </c>
      <c r="N73" s="47">
        <v>55676</v>
      </c>
      <c r="O73" s="47">
        <v>60514</v>
      </c>
      <c r="P73" s="47">
        <v>61584</v>
      </c>
      <c r="Q73" s="47">
        <v>52412</v>
      </c>
      <c r="R73" s="47">
        <v>52958</v>
      </c>
      <c r="S73" s="47">
        <v>51597</v>
      </c>
      <c r="T73" s="47">
        <v>58331</v>
      </c>
      <c r="U73" s="47">
        <v>59339</v>
      </c>
      <c r="V73" s="47">
        <v>59869</v>
      </c>
      <c r="W73" s="47">
        <f t="shared" si="13"/>
        <v>668571</v>
      </c>
    </row>
    <row r="74" spans="1:23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0</v>
      </c>
      <c r="L74" s="47">
        <v>0</v>
      </c>
      <c r="M74" s="47">
        <v>13260</v>
      </c>
      <c r="N74" s="47">
        <v>0</v>
      </c>
      <c r="O74" s="47">
        <v>13799</v>
      </c>
      <c r="P74" s="47">
        <v>0</v>
      </c>
      <c r="Q74" s="47">
        <v>15269</v>
      </c>
      <c r="R74" s="47">
        <v>0</v>
      </c>
      <c r="S74" s="47">
        <v>12525</v>
      </c>
      <c r="T74" s="47">
        <v>0</v>
      </c>
      <c r="U74" s="47">
        <v>11782</v>
      </c>
      <c r="V74" s="47">
        <v>11664</v>
      </c>
      <c r="W74" s="47">
        <f t="shared" si="13"/>
        <v>78299</v>
      </c>
    </row>
    <row r="75" spans="1:23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36140</v>
      </c>
      <c r="L75" s="47">
        <v>27358</v>
      </c>
      <c r="M75" s="47">
        <v>27150</v>
      </c>
      <c r="N75" s="47">
        <v>32184</v>
      </c>
      <c r="O75" s="47">
        <v>43438</v>
      </c>
      <c r="P75" s="47">
        <v>34016</v>
      </c>
      <c r="Q75" s="47">
        <v>20056</v>
      </c>
      <c r="R75" s="47">
        <v>41225</v>
      </c>
      <c r="S75" s="47">
        <v>55440</v>
      </c>
      <c r="T75" s="47">
        <v>63278</v>
      </c>
      <c r="U75" s="47">
        <v>58420</v>
      </c>
      <c r="V75" s="47">
        <v>52920</v>
      </c>
      <c r="W75" s="47">
        <f t="shared" si="13"/>
        <v>491625</v>
      </c>
    </row>
    <row r="76" spans="1:23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3"/>
        <v>0</v>
      </c>
    </row>
    <row r="77" spans="1:23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3"/>
        <v>0</v>
      </c>
    </row>
    <row r="78" spans="1:23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f t="shared" si="13"/>
        <v>0</v>
      </c>
    </row>
    <row r="79" spans="1:23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0</v>
      </c>
      <c r="L79" s="47">
        <v>0</v>
      </c>
      <c r="M79" s="47">
        <v>0</v>
      </c>
      <c r="N79" s="47">
        <v>70000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f t="shared" si="13"/>
        <v>70000</v>
      </c>
    </row>
    <row r="80" spans="1:23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5">SUM(L81:L82)</f>
        <v>0</v>
      </c>
      <c r="M80" s="12">
        <f t="shared" si="15"/>
        <v>0</v>
      </c>
      <c r="N80" s="12">
        <f t="shared" si="15"/>
        <v>0</v>
      </c>
      <c r="O80" s="12">
        <f t="shared" si="15"/>
        <v>0</v>
      </c>
      <c r="P80" s="12">
        <f t="shared" si="15"/>
        <v>0</v>
      </c>
      <c r="Q80" s="12">
        <f t="shared" si="15"/>
        <v>0</v>
      </c>
      <c r="R80" s="12">
        <f t="shared" si="15"/>
        <v>0</v>
      </c>
      <c r="S80" s="12">
        <f t="shared" si="15"/>
        <v>0</v>
      </c>
      <c r="T80" s="12">
        <f t="shared" si="15"/>
        <v>0</v>
      </c>
      <c r="U80" s="12">
        <f t="shared" si="15"/>
        <v>0</v>
      </c>
      <c r="V80" s="12">
        <f t="shared" si="15"/>
        <v>0</v>
      </c>
      <c r="W80" s="12">
        <f t="shared" si="13"/>
        <v>0</v>
      </c>
    </row>
    <row r="81" spans="1:23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3"/>
        <v>0</v>
      </c>
    </row>
    <row r="82" spans="1:23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3"/>
        <v>0</v>
      </c>
    </row>
    <row r="83" spans="1:23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3"/>
        <v>0</v>
      </c>
    </row>
    <row r="84" spans="1:23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3"/>
        <v>0</v>
      </c>
    </row>
    <row r="85" spans="1:23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57071</v>
      </c>
      <c r="L85" s="25">
        <f t="shared" ref="L85:V85" si="16">SUM(L86:L96)</f>
        <v>57071</v>
      </c>
      <c r="M85" s="25">
        <f t="shared" si="16"/>
        <v>57071</v>
      </c>
      <c r="N85" s="25">
        <f t="shared" si="16"/>
        <v>57071</v>
      </c>
      <c r="O85" s="25">
        <f t="shared" si="16"/>
        <v>57071</v>
      </c>
      <c r="P85" s="25">
        <f t="shared" si="16"/>
        <v>57071</v>
      </c>
      <c r="Q85" s="25">
        <f t="shared" si="16"/>
        <v>57071</v>
      </c>
      <c r="R85" s="25">
        <f t="shared" si="16"/>
        <v>57071</v>
      </c>
      <c r="S85" s="25">
        <f t="shared" si="16"/>
        <v>57071</v>
      </c>
      <c r="T85" s="25">
        <f t="shared" si="16"/>
        <v>57071</v>
      </c>
      <c r="U85" s="25">
        <f t="shared" si="16"/>
        <v>57071</v>
      </c>
      <c r="V85" s="25">
        <f t="shared" si="16"/>
        <v>57102</v>
      </c>
      <c r="W85" s="25">
        <f t="shared" si="13"/>
        <v>684883</v>
      </c>
    </row>
    <row r="86" spans="1:23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>
        <v>0</v>
      </c>
      <c r="L86" s="47">
        <v>0</v>
      </c>
      <c r="M86" s="47">
        <v>0</v>
      </c>
      <c r="N86" s="47">
        <v>0</v>
      </c>
      <c r="O86" s="47">
        <v>0</v>
      </c>
      <c r="P86" s="47">
        <v>0</v>
      </c>
      <c r="Q86" s="47">
        <v>0</v>
      </c>
      <c r="R86" s="47">
        <v>0</v>
      </c>
      <c r="S86" s="47">
        <v>0</v>
      </c>
      <c r="T86" s="47">
        <v>0</v>
      </c>
      <c r="U86" s="47">
        <v>0</v>
      </c>
      <c r="V86" s="47">
        <v>0</v>
      </c>
      <c r="W86" s="47">
        <f t="shared" si="13"/>
        <v>0</v>
      </c>
    </row>
    <row r="87" spans="1:23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</v>
      </c>
      <c r="V87" s="47">
        <v>0</v>
      </c>
      <c r="W87" s="47">
        <f t="shared" si="13"/>
        <v>0</v>
      </c>
    </row>
    <row r="88" spans="1:23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v>0</v>
      </c>
      <c r="U88" s="47">
        <v>0</v>
      </c>
      <c r="V88" s="47">
        <v>0</v>
      </c>
      <c r="W88" s="47">
        <f t="shared" si="13"/>
        <v>0</v>
      </c>
    </row>
    <row r="89" spans="1:23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>
        <v>15046</v>
      </c>
      <c r="L89" s="47">
        <v>15046</v>
      </c>
      <c r="M89" s="47">
        <v>15046</v>
      </c>
      <c r="N89" s="47">
        <v>15046</v>
      </c>
      <c r="O89" s="47">
        <v>15046</v>
      </c>
      <c r="P89" s="47">
        <v>15046</v>
      </c>
      <c r="Q89" s="47">
        <v>15046</v>
      </c>
      <c r="R89" s="47">
        <v>15046</v>
      </c>
      <c r="S89" s="47">
        <v>15046</v>
      </c>
      <c r="T89" s="47">
        <v>15046</v>
      </c>
      <c r="U89" s="47">
        <v>15046</v>
      </c>
      <c r="V89" s="47">
        <v>15051</v>
      </c>
      <c r="W89" s="47">
        <f t="shared" si="13"/>
        <v>180557</v>
      </c>
    </row>
    <row r="90" spans="1:23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36748</v>
      </c>
      <c r="L90" s="47">
        <v>36748</v>
      </c>
      <c r="M90" s="47">
        <v>36748</v>
      </c>
      <c r="N90" s="47">
        <v>36748</v>
      </c>
      <c r="O90" s="47">
        <v>36748</v>
      </c>
      <c r="P90" s="47">
        <v>36748</v>
      </c>
      <c r="Q90" s="47">
        <v>36748</v>
      </c>
      <c r="R90" s="47">
        <v>36748</v>
      </c>
      <c r="S90" s="47">
        <v>36748</v>
      </c>
      <c r="T90" s="47">
        <v>36748</v>
      </c>
      <c r="U90" s="47">
        <v>36748</v>
      </c>
      <c r="V90" s="47">
        <v>36765</v>
      </c>
      <c r="W90" s="47">
        <f t="shared" si="13"/>
        <v>440993</v>
      </c>
    </row>
    <row r="91" spans="1:23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0</v>
      </c>
      <c r="R91" s="47">
        <v>0</v>
      </c>
      <c r="S91" s="47">
        <v>0</v>
      </c>
      <c r="T91" s="47">
        <v>0</v>
      </c>
      <c r="U91" s="47">
        <v>0</v>
      </c>
      <c r="V91" s="47">
        <v>0</v>
      </c>
      <c r="W91" s="47">
        <f t="shared" si="13"/>
        <v>0</v>
      </c>
    </row>
    <row r="92" spans="1:23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5277</v>
      </c>
      <c r="L92" s="47">
        <v>5277</v>
      </c>
      <c r="M92" s="47">
        <v>5277</v>
      </c>
      <c r="N92" s="47">
        <v>5277</v>
      </c>
      <c r="O92" s="47">
        <v>5277</v>
      </c>
      <c r="P92" s="47">
        <v>5277</v>
      </c>
      <c r="Q92" s="47">
        <v>5277</v>
      </c>
      <c r="R92" s="47">
        <v>5277</v>
      </c>
      <c r="S92" s="47">
        <v>5277</v>
      </c>
      <c r="T92" s="47">
        <v>5277</v>
      </c>
      <c r="U92" s="47">
        <v>5277</v>
      </c>
      <c r="V92" s="47">
        <v>5286</v>
      </c>
      <c r="W92" s="47">
        <f t="shared" si="13"/>
        <v>63333</v>
      </c>
    </row>
    <row r="93" spans="1:23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0</v>
      </c>
      <c r="S93" s="47">
        <v>0</v>
      </c>
      <c r="T93" s="47">
        <v>0</v>
      </c>
      <c r="U93" s="47">
        <v>0</v>
      </c>
      <c r="V93" s="47">
        <v>0</v>
      </c>
      <c r="W93" s="47">
        <f t="shared" si="13"/>
        <v>0</v>
      </c>
    </row>
    <row r="94" spans="1:23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0</v>
      </c>
      <c r="S94" s="47">
        <v>0</v>
      </c>
      <c r="T94" s="47">
        <v>0</v>
      </c>
      <c r="U94" s="47">
        <v>0</v>
      </c>
      <c r="V94" s="47">
        <v>0</v>
      </c>
      <c r="W94" s="47">
        <f t="shared" si="13"/>
        <v>0</v>
      </c>
    </row>
    <row r="95" spans="1:23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0</v>
      </c>
      <c r="T95" s="47">
        <v>0</v>
      </c>
      <c r="U95" s="47">
        <v>0</v>
      </c>
      <c r="V95" s="47">
        <v>0</v>
      </c>
      <c r="W95" s="47">
        <f t="shared" si="13"/>
        <v>0</v>
      </c>
    </row>
    <row r="96" spans="1:23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f t="shared" si="13"/>
        <v>0</v>
      </c>
    </row>
    <row r="97" spans="1:23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291663</v>
      </c>
      <c r="L97" s="29">
        <f t="shared" ref="L97:V97" si="17">L37+L19+L85</f>
        <v>659302</v>
      </c>
      <c r="M97" s="29">
        <f t="shared" si="17"/>
        <v>701339</v>
      </c>
      <c r="N97" s="29">
        <f t="shared" si="17"/>
        <v>826790</v>
      </c>
      <c r="O97" s="29">
        <f t="shared" si="17"/>
        <v>780066</v>
      </c>
      <c r="P97" s="29">
        <f t="shared" si="17"/>
        <v>809324</v>
      </c>
      <c r="Q97" s="29">
        <f t="shared" si="17"/>
        <v>780161</v>
      </c>
      <c r="R97" s="29">
        <f t="shared" si="17"/>
        <v>745152</v>
      </c>
      <c r="S97" s="29">
        <f t="shared" si="17"/>
        <v>755413</v>
      </c>
      <c r="T97" s="29">
        <f t="shared" si="17"/>
        <v>824075</v>
      </c>
      <c r="U97" s="29">
        <f t="shared" si="17"/>
        <v>810707</v>
      </c>
      <c r="V97" s="29">
        <f t="shared" si="17"/>
        <v>-1578830</v>
      </c>
      <c r="W97" s="29">
        <f>SUM(K97:V97)</f>
        <v>6405162</v>
      </c>
    </row>
    <row r="98" spans="1:23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180346.76</v>
      </c>
      <c r="L98" s="33">
        <f t="shared" ref="L98:V98" si="18">L18-L97</f>
        <v>-129142.04000000004</v>
      </c>
      <c r="M98" s="33">
        <f t="shared" si="18"/>
        <v>-257593.44</v>
      </c>
      <c r="N98" s="33">
        <f t="shared" si="18"/>
        <v>-331895.52</v>
      </c>
      <c r="O98" s="33">
        <f t="shared" si="18"/>
        <v>23048.679999999935</v>
      </c>
      <c r="P98" s="33">
        <f t="shared" si="18"/>
        <v>-340755.04000000004</v>
      </c>
      <c r="Q98" s="33">
        <f t="shared" si="18"/>
        <v>-83092.320000000065</v>
      </c>
      <c r="R98" s="33">
        <f t="shared" si="18"/>
        <v>-463782.95999999996</v>
      </c>
      <c r="S98" s="33">
        <f t="shared" si="18"/>
        <v>-389914.36</v>
      </c>
      <c r="T98" s="33">
        <f t="shared" si="18"/>
        <v>-73366.560000000056</v>
      </c>
      <c r="U98" s="33">
        <f t="shared" si="18"/>
        <v>-308175.44</v>
      </c>
      <c r="V98" s="33">
        <f t="shared" si="18"/>
        <v>2033386.2</v>
      </c>
      <c r="W98" s="33">
        <f t="shared" si="13"/>
        <v>-140936.04000000027</v>
      </c>
    </row>
    <row r="99" spans="1:23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0</v>
      </c>
      <c r="L99" s="37">
        <f t="shared" ref="L99:V99" si="19">SUM(L100,L104:L106)</f>
        <v>0</v>
      </c>
      <c r="M99" s="37">
        <f t="shared" si="19"/>
        <v>0</v>
      </c>
      <c r="N99" s="37">
        <f t="shared" si="19"/>
        <v>0</v>
      </c>
      <c r="O99" s="37">
        <f t="shared" si="19"/>
        <v>0</v>
      </c>
      <c r="P99" s="37">
        <f t="shared" si="19"/>
        <v>0</v>
      </c>
      <c r="Q99" s="37">
        <f t="shared" si="19"/>
        <v>0</v>
      </c>
      <c r="R99" s="37">
        <f t="shared" si="19"/>
        <v>0</v>
      </c>
      <c r="S99" s="37">
        <f t="shared" si="19"/>
        <v>0</v>
      </c>
      <c r="T99" s="37">
        <f t="shared" si="19"/>
        <v>0</v>
      </c>
      <c r="U99" s="37">
        <f t="shared" si="19"/>
        <v>0</v>
      </c>
      <c r="V99" s="37">
        <f t="shared" si="19"/>
        <v>0</v>
      </c>
      <c r="W99" s="37">
        <f t="shared" si="13"/>
        <v>0</v>
      </c>
    </row>
    <row r="100" spans="1:23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0">SUM(L101:L103)</f>
        <v>0</v>
      </c>
      <c r="M100" s="12">
        <f t="shared" si="20"/>
        <v>0</v>
      </c>
      <c r="N100" s="12">
        <f t="shared" si="20"/>
        <v>0</v>
      </c>
      <c r="O100" s="12">
        <f t="shared" si="20"/>
        <v>0</v>
      </c>
      <c r="P100" s="12">
        <f t="shared" si="20"/>
        <v>0</v>
      </c>
      <c r="Q100" s="12">
        <f t="shared" si="20"/>
        <v>0</v>
      </c>
      <c r="R100" s="12">
        <f t="shared" si="20"/>
        <v>0</v>
      </c>
      <c r="S100" s="12">
        <f t="shared" si="20"/>
        <v>0</v>
      </c>
      <c r="T100" s="12">
        <f t="shared" si="20"/>
        <v>0</v>
      </c>
      <c r="U100" s="12">
        <f t="shared" si="20"/>
        <v>0</v>
      </c>
      <c r="V100" s="12">
        <f t="shared" si="20"/>
        <v>0</v>
      </c>
      <c r="W100" s="12">
        <f t="shared" si="13"/>
        <v>0</v>
      </c>
    </row>
    <row r="101" spans="1:23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0</v>
      </c>
      <c r="R101" s="47">
        <v>0</v>
      </c>
      <c r="S101" s="47">
        <v>0</v>
      </c>
      <c r="T101" s="47">
        <v>0</v>
      </c>
      <c r="U101" s="47">
        <v>0</v>
      </c>
      <c r="V101" s="47">
        <v>0</v>
      </c>
      <c r="W101" s="47">
        <f t="shared" si="13"/>
        <v>0</v>
      </c>
    </row>
    <row r="102" spans="1:23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>
        <v>0</v>
      </c>
      <c r="L102" s="47">
        <v>0</v>
      </c>
      <c r="M102" s="47">
        <v>0</v>
      </c>
      <c r="N102" s="47">
        <v>0</v>
      </c>
      <c r="O102" s="47">
        <v>0</v>
      </c>
      <c r="P102" s="47">
        <v>0</v>
      </c>
      <c r="Q102" s="47">
        <v>0</v>
      </c>
      <c r="R102" s="47">
        <v>0</v>
      </c>
      <c r="S102" s="47">
        <v>0</v>
      </c>
      <c r="T102" s="47">
        <v>0</v>
      </c>
      <c r="U102" s="47">
        <v>0</v>
      </c>
      <c r="V102" s="47">
        <v>0</v>
      </c>
      <c r="W102" s="47">
        <f t="shared" si="13"/>
        <v>0</v>
      </c>
    </row>
    <row r="103" spans="1:23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f t="shared" si="13"/>
        <v>0</v>
      </c>
    </row>
    <row r="104" spans="1:23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v>0</v>
      </c>
      <c r="Q104" s="47">
        <v>0</v>
      </c>
      <c r="R104" s="47">
        <v>0</v>
      </c>
      <c r="S104" s="47">
        <v>0</v>
      </c>
      <c r="T104" s="47">
        <v>0</v>
      </c>
      <c r="U104" s="47">
        <v>0</v>
      </c>
      <c r="V104" s="47">
        <v>0</v>
      </c>
      <c r="W104" s="47">
        <f t="shared" si="13"/>
        <v>0</v>
      </c>
    </row>
    <row r="105" spans="1:23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f t="shared" si="13"/>
        <v>0</v>
      </c>
    </row>
    <row r="106" spans="1:23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0</v>
      </c>
      <c r="U106" s="47">
        <v>0</v>
      </c>
      <c r="V106" s="47">
        <v>0</v>
      </c>
      <c r="W106" s="47">
        <f t="shared" si="13"/>
        <v>0</v>
      </c>
    </row>
    <row r="107" spans="1:23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7400</v>
      </c>
      <c r="L107" s="41">
        <f t="shared" ref="L107:V107" si="21">SUM(L108:L110)</f>
        <v>7400</v>
      </c>
      <c r="M107" s="41">
        <f t="shared" si="21"/>
        <v>7400</v>
      </c>
      <c r="N107" s="41">
        <f t="shared" si="21"/>
        <v>7400</v>
      </c>
      <c r="O107" s="41">
        <f t="shared" si="21"/>
        <v>7400</v>
      </c>
      <c r="P107" s="41">
        <f t="shared" si="21"/>
        <v>7400</v>
      </c>
      <c r="Q107" s="41">
        <f t="shared" si="21"/>
        <v>10000</v>
      </c>
      <c r="R107" s="41">
        <f t="shared" si="21"/>
        <v>10000</v>
      </c>
      <c r="S107" s="41">
        <f t="shared" si="21"/>
        <v>10000</v>
      </c>
      <c r="T107" s="41">
        <f t="shared" si="21"/>
        <v>10000</v>
      </c>
      <c r="U107" s="41">
        <f t="shared" si="21"/>
        <v>0</v>
      </c>
      <c r="V107" s="41">
        <f t="shared" si="21"/>
        <v>0</v>
      </c>
      <c r="W107" s="41">
        <f t="shared" si="13"/>
        <v>84400</v>
      </c>
    </row>
    <row r="108" spans="1:23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f t="shared" si="13"/>
        <v>0</v>
      </c>
    </row>
    <row r="109" spans="1:23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>
        <v>7400</v>
      </c>
      <c r="L109" s="47">
        <v>7400</v>
      </c>
      <c r="M109" s="47">
        <v>7400</v>
      </c>
      <c r="N109" s="47">
        <v>7400</v>
      </c>
      <c r="O109" s="47">
        <v>7400</v>
      </c>
      <c r="P109" s="47">
        <v>7400</v>
      </c>
      <c r="Q109" s="47">
        <v>10000</v>
      </c>
      <c r="R109" s="47">
        <v>10000</v>
      </c>
      <c r="S109" s="47">
        <v>10000</v>
      </c>
      <c r="T109" s="47">
        <v>10000</v>
      </c>
      <c r="U109" s="47">
        <v>0</v>
      </c>
      <c r="V109" s="47">
        <v>0</v>
      </c>
      <c r="W109" s="47">
        <f t="shared" si="13"/>
        <v>84400</v>
      </c>
    </row>
    <row r="110" spans="1:23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>
        <v>0</v>
      </c>
      <c r="L110" s="47">
        <v>0</v>
      </c>
      <c r="M110" s="47">
        <v>0</v>
      </c>
      <c r="N110" s="47">
        <v>0</v>
      </c>
      <c r="O110" s="47">
        <v>0</v>
      </c>
      <c r="P110" s="47">
        <v>0</v>
      </c>
      <c r="Q110" s="47">
        <v>0</v>
      </c>
      <c r="R110" s="47">
        <v>0</v>
      </c>
      <c r="S110" s="47">
        <v>0</v>
      </c>
      <c r="T110" s="47">
        <v>0</v>
      </c>
      <c r="U110" s="47">
        <v>0</v>
      </c>
      <c r="V110" s="47">
        <v>0</v>
      </c>
      <c r="W110" s="47">
        <f t="shared" si="13"/>
        <v>0</v>
      </c>
    </row>
    <row r="111" spans="1:23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172946.76</v>
      </c>
      <c r="L111" s="33">
        <f t="shared" ref="L111:V111" si="22">L98+L99-L107</f>
        <v>-136542.04000000004</v>
      </c>
      <c r="M111" s="33">
        <f t="shared" si="22"/>
        <v>-264993.44</v>
      </c>
      <c r="N111" s="33">
        <f t="shared" si="22"/>
        <v>-339295.52</v>
      </c>
      <c r="O111" s="33">
        <f t="shared" si="22"/>
        <v>15648.679999999935</v>
      </c>
      <c r="P111" s="33">
        <f t="shared" si="22"/>
        <v>-348155.04000000004</v>
      </c>
      <c r="Q111" s="33">
        <f t="shared" si="22"/>
        <v>-93092.320000000065</v>
      </c>
      <c r="R111" s="33">
        <f t="shared" si="22"/>
        <v>-473782.95999999996</v>
      </c>
      <c r="S111" s="33">
        <f t="shared" si="22"/>
        <v>-399914.36</v>
      </c>
      <c r="T111" s="33">
        <f t="shared" si="22"/>
        <v>-83366.560000000056</v>
      </c>
      <c r="U111" s="33">
        <f t="shared" si="22"/>
        <v>-308175.44</v>
      </c>
      <c r="V111" s="33">
        <f t="shared" si="22"/>
        <v>2033386.2</v>
      </c>
      <c r="W111" s="33">
        <f t="shared" si="13"/>
        <v>-225336.04000000027</v>
      </c>
    </row>
    <row r="112" spans="1:23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3">SUM(L113:L114)</f>
        <v>0</v>
      </c>
      <c r="M112" s="37">
        <f t="shared" si="23"/>
        <v>0</v>
      </c>
      <c r="N112" s="37">
        <f t="shared" si="23"/>
        <v>0</v>
      </c>
      <c r="O112" s="37">
        <f t="shared" si="23"/>
        <v>0</v>
      </c>
      <c r="P112" s="37">
        <f t="shared" si="23"/>
        <v>0</v>
      </c>
      <c r="Q112" s="37">
        <f t="shared" si="23"/>
        <v>0</v>
      </c>
      <c r="R112" s="37">
        <f t="shared" si="23"/>
        <v>0</v>
      </c>
      <c r="S112" s="37">
        <f t="shared" si="23"/>
        <v>0</v>
      </c>
      <c r="T112" s="37">
        <f t="shared" si="23"/>
        <v>0</v>
      </c>
      <c r="U112" s="37">
        <f t="shared" si="23"/>
        <v>0</v>
      </c>
      <c r="V112" s="37">
        <f t="shared" si="23"/>
        <v>0</v>
      </c>
      <c r="W112" s="37">
        <f t="shared" si="13"/>
        <v>0</v>
      </c>
    </row>
    <row r="113" spans="1:23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f t="shared" si="13"/>
        <v>0</v>
      </c>
    </row>
    <row r="114" spans="1:23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v>0</v>
      </c>
      <c r="Q114" s="47">
        <v>0</v>
      </c>
      <c r="R114" s="47">
        <v>0</v>
      </c>
      <c r="S114" s="47">
        <v>0</v>
      </c>
      <c r="T114" s="47">
        <v>0</v>
      </c>
      <c r="U114" s="47">
        <v>0</v>
      </c>
      <c r="V114" s="47">
        <v>0</v>
      </c>
      <c r="W114" s="47">
        <f t="shared" si="13"/>
        <v>0</v>
      </c>
    </row>
    <row r="115" spans="1:23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4">SUM(L116:L117)</f>
        <v>0</v>
      </c>
      <c r="M115" s="41">
        <f t="shared" si="24"/>
        <v>0</v>
      </c>
      <c r="N115" s="41">
        <f t="shared" si="24"/>
        <v>0</v>
      </c>
      <c r="O115" s="41">
        <f t="shared" si="24"/>
        <v>0</v>
      </c>
      <c r="P115" s="41">
        <f t="shared" si="24"/>
        <v>0</v>
      </c>
      <c r="Q115" s="41">
        <f t="shared" si="24"/>
        <v>0</v>
      </c>
      <c r="R115" s="41">
        <f t="shared" si="24"/>
        <v>0</v>
      </c>
      <c r="S115" s="41">
        <f t="shared" si="24"/>
        <v>0</v>
      </c>
      <c r="T115" s="41">
        <f t="shared" si="24"/>
        <v>0</v>
      </c>
      <c r="U115" s="41">
        <f t="shared" si="24"/>
        <v>0</v>
      </c>
      <c r="V115" s="41">
        <f t="shared" si="24"/>
        <v>0</v>
      </c>
      <c r="W115" s="41">
        <f t="shared" si="13"/>
        <v>0</v>
      </c>
    </row>
    <row r="116" spans="1:23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7">
        <v>0</v>
      </c>
      <c r="Q116" s="47">
        <v>0</v>
      </c>
      <c r="R116" s="47">
        <v>0</v>
      </c>
      <c r="S116" s="47">
        <v>0</v>
      </c>
      <c r="T116" s="47">
        <v>0</v>
      </c>
      <c r="U116" s="47">
        <v>0</v>
      </c>
      <c r="V116" s="47">
        <v>0</v>
      </c>
      <c r="W116" s="47">
        <f t="shared" si="13"/>
        <v>0</v>
      </c>
    </row>
    <row r="117" spans="1:23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f t="shared" si="13"/>
        <v>0</v>
      </c>
    </row>
    <row r="118" spans="1:23" s="8" customFormat="1" ht="11.75" customHeight="1">
      <c r="A118" s="42" t="s">
        <v>239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172946.76</v>
      </c>
      <c r="L118" s="46">
        <f t="shared" ref="L118:V118" si="25">L111+L112-L115</f>
        <v>-136542.04000000004</v>
      </c>
      <c r="M118" s="46">
        <f t="shared" si="25"/>
        <v>-264993.44</v>
      </c>
      <c r="N118" s="46">
        <f t="shared" si="25"/>
        <v>-339295.52</v>
      </c>
      <c r="O118" s="46">
        <f t="shared" si="25"/>
        <v>15648.679999999935</v>
      </c>
      <c r="P118" s="46">
        <f t="shared" si="25"/>
        <v>-348155.04000000004</v>
      </c>
      <c r="Q118" s="46">
        <f t="shared" si="25"/>
        <v>-93092.320000000065</v>
      </c>
      <c r="R118" s="46">
        <f t="shared" si="25"/>
        <v>-473782.95999999996</v>
      </c>
      <c r="S118" s="46">
        <f t="shared" si="25"/>
        <v>-399914.36</v>
      </c>
      <c r="T118" s="46">
        <f t="shared" si="25"/>
        <v>-83366.560000000056</v>
      </c>
      <c r="U118" s="46">
        <f t="shared" si="25"/>
        <v>-308175.44</v>
      </c>
      <c r="V118" s="46">
        <f t="shared" si="25"/>
        <v>2033386.2</v>
      </c>
      <c r="W118" s="46">
        <f t="shared" si="13"/>
        <v>-225336.04000000027</v>
      </c>
    </row>
  </sheetData>
  <mergeCells count="2">
    <mergeCell ref="A4:A5"/>
    <mergeCell ref="B4:J5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383C-0CDC-4612-9297-A629241D744F}">
  <dimension ref="A1:W118"/>
  <sheetViews>
    <sheetView showGridLines="0" workbookViewId="0">
      <pane xSplit="10" ySplit="5" topLeftCell="K6" activePane="bottomRight" state="frozen"/>
      <selection activeCell="T120" sqref="T120"/>
      <selection pane="topRight" activeCell="T120" sqref="T120"/>
      <selection pane="bottomLeft" activeCell="T120" sqref="T120"/>
      <selection pane="bottomRight" activeCell="T120" sqref="T120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16384" width="9" style="51"/>
  </cols>
  <sheetData>
    <row r="1" spans="1:23" ht="20" customHeight="1">
      <c r="A1" s="56" t="s">
        <v>226</v>
      </c>
    </row>
    <row r="3" spans="1:23" ht="11.75" customHeight="1">
      <c r="A3" s="57" t="s">
        <v>221</v>
      </c>
    </row>
    <row r="4" spans="1:23" s="58" customFormat="1" ht="11.75" customHeight="1">
      <c r="A4" s="574" t="s">
        <v>0</v>
      </c>
      <c r="B4" s="576" t="s">
        <v>1</v>
      </c>
      <c r="C4" s="577"/>
      <c r="D4" s="577"/>
      <c r="E4" s="577"/>
      <c r="F4" s="577"/>
      <c r="G4" s="577"/>
      <c r="H4" s="577"/>
      <c r="I4" s="577"/>
      <c r="J4" s="578"/>
      <c r="K4" s="55" t="s">
        <v>227</v>
      </c>
      <c r="L4" s="55" t="s">
        <v>228</v>
      </c>
      <c r="M4" s="55" t="s">
        <v>229</v>
      </c>
      <c r="N4" s="55" t="s">
        <v>230</v>
      </c>
      <c r="O4" s="55" t="s">
        <v>231</v>
      </c>
      <c r="P4" s="55" t="s">
        <v>232</v>
      </c>
      <c r="Q4" s="55" t="s">
        <v>233</v>
      </c>
      <c r="R4" s="55" t="s">
        <v>234</v>
      </c>
      <c r="S4" s="55" t="s">
        <v>235</v>
      </c>
      <c r="T4" s="55" t="s">
        <v>236</v>
      </c>
      <c r="U4" s="55" t="s">
        <v>237</v>
      </c>
      <c r="V4" s="55" t="s">
        <v>238</v>
      </c>
      <c r="W4" s="52" t="s">
        <v>225</v>
      </c>
    </row>
    <row r="5" spans="1:23" s="58" customFormat="1" ht="17" customHeight="1">
      <c r="A5" s="575"/>
      <c r="B5" s="579"/>
      <c r="C5" s="580"/>
      <c r="D5" s="580"/>
      <c r="E5" s="580"/>
      <c r="F5" s="580"/>
      <c r="G5" s="580"/>
      <c r="H5" s="580"/>
      <c r="I5" s="580"/>
      <c r="J5" s="581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</row>
    <row r="6" spans="1:23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950000</v>
      </c>
      <c r="L6" s="7">
        <f t="shared" ref="L6:V6" si="0">SUM(L7:L16)</f>
        <v>2012000</v>
      </c>
      <c r="M6" s="7">
        <f t="shared" si="0"/>
        <v>2400000</v>
      </c>
      <c r="N6" s="7">
        <f t="shared" si="0"/>
        <v>2550000</v>
      </c>
      <c r="O6" s="7">
        <f t="shared" si="0"/>
        <v>2705000</v>
      </c>
      <c r="P6" s="7">
        <f t="shared" si="0"/>
        <v>2500000</v>
      </c>
      <c r="Q6" s="7">
        <f t="shared" si="0"/>
        <v>1780000</v>
      </c>
      <c r="R6" s="7">
        <f t="shared" si="0"/>
        <v>1085000</v>
      </c>
      <c r="S6" s="7">
        <f t="shared" si="0"/>
        <v>1335000</v>
      </c>
      <c r="T6" s="7">
        <f t="shared" si="0"/>
        <v>537000</v>
      </c>
      <c r="U6" s="7">
        <f t="shared" si="0"/>
        <v>765000</v>
      </c>
      <c r="V6" s="7">
        <f t="shared" si="0"/>
        <v>1030000</v>
      </c>
      <c r="W6" s="7">
        <f>SUM(K6:V6)</f>
        <v>19649000</v>
      </c>
    </row>
    <row r="7" spans="1:23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950000</v>
      </c>
      <c r="L7" s="47">
        <v>2012000</v>
      </c>
      <c r="M7" s="47">
        <v>2400000</v>
      </c>
      <c r="N7" s="47">
        <v>2550000</v>
      </c>
      <c r="O7" s="47">
        <v>2705000</v>
      </c>
      <c r="P7" s="47">
        <v>2500000</v>
      </c>
      <c r="Q7" s="47">
        <v>1780000</v>
      </c>
      <c r="R7" s="47">
        <v>1085000</v>
      </c>
      <c r="S7" s="47">
        <v>1335000</v>
      </c>
      <c r="T7" s="47">
        <v>537000</v>
      </c>
      <c r="U7" s="47">
        <v>765000</v>
      </c>
      <c r="V7" s="47">
        <v>1030000</v>
      </c>
      <c r="W7" s="47">
        <f t="shared" ref="W7:W70" si="1">SUM(K7:V7)</f>
        <v>19649000</v>
      </c>
    </row>
    <row r="8" spans="1:23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f t="shared" si="1"/>
        <v>0</v>
      </c>
    </row>
    <row r="9" spans="1:23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f t="shared" si="1"/>
        <v>0</v>
      </c>
    </row>
    <row r="10" spans="1:23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f t="shared" si="1"/>
        <v>0</v>
      </c>
    </row>
    <row r="11" spans="1:23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f t="shared" si="1"/>
        <v>0</v>
      </c>
    </row>
    <row r="12" spans="1:23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f t="shared" si="1"/>
        <v>0</v>
      </c>
    </row>
    <row r="13" spans="1:23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f t="shared" si="1"/>
        <v>0</v>
      </c>
    </row>
    <row r="14" spans="1:23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f t="shared" si="1"/>
        <v>0</v>
      </c>
    </row>
    <row r="15" spans="1:23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f t="shared" si="1"/>
        <v>0</v>
      </c>
    </row>
    <row r="16" spans="1:23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f t="shared" si="1"/>
        <v>0</v>
      </c>
    </row>
    <row r="17" spans="1:23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f>K7*0.305</f>
        <v>289750</v>
      </c>
      <c r="L17" s="48">
        <f t="shared" ref="L17:V17" si="2">L7*0.305</f>
        <v>613660</v>
      </c>
      <c r="M17" s="48">
        <f t="shared" si="2"/>
        <v>732000</v>
      </c>
      <c r="N17" s="48">
        <f t="shared" si="2"/>
        <v>777750</v>
      </c>
      <c r="O17" s="48">
        <f t="shared" si="2"/>
        <v>825025</v>
      </c>
      <c r="P17" s="48">
        <f t="shared" si="2"/>
        <v>762500</v>
      </c>
      <c r="Q17" s="48">
        <f t="shared" si="2"/>
        <v>542900</v>
      </c>
      <c r="R17" s="48">
        <f t="shared" si="2"/>
        <v>330925</v>
      </c>
      <c r="S17" s="48">
        <f t="shared" si="2"/>
        <v>407175</v>
      </c>
      <c r="T17" s="48">
        <f>T7*0.305</f>
        <v>163785</v>
      </c>
      <c r="U17" s="48">
        <f t="shared" si="2"/>
        <v>233325</v>
      </c>
      <c r="V17" s="48">
        <f t="shared" si="2"/>
        <v>314150</v>
      </c>
      <c r="W17" s="48">
        <f t="shared" si="1"/>
        <v>5992945</v>
      </c>
    </row>
    <row r="18" spans="1:23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660250</v>
      </c>
      <c r="L18" s="17">
        <f t="shared" ref="L18:V18" si="3">L6-L17</f>
        <v>1398340</v>
      </c>
      <c r="M18" s="17">
        <f t="shared" si="3"/>
        <v>1668000</v>
      </c>
      <c r="N18" s="17">
        <f t="shared" si="3"/>
        <v>1772250</v>
      </c>
      <c r="O18" s="17">
        <f t="shared" si="3"/>
        <v>1879975</v>
      </c>
      <c r="P18" s="17">
        <f t="shared" si="3"/>
        <v>1737500</v>
      </c>
      <c r="Q18" s="17">
        <f t="shared" si="3"/>
        <v>1237100</v>
      </c>
      <c r="R18" s="17">
        <f t="shared" si="3"/>
        <v>754075</v>
      </c>
      <c r="S18" s="17">
        <f t="shared" si="3"/>
        <v>927825</v>
      </c>
      <c r="T18" s="17">
        <f t="shared" si="3"/>
        <v>373215</v>
      </c>
      <c r="U18" s="17">
        <f t="shared" si="3"/>
        <v>531675</v>
      </c>
      <c r="V18" s="17">
        <f t="shared" si="3"/>
        <v>715850</v>
      </c>
      <c r="W18" s="17">
        <f t="shared" si="1"/>
        <v>13656055</v>
      </c>
    </row>
    <row r="19" spans="1:23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0</v>
      </c>
      <c r="L19" s="21">
        <f t="shared" ref="L19:V19" si="4">SUM(L20:L22,L26,L29:L31,L35:L36)</f>
        <v>0</v>
      </c>
      <c r="M19" s="21">
        <f t="shared" si="4"/>
        <v>0</v>
      </c>
      <c r="N19" s="21">
        <f t="shared" si="4"/>
        <v>0</v>
      </c>
      <c r="O19" s="21">
        <f t="shared" si="4"/>
        <v>0</v>
      </c>
      <c r="P19" s="21">
        <f t="shared" si="4"/>
        <v>0</v>
      </c>
      <c r="Q19" s="21">
        <f t="shared" si="4"/>
        <v>0</v>
      </c>
      <c r="R19" s="21">
        <f t="shared" si="4"/>
        <v>0</v>
      </c>
      <c r="S19" s="21">
        <f t="shared" si="4"/>
        <v>0</v>
      </c>
      <c r="T19" s="21">
        <f t="shared" si="4"/>
        <v>0</v>
      </c>
      <c r="U19" s="21">
        <f t="shared" si="4"/>
        <v>0</v>
      </c>
      <c r="V19" s="21">
        <f t="shared" si="4"/>
        <v>2876875</v>
      </c>
      <c r="W19" s="21">
        <f t="shared" si="1"/>
        <v>2876875</v>
      </c>
    </row>
    <row r="20" spans="1:23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f t="shared" si="1"/>
        <v>0</v>
      </c>
    </row>
    <row r="21" spans="1:23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f t="shared" si="1"/>
        <v>0</v>
      </c>
    </row>
    <row r="22" spans="1:23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0</v>
      </c>
      <c r="L22" s="12">
        <f t="shared" ref="L22:V22" si="5">SUM(L23:L25)</f>
        <v>0</v>
      </c>
      <c r="M22" s="12">
        <f t="shared" si="5"/>
        <v>0</v>
      </c>
      <c r="N22" s="12">
        <f t="shared" si="5"/>
        <v>0</v>
      </c>
      <c r="O22" s="12">
        <f t="shared" si="5"/>
        <v>0</v>
      </c>
      <c r="P22" s="12">
        <f t="shared" si="5"/>
        <v>0</v>
      </c>
      <c r="Q22" s="12">
        <f t="shared" si="5"/>
        <v>0</v>
      </c>
      <c r="R22" s="12">
        <f t="shared" si="5"/>
        <v>0</v>
      </c>
      <c r="S22" s="12">
        <f t="shared" si="5"/>
        <v>0</v>
      </c>
      <c r="T22" s="12">
        <f t="shared" si="5"/>
        <v>0</v>
      </c>
      <c r="U22" s="12">
        <f t="shared" si="5"/>
        <v>0</v>
      </c>
      <c r="V22" s="12">
        <f t="shared" si="5"/>
        <v>2524200</v>
      </c>
      <c r="W22" s="12">
        <f t="shared" si="1"/>
        <v>2524200</v>
      </c>
    </row>
    <row r="23" spans="1:23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f t="shared" si="1"/>
        <v>0</v>
      </c>
    </row>
    <row r="24" spans="1:23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f t="shared" si="1"/>
        <v>0</v>
      </c>
    </row>
    <row r="25" spans="1:23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2524200</v>
      </c>
      <c r="W25" s="47">
        <f t="shared" si="1"/>
        <v>2524200</v>
      </c>
    </row>
    <row r="26" spans="1:23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f>SUM(K27:K28)</f>
        <v>0</v>
      </c>
      <c r="L26" s="12">
        <f t="shared" ref="L26:V26" si="6">SUM(L27:L28)</f>
        <v>0</v>
      </c>
      <c r="M26" s="12">
        <f t="shared" si="6"/>
        <v>0</v>
      </c>
      <c r="N26" s="12">
        <f t="shared" si="6"/>
        <v>0</v>
      </c>
      <c r="O26" s="12">
        <f t="shared" si="6"/>
        <v>0</v>
      </c>
      <c r="P26" s="12">
        <f t="shared" si="6"/>
        <v>0</v>
      </c>
      <c r="Q26" s="12">
        <f t="shared" si="6"/>
        <v>0</v>
      </c>
      <c r="R26" s="12">
        <f t="shared" si="6"/>
        <v>0</v>
      </c>
      <c r="S26" s="12">
        <f t="shared" si="6"/>
        <v>0</v>
      </c>
      <c r="T26" s="12">
        <f t="shared" si="6"/>
        <v>0</v>
      </c>
      <c r="U26" s="12">
        <f t="shared" si="6"/>
        <v>0</v>
      </c>
      <c r="V26" s="12">
        <f t="shared" si="6"/>
        <v>0</v>
      </c>
      <c r="W26" s="12">
        <f t="shared" si="1"/>
        <v>0</v>
      </c>
    </row>
    <row r="27" spans="1:23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f t="shared" si="1"/>
        <v>0</v>
      </c>
    </row>
    <row r="28" spans="1:23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f t="shared" si="1"/>
        <v>0</v>
      </c>
    </row>
    <row r="29" spans="1:23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241665</v>
      </c>
      <c r="W29" s="47">
        <f t="shared" si="1"/>
        <v>241665</v>
      </c>
    </row>
    <row r="30" spans="1:23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f t="shared" si="1"/>
        <v>0</v>
      </c>
    </row>
    <row r="31" spans="1:23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0</v>
      </c>
      <c r="L31" s="12">
        <f t="shared" ref="L31:V31" si="7">SUM(L32:L34)</f>
        <v>0</v>
      </c>
      <c r="M31" s="12">
        <f t="shared" si="7"/>
        <v>0</v>
      </c>
      <c r="N31" s="12">
        <f t="shared" si="7"/>
        <v>0</v>
      </c>
      <c r="O31" s="12">
        <f t="shared" si="7"/>
        <v>0</v>
      </c>
      <c r="P31" s="12">
        <f t="shared" si="7"/>
        <v>0</v>
      </c>
      <c r="Q31" s="12">
        <f t="shared" si="7"/>
        <v>0</v>
      </c>
      <c r="R31" s="12">
        <f t="shared" si="7"/>
        <v>0</v>
      </c>
      <c r="S31" s="12">
        <f t="shared" si="7"/>
        <v>0</v>
      </c>
      <c r="T31" s="12">
        <f t="shared" si="7"/>
        <v>0</v>
      </c>
      <c r="U31" s="12">
        <f t="shared" si="7"/>
        <v>0</v>
      </c>
      <c r="V31" s="12">
        <f t="shared" si="7"/>
        <v>0</v>
      </c>
      <c r="W31" s="12">
        <f t="shared" si="1"/>
        <v>0</v>
      </c>
    </row>
    <row r="32" spans="1:23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f t="shared" si="1"/>
        <v>0</v>
      </c>
    </row>
    <row r="33" spans="1:23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f t="shared" si="1"/>
        <v>0</v>
      </c>
    </row>
    <row r="34" spans="1:23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f t="shared" si="1"/>
        <v>0</v>
      </c>
    </row>
    <row r="35" spans="1:23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111010</v>
      </c>
      <c r="W35" s="47">
        <f t="shared" si="1"/>
        <v>111010</v>
      </c>
    </row>
    <row r="36" spans="1:23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53">
        <f t="shared" si="1"/>
        <v>0</v>
      </c>
    </row>
    <row r="37" spans="1:23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41192</v>
      </c>
      <c r="L37" s="25">
        <f t="shared" ref="L37:V37" si="8">SUM(L38:L41,L46,L50,L57:L58,L61:L67,L70:L72,L78:L80,L83:L84)</f>
        <v>38785</v>
      </c>
      <c r="M37" s="25">
        <f t="shared" si="8"/>
        <v>38786</v>
      </c>
      <c r="N37" s="25">
        <f t="shared" si="8"/>
        <v>88786</v>
      </c>
      <c r="O37" s="25">
        <f t="shared" si="8"/>
        <v>324277</v>
      </c>
      <c r="P37" s="25">
        <f t="shared" si="8"/>
        <v>28786</v>
      </c>
      <c r="Q37" s="25">
        <f t="shared" si="8"/>
        <v>284374</v>
      </c>
      <c r="R37" s="25">
        <f t="shared" si="8"/>
        <v>50883</v>
      </c>
      <c r="S37" s="25">
        <f t="shared" si="8"/>
        <v>28883</v>
      </c>
      <c r="T37" s="25">
        <f t="shared" si="8"/>
        <v>334374</v>
      </c>
      <c r="U37" s="25">
        <f t="shared" si="8"/>
        <v>58883</v>
      </c>
      <c r="V37" s="25">
        <f t="shared" si="8"/>
        <v>285974</v>
      </c>
      <c r="W37" s="25">
        <f t="shared" si="1"/>
        <v>1603983</v>
      </c>
    </row>
    <row r="38" spans="1:23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0</v>
      </c>
      <c r="L38" s="47">
        <v>0</v>
      </c>
      <c r="M38" s="47">
        <v>0</v>
      </c>
      <c r="N38" s="47">
        <v>0</v>
      </c>
      <c r="O38" s="47">
        <v>30000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30000</v>
      </c>
      <c r="V38" s="47">
        <v>0</v>
      </c>
      <c r="W38" s="47">
        <f t="shared" si="1"/>
        <v>60000</v>
      </c>
    </row>
    <row r="39" spans="1:23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f t="shared" si="1"/>
        <v>0</v>
      </c>
    </row>
    <row r="40" spans="1:23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</row>
    <row r="41" spans="1:23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0</v>
      </c>
      <c r="L41" s="12">
        <f t="shared" ref="L41:V41" si="9">SUM(L42:L45)</f>
        <v>0</v>
      </c>
      <c r="M41" s="12">
        <f t="shared" si="9"/>
        <v>0</v>
      </c>
      <c r="N41" s="12">
        <f t="shared" si="9"/>
        <v>0</v>
      </c>
      <c r="O41" s="12">
        <f t="shared" si="9"/>
        <v>255491</v>
      </c>
      <c r="P41" s="12">
        <f t="shared" si="9"/>
        <v>0</v>
      </c>
      <c r="Q41" s="12">
        <f t="shared" si="9"/>
        <v>255491</v>
      </c>
      <c r="R41" s="12">
        <f t="shared" si="9"/>
        <v>0</v>
      </c>
      <c r="S41" s="12">
        <f t="shared" si="9"/>
        <v>0</v>
      </c>
      <c r="T41" s="12">
        <f t="shared" si="9"/>
        <v>255491</v>
      </c>
      <c r="U41" s="12">
        <f t="shared" si="9"/>
        <v>0</v>
      </c>
      <c r="V41" s="12">
        <f t="shared" si="9"/>
        <v>255491</v>
      </c>
      <c r="W41" s="12">
        <f t="shared" si="1"/>
        <v>1021964</v>
      </c>
    </row>
    <row r="42" spans="1:23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</row>
    <row r="43" spans="1:23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0</v>
      </c>
      <c r="M43" s="47">
        <v>0</v>
      </c>
      <c r="N43" s="47">
        <v>0</v>
      </c>
      <c r="O43" s="47">
        <v>255491</v>
      </c>
      <c r="P43" s="47">
        <v>0</v>
      </c>
      <c r="Q43" s="47">
        <v>255491</v>
      </c>
      <c r="R43" s="47">
        <v>0</v>
      </c>
      <c r="S43" s="47">
        <v>0</v>
      </c>
      <c r="T43" s="47">
        <v>255491</v>
      </c>
      <c r="U43" s="47">
        <v>0</v>
      </c>
      <c r="V43" s="47">
        <v>255491</v>
      </c>
      <c r="W43" s="47">
        <f t="shared" si="1"/>
        <v>1021964</v>
      </c>
    </row>
    <row r="44" spans="1:23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</row>
    <row r="45" spans="1:23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f t="shared" si="1"/>
        <v>0</v>
      </c>
    </row>
    <row r="46" spans="1:23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4210</v>
      </c>
      <c r="L46" s="12">
        <f t="shared" ref="L46:V46" si="10">SUM(L47:L49)</f>
        <v>0</v>
      </c>
      <c r="M46" s="12">
        <f t="shared" si="10"/>
        <v>0</v>
      </c>
      <c r="N46" s="12">
        <f t="shared" si="10"/>
        <v>0</v>
      </c>
      <c r="O46" s="12">
        <f t="shared" si="10"/>
        <v>0</v>
      </c>
      <c r="P46" s="12">
        <f t="shared" si="10"/>
        <v>0</v>
      </c>
      <c r="Q46" s="12">
        <f t="shared" si="10"/>
        <v>0</v>
      </c>
      <c r="R46" s="12">
        <f t="shared" si="10"/>
        <v>0</v>
      </c>
      <c r="S46" s="12">
        <f t="shared" si="10"/>
        <v>0</v>
      </c>
      <c r="T46" s="12">
        <f t="shared" si="10"/>
        <v>0</v>
      </c>
      <c r="U46" s="12">
        <f t="shared" si="10"/>
        <v>0</v>
      </c>
      <c r="V46" s="12">
        <f t="shared" si="10"/>
        <v>0</v>
      </c>
      <c r="W46" s="12">
        <f t="shared" si="1"/>
        <v>4210</v>
      </c>
    </row>
    <row r="47" spans="1:23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</row>
    <row r="48" spans="1:23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0</v>
      </c>
    </row>
    <row r="49" spans="1:23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4210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4210</v>
      </c>
    </row>
    <row r="50" spans="1:23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1">SUM(L51:L56)</f>
        <v>0</v>
      </c>
      <c r="M50" s="12">
        <f t="shared" si="11"/>
        <v>0</v>
      </c>
      <c r="N50" s="12">
        <f t="shared" si="11"/>
        <v>0</v>
      </c>
      <c r="O50" s="12">
        <f t="shared" si="11"/>
        <v>0</v>
      </c>
      <c r="P50" s="12">
        <f t="shared" si="11"/>
        <v>0</v>
      </c>
      <c r="Q50" s="12">
        <f t="shared" si="11"/>
        <v>0</v>
      </c>
      <c r="R50" s="12">
        <f t="shared" si="11"/>
        <v>0</v>
      </c>
      <c r="S50" s="12">
        <f t="shared" si="11"/>
        <v>0</v>
      </c>
      <c r="T50" s="12">
        <f t="shared" si="11"/>
        <v>0</v>
      </c>
      <c r="U50" s="12">
        <f t="shared" si="11"/>
        <v>0</v>
      </c>
      <c r="V50" s="12">
        <f t="shared" si="11"/>
        <v>0</v>
      </c>
      <c r="W50" s="12">
        <f t="shared" si="1"/>
        <v>0</v>
      </c>
    </row>
    <row r="51" spans="1:23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</row>
    <row r="52" spans="1:23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0</v>
      </c>
    </row>
    <row r="53" spans="1:23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</row>
    <row r="54" spans="1:23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</row>
    <row r="55" spans="1:23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0</v>
      </c>
    </row>
    <row r="56" spans="1:23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</row>
    <row r="57" spans="1:23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</row>
    <row r="58" spans="1:23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0</v>
      </c>
      <c r="L58" s="12">
        <f t="shared" ref="L58:V58" si="12">SUM(L59:L60)</f>
        <v>0</v>
      </c>
      <c r="M58" s="12">
        <f t="shared" si="12"/>
        <v>0</v>
      </c>
      <c r="N58" s="12">
        <f t="shared" si="12"/>
        <v>0</v>
      </c>
      <c r="O58" s="12">
        <f t="shared" si="12"/>
        <v>0</v>
      </c>
      <c r="P58" s="12">
        <f t="shared" si="12"/>
        <v>0</v>
      </c>
      <c r="Q58" s="12">
        <f t="shared" si="12"/>
        <v>0</v>
      </c>
      <c r="R58" s="12">
        <f t="shared" si="12"/>
        <v>0</v>
      </c>
      <c r="S58" s="12">
        <f t="shared" si="12"/>
        <v>0</v>
      </c>
      <c r="T58" s="12">
        <f t="shared" si="12"/>
        <v>0</v>
      </c>
      <c r="U58" s="12">
        <f t="shared" si="12"/>
        <v>0</v>
      </c>
      <c r="V58" s="12">
        <f t="shared" si="12"/>
        <v>0</v>
      </c>
      <c r="W58" s="12">
        <f t="shared" si="1"/>
        <v>0</v>
      </c>
    </row>
    <row r="59" spans="1:23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f t="shared" si="1"/>
        <v>0</v>
      </c>
    </row>
    <row r="60" spans="1:23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</row>
    <row r="61" spans="1:23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f t="shared" si="1"/>
        <v>0</v>
      </c>
    </row>
    <row r="62" spans="1:23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</row>
    <row r="63" spans="1:23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9700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f t="shared" si="1"/>
        <v>9700</v>
      </c>
    </row>
    <row r="64" spans="1:23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f t="shared" si="1"/>
        <v>0</v>
      </c>
    </row>
    <row r="65" spans="1:23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14000</v>
      </c>
      <c r="L65" s="47">
        <v>14000</v>
      </c>
      <c r="M65" s="47">
        <v>14000</v>
      </c>
      <c r="N65" s="47">
        <v>64000</v>
      </c>
      <c r="O65" s="47">
        <v>14000</v>
      </c>
      <c r="P65" s="47">
        <v>14000</v>
      </c>
      <c r="Q65" s="47">
        <v>14000</v>
      </c>
      <c r="R65" s="47">
        <v>36000</v>
      </c>
      <c r="S65" s="47">
        <v>14000</v>
      </c>
      <c r="T65" s="47">
        <v>64000</v>
      </c>
      <c r="U65" s="47">
        <v>14000</v>
      </c>
      <c r="V65" s="47">
        <v>14000</v>
      </c>
      <c r="W65" s="47">
        <f t="shared" si="1"/>
        <v>290000</v>
      </c>
    </row>
    <row r="66" spans="1:23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</row>
    <row r="67" spans="1:23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10000</v>
      </c>
      <c r="L67" s="12">
        <f t="shared" ref="L67:V67" si="13">SUM(L68:L69)</f>
        <v>20000</v>
      </c>
      <c r="M67" s="12">
        <f t="shared" si="13"/>
        <v>20000</v>
      </c>
      <c r="N67" s="12">
        <f t="shared" si="13"/>
        <v>20000</v>
      </c>
      <c r="O67" s="12">
        <f t="shared" si="13"/>
        <v>20000</v>
      </c>
      <c r="P67" s="12">
        <f t="shared" si="13"/>
        <v>10000</v>
      </c>
      <c r="Q67" s="12">
        <f t="shared" si="13"/>
        <v>10000</v>
      </c>
      <c r="R67" s="12">
        <f t="shared" si="13"/>
        <v>10000</v>
      </c>
      <c r="S67" s="12">
        <f t="shared" si="13"/>
        <v>10000</v>
      </c>
      <c r="T67" s="12">
        <f t="shared" si="13"/>
        <v>10000</v>
      </c>
      <c r="U67" s="12">
        <f t="shared" si="13"/>
        <v>10000</v>
      </c>
      <c r="V67" s="12">
        <f t="shared" si="13"/>
        <v>10000</v>
      </c>
      <c r="W67" s="12">
        <f t="shared" si="1"/>
        <v>160000</v>
      </c>
    </row>
    <row r="68" spans="1:23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10000</v>
      </c>
      <c r="L68" s="47">
        <v>20000</v>
      </c>
      <c r="M68" s="47">
        <v>20000</v>
      </c>
      <c r="N68" s="47">
        <v>20000</v>
      </c>
      <c r="O68" s="47">
        <v>20000</v>
      </c>
      <c r="P68" s="47">
        <v>10000</v>
      </c>
      <c r="Q68" s="47">
        <v>10000</v>
      </c>
      <c r="R68" s="47">
        <v>10000</v>
      </c>
      <c r="S68" s="47">
        <v>10000</v>
      </c>
      <c r="T68" s="47">
        <v>10000</v>
      </c>
      <c r="U68" s="47">
        <v>10000</v>
      </c>
      <c r="V68" s="47">
        <v>10000</v>
      </c>
      <c r="W68" s="47">
        <f t="shared" si="1"/>
        <v>160000</v>
      </c>
    </row>
    <row r="69" spans="1:23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</row>
    <row r="70" spans="1:23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f t="shared" si="1"/>
        <v>0</v>
      </c>
    </row>
    <row r="71" spans="1:23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3282</v>
      </c>
      <c r="L71" s="47">
        <v>4785</v>
      </c>
      <c r="M71" s="47">
        <v>4786</v>
      </c>
      <c r="N71" s="47">
        <v>4786</v>
      </c>
      <c r="O71" s="47">
        <v>4786</v>
      </c>
      <c r="P71" s="47">
        <v>4786</v>
      </c>
      <c r="Q71" s="47">
        <v>4883</v>
      </c>
      <c r="R71" s="47">
        <v>4883</v>
      </c>
      <c r="S71" s="47">
        <v>4883</v>
      </c>
      <c r="T71" s="47">
        <v>4883</v>
      </c>
      <c r="U71" s="47">
        <v>4883</v>
      </c>
      <c r="V71" s="47">
        <v>6483</v>
      </c>
      <c r="W71" s="47">
        <f t="shared" ref="W71:W118" si="14">SUM(K71:V71)</f>
        <v>58109</v>
      </c>
    </row>
    <row r="72" spans="1:23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0</v>
      </c>
      <c r="L72" s="12">
        <f t="shared" ref="L72:V72" si="15">SUM(L73:L77)</f>
        <v>0</v>
      </c>
      <c r="M72" s="12">
        <f t="shared" si="15"/>
        <v>0</v>
      </c>
      <c r="N72" s="12">
        <f t="shared" si="15"/>
        <v>0</v>
      </c>
      <c r="O72" s="12">
        <f t="shared" si="15"/>
        <v>0</v>
      </c>
      <c r="P72" s="12">
        <f t="shared" si="15"/>
        <v>0</v>
      </c>
      <c r="Q72" s="12">
        <f t="shared" si="15"/>
        <v>0</v>
      </c>
      <c r="R72" s="12">
        <f t="shared" si="15"/>
        <v>0</v>
      </c>
      <c r="S72" s="12">
        <f t="shared" si="15"/>
        <v>0</v>
      </c>
      <c r="T72" s="12">
        <f t="shared" si="15"/>
        <v>0</v>
      </c>
      <c r="U72" s="12">
        <f t="shared" si="15"/>
        <v>0</v>
      </c>
      <c r="V72" s="12">
        <f t="shared" si="15"/>
        <v>0</v>
      </c>
      <c r="W72" s="12">
        <f t="shared" si="14"/>
        <v>0</v>
      </c>
    </row>
    <row r="73" spans="1:23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f t="shared" si="14"/>
        <v>0</v>
      </c>
    </row>
    <row r="74" spans="1:23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f t="shared" si="14"/>
        <v>0</v>
      </c>
    </row>
    <row r="75" spans="1:23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f t="shared" si="14"/>
        <v>0</v>
      </c>
    </row>
    <row r="76" spans="1:23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4"/>
        <v>0</v>
      </c>
    </row>
    <row r="77" spans="1:23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4"/>
        <v>0</v>
      </c>
    </row>
    <row r="78" spans="1:23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f t="shared" si="14"/>
        <v>0</v>
      </c>
    </row>
    <row r="79" spans="1:23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f t="shared" si="14"/>
        <v>0</v>
      </c>
    </row>
    <row r="80" spans="1:23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6">SUM(L81:L82)</f>
        <v>0</v>
      </c>
      <c r="M80" s="12">
        <f t="shared" si="16"/>
        <v>0</v>
      </c>
      <c r="N80" s="12">
        <f t="shared" si="16"/>
        <v>0</v>
      </c>
      <c r="O80" s="12">
        <f t="shared" si="16"/>
        <v>0</v>
      </c>
      <c r="P80" s="12">
        <f t="shared" si="16"/>
        <v>0</v>
      </c>
      <c r="Q80" s="12">
        <f t="shared" si="16"/>
        <v>0</v>
      </c>
      <c r="R80" s="12">
        <f t="shared" si="16"/>
        <v>0</v>
      </c>
      <c r="S80" s="12">
        <f t="shared" si="16"/>
        <v>0</v>
      </c>
      <c r="T80" s="12">
        <f t="shared" si="16"/>
        <v>0</v>
      </c>
      <c r="U80" s="12">
        <f t="shared" si="16"/>
        <v>0</v>
      </c>
      <c r="V80" s="12">
        <f t="shared" si="16"/>
        <v>0</v>
      </c>
      <c r="W80" s="12">
        <f t="shared" si="14"/>
        <v>0</v>
      </c>
    </row>
    <row r="81" spans="1:23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4"/>
        <v>0</v>
      </c>
    </row>
    <row r="82" spans="1:23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4"/>
        <v>0</v>
      </c>
    </row>
    <row r="83" spans="1:23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4"/>
        <v>0</v>
      </c>
    </row>
    <row r="84" spans="1:23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4"/>
        <v>0</v>
      </c>
    </row>
    <row r="85" spans="1:23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42758</v>
      </c>
      <c r="L85" s="25">
        <f t="shared" ref="L85:V85" si="17">SUM(L86:L96)</f>
        <v>42758</v>
      </c>
      <c r="M85" s="25">
        <f t="shared" si="17"/>
        <v>42758</v>
      </c>
      <c r="N85" s="25">
        <f t="shared" si="17"/>
        <v>42758</v>
      </c>
      <c r="O85" s="25">
        <f t="shared" si="17"/>
        <v>42758</v>
      </c>
      <c r="P85" s="25">
        <f t="shared" si="17"/>
        <v>42758</v>
      </c>
      <c r="Q85" s="25">
        <f t="shared" si="17"/>
        <v>42758</v>
      </c>
      <c r="R85" s="25">
        <f t="shared" si="17"/>
        <v>42758</v>
      </c>
      <c r="S85" s="25">
        <f t="shared" si="17"/>
        <v>42758</v>
      </c>
      <c r="T85" s="25">
        <f t="shared" si="17"/>
        <v>42758</v>
      </c>
      <c r="U85" s="25">
        <f t="shared" si="17"/>
        <v>42758</v>
      </c>
      <c r="V85" s="25">
        <f t="shared" si="17"/>
        <v>42771</v>
      </c>
      <c r="W85" s="25">
        <f t="shared" si="14"/>
        <v>513109</v>
      </c>
    </row>
    <row r="86" spans="1:23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>
        <v>0</v>
      </c>
      <c r="L86" s="47">
        <v>0</v>
      </c>
      <c r="M86" s="47">
        <v>0</v>
      </c>
      <c r="N86" s="47">
        <v>0</v>
      </c>
      <c r="O86" s="47">
        <v>0</v>
      </c>
      <c r="P86" s="47">
        <v>0</v>
      </c>
      <c r="Q86" s="47">
        <v>0</v>
      </c>
      <c r="R86" s="47">
        <v>0</v>
      </c>
      <c r="S86" s="47">
        <v>0</v>
      </c>
      <c r="T86" s="47">
        <v>0</v>
      </c>
      <c r="U86" s="47">
        <v>0</v>
      </c>
      <c r="V86" s="47">
        <v>0</v>
      </c>
      <c r="W86" s="47">
        <f t="shared" si="14"/>
        <v>0</v>
      </c>
    </row>
    <row r="87" spans="1:23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>
        <v>21483</v>
      </c>
      <c r="L87" s="47">
        <v>21483</v>
      </c>
      <c r="M87" s="47">
        <v>21483</v>
      </c>
      <c r="N87" s="47">
        <v>21483</v>
      </c>
      <c r="O87" s="47">
        <v>21483</v>
      </c>
      <c r="P87" s="47">
        <v>21483</v>
      </c>
      <c r="Q87" s="47">
        <v>21483</v>
      </c>
      <c r="R87" s="47">
        <v>21483</v>
      </c>
      <c r="S87" s="47">
        <v>21483</v>
      </c>
      <c r="T87" s="47">
        <v>21483</v>
      </c>
      <c r="U87" s="47">
        <v>21483</v>
      </c>
      <c r="V87" s="47">
        <v>21490</v>
      </c>
      <c r="W87" s="47">
        <f t="shared" si="14"/>
        <v>257803</v>
      </c>
    </row>
    <row r="88" spans="1:23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v>0</v>
      </c>
      <c r="U88" s="47">
        <v>0</v>
      </c>
      <c r="V88" s="47">
        <v>0</v>
      </c>
      <c r="W88" s="47">
        <f t="shared" si="14"/>
        <v>0</v>
      </c>
    </row>
    <row r="89" spans="1:23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>
        <v>0</v>
      </c>
      <c r="L89" s="47">
        <v>0</v>
      </c>
      <c r="M89" s="47">
        <v>0</v>
      </c>
      <c r="N89" s="47">
        <v>0</v>
      </c>
      <c r="O89" s="47">
        <v>0</v>
      </c>
      <c r="P89" s="47">
        <v>0</v>
      </c>
      <c r="Q89" s="47">
        <v>0</v>
      </c>
      <c r="R89" s="47">
        <v>0</v>
      </c>
      <c r="S89" s="47">
        <v>0</v>
      </c>
      <c r="T89" s="47">
        <v>0</v>
      </c>
      <c r="U89" s="47">
        <v>0</v>
      </c>
      <c r="V89" s="47">
        <v>0</v>
      </c>
      <c r="W89" s="47">
        <f t="shared" si="14"/>
        <v>0</v>
      </c>
    </row>
    <row r="90" spans="1:23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21275</v>
      </c>
      <c r="L90" s="47">
        <v>21275</v>
      </c>
      <c r="M90" s="47">
        <v>21275</v>
      </c>
      <c r="N90" s="47">
        <v>21275</v>
      </c>
      <c r="O90" s="47">
        <v>21275</v>
      </c>
      <c r="P90" s="47">
        <v>21275</v>
      </c>
      <c r="Q90" s="47">
        <v>21275</v>
      </c>
      <c r="R90" s="47">
        <v>21275</v>
      </c>
      <c r="S90" s="47">
        <v>21275</v>
      </c>
      <c r="T90" s="47">
        <v>21275</v>
      </c>
      <c r="U90" s="47">
        <v>21275</v>
      </c>
      <c r="V90" s="47">
        <v>21281</v>
      </c>
      <c r="W90" s="47">
        <f t="shared" si="14"/>
        <v>255306</v>
      </c>
    </row>
    <row r="91" spans="1:23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0</v>
      </c>
      <c r="R91" s="47">
        <v>0</v>
      </c>
      <c r="S91" s="47">
        <v>0</v>
      </c>
      <c r="T91" s="47">
        <v>0</v>
      </c>
      <c r="U91" s="47">
        <v>0</v>
      </c>
      <c r="V91" s="47">
        <v>0</v>
      </c>
      <c r="W91" s="47">
        <f t="shared" si="14"/>
        <v>0</v>
      </c>
    </row>
    <row r="92" spans="1:23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0</v>
      </c>
      <c r="L92" s="47">
        <v>0</v>
      </c>
      <c r="M92" s="47">
        <v>0</v>
      </c>
      <c r="N92" s="47">
        <v>0</v>
      </c>
      <c r="O92" s="47">
        <v>0</v>
      </c>
      <c r="P92" s="47">
        <v>0</v>
      </c>
      <c r="Q92" s="47">
        <v>0</v>
      </c>
      <c r="R92" s="47">
        <v>0</v>
      </c>
      <c r="S92" s="47">
        <v>0</v>
      </c>
      <c r="T92" s="47">
        <v>0</v>
      </c>
      <c r="U92" s="47">
        <v>0</v>
      </c>
      <c r="V92" s="47">
        <v>0</v>
      </c>
      <c r="W92" s="47">
        <f t="shared" si="14"/>
        <v>0</v>
      </c>
    </row>
    <row r="93" spans="1:23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0</v>
      </c>
      <c r="S93" s="47">
        <v>0</v>
      </c>
      <c r="T93" s="47">
        <v>0</v>
      </c>
      <c r="U93" s="47">
        <v>0</v>
      </c>
      <c r="V93" s="47">
        <v>0</v>
      </c>
      <c r="W93" s="47">
        <f t="shared" si="14"/>
        <v>0</v>
      </c>
    </row>
    <row r="94" spans="1:23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0</v>
      </c>
      <c r="S94" s="47">
        <v>0</v>
      </c>
      <c r="T94" s="47">
        <v>0</v>
      </c>
      <c r="U94" s="47">
        <v>0</v>
      </c>
      <c r="V94" s="47">
        <v>0</v>
      </c>
      <c r="W94" s="47">
        <f t="shared" si="14"/>
        <v>0</v>
      </c>
    </row>
    <row r="95" spans="1:23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0</v>
      </c>
      <c r="T95" s="47">
        <v>0</v>
      </c>
      <c r="U95" s="47">
        <v>0</v>
      </c>
      <c r="V95" s="47">
        <v>0</v>
      </c>
      <c r="W95" s="47">
        <f t="shared" si="14"/>
        <v>0</v>
      </c>
    </row>
    <row r="96" spans="1:23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f t="shared" si="14"/>
        <v>0</v>
      </c>
    </row>
    <row r="97" spans="1:23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83950</v>
      </c>
      <c r="L97" s="29">
        <f t="shared" ref="L97:V97" si="18">L37+L19+L85</f>
        <v>81543</v>
      </c>
      <c r="M97" s="29">
        <f t="shared" si="18"/>
        <v>81544</v>
      </c>
      <c r="N97" s="29">
        <f t="shared" si="18"/>
        <v>131544</v>
      </c>
      <c r="O97" s="29">
        <f t="shared" si="18"/>
        <v>367035</v>
      </c>
      <c r="P97" s="29">
        <f t="shared" si="18"/>
        <v>71544</v>
      </c>
      <c r="Q97" s="29">
        <f t="shared" si="18"/>
        <v>327132</v>
      </c>
      <c r="R97" s="29">
        <f t="shared" si="18"/>
        <v>93641</v>
      </c>
      <c r="S97" s="29">
        <f t="shared" si="18"/>
        <v>71641</v>
      </c>
      <c r="T97" s="29">
        <f t="shared" si="18"/>
        <v>377132</v>
      </c>
      <c r="U97" s="29">
        <f t="shared" si="18"/>
        <v>101641</v>
      </c>
      <c r="V97" s="29">
        <f t="shared" si="18"/>
        <v>3205620</v>
      </c>
      <c r="W97" s="29">
        <f>SUM(K97:V97)</f>
        <v>4993967</v>
      </c>
    </row>
    <row r="98" spans="1:23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576300</v>
      </c>
      <c r="L98" s="33">
        <f t="shared" ref="L98:V98" si="19">L18-L97</f>
        <v>1316797</v>
      </c>
      <c r="M98" s="33">
        <f t="shared" si="19"/>
        <v>1586456</v>
      </c>
      <c r="N98" s="33">
        <f t="shared" si="19"/>
        <v>1640706</v>
      </c>
      <c r="O98" s="33">
        <f t="shared" si="19"/>
        <v>1512940</v>
      </c>
      <c r="P98" s="33">
        <f t="shared" si="19"/>
        <v>1665956</v>
      </c>
      <c r="Q98" s="33">
        <f t="shared" si="19"/>
        <v>909968</v>
      </c>
      <c r="R98" s="33">
        <f t="shared" si="19"/>
        <v>660434</v>
      </c>
      <c r="S98" s="33">
        <f t="shared" si="19"/>
        <v>856184</v>
      </c>
      <c r="T98" s="33">
        <f t="shared" si="19"/>
        <v>-3917</v>
      </c>
      <c r="U98" s="33">
        <f t="shared" si="19"/>
        <v>430034</v>
      </c>
      <c r="V98" s="33">
        <f t="shared" si="19"/>
        <v>-2489770</v>
      </c>
      <c r="W98" s="33">
        <f t="shared" si="14"/>
        <v>8662088</v>
      </c>
    </row>
    <row r="99" spans="1:23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0</v>
      </c>
      <c r="L99" s="37">
        <f t="shared" ref="L99:V99" si="20">SUM(L100,L104:L106)</f>
        <v>0</v>
      </c>
      <c r="M99" s="37">
        <f t="shared" si="20"/>
        <v>0</v>
      </c>
      <c r="N99" s="37">
        <f t="shared" si="20"/>
        <v>0</v>
      </c>
      <c r="O99" s="37">
        <f t="shared" si="20"/>
        <v>0</v>
      </c>
      <c r="P99" s="37">
        <f t="shared" si="20"/>
        <v>0</v>
      </c>
      <c r="Q99" s="37">
        <f t="shared" si="20"/>
        <v>0</v>
      </c>
      <c r="R99" s="37">
        <f t="shared" si="20"/>
        <v>0</v>
      </c>
      <c r="S99" s="37">
        <f t="shared" si="20"/>
        <v>0</v>
      </c>
      <c r="T99" s="37">
        <f t="shared" si="20"/>
        <v>0</v>
      </c>
      <c r="U99" s="37">
        <f t="shared" si="20"/>
        <v>0</v>
      </c>
      <c r="V99" s="37">
        <f t="shared" si="20"/>
        <v>0</v>
      </c>
      <c r="W99" s="37">
        <f t="shared" si="14"/>
        <v>0</v>
      </c>
    </row>
    <row r="100" spans="1:23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1">SUM(L101:L103)</f>
        <v>0</v>
      </c>
      <c r="M100" s="12">
        <f t="shared" si="21"/>
        <v>0</v>
      </c>
      <c r="N100" s="12">
        <f t="shared" si="21"/>
        <v>0</v>
      </c>
      <c r="O100" s="12">
        <f t="shared" si="21"/>
        <v>0</v>
      </c>
      <c r="P100" s="12">
        <f t="shared" si="21"/>
        <v>0</v>
      </c>
      <c r="Q100" s="12">
        <f t="shared" si="21"/>
        <v>0</v>
      </c>
      <c r="R100" s="12">
        <f t="shared" si="21"/>
        <v>0</v>
      </c>
      <c r="S100" s="12">
        <f t="shared" si="21"/>
        <v>0</v>
      </c>
      <c r="T100" s="12">
        <f t="shared" si="21"/>
        <v>0</v>
      </c>
      <c r="U100" s="12">
        <f t="shared" si="21"/>
        <v>0</v>
      </c>
      <c r="V100" s="12">
        <f t="shared" si="21"/>
        <v>0</v>
      </c>
      <c r="W100" s="12">
        <f t="shared" si="14"/>
        <v>0</v>
      </c>
    </row>
    <row r="101" spans="1:23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0</v>
      </c>
      <c r="R101" s="47">
        <v>0</v>
      </c>
      <c r="S101" s="47">
        <v>0</v>
      </c>
      <c r="T101" s="47">
        <v>0</v>
      </c>
      <c r="U101" s="47">
        <v>0</v>
      </c>
      <c r="V101" s="47">
        <v>0</v>
      </c>
      <c r="W101" s="47">
        <f t="shared" si="14"/>
        <v>0</v>
      </c>
    </row>
    <row r="102" spans="1:23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>
        <v>0</v>
      </c>
      <c r="L102" s="47">
        <v>0</v>
      </c>
      <c r="M102" s="47">
        <v>0</v>
      </c>
      <c r="N102" s="47">
        <v>0</v>
      </c>
      <c r="O102" s="47">
        <v>0</v>
      </c>
      <c r="P102" s="47">
        <v>0</v>
      </c>
      <c r="Q102" s="47">
        <v>0</v>
      </c>
      <c r="R102" s="47">
        <v>0</v>
      </c>
      <c r="S102" s="47">
        <v>0</v>
      </c>
      <c r="T102" s="47">
        <v>0</v>
      </c>
      <c r="U102" s="47">
        <v>0</v>
      </c>
      <c r="V102" s="47">
        <v>0</v>
      </c>
      <c r="W102" s="47">
        <f t="shared" si="14"/>
        <v>0</v>
      </c>
    </row>
    <row r="103" spans="1:23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f t="shared" si="14"/>
        <v>0</v>
      </c>
    </row>
    <row r="104" spans="1:23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v>0</v>
      </c>
      <c r="Q104" s="47">
        <v>0</v>
      </c>
      <c r="R104" s="47">
        <v>0</v>
      </c>
      <c r="S104" s="47">
        <v>0</v>
      </c>
      <c r="T104" s="47">
        <v>0</v>
      </c>
      <c r="U104" s="47">
        <v>0</v>
      </c>
      <c r="V104" s="47">
        <v>0</v>
      </c>
      <c r="W104" s="47">
        <f t="shared" si="14"/>
        <v>0</v>
      </c>
    </row>
    <row r="105" spans="1:23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f t="shared" si="14"/>
        <v>0</v>
      </c>
    </row>
    <row r="106" spans="1:23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0</v>
      </c>
      <c r="U106" s="47">
        <v>0</v>
      </c>
      <c r="V106" s="47">
        <v>0</v>
      </c>
      <c r="W106" s="47">
        <f t="shared" si="14"/>
        <v>0</v>
      </c>
    </row>
    <row r="107" spans="1:23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7400</v>
      </c>
      <c r="L107" s="41">
        <f t="shared" ref="L107:V107" si="22">SUM(L108:L110)</f>
        <v>5400</v>
      </c>
      <c r="M107" s="41">
        <f t="shared" si="22"/>
        <v>7400</v>
      </c>
      <c r="N107" s="41">
        <f t="shared" si="22"/>
        <v>7400</v>
      </c>
      <c r="O107" s="41">
        <f t="shared" si="22"/>
        <v>7400</v>
      </c>
      <c r="P107" s="41">
        <f t="shared" si="22"/>
        <v>7350</v>
      </c>
      <c r="Q107" s="41">
        <f t="shared" si="22"/>
        <v>10000</v>
      </c>
      <c r="R107" s="41">
        <f t="shared" si="22"/>
        <v>10000</v>
      </c>
      <c r="S107" s="41">
        <f t="shared" si="22"/>
        <v>10000</v>
      </c>
      <c r="T107" s="41">
        <f t="shared" si="22"/>
        <v>10000</v>
      </c>
      <c r="U107" s="41">
        <f t="shared" si="22"/>
        <v>0</v>
      </c>
      <c r="V107" s="41">
        <f t="shared" si="22"/>
        <v>0</v>
      </c>
      <c r="W107" s="41">
        <f t="shared" si="14"/>
        <v>82350</v>
      </c>
    </row>
    <row r="108" spans="1:23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f t="shared" si="14"/>
        <v>0</v>
      </c>
    </row>
    <row r="109" spans="1:23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>
        <v>7400</v>
      </c>
      <c r="L109" s="47">
        <v>7400</v>
      </c>
      <c r="M109" s="47">
        <v>7400</v>
      </c>
      <c r="N109" s="47">
        <v>7400</v>
      </c>
      <c r="O109" s="47">
        <v>7400</v>
      </c>
      <c r="P109" s="47">
        <v>7400</v>
      </c>
      <c r="Q109" s="47">
        <v>10000</v>
      </c>
      <c r="R109" s="47">
        <v>10000</v>
      </c>
      <c r="S109" s="47">
        <v>10000</v>
      </c>
      <c r="T109" s="47">
        <v>10000</v>
      </c>
      <c r="U109" s="47">
        <v>0</v>
      </c>
      <c r="V109" s="47">
        <v>0</v>
      </c>
      <c r="W109" s="47">
        <f t="shared" si="14"/>
        <v>84400</v>
      </c>
    </row>
    <row r="110" spans="1:23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>
        <v>0</v>
      </c>
      <c r="L110" s="47">
        <v>-2000</v>
      </c>
      <c r="M110" s="47">
        <v>0</v>
      </c>
      <c r="N110" s="47">
        <v>0</v>
      </c>
      <c r="O110" s="47">
        <v>0</v>
      </c>
      <c r="P110" s="47">
        <v>-50</v>
      </c>
      <c r="Q110" s="47">
        <v>0</v>
      </c>
      <c r="R110" s="47">
        <v>0</v>
      </c>
      <c r="S110" s="47">
        <v>0</v>
      </c>
      <c r="T110" s="47">
        <v>0</v>
      </c>
      <c r="U110" s="47">
        <v>0</v>
      </c>
      <c r="V110" s="47">
        <v>0</v>
      </c>
      <c r="W110" s="47">
        <f t="shared" si="14"/>
        <v>-2050</v>
      </c>
    </row>
    <row r="111" spans="1:23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568900</v>
      </c>
      <c r="L111" s="33">
        <f t="shared" ref="L111:V111" si="23">L98+L99-L107</f>
        <v>1311397</v>
      </c>
      <c r="M111" s="33">
        <f t="shared" si="23"/>
        <v>1579056</v>
      </c>
      <c r="N111" s="33">
        <f t="shared" si="23"/>
        <v>1633306</v>
      </c>
      <c r="O111" s="33">
        <f t="shared" si="23"/>
        <v>1505540</v>
      </c>
      <c r="P111" s="33">
        <f t="shared" si="23"/>
        <v>1658606</v>
      </c>
      <c r="Q111" s="33">
        <f t="shared" si="23"/>
        <v>899968</v>
      </c>
      <c r="R111" s="33">
        <f t="shared" si="23"/>
        <v>650434</v>
      </c>
      <c r="S111" s="33">
        <f t="shared" si="23"/>
        <v>846184</v>
      </c>
      <c r="T111" s="33">
        <f t="shared" si="23"/>
        <v>-13917</v>
      </c>
      <c r="U111" s="33">
        <f t="shared" si="23"/>
        <v>430034</v>
      </c>
      <c r="V111" s="33">
        <f t="shared" si="23"/>
        <v>-2489770</v>
      </c>
      <c r="W111" s="33">
        <f t="shared" si="14"/>
        <v>8579738</v>
      </c>
    </row>
    <row r="112" spans="1:23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4">SUM(L113:L114)</f>
        <v>0</v>
      </c>
      <c r="M112" s="37">
        <f t="shared" si="24"/>
        <v>0</v>
      </c>
      <c r="N112" s="37">
        <f t="shared" si="24"/>
        <v>0</v>
      </c>
      <c r="O112" s="37">
        <f t="shared" si="24"/>
        <v>0</v>
      </c>
      <c r="P112" s="37">
        <f t="shared" si="24"/>
        <v>0</v>
      </c>
      <c r="Q112" s="37">
        <f t="shared" si="24"/>
        <v>0</v>
      </c>
      <c r="R112" s="37">
        <f t="shared" si="24"/>
        <v>0</v>
      </c>
      <c r="S112" s="37">
        <f t="shared" si="24"/>
        <v>0</v>
      </c>
      <c r="T112" s="37">
        <f t="shared" si="24"/>
        <v>0</v>
      </c>
      <c r="U112" s="37">
        <f t="shared" si="24"/>
        <v>0</v>
      </c>
      <c r="V112" s="37">
        <f t="shared" si="24"/>
        <v>0</v>
      </c>
      <c r="W112" s="37">
        <f t="shared" si="14"/>
        <v>0</v>
      </c>
    </row>
    <row r="113" spans="1:23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f t="shared" si="14"/>
        <v>0</v>
      </c>
    </row>
    <row r="114" spans="1:23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v>0</v>
      </c>
      <c r="Q114" s="47">
        <v>0</v>
      </c>
      <c r="R114" s="47">
        <v>0</v>
      </c>
      <c r="S114" s="47">
        <v>0</v>
      </c>
      <c r="T114" s="47">
        <v>0</v>
      </c>
      <c r="U114" s="47">
        <v>0</v>
      </c>
      <c r="V114" s="47">
        <v>0</v>
      </c>
      <c r="W114" s="47">
        <f t="shared" si="14"/>
        <v>0</v>
      </c>
    </row>
    <row r="115" spans="1:23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5">SUM(L116:L117)</f>
        <v>0</v>
      </c>
      <c r="M115" s="41">
        <f t="shared" si="25"/>
        <v>0</v>
      </c>
      <c r="N115" s="41">
        <f t="shared" si="25"/>
        <v>0</v>
      </c>
      <c r="O115" s="41">
        <f t="shared" si="25"/>
        <v>0</v>
      </c>
      <c r="P115" s="41">
        <f t="shared" si="25"/>
        <v>0</v>
      </c>
      <c r="Q115" s="41">
        <f t="shared" si="25"/>
        <v>0</v>
      </c>
      <c r="R115" s="41">
        <f t="shared" si="25"/>
        <v>0</v>
      </c>
      <c r="S115" s="41">
        <f t="shared" si="25"/>
        <v>0</v>
      </c>
      <c r="T115" s="41">
        <f t="shared" si="25"/>
        <v>0</v>
      </c>
      <c r="U115" s="41">
        <f t="shared" si="25"/>
        <v>0</v>
      </c>
      <c r="V115" s="41">
        <f t="shared" si="25"/>
        <v>0</v>
      </c>
      <c r="W115" s="41">
        <f t="shared" si="14"/>
        <v>0</v>
      </c>
    </row>
    <row r="116" spans="1:23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7">
        <v>0</v>
      </c>
      <c r="Q116" s="47">
        <v>0</v>
      </c>
      <c r="R116" s="47">
        <v>0</v>
      </c>
      <c r="S116" s="47">
        <v>0</v>
      </c>
      <c r="T116" s="47">
        <v>0</v>
      </c>
      <c r="U116" s="47">
        <v>0</v>
      </c>
      <c r="V116" s="47">
        <v>0</v>
      </c>
      <c r="W116" s="47">
        <f t="shared" si="14"/>
        <v>0</v>
      </c>
    </row>
    <row r="117" spans="1:23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f t="shared" si="14"/>
        <v>0</v>
      </c>
    </row>
    <row r="118" spans="1:23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568900</v>
      </c>
      <c r="L118" s="46">
        <f t="shared" ref="L118:V118" si="26">L111+L112-L115</f>
        <v>1311397</v>
      </c>
      <c r="M118" s="46">
        <f t="shared" si="26"/>
        <v>1579056</v>
      </c>
      <c r="N118" s="46">
        <f t="shared" si="26"/>
        <v>1633306</v>
      </c>
      <c r="O118" s="46">
        <f t="shared" si="26"/>
        <v>1505540</v>
      </c>
      <c r="P118" s="46">
        <f t="shared" si="26"/>
        <v>1658606</v>
      </c>
      <c r="Q118" s="46">
        <f t="shared" si="26"/>
        <v>899968</v>
      </c>
      <c r="R118" s="46">
        <f t="shared" si="26"/>
        <v>650434</v>
      </c>
      <c r="S118" s="46">
        <f t="shared" si="26"/>
        <v>846184</v>
      </c>
      <c r="T118" s="46">
        <f t="shared" si="26"/>
        <v>-13917</v>
      </c>
      <c r="U118" s="46">
        <f t="shared" si="26"/>
        <v>430034</v>
      </c>
      <c r="V118" s="46">
        <f t="shared" si="26"/>
        <v>-2489770</v>
      </c>
      <c r="W118" s="46">
        <f t="shared" si="14"/>
        <v>8579738</v>
      </c>
    </row>
  </sheetData>
  <mergeCells count="2">
    <mergeCell ref="A4:A5"/>
    <mergeCell ref="B4:J5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5BF4-E4C5-4267-9833-907F34909BC2}">
  <dimension ref="A1:W118"/>
  <sheetViews>
    <sheetView showGridLines="0" workbookViewId="0">
      <pane xSplit="10" ySplit="5" topLeftCell="K6" activePane="bottomRight" state="frozen"/>
      <selection activeCell="T120" sqref="T120"/>
      <selection pane="topRight" activeCell="T120" sqref="T120"/>
      <selection pane="bottomLeft" activeCell="T120" sqref="T120"/>
      <selection pane="bottomRight" activeCell="T120" sqref="T120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16384" width="9" style="51"/>
  </cols>
  <sheetData>
    <row r="1" spans="1:23" ht="20" customHeight="1">
      <c r="A1" s="56" t="s">
        <v>226</v>
      </c>
    </row>
    <row r="3" spans="1:23" ht="11.75" customHeight="1">
      <c r="A3" s="57" t="s">
        <v>222</v>
      </c>
    </row>
    <row r="4" spans="1:23" s="58" customFormat="1" ht="11.75" customHeight="1">
      <c r="A4" s="574" t="s">
        <v>0</v>
      </c>
      <c r="B4" s="576" t="s">
        <v>1</v>
      </c>
      <c r="C4" s="577"/>
      <c r="D4" s="577"/>
      <c r="E4" s="577"/>
      <c r="F4" s="577"/>
      <c r="G4" s="577"/>
      <c r="H4" s="577"/>
      <c r="I4" s="577"/>
      <c r="J4" s="578"/>
      <c r="K4" s="55" t="s">
        <v>227</v>
      </c>
      <c r="L4" s="55" t="s">
        <v>228</v>
      </c>
      <c r="M4" s="55" t="s">
        <v>229</v>
      </c>
      <c r="N4" s="55" t="s">
        <v>230</v>
      </c>
      <c r="O4" s="55" t="s">
        <v>231</v>
      </c>
      <c r="P4" s="55" t="s">
        <v>232</v>
      </c>
      <c r="Q4" s="55" t="s">
        <v>233</v>
      </c>
      <c r="R4" s="55" t="s">
        <v>234</v>
      </c>
      <c r="S4" s="55" t="s">
        <v>235</v>
      </c>
      <c r="T4" s="55" t="s">
        <v>236</v>
      </c>
      <c r="U4" s="55" t="s">
        <v>237</v>
      </c>
      <c r="V4" s="55" t="s">
        <v>238</v>
      </c>
      <c r="W4" s="52" t="s">
        <v>225</v>
      </c>
    </row>
    <row r="5" spans="1:23" s="58" customFormat="1" ht="17" customHeight="1">
      <c r="A5" s="575"/>
      <c r="B5" s="579"/>
      <c r="C5" s="580"/>
      <c r="D5" s="580"/>
      <c r="E5" s="580"/>
      <c r="F5" s="580"/>
      <c r="G5" s="580"/>
      <c r="H5" s="580"/>
      <c r="I5" s="580"/>
      <c r="J5" s="581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</row>
    <row r="6" spans="1:23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3862635</v>
      </c>
      <c r="L6" s="7">
        <f t="shared" ref="L6:V6" si="0">SUM(L7:L16)</f>
        <v>13878138</v>
      </c>
      <c r="M6" s="7">
        <f t="shared" si="0"/>
        <v>16104553</v>
      </c>
      <c r="N6" s="7">
        <f t="shared" si="0"/>
        <v>16936306</v>
      </c>
      <c r="O6" s="7">
        <f t="shared" si="0"/>
        <v>16841594</v>
      </c>
      <c r="P6" s="7">
        <f t="shared" si="0"/>
        <v>16258546</v>
      </c>
      <c r="Q6" s="7">
        <f t="shared" si="0"/>
        <v>16988193</v>
      </c>
      <c r="R6" s="7">
        <f t="shared" si="0"/>
        <v>13023412</v>
      </c>
      <c r="S6" s="7">
        <f t="shared" si="0"/>
        <v>17540909</v>
      </c>
      <c r="T6" s="7">
        <f t="shared" si="0"/>
        <v>12334000</v>
      </c>
      <c r="U6" s="7">
        <f t="shared" si="0"/>
        <v>12374240</v>
      </c>
      <c r="V6" s="7">
        <f t="shared" si="0"/>
        <v>8175440</v>
      </c>
      <c r="W6" s="7">
        <f>SUM(K6:V6)</f>
        <v>164317966</v>
      </c>
    </row>
    <row r="7" spans="1:23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3862635</v>
      </c>
      <c r="L7" s="47">
        <v>13878138</v>
      </c>
      <c r="M7" s="47">
        <v>16104553</v>
      </c>
      <c r="N7" s="47">
        <v>16936306</v>
      </c>
      <c r="O7" s="47">
        <v>16841594</v>
      </c>
      <c r="P7" s="47">
        <v>16258546</v>
      </c>
      <c r="Q7" s="47">
        <v>16988193</v>
      </c>
      <c r="R7" s="47">
        <v>13023412</v>
      </c>
      <c r="S7" s="47">
        <v>17540909</v>
      </c>
      <c r="T7" s="47">
        <v>12334000</v>
      </c>
      <c r="U7" s="47">
        <v>12374240</v>
      </c>
      <c r="V7" s="47">
        <v>8175440</v>
      </c>
      <c r="W7" s="47">
        <f t="shared" ref="W7:W70" si="1">SUM(K7:V7)</f>
        <v>164317966</v>
      </c>
    </row>
    <row r="8" spans="1:23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f t="shared" si="1"/>
        <v>0</v>
      </c>
    </row>
    <row r="9" spans="1:23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f t="shared" si="1"/>
        <v>0</v>
      </c>
    </row>
    <row r="10" spans="1:23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f t="shared" si="1"/>
        <v>0</v>
      </c>
    </row>
    <row r="11" spans="1:23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f t="shared" si="1"/>
        <v>0</v>
      </c>
    </row>
    <row r="12" spans="1:23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f t="shared" si="1"/>
        <v>0</v>
      </c>
    </row>
    <row r="13" spans="1:23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f t="shared" si="1"/>
        <v>0</v>
      </c>
    </row>
    <row r="14" spans="1:23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f t="shared" si="1"/>
        <v>0</v>
      </c>
    </row>
    <row r="15" spans="1:23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f t="shared" si="1"/>
        <v>0</v>
      </c>
    </row>
    <row r="16" spans="1:23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f t="shared" si="1"/>
        <v>0</v>
      </c>
    </row>
    <row r="17" spans="1:23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f>K7*0.2875</f>
        <v>1110507.5625</v>
      </c>
      <c r="L17" s="48">
        <f t="shared" ref="L17:U17" si="2">L7*0.2875</f>
        <v>3989964.6749999998</v>
      </c>
      <c r="M17" s="48">
        <f t="shared" si="2"/>
        <v>4630058.9874999998</v>
      </c>
      <c r="N17" s="48">
        <f t="shared" si="2"/>
        <v>4869187.9749999996</v>
      </c>
      <c r="O17" s="48">
        <f t="shared" si="2"/>
        <v>4841958.2749999994</v>
      </c>
      <c r="P17" s="48">
        <f t="shared" si="2"/>
        <v>4674331.9749999996</v>
      </c>
      <c r="Q17" s="48">
        <f t="shared" si="2"/>
        <v>4884105.4874999998</v>
      </c>
      <c r="R17" s="48">
        <f t="shared" si="2"/>
        <v>3744230.9499999997</v>
      </c>
      <c r="S17" s="48">
        <f t="shared" si="2"/>
        <v>5043011.3374999994</v>
      </c>
      <c r="T17" s="48">
        <f t="shared" si="2"/>
        <v>3546024.9999999995</v>
      </c>
      <c r="U17" s="48">
        <f t="shared" si="2"/>
        <v>3557593.9999999995</v>
      </c>
      <c r="V17" s="48">
        <f>V7*0.2875</f>
        <v>2350439</v>
      </c>
      <c r="W17" s="48">
        <f t="shared" si="1"/>
        <v>47241415.224999994</v>
      </c>
    </row>
    <row r="18" spans="1:23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2752127.4375</v>
      </c>
      <c r="L18" s="17">
        <f t="shared" ref="L18:V18" si="3">L6-L17</f>
        <v>9888173.3249999993</v>
      </c>
      <c r="M18" s="17">
        <f t="shared" si="3"/>
        <v>11474494.012499999</v>
      </c>
      <c r="N18" s="17">
        <f t="shared" si="3"/>
        <v>12067118.025</v>
      </c>
      <c r="O18" s="17">
        <f t="shared" si="3"/>
        <v>11999635.725000001</v>
      </c>
      <c r="P18" s="17">
        <f t="shared" si="3"/>
        <v>11584214.025</v>
      </c>
      <c r="Q18" s="17">
        <f t="shared" si="3"/>
        <v>12104087.512499999</v>
      </c>
      <c r="R18" s="17">
        <f t="shared" si="3"/>
        <v>9279181.0500000007</v>
      </c>
      <c r="S18" s="17">
        <f t="shared" si="3"/>
        <v>12497897.662500001</v>
      </c>
      <c r="T18" s="17">
        <f t="shared" si="3"/>
        <v>8787975</v>
      </c>
      <c r="U18" s="17">
        <f t="shared" si="3"/>
        <v>8816646</v>
      </c>
      <c r="V18" s="17">
        <f t="shared" si="3"/>
        <v>5825001</v>
      </c>
      <c r="W18" s="17">
        <f t="shared" si="1"/>
        <v>117076550.77500001</v>
      </c>
    </row>
    <row r="19" spans="1:23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3825107</v>
      </c>
      <c r="L19" s="21">
        <f t="shared" ref="L19:V19" si="4">SUM(L20:L22,L26,L29:L31,L35:L36)</f>
        <v>4606431</v>
      </c>
      <c r="M19" s="21">
        <f t="shared" si="4"/>
        <v>7686200</v>
      </c>
      <c r="N19" s="21">
        <f t="shared" si="4"/>
        <v>5206590</v>
      </c>
      <c r="O19" s="21">
        <f t="shared" si="4"/>
        <v>4800168</v>
      </c>
      <c r="P19" s="21">
        <f t="shared" si="4"/>
        <v>4800168</v>
      </c>
      <c r="Q19" s="21">
        <f t="shared" si="4"/>
        <v>5007091</v>
      </c>
      <c r="R19" s="21">
        <f t="shared" si="4"/>
        <v>4830940.42</v>
      </c>
      <c r="S19" s="21">
        <f t="shared" si="4"/>
        <v>10440628</v>
      </c>
      <c r="T19" s="21">
        <f t="shared" si="4"/>
        <v>5519313</v>
      </c>
      <c r="U19" s="21">
        <f t="shared" si="4"/>
        <v>4525013</v>
      </c>
      <c r="V19" s="21">
        <f t="shared" si="4"/>
        <v>5529733</v>
      </c>
      <c r="W19" s="21">
        <f t="shared" si="1"/>
        <v>66777382.420000002</v>
      </c>
    </row>
    <row r="20" spans="1:23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f t="shared" si="1"/>
        <v>0</v>
      </c>
    </row>
    <row r="21" spans="1:23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f t="shared" si="1"/>
        <v>0</v>
      </c>
    </row>
    <row r="22" spans="1:23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3320540</v>
      </c>
      <c r="L22" s="12">
        <f t="shared" ref="L22:V22" si="5">SUM(L23:L25)</f>
        <v>3838330</v>
      </c>
      <c r="M22" s="12">
        <f t="shared" si="5"/>
        <v>6882530</v>
      </c>
      <c r="N22" s="12">
        <f t="shared" si="5"/>
        <v>4031530</v>
      </c>
      <c r="O22" s="12">
        <f t="shared" si="5"/>
        <v>4031530</v>
      </c>
      <c r="P22" s="12">
        <f t="shared" si="5"/>
        <v>4031530</v>
      </c>
      <c r="Q22" s="12">
        <f t="shared" si="5"/>
        <v>4235930</v>
      </c>
      <c r="R22" s="12">
        <f t="shared" si="5"/>
        <v>4031530</v>
      </c>
      <c r="S22" s="12">
        <f t="shared" si="5"/>
        <v>9603530</v>
      </c>
      <c r="T22" s="12">
        <f t="shared" si="5"/>
        <v>3759220</v>
      </c>
      <c r="U22" s="12">
        <f t="shared" si="5"/>
        <v>3759220</v>
      </c>
      <c r="V22" s="12">
        <f t="shared" si="5"/>
        <v>4172920</v>
      </c>
      <c r="W22" s="12">
        <f t="shared" si="1"/>
        <v>55698340</v>
      </c>
    </row>
    <row r="23" spans="1:23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>
        <v>3320540</v>
      </c>
      <c r="L23" s="47">
        <v>3554830</v>
      </c>
      <c r="M23" s="47">
        <v>6405830</v>
      </c>
      <c r="N23" s="47">
        <v>3554830</v>
      </c>
      <c r="O23" s="47">
        <v>3554830</v>
      </c>
      <c r="P23" s="47">
        <v>3554830</v>
      </c>
      <c r="Q23" s="47">
        <v>3759230</v>
      </c>
      <c r="R23" s="47">
        <v>3554830</v>
      </c>
      <c r="S23" s="47">
        <v>9126830</v>
      </c>
      <c r="T23" s="47">
        <v>3335020</v>
      </c>
      <c r="U23" s="47">
        <v>3335020</v>
      </c>
      <c r="V23" s="47">
        <v>3335020</v>
      </c>
      <c r="W23" s="47">
        <f t="shared" si="1"/>
        <v>50391640</v>
      </c>
    </row>
    <row r="24" spans="1:23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f t="shared" si="1"/>
        <v>0</v>
      </c>
    </row>
    <row r="25" spans="1:23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>
        <v>0</v>
      </c>
      <c r="L25" s="47">
        <v>283500</v>
      </c>
      <c r="M25" s="47">
        <v>476700</v>
      </c>
      <c r="N25" s="47">
        <v>476700</v>
      </c>
      <c r="O25" s="47">
        <v>476700</v>
      </c>
      <c r="P25" s="47">
        <v>476700</v>
      </c>
      <c r="Q25" s="47">
        <v>476700</v>
      </c>
      <c r="R25" s="47">
        <v>476700</v>
      </c>
      <c r="S25" s="47">
        <v>476700</v>
      </c>
      <c r="T25" s="47">
        <v>424200</v>
      </c>
      <c r="U25" s="47">
        <v>424200</v>
      </c>
      <c r="V25" s="47">
        <v>837900</v>
      </c>
      <c r="W25" s="47">
        <f t="shared" si="1"/>
        <v>5306700</v>
      </c>
    </row>
    <row r="26" spans="1:23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f t="shared" si="1"/>
        <v>0</v>
      </c>
    </row>
    <row r="27" spans="1:23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</row>
    <row r="28" spans="1:23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</row>
    <row r="29" spans="1:23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>
        <v>42270</v>
      </c>
      <c r="L29" s="47">
        <v>600990</v>
      </c>
      <c r="M29" s="47">
        <v>636559</v>
      </c>
      <c r="N29" s="47">
        <v>1007949</v>
      </c>
      <c r="O29" s="47">
        <v>601527</v>
      </c>
      <c r="P29" s="47">
        <v>601527</v>
      </c>
      <c r="Q29" s="47">
        <v>604050</v>
      </c>
      <c r="R29" s="47">
        <v>632299.42000000004</v>
      </c>
      <c r="S29" s="47">
        <v>669987</v>
      </c>
      <c r="T29" s="47">
        <v>1392982</v>
      </c>
      <c r="U29" s="47">
        <v>598682</v>
      </c>
      <c r="V29" s="47">
        <v>1154888</v>
      </c>
      <c r="W29" s="47">
        <f t="shared" si="1"/>
        <v>8543710.4199999999</v>
      </c>
    </row>
    <row r="30" spans="1:23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>
        <v>5200</v>
      </c>
      <c r="L30" s="47">
        <v>5200</v>
      </c>
      <c r="M30" s="47">
        <v>5200</v>
      </c>
      <c r="N30" s="47">
        <v>5200</v>
      </c>
      <c r="O30" s="47">
        <v>5200</v>
      </c>
      <c r="P30" s="47">
        <v>5200</v>
      </c>
      <c r="Q30" s="47">
        <v>5200</v>
      </c>
      <c r="R30" s="47">
        <v>5200</v>
      </c>
      <c r="S30" s="47">
        <v>5200</v>
      </c>
      <c r="T30" s="47">
        <v>5200</v>
      </c>
      <c r="U30" s="47">
        <v>5200</v>
      </c>
      <c r="V30" s="47">
        <v>5200</v>
      </c>
      <c r="W30" s="47">
        <f t="shared" si="1"/>
        <v>62400</v>
      </c>
    </row>
    <row r="31" spans="1:23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337800</v>
      </c>
      <c r="L31" s="12">
        <f t="shared" ref="L31:V31" si="6">SUM(L32:L34)</f>
        <v>7800</v>
      </c>
      <c r="M31" s="12">
        <f t="shared" si="6"/>
        <v>7800</v>
      </c>
      <c r="N31" s="12">
        <f t="shared" si="6"/>
        <v>7800</v>
      </c>
      <c r="O31" s="12">
        <f t="shared" si="6"/>
        <v>7800</v>
      </c>
      <c r="P31" s="12">
        <f t="shared" si="6"/>
        <v>7800</v>
      </c>
      <c r="Q31" s="12">
        <f t="shared" si="6"/>
        <v>7800</v>
      </c>
      <c r="R31" s="12">
        <f t="shared" si="6"/>
        <v>7800</v>
      </c>
      <c r="S31" s="12">
        <f t="shared" si="6"/>
        <v>7800</v>
      </c>
      <c r="T31" s="12">
        <f t="shared" si="6"/>
        <v>207800</v>
      </c>
      <c r="U31" s="12">
        <f t="shared" si="6"/>
        <v>7800</v>
      </c>
      <c r="V31" s="12">
        <f t="shared" si="6"/>
        <v>7800</v>
      </c>
      <c r="W31" s="12">
        <f t="shared" si="1"/>
        <v>623600</v>
      </c>
    </row>
    <row r="32" spans="1:23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>
        <v>7800</v>
      </c>
      <c r="L32" s="47">
        <v>7800</v>
      </c>
      <c r="M32" s="47">
        <v>7800</v>
      </c>
      <c r="N32" s="47">
        <v>7800</v>
      </c>
      <c r="O32" s="47">
        <v>7800</v>
      </c>
      <c r="P32" s="47">
        <v>7800</v>
      </c>
      <c r="Q32" s="47">
        <v>7800</v>
      </c>
      <c r="R32" s="47">
        <v>7800</v>
      </c>
      <c r="S32" s="47">
        <v>7800</v>
      </c>
      <c r="T32" s="47">
        <v>7800</v>
      </c>
      <c r="U32" s="47">
        <v>7800</v>
      </c>
      <c r="V32" s="47">
        <v>7800</v>
      </c>
      <c r="W32" s="47">
        <f t="shared" si="1"/>
        <v>93600</v>
      </c>
    </row>
    <row r="33" spans="1:23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>
        <v>330000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f t="shared" si="1"/>
        <v>330000</v>
      </c>
    </row>
    <row r="34" spans="1:23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200000</v>
      </c>
      <c r="U34" s="47">
        <v>0</v>
      </c>
      <c r="V34" s="47">
        <v>0</v>
      </c>
      <c r="W34" s="47">
        <f t="shared" si="1"/>
        <v>200000</v>
      </c>
    </row>
    <row r="35" spans="1:23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119297</v>
      </c>
      <c r="L35" s="47">
        <v>154111</v>
      </c>
      <c r="M35" s="47">
        <v>154111</v>
      </c>
      <c r="N35" s="47">
        <v>154111</v>
      </c>
      <c r="O35" s="47">
        <v>154111</v>
      </c>
      <c r="P35" s="47">
        <v>154111</v>
      </c>
      <c r="Q35" s="47">
        <v>154111</v>
      </c>
      <c r="R35" s="47">
        <v>154111</v>
      </c>
      <c r="S35" s="47">
        <v>154111</v>
      </c>
      <c r="T35" s="47">
        <v>154111</v>
      </c>
      <c r="U35" s="47">
        <v>154111</v>
      </c>
      <c r="V35" s="47">
        <v>188925</v>
      </c>
      <c r="W35" s="47">
        <f t="shared" si="1"/>
        <v>1849332</v>
      </c>
    </row>
    <row r="36" spans="1:23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/>
      <c r="T36" s="47"/>
      <c r="U36" s="47"/>
      <c r="V36" s="47"/>
      <c r="W36" s="53">
        <f t="shared" si="1"/>
        <v>0</v>
      </c>
    </row>
    <row r="37" spans="1:23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2348790</v>
      </c>
      <c r="L37" s="25">
        <f t="shared" ref="L37:V37" si="7">SUM(L38:L41,L46,L50,L57:L58,L61:L67,L70:L72,L78:L80,L83:L84)</f>
        <v>1784218</v>
      </c>
      <c r="M37" s="25">
        <f t="shared" si="7"/>
        <v>1964784</v>
      </c>
      <c r="N37" s="25">
        <f t="shared" si="7"/>
        <v>1543910</v>
      </c>
      <c r="O37" s="25">
        <f t="shared" si="7"/>
        <v>2208924</v>
      </c>
      <c r="P37" s="25">
        <f t="shared" si="7"/>
        <v>1979363</v>
      </c>
      <c r="Q37" s="25">
        <f t="shared" si="7"/>
        <v>1789280</v>
      </c>
      <c r="R37" s="25">
        <f t="shared" si="7"/>
        <v>1726780</v>
      </c>
      <c r="S37" s="25">
        <f t="shared" si="7"/>
        <v>3031280</v>
      </c>
      <c r="T37" s="25">
        <f t="shared" si="7"/>
        <v>1602780</v>
      </c>
      <c r="U37" s="25">
        <f t="shared" si="7"/>
        <v>1491280</v>
      </c>
      <c r="V37" s="25">
        <f t="shared" si="7"/>
        <v>1281288</v>
      </c>
      <c r="W37" s="25">
        <f t="shared" si="1"/>
        <v>22752677</v>
      </c>
    </row>
    <row r="38" spans="1:23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662000</v>
      </c>
      <c r="L38" s="47">
        <v>300000</v>
      </c>
      <c r="M38" s="47">
        <v>337500</v>
      </c>
      <c r="N38" s="47">
        <v>163000</v>
      </c>
      <c r="O38" s="47">
        <v>550000</v>
      </c>
      <c r="P38" s="47">
        <v>200000</v>
      </c>
      <c r="Q38" s="47">
        <v>200000</v>
      </c>
      <c r="R38" s="47">
        <v>263000</v>
      </c>
      <c r="S38" s="47">
        <v>625000</v>
      </c>
      <c r="T38" s="47">
        <v>200000</v>
      </c>
      <c r="U38" s="47">
        <v>200000</v>
      </c>
      <c r="V38" s="47">
        <v>113000</v>
      </c>
      <c r="W38" s="47">
        <f t="shared" si="1"/>
        <v>3813500</v>
      </c>
    </row>
    <row r="39" spans="1:23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25000</v>
      </c>
      <c r="L39" s="47">
        <v>25000</v>
      </c>
      <c r="M39" s="47">
        <v>25000</v>
      </c>
      <c r="N39" s="47">
        <v>25000</v>
      </c>
      <c r="O39" s="47">
        <v>25000</v>
      </c>
      <c r="P39" s="47">
        <v>25000</v>
      </c>
      <c r="Q39" s="47">
        <v>25000</v>
      </c>
      <c r="R39" s="47">
        <v>25000</v>
      </c>
      <c r="S39" s="47">
        <v>25000</v>
      </c>
      <c r="T39" s="47">
        <v>25000</v>
      </c>
      <c r="U39" s="47">
        <v>25000</v>
      </c>
      <c r="V39" s="47">
        <v>25000</v>
      </c>
      <c r="W39" s="47">
        <f t="shared" si="1"/>
        <v>300000</v>
      </c>
    </row>
    <row r="40" spans="1:23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</row>
    <row r="41" spans="1:23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35360</v>
      </c>
      <c r="L41" s="12">
        <f t="shared" ref="L41:V41" si="8">SUM(L42:L45)</f>
        <v>40360</v>
      </c>
      <c r="M41" s="12">
        <f t="shared" si="8"/>
        <v>40360</v>
      </c>
      <c r="N41" s="12">
        <f t="shared" si="8"/>
        <v>45360</v>
      </c>
      <c r="O41" s="12">
        <f t="shared" si="8"/>
        <v>45360</v>
      </c>
      <c r="P41" s="12">
        <f t="shared" si="8"/>
        <v>40360</v>
      </c>
      <c r="Q41" s="12">
        <f t="shared" si="8"/>
        <v>40360</v>
      </c>
      <c r="R41" s="12">
        <f t="shared" si="8"/>
        <v>40360</v>
      </c>
      <c r="S41" s="12">
        <f t="shared" si="8"/>
        <v>195360</v>
      </c>
      <c r="T41" s="12">
        <f t="shared" si="8"/>
        <v>40360</v>
      </c>
      <c r="U41" s="12">
        <f t="shared" si="8"/>
        <v>40360</v>
      </c>
      <c r="V41" s="12">
        <f t="shared" si="8"/>
        <v>37360</v>
      </c>
      <c r="W41" s="12">
        <f t="shared" si="1"/>
        <v>641320</v>
      </c>
    </row>
    <row r="42" spans="1:23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</row>
    <row r="43" spans="1:23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f t="shared" si="1"/>
        <v>0</v>
      </c>
    </row>
    <row r="44" spans="1:23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</row>
    <row r="45" spans="1:23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35360</v>
      </c>
      <c r="L45" s="47">
        <v>40360</v>
      </c>
      <c r="M45" s="47">
        <v>40360</v>
      </c>
      <c r="N45" s="47">
        <v>45360</v>
      </c>
      <c r="O45" s="47">
        <v>45360</v>
      </c>
      <c r="P45" s="47">
        <v>40360</v>
      </c>
      <c r="Q45" s="47">
        <v>40360</v>
      </c>
      <c r="R45" s="47">
        <v>40360</v>
      </c>
      <c r="S45" s="47">
        <v>195360</v>
      </c>
      <c r="T45" s="47">
        <v>40360</v>
      </c>
      <c r="U45" s="47">
        <v>40360</v>
      </c>
      <c r="V45" s="47">
        <v>37360</v>
      </c>
      <c r="W45" s="47">
        <f t="shared" si="1"/>
        <v>641320</v>
      </c>
    </row>
    <row r="46" spans="1:23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4210</v>
      </c>
      <c r="L46" s="12">
        <f t="shared" ref="L46:V46" si="9">SUM(L47:L49)</f>
        <v>0</v>
      </c>
      <c r="M46" s="12">
        <f t="shared" si="9"/>
        <v>0</v>
      </c>
      <c r="N46" s="12">
        <f t="shared" si="9"/>
        <v>0</v>
      </c>
      <c r="O46" s="12">
        <f t="shared" si="9"/>
        <v>0</v>
      </c>
      <c r="P46" s="12">
        <f t="shared" si="9"/>
        <v>0</v>
      </c>
      <c r="Q46" s="12">
        <f t="shared" si="9"/>
        <v>0</v>
      </c>
      <c r="R46" s="12">
        <f t="shared" si="9"/>
        <v>0</v>
      </c>
      <c r="S46" s="12">
        <f t="shared" si="9"/>
        <v>0</v>
      </c>
      <c r="T46" s="12">
        <f t="shared" si="9"/>
        <v>0</v>
      </c>
      <c r="U46" s="12">
        <f t="shared" si="9"/>
        <v>0</v>
      </c>
      <c r="V46" s="12">
        <f t="shared" si="9"/>
        <v>3508</v>
      </c>
      <c r="W46" s="12">
        <f t="shared" si="1"/>
        <v>7718</v>
      </c>
    </row>
    <row r="47" spans="1:23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3508</v>
      </c>
      <c r="W47" s="47">
        <f t="shared" si="1"/>
        <v>3508</v>
      </c>
    </row>
    <row r="48" spans="1:23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0</v>
      </c>
    </row>
    <row r="49" spans="1:23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4210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4210</v>
      </c>
    </row>
    <row r="50" spans="1:23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0">SUM(L51:L56)</f>
        <v>0</v>
      </c>
      <c r="M50" s="12">
        <f t="shared" si="10"/>
        <v>0</v>
      </c>
      <c r="N50" s="12">
        <f t="shared" si="10"/>
        <v>0</v>
      </c>
      <c r="O50" s="12">
        <f t="shared" si="10"/>
        <v>0</v>
      </c>
      <c r="P50" s="12">
        <f t="shared" si="10"/>
        <v>0</v>
      </c>
      <c r="Q50" s="12">
        <f t="shared" si="10"/>
        <v>0</v>
      </c>
      <c r="R50" s="12">
        <f t="shared" si="10"/>
        <v>0</v>
      </c>
      <c r="S50" s="12">
        <f t="shared" si="10"/>
        <v>0</v>
      </c>
      <c r="T50" s="12">
        <f t="shared" si="10"/>
        <v>0</v>
      </c>
      <c r="U50" s="12">
        <f t="shared" si="10"/>
        <v>0</v>
      </c>
      <c r="V50" s="12">
        <f t="shared" si="10"/>
        <v>0</v>
      </c>
      <c r="W50" s="12">
        <f t="shared" si="1"/>
        <v>0</v>
      </c>
    </row>
    <row r="51" spans="1:23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</row>
    <row r="52" spans="1:23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0</v>
      </c>
    </row>
    <row r="53" spans="1:23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</row>
    <row r="54" spans="1:23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</row>
    <row r="55" spans="1:23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0</v>
      </c>
    </row>
    <row r="56" spans="1:23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</row>
    <row r="57" spans="1:23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</row>
    <row r="58" spans="1:23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18000</v>
      </c>
      <c r="L58" s="12">
        <f t="shared" ref="L58:V58" si="11">SUM(L59:L60)</f>
        <v>87000</v>
      </c>
      <c r="M58" s="12">
        <f t="shared" si="11"/>
        <v>0</v>
      </c>
      <c r="N58" s="12">
        <f t="shared" si="11"/>
        <v>0</v>
      </c>
      <c r="O58" s="12">
        <f t="shared" si="11"/>
        <v>99000</v>
      </c>
      <c r="P58" s="12">
        <f t="shared" si="11"/>
        <v>0</v>
      </c>
      <c r="Q58" s="12">
        <f t="shared" si="11"/>
        <v>0</v>
      </c>
      <c r="R58" s="12">
        <f t="shared" si="11"/>
        <v>87000</v>
      </c>
      <c r="S58" s="12">
        <f t="shared" si="11"/>
        <v>12000</v>
      </c>
      <c r="T58" s="12">
        <f t="shared" si="11"/>
        <v>0</v>
      </c>
      <c r="U58" s="12">
        <f t="shared" si="11"/>
        <v>87000</v>
      </c>
      <c r="V58" s="12">
        <f t="shared" si="11"/>
        <v>0</v>
      </c>
      <c r="W58" s="12">
        <f t="shared" si="1"/>
        <v>390000</v>
      </c>
    </row>
    <row r="59" spans="1:23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18000</v>
      </c>
      <c r="L59" s="47">
        <v>87000</v>
      </c>
      <c r="M59" s="47">
        <v>0</v>
      </c>
      <c r="N59" s="47">
        <v>0</v>
      </c>
      <c r="O59" s="47">
        <v>99000</v>
      </c>
      <c r="P59" s="47">
        <v>0</v>
      </c>
      <c r="Q59" s="47">
        <v>0</v>
      </c>
      <c r="R59" s="47">
        <v>87000</v>
      </c>
      <c r="S59" s="47">
        <v>12000</v>
      </c>
      <c r="T59" s="47">
        <v>0</v>
      </c>
      <c r="U59" s="47">
        <v>87000</v>
      </c>
      <c r="V59" s="47">
        <v>0</v>
      </c>
      <c r="W59" s="47">
        <f t="shared" si="1"/>
        <v>390000</v>
      </c>
    </row>
    <row r="60" spans="1:23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</row>
    <row r="61" spans="1:23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57000</v>
      </c>
      <c r="L61" s="47">
        <v>67000</v>
      </c>
      <c r="M61" s="47">
        <v>67000</v>
      </c>
      <c r="N61" s="47">
        <v>67000</v>
      </c>
      <c r="O61" s="47">
        <v>67000</v>
      </c>
      <c r="P61" s="47">
        <v>67000</v>
      </c>
      <c r="Q61" s="47">
        <v>67000</v>
      </c>
      <c r="R61" s="47">
        <v>67000</v>
      </c>
      <c r="S61" s="47">
        <v>67000</v>
      </c>
      <c r="T61" s="47">
        <v>57000</v>
      </c>
      <c r="U61" s="47">
        <v>57000</v>
      </c>
      <c r="V61" s="47">
        <v>57000</v>
      </c>
      <c r="W61" s="47">
        <f t="shared" si="1"/>
        <v>764000</v>
      </c>
    </row>
    <row r="62" spans="1:23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</row>
    <row r="63" spans="1:23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76300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f t="shared" si="1"/>
        <v>76300</v>
      </c>
    </row>
    <row r="64" spans="1:23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120000</v>
      </c>
      <c r="R64" s="47">
        <v>0</v>
      </c>
      <c r="S64" s="47">
        <v>15000</v>
      </c>
      <c r="T64" s="47">
        <v>0</v>
      </c>
      <c r="U64" s="47">
        <v>0</v>
      </c>
      <c r="V64" s="47">
        <v>0</v>
      </c>
      <c r="W64" s="47">
        <f t="shared" si="1"/>
        <v>135000</v>
      </c>
    </row>
    <row r="65" spans="1:23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723120</v>
      </c>
      <c r="L65" s="47">
        <v>234120</v>
      </c>
      <c r="M65" s="47">
        <v>219120</v>
      </c>
      <c r="N65" s="47">
        <v>259120</v>
      </c>
      <c r="O65" s="47">
        <v>429120</v>
      </c>
      <c r="P65" s="47">
        <v>279120</v>
      </c>
      <c r="Q65" s="47">
        <v>279120</v>
      </c>
      <c r="R65" s="47">
        <v>388120</v>
      </c>
      <c r="S65" s="47">
        <v>509120</v>
      </c>
      <c r="T65" s="47">
        <v>229120</v>
      </c>
      <c r="U65" s="47">
        <v>229120</v>
      </c>
      <c r="V65" s="47">
        <v>219120</v>
      </c>
      <c r="W65" s="47">
        <f t="shared" si="1"/>
        <v>3997440</v>
      </c>
    </row>
    <row r="66" spans="1:23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</row>
    <row r="67" spans="1:23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275000</v>
      </c>
      <c r="L67" s="12">
        <f t="shared" ref="L67:V67" si="12">SUM(L68:L69)</f>
        <v>329438</v>
      </c>
      <c r="M67" s="12">
        <f t="shared" si="12"/>
        <v>368004</v>
      </c>
      <c r="N67" s="12">
        <f t="shared" si="12"/>
        <v>449930</v>
      </c>
      <c r="O67" s="12">
        <f t="shared" si="12"/>
        <v>460644</v>
      </c>
      <c r="P67" s="12">
        <f t="shared" si="12"/>
        <v>461583</v>
      </c>
      <c r="Q67" s="12">
        <f t="shared" si="12"/>
        <v>350000</v>
      </c>
      <c r="R67" s="12">
        <f t="shared" si="12"/>
        <v>350000</v>
      </c>
      <c r="S67" s="12">
        <f t="shared" si="12"/>
        <v>475000</v>
      </c>
      <c r="T67" s="12">
        <f t="shared" si="12"/>
        <v>350000</v>
      </c>
      <c r="U67" s="12">
        <f t="shared" si="12"/>
        <v>350000</v>
      </c>
      <c r="V67" s="12">
        <f t="shared" si="12"/>
        <v>325000</v>
      </c>
      <c r="W67" s="12">
        <f t="shared" si="1"/>
        <v>4544599</v>
      </c>
    </row>
    <row r="68" spans="1:23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275000</v>
      </c>
      <c r="L68" s="47">
        <v>329438</v>
      </c>
      <c r="M68" s="47">
        <v>368004</v>
      </c>
      <c r="N68" s="47">
        <v>449930</v>
      </c>
      <c r="O68" s="47">
        <v>460644</v>
      </c>
      <c r="P68" s="47">
        <v>461583</v>
      </c>
      <c r="Q68" s="47">
        <v>350000</v>
      </c>
      <c r="R68" s="47">
        <v>350000</v>
      </c>
      <c r="S68" s="47">
        <v>475000</v>
      </c>
      <c r="T68" s="47">
        <v>350000</v>
      </c>
      <c r="U68" s="47">
        <v>350000</v>
      </c>
      <c r="V68" s="47">
        <v>325000</v>
      </c>
      <c r="W68" s="47">
        <f t="shared" si="1"/>
        <v>4544599</v>
      </c>
    </row>
    <row r="69" spans="1:23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</row>
    <row r="70" spans="1:23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11500</v>
      </c>
      <c r="L70" s="47">
        <v>10000</v>
      </c>
      <c r="M70" s="47">
        <v>11500</v>
      </c>
      <c r="N70" s="47">
        <v>10000</v>
      </c>
      <c r="O70" s="47">
        <v>11500</v>
      </c>
      <c r="P70" s="47">
        <v>10000</v>
      </c>
      <c r="Q70" s="47">
        <v>11500</v>
      </c>
      <c r="R70" s="47">
        <v>10000</v>
      </c>
      <c r="S70" s="47">
        <v>11500</v>
      </c>
      <c r="T70" s="47">
        <v>10000</v>
      </c>
      <c r="U70" s="47">
        <v>11500</v>
      </c>
      <c r="V70" s="47">
        <v>10000</v>
      </c>
      <c r="W70" s="47">
        <f t="shared" si="1"/>
        <v>129000</v>
      </c>
    </row>
    <row r="71" spans="1:23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92300</v>
      </c>
      <c r="L71" s="47">
        <v>102300</v>
      </c>
      <c r="M71" s="47">
        <v>107300</v>
      </c>
      <c r="N71" s="47">
        <v>130500</v>
      </c>
      <c r="O71" s="47">
        <v>127300</v>
      </c>
      <c r="P71" s="47">
        <v>102300</v>
      </c>
      <c r="Q71" s="47">
        <v>102300</v>
      </c>
      <c r="R71" s="47">
        <v>102300</v>
      </c>
      <c r="S71" s="47">
        <v>102300</v>
      </c>
      <c r="T71" s="47">
        <v>102300</v>
      </c>
      <c r="U71" s="47">
        <v>102300</v>
      </c>
      <c r="V71" s="47">
        <v>102300</v>
      </c>
      <c r="W71" s="47">
        <f t="shared" ref="W71:W118" si="13">SUM(K71:V71)</f>
        <v>1275800</v>
      </c>
    </row>
    <row r="72" spans="1:23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332500</v>
      </c>
      <c r="L72" s="12">
        <f t="shared" ref="L72:V72" si="14">SUM(L73:L77)</f>
        <v>352500</v>
      </c>
      <c r="M72" s="12">
        <f t="shared" si="14"/>
        <v>352500</v>
      </c>
      <c r="N72" s="12">
        <f t="shared" si="14"/>
        <v>357500</v>
      </c>
      <c r="O72" s="12">
        <f t="shared" si="14"/>
        <v>357500</v>
      </c>
      <c r="P72" s="12">
        <f t="shared" si="14"/>
        <v>357500</v>
      </c>
      <c r="Q72" s="12">
        <f t="shared" si="14"/>
        <v>357500</v>
      </c>
      <c r="R72" s="12">
        <f t="shared" si="14"/>
        <v>357500</v>
      </c>
      <c r="S72" s="12">
        <f t="shared" si="14"/>
        <v>357500</v>
      </c>
      <c r="T72" s="12">
        <f t="shared" si="14"/>
        <v>352500</v>
      </c>
      <c r="U72" s="12">
        <f t="shared" si="14"/>
        <v>352500</v>
      </c>
      <c r="V72" s="12">
        <f t="shared" si="14"/>
        <v>352500</v>
      </c>
      <c r="W72" s="12">
        <f t="shared" si="13"/>
        <v>4240000</v>
      </c>
    </row>
    <row r="73" spans="1:23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312500</v>
      </c>
      <c r="L73" s="47">
        <v>312500</v>
      </c>
      <c r="M73" s="47">
        <v>312500</v>
      </c>
      <c r="N73" s="47">
        <v>312500</v>
      </c>
      <c r="O73" s="47">
        <v>312500</v>
      </c>
      <c r="P73" s="47">
        <v>312500</v>
      </c>
      <c r="Q73" s="47">
        <v>312500</v>
      </c>
      <c r="R73" s="47">
        <v>312500</v>
      </c>
      <c r="S73" s="47">
        <v>312500</v>
      </c>
      <c r="T73" s="47">
        <v>312500</v>
      </c>
      <c r="U73" s="47">
        <v>312500</v>
      </c>
      <c r="V73" s="47">
        <v>312500</v>
      </c>
      <c r="W73" s="47">
        <f t="shared" si="13"/>
        <v>3750000</v>
      </c>
    </row>
    <row r="74" spans="1:23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20000</v>
      </c>
      <c r="L74" s="47">
        <v>40000</v>
      </c>
      <c r="M74" s="47">
        <v>40000</v>
      </c>
      <c r="N74" s="47">
        <v>45000</v>
      </c>
      <c r="O74" s="47">
        <v>45000</v>
      </c>
      <c r="P74" s="47">
        <v>45000</v>
      </c>
      <c r="Q74" s="47">
        <v>45000</v>
      </c>
      <c r="R74" s="47">
        <v>45000</v>
      </c>
      <c r="S74" s="47">
        <v>45000</v>
      </c>
      <c r="T74" s="47">
        <v>40000</v>
      </c>
      <c r="U74" s="47">
        <v>40000</v>
      </c>
      <c r="V74" s="47">
        <v>40000</v>
      </c>
      <c r="W74" s="47">
        <f t="shared" si="13"/>
        <v>490000</v>
      </c>
    </row>
    <row r="75" spans="1:23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f t="shared" si="13"/>
        <v>0</v>
      </c>
    </row>
    <row r="76" spans="1:23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3"/>
        <v>0</v>
      </c>
    </row>
    <row r="77" spans="1:23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3"/>
        <v>0</v>
      </c>
    </row>
    <row r="78" spans="1:23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1500</v>
      </c>
      <c r="L78" s="47">
        <v>1500</v>
      </c>
      <c r="M78" s="47">
        <v>1500</v>
      </c>
      <c r="N78" s="47">
        <v>1500</v>
      </c>
      <c r="O78" s="47">
        <v>1500</v>
      </c>
      <c r="P78" s="47">
        <v>1500</v>
      </c>
      <c r="Q78" s="47">
        <v>1500</v>
      </c>
      <c r="R78" s="47">
        <v>1500</v>
      </c>
      <c r="S78" s="47">
        <v>1500</v>
      </c>
      <c r="T78" s="47">
        <v>1500</v>
      </c>
      <c r="U78" s="47">
        <v>1500</v>
      </c>
      <c r="V78" s="47">
        <v>1500</v>
      </c>
      <c r="W78" s="47">
        <f t="shared" si="13"/>
        <v>18000</v>
      </c>
    </row>
    <row r="79" spans="1:23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35000</v>
      </c>
      <c r="L79" s="47">
        <v>235000</v>
      </c>
      <c r="M79" s="47">
        <v>435000</v>
      </c>
      <c r="N79" s="47">
        <v>35000</v>
      </c>
      <c r="O79" s="47">
        <v>35000</v>
      </c>
      <c r="P79" s="47">
        <v>435000</v>
      </c>
      <c r="Q79" s="47">
        <v>235000</v>
      </c>
      <c r="R79" s="47">
        <v>35000</v>
      </c>
      <c r="S79" s="47">
        <v>635000</v>
      </c>
      <c r="T79" s="47">
        <v>235000</v>
      </c>
      <c r="U79" s="47">
        <v>35000</v>
      </c>
      <c r="V79" s="47">
        <v>35000</v>
      </c>
      <c r="W79" s="47">
        <f t="shared" si="13"/>
        <v>2420000</v>
      </c>
    </row>
    <row r="80" spans="1:23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5">SUM(L81:L82)</f>
        <v>0</v>
      </c>
      <c r="M80" s="12">
        <f t="shared" si="15"/>
        <v>0</v>
      </c>
      <c r="N80" s="12">
        <f t="shared" si="15"/>
        <v>0</v>
      </c>
      <c r="O80" s="12">
        <f t="shared" si="15"/>
        <v>0</v>
      </c>
      <c r="P80" s="12">
        <f t="shared" si="15"/>
        <v>0</v>
      </c>
      <c r="Q80" s="12">
        <f t="shared" si="15"/>
        <v>0</v>
      </c>
      <c r="R80" s="12">
        <f t="shared" si="15"/>
        <v>0</v>
      </c>
      <c r="S80" s="12">
        <f t="shared" si="15"/>
        <v>0</v>
      </c>
      <c r="T80" s="12">
        <f t="shared" si="15"/>
        <v>0</v>
      </c>
      <c r="U80" s="12">
        <f t="shared" si="15"/>
        <v>0</v>
      </c>
      <c r="V80" s="12">
        <f t="shared" si="15"/>
        <v>0</v>
      </c>
      <c r="W80" s="12">
        <f t="shared" si="13"/>
        <v>0</v>
      </c>
    </row>
    <row r="81" spans="1:23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3"/>
        <v>0</v>
      </c>
    </row>
    <row r="82" spans="1:23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3"/>
        <v>0</v>
      </c>
    </row>
    <row r="83" spans="1:23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3"/>
        <v>0</v>
      </c>
    </row>
    <row r="84" spans="1:23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3"/>
        <v>0</v>
      </c>
    </row>
    <row r="85" spans="1:23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301859</v>
      </c>
      <c r="L85" s="25">
        <f t="shared" ref="L85:V85" si="16">SUM(L86:L96)</f>
        <v>301859</v>
      </c>
      <c r="M85" s="25">
        <f t="shared" si="16"/>
        <v>301859</v>
      </c>
      <c r="N85" s="25">
        <f t="shared" si="16"/>
        <v>301859</v>
      </c>
      <c r="O85" s="25">
        <f t="shared" si="16"/>
        <v>301359</v>
      </c>
      <c r="P85" s="25">
        <f t="shared" si="16"/>
        <v>297559</v>
      </c>
      <c r="Q85" s="25">
        <f t="shared" si="16"/>
        <v>292647</v>
      </c>
      <c r="R85" s="25">
        <f t="shared" si="16"/>
        <v>292647</v>
      </c>
      <c r="S85" s="25">
        <f t="shared" si="16"/>
        <v>292647</v>
      </c>
      <c r="T85" s="25">
        <f t="shared" si="16"/>
        <v>292647</v>
      </c>
      <c r="U85" s="25">
        <f t="shared" si="16"/>
        <v>292647</v>
      </c>
      <c r="V85" s="25">
        <f t="shared" si="16"/>
        <v>291231</v>
      </c>
      <c r="W85" s="25">
        <f t="shared" si="13"/>
        <v>3560820</v>
      </c>
    </row>
    <row r="86" spans="1:23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>
        <v>28169</v>
      </c>
      <c r="L86" s="47">
        <v>28169</v>
      </c>
      <c r="M86" s="47">
        <v>28169</v>
      </c>
      <c r="N86" s="47">
        <v>28169</v>
      </c>
      <c r="O86" s="47">
        <v>28169</v>
      </c>
      <c r="P86" s="47">
        <v>28169</v>
      </c>
      <c r="Q86" s="47">
        <v>28169</v>
      </c>
      <c r="R86" s="47">
        <v>28169</v>
      </c>
      <c r="S86" s="47">
        <v>28169</v>
      </c>
      <c r="T86" s="47">
        <v>28169</v>
      </c>
      <c r="U86" s="47">
        <v>28169</v>
      </c>
      <c r="V86" s="47">
        <v>28209</v>
      </c>
      <c r="W86" s="47">
        <f t="shared" si="13"/>
        <v>338068</v>
      </c>
    </row>
    <row r="87" spans="1:23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>
        <v>79909</v>
      </c>
      <c r="L87" s="47">
        <v>79909</v>
      </c>
      <c r="M87" s="47">
        <v>79909</v>
      </c>
      <c r="N87" s="47">
        <v>79909</v>
      </c>
      <c r="O87" s="47">
        <v>79909</v>
      </c>
      <c r="P87" s="47">
        <v>79909</v>
      </c>
      <c r="Q87" s="47">
        <v>79909</v>
      </c>
      <c r="R87" s="47">
        <v>79909</v>
      </c>
      <c r="S87" s="47">
        <v>79909</v>
      </c>
      <c r="T87" s="47">
        <v>79909</v>
      </c>
      <c r="U87" s="47">
        <v>79909</v>
      </c>
      <c r="V87" s="47">
        <v>79958</v>
      </c>
      <c r="W87" s="47">
        <f t="shared" si="13"/>
        <v>958957</v>
      </c>
    </row>
    <row r="88" spans="1:23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v>0</v>
      </c>
      <c r="U88" s="47">
        <v>0</v>
      </c>
      <c r="V88" s="47">
        <v>0</v>
      </c>
      <c r="W88" s="47">
        <f t="shared" si="13"/>
        <v>0</v>
      </c>
    </row>
    <row r="89" spans="1:23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>
        <v>14591</v>
      </c>
      <c r="L89" s="47">
        <v>14591</v>
      </c>
      <c r="M89" s="47">
        <v>14591</v>
      </c>
      <c r="N89" s="47">
        <v>14591</v>
      </c>
      <c r="O89" s="47">
        <v>14591</v>
      </c>
      <c r="P89" s="47">
        <v>14591</v>
      </c>
      <c r="Q89" s="47">
        <v>14591</v>
      </c>
      <c r="R89" s="47">
        <v>14591</v>
      </c>
      <c r="S89" s="47">
        <v>14591</v>
      </c>
      <c r="T89" s="47">
        <v>14591</v>
      </c>
      <c r="U89" s="47">
        <v>14591</v>
      </c>
      <c r="V89" s="47">
        <v>14599</v>
      </c>
      <c r="W89" s="47">
        <f t="shared" si="13"/>
        <v>175100</v>
      </c>
    </row>
    <row r="90" spans="1:23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152577</v>
      </c>
      <c r="L90" s="47">
        <v>152577</v>
      </c>
      <c r="M90" s="47">
        <v>152577</v>
      </c>
      <c r="N90" s="47">
        <v>152577</v>
      </c>
      <c r="O90" s="47">
        <v>152077</v>
      </c>
      <c r="P90" s="47">
        <v>148277</v>
      </c>
      <c r="Q90" s="47">
        <v>143365</v>
      </c>
      <c r="R90" s="47">
        <v>143365</v>
      </c>
      <c r="S90" s="47">
        <v>143365</v>
      </c>
      <c r="T90" s="47">
        <v>143365</v>
      </c>
      <c r="U90" s="47">
        <v>143365</v>
      </c>
      <c r="V90" s="47">
        <v>141839</v>
      </c>
      <c r="W90" s="47">
        <f t="shared" si="13"/>
        <v>1769326</v>
      </c>
    </row>
    <row r="91" spans="1:23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0</v>
      </c>
      <c r="R91" s="47">
        <v>0</v>
      </c>
      <c r="S91" s="47">
        <v>0</v>
      </c>
      <c r="T91" s="47">
        <v>0</v>
      </c>
      <c r="U91" s="47">
        <v>0</v>
      </c>
      <c r="V91" s="47">
        <v>0</v>
      </c>
      <c r="W91" s="47">
        <f t="shared" si="13"/>
        <v>0</v>
      </c>
    </row>
    <row r="92" spans="1:23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26613</v>
      </c>
      <c r="L92" s="47">
        <v>26613</v>
      </c>
      <c r="M92" s="47">
        <v>26613</v>
      </c>
      <c r="N92" s="47">
        <v>26613</v>
      </c>
      <c r="O92" s="47">
        <v>26613</v>
      </c>
      <c r="P92" s="47">
        <v>26613</v>
      </c>
      <c r="Q92" s="47">
        <v>26613</v>
      </c>
      <c r="R92" s="47">
        <v>26613</v>
      </c>
      <c r="S92" s="47">
        <v>26613</v>
      </c>
      <c r="T92" s="47">
        <v>26613</v>
      </c>
      <c r="U92" s="47">
        <v>26613</v>
      </c>
      <c r="V92" s="47">
        <v>26626</v>
      </c>
      <c r="W92" s="47">
        <f t="shared" si="13"/>
        <v>319369</v>
      </c>
    </row>
    <row r="93" spans="1:23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0</v>
      </c>
      <c r="S93" s="47">
        <v>0</v>
      </c>
      <c r="T93" s="47">
        <v>0</v>
      </c>
      <c r="U93" s="47">
        <v>0</v>
      </c>
      <c r="V93" s="47">
        <v>0</v>
      </c>
      <c r="W93" s="47">
        <f t="shared" si="13"/>
        <v>0</v>
      </c>
    </row>
    <row r="94" spans="1:23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0</v>
      </c>
      <c r="S94" s="47">
        <v>0</v>
      </c>
      <c r="T94" s="47">
        <v>0</v>
      </c>
      <c r="U94" s="47">
        <v>0</v>
      </c>
      <c r="V94" s="47">
        <v>0</v>
      </c>
      <c r="W94" s="47">
        <f t="shared" si="13"/>
        <v>0</v>
      </c>
    </row>
    <row r="95" spans="1:23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0</v>
      </c>
      <c r="T95" s="47">
        <v>0</v>
      </c>
      <c r="U95" s="47">
        <v>0</v>
      </c>
      <c r="V95" s="47">
        <v>0</v>
      </c>
      <c r="W95" s="47">
        <f t="shared" si="13"/>
        <v>0</v>
      </c>
    </row>
    <row r="96" spans="1:23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f t="shared" si="13"/>
        <v>0</v>
      </c>
    </row>
    <row r="97" spans="1:23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6475756</v>
      </c>
      <c r="L97" s="29">
        <f t="shared" ref="L97:V97" si="17">L37+L19+L85</f>
        <v>6692508</v>
      </c>
      <c r="M97" s="29">
        <f t="shared" si="17"/>
        <v>9952843</v>
      </c>
      <c r="N97" s="29">
        <f t="shared" si="17"/>
        <v>7052359</v>
      </c>
      <c r="O97" s="29">
        <f t="shared" si="17"/>
        <v>7310451</v>
      </c>
      <c r="P97" s="29">
        <f t="shared" si="17"/>
        <v>7077090</v>
      </c>
      <c r="Q97" s="29">
        <f t="shared" si="17"/>
        <v>7089018</v>
      </c>
      <c r="R97" s="29">
        <f t="shared" si="17"/>
        <v>6850367.4199999999</v>
      </c>
      <c r="S97" s="29">
        <f t="shared" si="17"/>
        <v>13764555</v>
      </c>
      <c r="T97" s="29">
        <f t="shared" si="17"/>
        <v>7414740</v>
      </c>
      <c r="U97" s="29">
        <f t="shared" si="17"/>
        <v>6308940</v>
      </c>
      <c r="V97" s="29">
        <f t="shared" si="17"/>
        <v>7102252</v>
      </c>
      <c r="W97" s="29">
        <f>SUM(K97:V97)</f>
        <v>93090879.420000002</v>
      </c>
    </row>
    <row r="98" spans="1:23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-3723628.5625</v>
      </c>
      <c r="L98" s="33">
        <f t="shared" ref="L98:V98" si="18">L18-L97</f>
        <v>3195665.3249999993</v>
      </c>
      <c r="M98" s="33">
        <f t="shared" si="18"/>
        <v>1521651.0124999993</v>
      </c>
      <c r="N98" s="33">
        <f t="shared" si="18"/>
        <v>5014759.0250000004</v>
      </c>
      <c r="O98" s="33">
        <f t="shared" si="18"/>
        <v>4689184.7250000015</v>
      </c>
      <c r="P98" s="33">
        <f t="shared" si="18"/>
        <v>4507124.0250000004</v>
      </c>
      <c r="Q98" s="33">
        <f t="shared" si="18"/>
        <v>5015069.5124999993</v>
      </c>
      <c r="R98" s="33">
        <f t="shared" si="18"/>
        <v>2428813.6300000008</v>
      </c>
      <c r="S98" s="33">
        <f t="shared" si="18"/>
        <v>-1266657.3374999985</v>
      </c>
      <c r="T98" s="33">
        <f t="shared" si="18"/>
        <v>1373235</v>
      </c>
      <c r="U98" s="33">
        <f t="shared" si="18"/>
        <v>2507706</v>
      </c>
      <c r="V98" s="33">
        <f t="shared" si="18"/>
        <v>-1277251</v>
      </c>
      <c r="W98" s="33">
        <f t="shared" si="13"/>
        <v>23985671.355000004</v>
      </c>
    </row>
    <row r="99" spans="1:23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0</v>
      </c>
      <c r="L99" s="37">
        <f t="shared" ref="L99:V99" si="19">SUM(L100,L104:L106)</f>
        <v>0</v>
      </c>
      <c r="M99" s="37">
        <f t="shared" si="19"/>
        <v>20000</v>
      </c>
      <c r="N99" s="37">
        <f t="shared" si="19"/>
        <v>20350</v>
      </c>
      <c r="O99" s="37">
        <f t="shared" si="19"/>
        <v>20000</v>
      </c>
      <c r="P99" s="37">
        <f t="shared" si="19"/>
        <v>51580</v>
      </c>
      <c r="Q99" s="37">
        <f t="shared" si="19"/>
        <v>62000</v>
      </c>
      <c r="R99" s="37">
        <f t="shared" si="19"/>
        <v>59000</v>
      </c>
      <c r="S99" s="37">
        <f t="shared" si="19"/>
        <v>65000</v>
      </c>
      <c r="T99" s="37">
        <f t="shared" si="19"/>
        <v>62000</v>
      </c>
      <c r="U99" s="37">
        <f t="shared" si="19"/>
        <v>62000</v>
      </c>
      <c r="V99" s="37">
        <f t="shared" si="19"/>
        <v>59000</v>
      </c>
      <c r="W99" s="37">
        <f t="shared" si="13"/>
        <v>480930</v>
      </c>
    </row>
    <row r="100" spans="1:23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0">SUM(L101:L103)</f>
        <v>0</v>
      </c>
      <c r="M100" s="12">
        <f t="shared" si="20"/>
        <v>0</v>
      </c>
      <c r="N100" s="12">
        <f t="shared" si="20"/>
        <v>0</v>
      </c>
      <c r="O100" s="12">
        <f t="shared" si="20"/>
        <v>0</v>
      </c>
      <c r="P100" s="12">
        <f t="shared" si="20"/>
        <v>0</v>
      </c>
      <c r="Q100" s="12">
        <f t="shared" si="20"/>
        <v>0</v>
      </c>
      <c r="R100" s="12">
        <f t="shared" si="20"/>
        <v>0</v>
      </c>
      <c r="S100" s="12">
        <f t="shared" si="20"/>
        <v>0</v>
      </c>
      <c r="T100" s="12">
        <f t="shared" si="20"/>
        <v>0</v>
      </c>
      <c r="U100" s="12">
        <f t="shared" si="20"/>
        <v>0</v>
      </c>
      <c r="V100" s="12">
        <f t="shared" si="20"/>
        <v>0</v>
      </c>
      <c r="W100" s="12">
        <f t="shared" si="13"/>
        <v>0</v>
      </c>
    </row>
    <row r="101" spans="1:23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0</v>
      </c>
      <c r="R101" s="47">
        <v>0</v>
      </c>
      <c r="S101" s="47">
        <v>0</v>
      </c>
      <c r="T101" s="47">
        <v>0</v>
      </c>
      <c r="U101" s="47">
        <v>0</v>
      </c>
      <c r="V101" s="47">
        <v>0</v>
      </c>
      <c r="W101" s="47">
        <f t="shared" si="13"/>
        <v>0</v>
      </c>
    </row>
    <row r="102" spans="1:23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>
        <v>0</v>
      </c>
      <c r="L102" s="47">
        <v>0</v>
      </c>
      <c r="M102" s="47">
        <v>0</v>
      </c>
      <c r="N102" s="47">
        <v>0</v>
      </c>
      <c r="O102" s="47">
        <v>0</v>
      </c>
      <c r="P102" s="47">
        <v>0</v>
      </c>
      <c r="Q102" s="47">
        <v>0</v>
      </c>
      <c r="R102" s="47">
        <v>0</v>
      </c>
      <c r="S102" s="47">
        <v>0</v>
      </c>
      <c r="T102" s="47">
        <v>0</v>
      </c>
      <c r="U102" s="47">
        <v>0</v>
      </c>
      <c r="V102" s="47">
        <v>0</v>
      </c>
      <c r="W102" s="47">
        <f t="shared" si="13"/>
        <v>0</v>
      </c>
    </row>
    <row r="103" spans="1:23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f t="shared" si="13"/>
        <v>0</v>
      </c>
    </row>
    <row r="104" spans="1:23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v>0</v>
      </c>
      <c r="Q104" s="47">
        <v>0</v>
      </c>
      <c r="R104" s="47">
        <v>0</v>
      </c>
      <c r="S104" s="47">
        <v>0</v>
      </c>
      <c r="T104" s="47">
        <v>0</v>
      </c>
      <c r="U104" s="47">
        <v>0</v>
      </c>
      <c r="V104" s="47">
        <v>0</v>
      </c>
      <c r="W104" s="47">
        <f t="shared" si="13"/>
        <v>0</v>
      </c>
    </row>
    <row r="105" spans="1:23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>
        <v>0</v>
      </c>
      <c r="L105" s="47">
        <v>0</v>
      </c>
      <c r="M105" s="47">
        <v>20000</v>
      </c>
      <c r="N105" s="47">
        <v>20350</v>
      </c>
      <c r="O105" s="47">
        <v>20000</v>
      </c>
      <c r="P105" s="47">
        <v>51580</v>
      </c>
      <c r="Q105" s="47">
        <v>62000</v>
      </c>
      <c r="R105" s="47">
        <v>59000</v>
      </c>
      <c r="S105" s="47">
        <v>65000</v>
      </c>
      <c r="T105" s="47">
        <v>62000</v>
      </c>
      <c r="U105" s="47">
        <v>62000</v>
      </c>
      <c r="V105" s="47">
        <v>59000</v>
      </c>
      <c r="W105" s="47">
        <f t="shared" si="13"/>
        <v>480930</v>
      </c>
    </row>
    <row r="106" spans="1:23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0</v>
      </c>
      <c r="U106" s="47">
        <v>0</v>
      </c>
      <c r="V106" s="47">
        <v>0</v>
      </c>
      <c r="W106" s="47">
        <f t="shared" si="13"/>
        <v>0</v>
      </c>
    </row>
    <row r="107" spans="1:23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1">SUM(L108:L110)</f>
        <v>0</v>
      </c>
      <c r="M107" s="41">
        <f t="shared" si="21"/>
        <v>0</v>
      </c>
      <c r="N107" s="41">
        <f t="shared" si="21"/>
        <v>0</v>
      </c>
      <c r="O107" s="41">
        <f t="shared" si="21"/>
        <v>0</v>
      </c>
      <c r="P107" s="41">
        <f t="shared" si="21"/>
        <v>0</v>
      </c>
      <c r="Q107" s="41">
        <f t="shared" si="21"/>
        <v>0</v>
      </c>
      <c r="R107" s="41">
        <f t="shared" si="21"/>
        <v>0</v>
      </c>
      <c r="S107" s="41">
        <f t="shared" si="21"/>
        <v>0</v>
      </c>
      <c r="T107" s="41">
        <f t="shared" si="21"/>
        <v>0</v>
      </c>
      <c r="U107" s="41">
        <f t="shared" si="21"/>
        <v>0</v>
      </c>
      <c r="V107" s="41">
        <f t="shared" si="21"/>
        <v>0</v>
      </c>
      <c r="W107" s="41">
        <f t="shared" si="13"/>
        <v>0</v>
      </c>
    </row>
    <row r="108" spans="1:23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f t="shared" si="13"/>
        <v>0</v>
      </c>
    </row>
    <row r="109" spans="1:23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f t="shared" si="13"/>
        <v>0</v>
      </c>
    </row>
    <row r="110" spans="1:23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>
        <v>0</v>
      </c>
      <c r="L110" s="47">
        <v>0</v>
      </c>
      <c r="M110" s="47">
        <v>0</v>
      </c>
      <c r="N110" s="47">
        <v>0</v>
      </c>
      <c r="O110" s="47">
        <v>0</v>
      </c>
      <c r="P110" s="47">
        <v>0</v>
      </c>
      <c r="Q110" s="47">
        <v>0</v>
      </c>
      <c r="R110" s="47">
        <v>0</v>
      </c>
      <c r="S110" s="47">
        <v>0</v>
      </c>
      <c r="T110" s="47">
        <v>0</v>
      </c>
      <c r="U110" s="47">
        <v>0</v>
      </c>
      <c r="V110" s="47">
        <v>0</v>
      </c>
      <c r="W110" s="47">
        <f t="shared" si="13"/>
        <v>0</v>
      </c>
    </row>
    <row r="111" spans="1:23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-3723628.5625</v>
      </c>
      <c r="L111" s="33">
        <f t="shared" ref="L111:V111" si="22">L98+L99-L107</f>
        <v>3195665.3249999993</v>
      </c>
      <c r="M111" s="33">
        <f t="shared" si="22"/>
        <v>1541651.0124999993</v>
      </c>
      <c r="N111" s="33">
        <f t="shared" si="22"/>
        <v>5035109.0250000004</v>
      </c>
      <c r="O111" s="33">
        <f t="shared" si="22"/>
        <v>4709184.7250000015</v>
      </c>
      <c r="P111" s="33">
        <f t="shared" si="22"/>
        <v>4558704.0250000004</v>
      </c>
      <c r="Q111" s="33">
        <f t="shared" si="22"/>
        <v>5077069.5124999993</v>
      </c>
      <c r="R111" s="33">
        <f t="shared" si="22"/>
        <v>2487813.6300000008</v>
      </c>
      <c r="S111" s="33">
        <f t="shared" si="22"/>
        <v>-1201657.3374999985</v>
      </c>
      <c r="T111" s="33">
        <f t="shared" si="22"/>
        <v>1435235</v>
      </c>
      <c r="U111" s="33">
        <f t="shared" si="22"/>
        <v>2569706</v>
      </c>
      <c r="V111" s="33">
        <f t="shared" si="22"/>
        <v>-1218251</v>
      </c>
      <c r="W111" s="33">
        <f t="shared" si="13"/>
        <v>24466601.355000004</v>
      </c>
    </row>
    <row r="112" spans="1:23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3">SUM(L113:L114)</f>
        <v>0</v>
      </c>
      <c r="M112" s="37">
        <f t="shared" si="23"/>
        <v>0</v>
      </c>
      <c r="N112" s="37">
        <f t="shared" si="23"/>
        <v>0</v>
      </c>
      <c r="O112" s="37">
        <f t="shared" si="23"/>
        <v>0</v>
      </c>
      <c r="P112" s="37">
        <f t="shared" si="23"/>
        <v>0</v>
      </c>
      <c r="Q112" s="37">
        <f t="shared" si="23"/>
        <v>0</v>
      </c>
      <c r="R112" s="37">
        <f t="shared" si="23"/>
        <v>0</v>
      </c>
      <c r="S112" s="37">
        <f t="shared" si="23"/>
        <v>0</v>
      </c>
      <c r="T112" s="37">
        <f t="shared" si="23"/>
        <v>0</v>
      </c>
      <c r="U112" s="37">
        <f t="shared" si="23"/>
        <v>0</v>
      </c>
      <c r="V112" s="37">
        <f t="shared" si="23"/>
        <v>0</v>
      </c>
      <c r="W112" s="37">
        <f t="shared" si="13"/>
        <v>0</v>
      </c>
    </row>
    <row r="113" spans="1:23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f t="shared" si="13"/>
        <v>0</v>
      </c>
    </row>
    <row r="114" spans="1:23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v>0</v>
      </c>
      <c r="Q114" s="47">
        <v>0</v>
      </c>
      <c r="R114" s="47">
        <v>0</v>
      </c>
      <c r="S114" s="47">
        <v>0</v>
      </c>
      <c r="T114" s="47">
        <v>0</v>
      </c>
      <c r="U114" s="47">
        <v>0</v>
      </c>
      <c r="V114" s="47">
        <v>0</v>
      </c>
      <c r="W114" s="47">
        <f t="shared" si="13"/>
        <v>0</v>
      </c>
    </row>
    <row r="115" spans="1:23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4">SUM(L116:L117)</f>
        <v>0</v>
      </c>
      <c r="M115" s="41">
        <f t="shared" si="24"/>
        <v>0</v>
      </c>
      <c r="N115" s="41">
        <f t="shared" si="24"/>
        <v>0</v>
      </c>
      <c r="O115" s="41">
        <f t="shared" si="24"/>
        <v>0</v>
      </c>
      <c r="P115" s="41">
        <f t="shared" si="24"/>
        <v>0</v>
      </c>
      <c r="Q115" s="41">
        <f t="shared" si="24"/>
        <v>0</v>
      </c>
      <c r="R115" s="41">
        <f t="shared" si="24"/>
        <v>0</v>
      </c>
      <c r="S115" s="41">
        <f t="shared" si="24"/>
        <v>0</v>
      </c>
      <c r="T115" s="41">
        <f t="shared" si="24"/>
        <v>0</v>
      </c>
      <c r="U115" s="41">
        <f t="shared" si="24"/>
        <v>0</v>
      </c>
      <c r="V115" s="41">
        <f t="shared" si="24"/>
        <v>0</v>
      </c>
      <c r="W115" s="41">
        <f t="shared" si="13"/>
        <v>0</v>
      </c>
    </row>
    <row r="116" spans="1:23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7">
        <v>0</v>
      </c>
      <c r="Q116" s="47">
        <v>0</v>
      </c>
      <c r="R116" s="47">
        <v>0</v>
      </c>
      <c r="S116" s="47">
        <v>0</v>
      </c>
      <c r="T116" s="47">
        <v>0</v>
      </c>
      <c r="U116" s="47">
        <v>0</v>
      </c>
      <c r="V116" s="47">
        <v>0</v>
      </c>
      <c r="W116" s="47">
        <f t="shared" si="13"/>
        <v>0</v>
      </c>
    </row>
    <row r="117" spans="1:23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f t="shared" si="13"/>
        <v>0</v>
      </c>
    </row>
    <row r="118" spans="1:23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-3723628.5625</v>
      </c>
      <c r="L118" s="46">
        <f t="shared" ref="L118:V118" si="25">L111+L112-L115</f>
        <v>3195665.3249999993</v>
      </c>
      <c r="M118" s="46">
        <f t="shared" si="25"/>
        <v>1541651.0124999993</v>
      </c>
      <c r="N118" s="46">
        <f t="shared" si="25"/>
        <v>5035109.0250000004</v>
      </c>
      <c r="O118" s="46">
        <f t="shared" si="25"/>
        <v>4709184.7250000015</v>
      </c>
      <c r="P118" s="46">
        <f t="shared" si="25"/>
        <v>4558704.0250000004</v>
      </c>
      <c r="Q118" s="46">
        <f t="shared" si="25"/>
        <v>5077069.5124999993</v>
      </c>
      <c r="R118" s="46">
        <f t="shared" si="25"/>
        <v>2487813.6300000008</v>
      </c>
      <c r="S118" s="46">
        <f t="shared" si="25"/>
        <v>-1201657.3374999985</v>
      </c>
      <c r="T118" s="46">
        <f t="shared" si="25"/>
        <v>1435235</v>
      </c>
      <c r="U118" s="46">
        <f t="shared" si="25"/>
        <v>2569706</v>
      </c>
      <c r="V118" s="46">
        <f t="shared" si="25"/>
        <v>-1218251</v>
      </c>
      <c r="W118" s="46">
        <f t="shared" si="13"/>
        <v>24466601.355000004</v>
      </c>
    </row>
  </sheetData>
  <mergeCells count="2">
    <mergeCell ref="A4:A5"/>
    <mergeCell ref="B4:J5"/>
  </mergeCells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E40D-3431-4B44-8B1A-93D5FD6E7906}">
  <dimension ref="A1:AB118"/>
  <sheetViews>
    <sheetView showGridLines="0" workbookViewId="0">
      <pane xSplit="10" ySplit="5" topLeftCell="K6" activePane="bottomRight" state="frozen"/>
      <selection activeCell="T120" sqref="T120"/>
      <selection pane="topRight" activeCell="T120" sqref="T120"/>
      <selection pane="bottomLeft" activeCell="T120" sqref="T120"/>
      <selection pane="bottomRight" activeCell="AA25" sqref="AA25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24" width="12.1640625" style="51" customWidth="1"/>
    <col min="25" max="25" width="10.5" style="51" bestFit="1" customWidth="1"/>
    <col min="26" max="16384" width="9" style="51"/>
  </cols>
  <sheetData>
    <row r="1" spans="1:25" ht="20" customHeight="1">
      <c r="A1" s="56" t="s">
        <v>226</v>
      </c>
    </row>
    <row r="3" spans="1:25" ht="11.75" customHeight="1">
      <c r="A3" s="57" t="s">
        <v>223</v>
      </c>
    </row>
    <row r="4" spans="1:25" s="58" customFormat="1" ht="11.75" customHeight="1">
      <c r="A4" s="574" t="s">
        <v>0</v>
      </c>
      <c r="B4" s="576" t="s">
        <v>1</v>
      </c>
      <c r="C4" s="577"/>
      <c r="D4" s="577"/>
      <c r="E4" s="577"/>
      <c r="F4" s="577"/>
      <c r="G4" s="577"/>
      <c r="H4" s="577"/>
      <c r="I4" s="577"/>
      <c r="J4" s="578"/>
      <c r="K4" s="55" t="s">
        <v>227</v>
      </c>
      <c r="L4" s="55" t="s">
        <v>228</v>
      </c>
      <c r="M4" s="55" t="s">
        <v>229</v>
      </c>
      <c r="N4" s="55" t="s">
        <v>230</v>
      </c>
      <c r="O4" s="55" t="s">
        <v>231</v>
      </c>
      <c r="P4" s="55" t="s">
        <v>232</v>
      </c>
      <c r="Q4" s="55" t="s">
        <v>233</v>
      </c>
      <c r="R4" s="55" t="s">
        <v>234</v>
      </c>
      <c r="S4" s="55" t="s">
        <v>235</v>
      </c>
      <c r="T4" s="55" t="s">
        <v>236</v>
      </c>
      <c r="U4" s="55" t="s">
        <v>237</v>
      </c>
      <c r="V4" s="55" t="s">
        <v>238</v>
      </c>
      <c r="W4" s="52" t="s">
        <v>225</v>
      </c>
      <c r="X4" s="532"/>
    </row>
    <row r="5" spans="1:25" s="58" customFormat="1" ht="17" customHeight="1">
      <c r="A5" s="575"/>
      <c r="B5" s="579"/>
      <c r="C5" s="580"/>
      <c r="D5" s="580"/>
      <c r="E5" s="580"/>
      <c r="F5" s="580"/>
      <c r="G5" s="580"/>
      <c r="H5" s="580"/>
      <c r="I5" s="580"/>
      <c r="J5" s="581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  <c r="X5" s="533"/>
    </row>
    <row r="6" spans="1:25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8503072</v>
      </c>
      <c r="L6" s="7">
        <f t="shared" ref="L6:V6" si="0">SUM(L7:L16)</f>
        <v>9747869</v>
      </c>
      <c r="M6" s="7">
        <f t="shared" si="0"/>
        <v>12107102</v>
      </c>
      <c r="N6" s="7">
        <f t="shared" si="0"/>
        <v>12767475</v>
      </c>
      <c r="O6" s="7">
        <f t="shared" si="0"/>
        <v>10990596</v>
      </c>
      <c r="P6" s="7">
        <f t="shared" si="0"/>
        <v>10145943</v>
      </c>
      <c r="Q6" s="7">
        <f t="shared" si="0"/>
        <v>11115374</v>
      </c>
      <c r="R6" s="7">
        <f t="shared" si="0"/>
        <v>11789345</v>
      </c>
      <c r="S6" s="7">
        <f t="shared" si="0"/>
        <v>18603846</v>
      </c>
      <c r="T6" s="7">
        <f t="shared" si="0"/>
        <v>9252500</v>
      </c>
      <c r="U6" s="7">
        <f t="shared" si="0"/>
        <v>10632300</v>
      </c>
      <c r="V6" s="7">
        <f t="shared" si="0"/>
        <v>11107750</v>
      </c>
      <c r="W6" s="7">
        <f>SUM(K6:V6)</f>
        <v>136763172</v>
      </c>
      <c r="X6" s="531"/>
    </row>
    <row r="7" spans="1:25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8503072</v>
      </c>
      <c r="L7" s="47">
        <v>9747869</v>
      </c>
      <c r="M7" s="47">
        <v>12107102</v>
      </c>
      <c r="N7" s="47">
        <v>12767475</v>
      </c>
      <c r="O7" s="47">
        <v>10990596</v>
      </c>
      <c r="P7" s="47">
        <v>10145943</v>
      </c>
      <c r="Q7" s="47">
        <v>11115374</v>
      </c>
      <c r="R7" s="47">
        <v>11789345</v>
      </c>
      <c r="S7" s="47">
        <v>18603846</v>
      </c>
      <c r="T7" s="47">
        <v>9252500</v>
      </c>
      <c r="U7" s="47">
        <v>10632300</v>
      </c>
      <c r="V7" s="47">
        <v>11107750</v>
      </c>
      <c r="W7" s="47">
        <f t="shared" ref="W7:W70" si="1">SUM(K7:V7)</f>
        <v>136763172</v>
      </c>
      <c r="X7" s="534"/>
    </row>
    <row r="8" spans="1:25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f t="shared" si="1"/>
        <v>0</v>
      </c>
      <c r="X8" s="534"/>
    </row>
    <row r="9" spans="1:25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f t="shared" si="1"/>
        <v>0</v>
      </c>
      <c r="X9" s="534"/>
    </row>
    <row r="10" spans="1:25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f t="shared" si="1"/>
        <v>0</v>
      </c>
      <c r="X10" s="534"/>
    </row>
    <row r="11" spans="1:25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f t="shared" si="1"/>
        <v>0</v>
      </c>
      <c r="X11" s="534"/>
    </row>
    <row r="12" spans="1:25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f t="shared" si="1"/>
        <v>0</v>
      </c>
      <c r="X12" s="534"/>
    </row>
    <row r="13" spans="1:25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f t="shared" si="1"/>
        <v>0</v>
      </c>
      <c r="X13" s="534"/>
    </row>
    <row r="14" spans="1:25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f t="shared" si="1"/>
        <v>0</v>
      </c>
      <c r="X14" s="534"/>
    </row>
    <row r="15" spans="1:25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f t="shared" si="1"/>
        <v>0</v>
      </c>
      <c r="X15" s="534"/>
    </row>
    <row r="16" spans="1:25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f t="shared" si="1"/>
        <v>0</v>
      </c>
      <c r="X16" s="534"/>
      <c r="Y16" s="63" t="s">
        <v>324</v>
      </c>
    </row>
    <row r="17" spans="1:28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f>K7*0.31</f>
        <v>2635952.3199999998</v>
      </c>
      <c r="L17" s="48">
        <f t="shared" ref="L17:U17" si="2">L7*0.31</f>
        <v>3021839.39</v>
      </c>
      <c r="M17" s="48">
        <f t="shared" si="2"/>
        <v>3753201.62</v>
      </c>
      <c r="N17" s="48">
        <f t="shared" si="2"/>
        <v>3957917.25</v>
      </c>
      <c r="O17" s="48">
        <f t="shared" si="2"/>
        <v>3407084.76</v>
      </c>
      <c r="P17" s="48">
        <f t="shared" si="2"/>
        <v>3145242.33</v>
      </c>
      <c r="Q17" s="48">
        <f t="shared" si="2"/>
        <v>3445765.94</v>
      </c>
      <c r="R17" s="48">
        <f t="shared" si="2"/>
        <v>3654696.95</v>
      </c>
      <c r="S17" s="48">
        <f t="shared" si="2"/>
        <v>5767192.2599999998</v>
      </c>
      <c r="T17" s="48">
        <f t="shared" si="2"/>
        <v>2868275</v>
      </c>
      <c r="U17" s="48">
        <f t="shared" si="2"/>
        <v>3296013</v>
      </c>
      <c r="V17" s="48">
        <f>V7*0.31</f>
        <v>3443402.5</v>
      </c>
      <c r="W17" s="48">
        <f t="shared" si="1"/>
        <v>42396583.32</v>
      </c>
      <c r="X17" s="534"/>
      <c r="Y17" s="530">
        <f>+W6+ﾋﾞｱｶﾞｰﾃﾞﾝ!W6</f>
        <v>291171467</v>
      </c>
    </row>
    <row r="18" spans="1:28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5867119.6799999997</v>
      </c>
      <c r="L18" s="17">
        <f t="shared" ref="L18:V18" si="3">L6-L17</f>
        <v>6726029.6099999994</v>
      </c>
      <c r="M18" s="17">
        <f t="shared" si="3"/>
        <v>8353900.3799999999</v>
      </c>
      <c r="N18" s="17">
        <f t="shared" si="3"/>
        <v>8809557.75</v>
      </c>
      <c r="O18" s="17">
        <f t="shared" si="3"/>
        <v>7583511.2400000002</v>
      </c>
      <c r="P18" s="17">
        <f t="shared" si="3"/>
        <v>7000700.6699999999</v>
      </c>
      <c r="Q18" s="17">
        <f t="shared" si="3"/>
        <v>7669608.0600000005</v>
      </c>
      <c r="R18" s="17">
        <f t="shared" si="3"/>
        <v>8134648.0499999998</v>
      </c>
      <c r="S18" s="17">
        <f t="shared" si="3"/>
        <v>12836653.74</v>
      </c>
      <c r="T18" s="17">
        <f t="shared" si="3"/>
        <v>6384225</v>
      </c>
      <c r="U18" s="17">
        <f t="shared" si="3"/>
        <v>7336287</v>
      </c>
      <c r="V18" s="17">
        <f t="shared" si="3"/>
        <v>7664347.5</v>
      </c>
      <c r="W18" s="17">
        <f t="shared" si="1"/>
        <v>94366588.679999992</v>
      </c>
      <c r="X18" s="531"/>
      <c r="Y18" s="535">
        <v>0.7</v>
      </c>
      <c r="Z18" s="536" t="s">
        <v>325</v>
      </c>
      <c r="AA18" s="536"/>
      <c r="AB18" s="536"/>
    </row>
    <row r="19" spans="1:28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4697056</v>
      </c>
      <c r="L19" s="21">
        <f t="shared" ref="L19:V19" si="4">SUM(L20:L22,L26,L29:L31,L35:L36)</f>
        <v>5327648</v>
      </c>
      <c r="M19" s="21">
        <f t="shared" si="4"/>
        <v>9552598</v>
      </c>
      <c r="N19" s="21">
        <f t="shared" si="4"/>
        <v>6354057.5745000001</v>
      </c>
      <c r="O19" s="21">
        <f t="shared" si="4"/>
        <v>5763060</v>
      </c>
      <c r="P19" s="21">
        <f t="shared" si="4"/>
        <v>5641555</v>
      </c>
      <c r="Q19" s="21">
        <f t="shared" si="4"/>
        <v>5580427</v>
      </c>
      <c r="R19" s="21">
        <f t="shared" si="4"/>
        <v>5365515.0049999999</v>
      </c>
      <c r="S19" s="21">
        <f t="shared" si="4"/>
        <v>12806899</v>
      </c>
      <c r="T19" s="21">
        <f t="shared" si="4"/>
        <v>6456777.7925000004</v>
      </c>
      <c r="U19" s="21">
        <f t="shared" si="4"/>
        <v>5327648</v>
      </c>
      <c r="V19" s="21">
        <f t="shared" si="4"/>
        <v>6225369</v>
      </c>
      <c r="W19" s="21">
        <f>SUM(K19:V19)</f>
        <v>79098610.372000009</v>
      </c>
      <c r="X19" s="531">
        <f>SUM(X20:X22,X26,X29:X31,X35:X36)</f>
        <v>83108610.371999994</v>
      </c>
      <c r="Y19" s="531">
        <f>SUM(Y20:Y22,Y26,Y29:Y31,Y35:Y36)</f>
        <v>58176028</v>
      </c>
    </row>
    <row r="20" spans="1:28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f t="shared" si="1"/>
        <v>0</v>
      </c>
      <c r="X20" s="531">
        <f>+W20+ﾋﾞｱｶﾞｰﾃﾞﾝ!W20</f>
        <v>0</v>
      </c>
    </row>
    <row r="21" spans="1:28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f t="shared" si="1"/>
        <v>0</v>
      </c>
      <c r="X21" s="531">
        <f>+W21+ﾋﾞｱｶﾞｰﾃﾞﾝ!W21</f>
        <v>0</v>
      </c>
    </row>
    <row r="22" spans="1:28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4139450</v>
      </c>
      <c r="L22" s="12">
        <f t="shared" ref="L22:V22" si="5">SUM(L23:L25)</f>
        <v>4495470</v>
      </c>
      <c r="M22" s="12">
        <f t="shared" si="5"/>
        <v>8669140</v>
      </c>
      <c r="N22" s="12">
        <f t="shared" si="5"/>
        <v>4925600</v>
      </c>
      <c r="O22" s="12">
        <f t="shared" si="5"/>
        <v>4925600</v>
      </c>
      <c r="P22" s="12">
        <f t="shared" si="5"/>
        <v>4805570</v>
      </c>
      <c r="Q22" s="12">
        <f t="shared" si="5"/>
        <v>4745170</v>
      </c>
      <c r="R22" s="12">
        <f t="shared" si="5"/>
        <v>4495470</v>
      </c>
      <c r="S22" s="12">
        <f t="shared" si="5"/>
        <v>11883950</v>
      </c>
      <c r="T22" s="12">
        <f t="shared" si="5"/>
        <v>4433450</v>
      </c>
      <c r="U22" s="12">
        <f t="shared" si="5"/>
        <v>4495470</v>
      </c>
      <c r="V22" s="12">
        <f t="shared" si="5"/>
        <v>4789470</v>
      </c>
      <c r="W22" s="12">
        <f t="shared" si="1"/>
        <v>66803810</v>
      </c>
      <c r="X22" s="531">
        <f>SUM(X23:X25)</f>
        <v>70433810</v>
      </c>
      <c r="Y22" s="531">
        <f>SUM(Y23:Y25)</f>
        <v>49303667</v>
      </c>
    </row>
    <row r="23" spans="1:28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>
        <v>4139450</v>
      </c>
      <c r="L23" s="47">
        <v>4201470</v>
      </c>
      <c r="M23" s="47">
        <v>8375140</v>
      </c>
      <c r="N23" s="47">
        <v>4631600</v>
      </c>
      <c r="O23" s="47">
        <v>4631600</v>
      </c>
      <c r="P23" s="47">
        <v>4511570</v>
      </c>
      <c r="Q23" s="47">
        <v>4451170</v>
      </c>
      <c r="R23" s="47">
        <v>4201470</v>
      </c>
      <c r="S23" s="47">
        <v>11589950</v>
      </c>
      <c r="T23" s="47">
        <v>4139450</v>
      </c>
      <c r="U23" s="47">
        <v>4201470</v>
      </c>
      <c r="V23" s="47">
        <v>4201470</v>
      </c>
      <c r="W23" s="47">
        <f t="shared" si="1"/>
        <v>63275810</v>
      </c>
      <c r="X23" s="531">
        <f>+W23+ﾋﾞｱｶﾞｰﾃﾞﾝ!W23</f>
        <v>63275810</v>
      </c>
      <c r="Y23" s="8">
        <f>+ROUND($Y$18*X23,0)</f>
        <v>44293067</v>
      </c>
    </row>
    <row r="24" spans="1:28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f t="shared" si="1"/>
        <v>0</v>
      </c>
      <c r="X24" s="531">
        <f>+W24+ﾋﾞｱｶﾞｰﾃﾞﾝ!W24</f>
        <v>0</v>
      </c>
      <c r="Y24" s="8">
        <f t="shared" ref="Y24:Y30" si="6">+ROUND($Y$18*X24,0)</f>
        <v>0</v>
      </c>
    </row>
    <row r="25" spans="1:28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>
        <v>0</v>
      </c>
      <c r="L25" s="47">
        <v>294000</v>
      </c>
      <c r="M25" s="47">
        <v>294000</v>
      </c>
      <c r="N25" s="47">
        <v>294000</v>
      </c>
      <c r="O25" s="47">
        <v>294000</v>
      </c>
      <c r="P25" s="47">
        <v>294000</v>
      </c>
      <c r="Q25" s="47">
        <v>294000</v>
      </c>
      <c r="R25" s="47">
        <v>294000</v>
      </c>
      <c r="S25" s="47">
        <v>294000</v>
      </c>
      <c r="T25" s="47">
        <v>294000</v>
      </c>
      <c r="U25" s="47">
        <v>294000</v>
      </c>
      <c r="V25" s="47">
        <v>588000</v>
      </c>
      <c r="W25" s="47">
        <f t="shared" si="1"/>
        <v>3528000</v>
      </c>
      <c r="X25" s="531">
        <f>+W25+ﾋﾞｱｶﾞｰﾃﾞﾝ!W25</f>
        <v>7158000</v>
      </c>
      <c r="Y25" s="8">
        <f t="shared" si="6"/>
        <v>5010600</v>
      </c>
    </row>
    <row r="26" spans="1:28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f t="shared" si="1"/>
        <v>0</v>
      </c>
      <c r="X26" s="531">
        <f>+W26+ﾋﾞｱｶﾞｰﾃﾞﾝ!W26</f>
        <v>0</v>
      </c>
      <c r="Y26" s="8">
        <f t="shared" si="6"/>
        <v>0</v>
      </c>
    </row>
    <row r="27" spans="1:28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>
        <f t="shared" si="1"/>
        <v>0</v>
      </c>
      <c r="X27" s="531">
        <f>+W27+ﾋﾞｱｶﾞｰﾃﾞﾝ!W27</f>
        <v>0</v>
      </c>
      <c r="Y27" s="8">
        <f t="shared" si="6"/>
        <v>0</v>
      </c>
    </row>
    <row r="28" spans="1:28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>
        <f t="shared" si="1"/>
        <v>0</v>
      </c>
      <c r="X28" s="531">
        <f>+W28+ﾋﾞｱｶﾞｰﾃﾞﾝ!W28</f>
        <v>0</v>
      </c>
      <c r="Y28" s="8">
        <f t="shared" si="6"/>
        <v>0</v>
      </c>
    </row>
    <row r="29" spans="1:28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>
        <v>52832</v>
      </c>
      <c r="L29" s="47">
        <v>657404</v>
      </c>
      <c r="M29" s="47">
        <v>708684</v>
      </c>
      <c r="N29" s="47">
        <v>1253683.5745000001</v>
      </c>
      <c r="O29" s="47">
        <v>662686</v>
      </c>
      <c r="P29" s="47">
        <v>661211</v>
      </c>
      <c r="Q29" s="47">
        <v>660483</v>
      </c>
      <c r="R29" s="47">
        <v>695271.00499999989</v>
      </c>
      <c r="S29" s="47">
        <v>748175</v>
      </c>
      <c r="T29" s="47">
        <v>1648553.7925</v>
      </c>
      <c r="U29" s="47">
        <v>657404</v>
      </c>
      <c r="V29" s="47">
        <v>1261125</v>
      </c>
      <c r="W29" s="47">
        <f t="shared" si="1"/>
        <v>9667512.3719999995</v>
      </c>
      <c r="X29" s="531">
        <f>+W29+ﾋﾞｱｶﾞｰﾃﾞﾝ!W29</f>
        <v>9667512.3719999995</v>
      </c>
      <c r="Y29" s="8">
        <f t="shared" si="6"/>
        <v>6767259</v>
      </c>
    </row>
    <row r="30" spans="1:28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>
        <v>6000</v>
      </c>
      <c r="L30" s="47">
        <v>6000</v>
      </c>
      <c r="M30" s="47">
        <v>6000</v>
      </c>
      <c r="N30" s="47">
        <v>6000</v>
      </c>
      <c r="O30" s="47">
        <v>6000</v>
      </c>
      <c r="P30" s="47">
        <v>6000</v>
      </c>
      <c r="Q30" s="47">
        <v>6000</v>
      </c>
      <c r="R30" s="47">
        <v>6000</v>
      </c>
      <c r="S30" s="47">
        <v>6000</v>
      </c>
      <c r="T30" s="47">
        <v>6000</v>
      </c>
      <c r="U30" s="47">
        <v>6000</v>
      </c>
      <c r="V30" s="47">
        <v>6000</v>
      </c>
      <c r="W30" s="47">
        <f t="shared" si="1"/>
        <v>72000</v>
      </c>
      <c r="X30" s="531">
        <f>+W30+ﾋﾞｱｶﾞｰﾃﾞﾝ!W30</f>
        <v>72000</v>
      </c>
      <c r="Y30" s="8">
        <f t="shared" si="6"/>
        <v>50400</v>
      </c>
    </row>
    <row r="31" spans="1:28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339000</v>
      </c>
      <c r="L31" s="12">
        <f t="shared" ref="L31:V31" si="7">SUM(L32:L34)</f>
        <v>9000</v>
      </c>
      <c r="M31" s="12">
        <f t="shared" si="7"/>
        <v>9000</v>
      </c>
      <c r="N31" s="12">
        <f t="shared" si="7"/>
        <v>9000</v>
      </c>
      <c r="O31" s="12">
        <f t="shared" si="7"/>
        <v>9000</v>
      </c>
      <c r="P31" s="12">
        <f t="shared" si="7"/>
        <v>9000</v>
      </c>
      <c r="Q31" s="12">
        <f t="shared" si="7"/>
        <v>9000</v>
      </c>
      <c r="R31" s="12">
        <f t="shared" si="7"/>
        <v>9000</v>
      </c>
      <c r="S31" s="12">
        <f t="shared" si="7"/>
        <v>9000</v>
      </c>
      <c r="T31" s="12">
        <f t="shared" si="7"/>
        <v>209000</v>
      </c>
      <c r="U31" s="12">
        <f t="shared" si="7"/>
        <v>9000</v>
      </c>
      <c r="V31" s="12">
        <f t="shared" si="7"/>
        <v>9000</v>
      </c>
      <c r="W31" s="12">
        <f t="shared" si="1"/>
        <v>638000</v>
      </c>
      <c r="X31" s="531">
        <f>SUM(X32:X34)</f>
        <v>638000</v>
      </c>
      <c r="Y31" s="8">
        <f>SUM(Y32:Y34)</f>
        <v>446600</v>
      </c>
    </row>
    <row r="32" spans="1:28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>
        <v>9000</v>
      </c>
      <c r="L32" s="47">
        <v>9000</v>
      </c>
      <c r="M32" s="47">
        <v>9000</v>
      </c>
      <c r="N32" s="47">
        <v>9000</v>
      </c>
      <c r="O32" s="47">
        <v>9000</v>
      </c>
      <c r="P32" s="47">
        <v>9000</v>
      </c>
      <c r="Q32" s="47">
        <v>9000</v>
      </c>
      <c r="R32" s="47">
        <v>9000</v>
      </c>
      <c r="S32" s="47">
        <v>9000</v>
      </c>
      <c r="T32" s="47">
        <v>9000</v>
      </c>
      <c r="U32" s="47">
        <v>9000</v>
      </c>
      <c r="V32" s="47">
        <v>9000</v>
      </c>
      <c r="W32" s="47">
        <f t="shared" si="1"/>
        <v>108000</v>
      </c>
      <c r="X32" s="531">
        <f>+W32+ﾋﾞｱｶﾞｰﾃﾞﾝ!W32</f>
        <v>108000</v>
      </c>
      <c r="Y32" s="8">
        <f>+ROUND($Y$18*X32,0)</f>
        <v>75600</v>
      </c>
    </row>
    <row r="33" spans="1:25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>
        <v>330000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f t="shared" si="1"/>
        <v>330000</v>
      </c>
      <c r="X33" s="531">
        <f>+W33+ﾋﾞｱｶﾞｰﾃﾞﾝ!W33</f>
        <v>330000</v>
      </c>
      <c r="Y33" s="8">
        <f>+ROUND($Y$18*X33,0)</f>
        <v>231000</v>
      </c>
    </row>
    <row r="34" spans="1:25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200000</v>
      </c>
      <c r="U34" s="47">
        <v>0</v>
      </c>
      <c r="V34" s="47">
        <v>0</v>
      </c>
      <c r="W34" s="47">
        <f t="shared" si="1"/>
        <v>200000</v>
      </c>
      <c r="X34" s="531">
        <f>+W34+ﾋﾞｱｶﾞｰﾃﾞﾝ!W34</f>
        <v>200000</v>
      </c>
      <c r="Y34" s="8">
        <f>+ROUND($Y$18*X34,0)</f>
        <v>140000</v>
      </c>
    </row>
    <row r="35" spans="1:25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>
        <v>159774</v>
      </c>
      <c r="L35" s="47">
        <v>159774</v>
      </c>
      <c r="M35" s="47">
        <v>159774</v>
      </c>
      <c r="N35" s="47">
        <v>159774</v>
      </c>
      <c r="O35" s="47">
        <v>159774</v>
      </c>
      <c r="P35" s="47">
        <v>159774</v>
      </c>
      <c r="Q35" s="47">
        <v>159774</v>
      </c>
      <c r="R35" s="47">
        <v>159774</v>
      </c>
      <c r="S35" s="47">
        <v>159774</v>
      </c>
      <c r="T35" s="47">
        <v>159774</v>
      </c>
      <c r="U35" s="47">
        <v>159774</v>
      </c>
      <c r="V35" s="47">
        <v>159774</v>
      </c>
      <c r="W35" s="47">
        <f t="shared" si="1"/>
        <v>1917288</v>
      </c>
      <c r="X35" s="531">
        <f>+W35+ﾋﾞｱｶﾞｰﾃﾞﾝ!W35</f>
        <v>2297288</v>
      </c>
      <c r="Y35" s="8">
        <f>+ROUND($Y$18*X35,0)</f>
        <v>1608102</v>
      </c>
    </row>
    <row r="36" spans="1:25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/>
      <c r="T36" s="47"/>
      <c r="U36" s="47"/>
      <c r="V36" s="47"/>
      <c r="W36" s="53">
        <f t="shared" si="1"/>
        <v>0</v>
      </c>
      <c r="X36" s="531">
        <f>+W36+ﾋﾞｱｶﾞｰﾃﾞﾝ!W36</f>
        <v>0</v>
      </c>
      <c r="Y36" s="8">
        <f>+ROUND($Y$18*X36,0)</f>
        <v>0</v>
      </c>
    </row>
    <row r="37" spans="1:25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3435347</v>
      </c>
      <c r="L37" s="25">
        <f t="shared" ref="L37:V37" si="8">SUM(L38:L41,L46,L50,L57:L58,L61:L67,L70:L72,L78:L80,L83:L84)</f>
        <v>2501645</v>
      </c>
      <c r="M37" s="25">
        <f t="shared" si="8"/>
        <v>2885385</v>
      </c>
      <c r="N37" s="25">
        <f t="shared" si="8"/>
        <v>2787895</v>
      </c>
      <c r="O37" s="25">
        <f t="shared" si="8"/>
        <v>2805075</v>
      </c>
      <c r="P37" s="25">
        <f t="shared" si="8"/>
        <v>2547335</v>
      </c>
      <c r="Q37" s="25">
        <f t="shared" si="8"/>
        <v>3107008</v>
      </c>
      <c r="R37" s="25">
        <f t="shared" si="8"/>
        <v>2589258</v>
      </c>
      <c r="S37" s="25">
        <f t="shared" si="8"/>
        <v>3772086</v>
      </c>
      <c r="T37" s="25">
        <f t="shared" si="8"/>
        <v>2769558</v>
      </c>
      <c r="U37" s="25">
        <f t="shared" si="8"/>
        <v>2497558</v>
      </c>
      <c r="V37" s="25">
        <f t="shared" si="8"/>
        <v>2416058</v>
      </c>
      <c r="W37" s="25">
        <f t="shared" si="1"/>
        <v>34114208</v>
      </c>
      <c r="X37" s="531"/>
    </row>
    <row r="38" spans="1:25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300000</v>
      </c>
      <c r="L38" s="47">
        <v>100000</v>
      </c>
      <c r="M38" s="47">
        <v>210000</v>
      </c>
      <c r="N38" s="47">
        <v>150000</v>
      </c>
      <c r="O38" s="47">
        <v>386000</v>
      </c>
      <c r="P38" s="47">
        <v>137500</v>
      </c>
      <c r="Q38" s="47">
        <v>100000</v>
      </c>
      <c r="R38" s="47">
        <v>150000</v>
      </c>
      <c r="S38" s="47">
        <v>473000</v>
      </c>
      <c r="T38" s="47">
        <v>100000</v>
      </c>
      <c r="U38" s="47">
        <v>136000</v>
      </c>
      <c r="V38" s="47">
        <v>137500</v>
      </c>
      <c r="W38" s="47">
        <f t="shared" si="1"/>
        <v>2380000</v>
      </c>
      <c r="X38" s="534"/>
    </row>
    <row r="39" spans="1:25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25000</v>
      </c>
      <c r="L39" s="47">
        <v>25000</v>
      </c>
      <c r="M39" s="47">
        <v>25000</v>
      </c>
      <c r="N39" s="47">
        <v>25000</v>
      </c>
      <c r="O39" s="47">
        <v>25000</v>
      </c>
      <c r="P39" s="47">
        <v>25000</v>
      </c>
      <c r="Q39" s="47">
        <v>25000</v>
      </c>
      <c r="R39" s="47">
        <v>25000</v>
      </c>
      <c r="S39" s="47">
        <v>25000</v>
      </c>
      <c r="T39" s="47">
        <v>25000</v>
      </c>
      <c r="U39" s="47">
        <v>25000</v>
      </c>
      <c r="V39" s="47">
        <v>25000</v>
      </c>
      <c r="W39" s="47">
        <f t="shared" si="1"/>
        <v>300000</v>
      </c>
      <c r="X39" s="534"/>
    </row>
    <row r="40" spans="1:25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  <c r="X40" s="534"/>
    </row>
    <row r="41" spans="1:25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1026205</v>
      </c>
      <c r="L41" s="12">
        <f t="shared" ref="L41:V41" si="9">SUM(L42:L45)</f>
        <v>1026205</v>
      </c>
      <c r="M41" s="12">
        <f t="shared" si="9"/>
        <v>1028205</v>
      </c>
      <c r="N41" s="12">
        <f t="shared" si="9"/>
        <v>1030205</v>
      </c>
      <c r="O41" s="12">
        <f t="shared" si="9"/>
        <v>1030205</v>
      </c>
      <c r="P41" s="12">
        <f t="shared" si="9"/>
        <v>1028205</v>
      </c>
      <c r="Q41" s="12">
        <f t="shared" si="9"/>
        <v>1028205</v>
      </c>
      <c r="R41" s="12">
        <f t="shared" si="9"/>
        <v>1030205</v>
      </c>
      <c r="S41" s="12">
        <f t="shared" si="9"/>
        <v>1187205</v>
      </c>
      <c r="T41" s="12">
        <f t="shared" si="9"/>
        <v>1026205</v>
      </c>
      <c r="U41" s="12">
        <f t="shared" si="9"/>
        <v>1028205</v>
      </c>
      <c r="V41" s="12">
        <f t="shared" si="9"/>
        <v>1028205</v>
      </c>
      <c r="W41" s="12">
        <f t="shared" si="1"/>
        <v>12497460</v>
      </c>
      <c r="X41" s="531"/>
    </row>
    <row r="42" spans="1:25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  <c r="X42" s="534"/>
    </row>
    <row r="43" spans="1:25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963205</v>
      </c>
      <c r="L43" s="47">
        <v>963205</v>
      </c>
      <c r="M43" s="47">
        <v>963205</v>
      </c>
      <c r="N43" s="47">
        <v>963205</v>
      </c>
      <c r="O43" s="47">
        <v>963205</v>
      </c>
      <c r="P43" s="47">
        <v>963205</v>
      </c>
      <c r="Q43" s="47">
        <v>963205</v>
      </c>
      <c r="R43" s="47">
        <v>963205</v>
      </c>
      <c r="S43" s="47">
        <v>963205</v>
      </c>
      <c r="T43" s="47">
        <v>963205</v>
      </c>
      <c r="U43" s="47">
        <v>963205</v>
      </c>
      <c r="V43" s="47">
        <v>963205</v>
      </c>
      <c r="W43" s="47">
        <f t="shared" si="1"/>
        <v>11558460</v>
      </c>
      <c r="X43" s="534"/>
    </row>
    <row r="44" spans="1:25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0</v>
      </c>
      <c r="X44" s="534"/>
    </row>
    <row r="45" spans="1:25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63000</v>
      </c>
      <c r="L45" s="47">
        <v>63000</v>
      </c>
      <c r="M45" s="47">
        <v>65000</v>
      </c>
      <c r="N45" s="47">
        <v>67000</v>
      </c>
      <c r="O45" s="47">
        <v>67000</v>
      </c>
      <c r="P45" s="47">
        <v>65000</v>
      </c>
      <c r="Q45" s="47">
        <v>65000</v>
      </c>
      <c r="R45" s="47">
        <v>67000</v>
      </c>
      <c r="S45" s="47">
        <v>224000</v>
      </c>
      <c r="T45" s="47">
        <v>63000</v>
      </c>
      <c r="U45" s="47">
        <v>65000</v>
      </c>
      <c r="V45" s="47">
        <v>65000</v>
      </c>
      <c r="W45" s="47">
        <f t="shared" si="1"/>
        <v>939000</v>
      </c>
      <c r="X45" s="534"/>
    </row>
    <row r="46" spans="1:25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4210</v>
      </c>
      <c r="L46" s="12">
        <f t="shared" ref="L46:V46" si="10">SUM(L47:L49)</f>
        <v>0</v>
      </c>
      <c r="M46" s="12">
        <f t="shared" si="10"/>
        <v>0</v>
      </c>
      <c r="N46" s="12">
        <f t="shared" si="10"/>
        <v>0</v>
      </c>
      <c r="O46" s="12">
        <f t="shared" si="10"/>
        <v>0</v>
      </c>
      <c r="P46" s="12">
        <f t="shared" si="10"/>
        <v>0</v>
      </c>
      <c r="Q46" s="12">
        <f t="shared" si="10"/>
        <v>0</v>
      </c>
      <c r="R46" s="12">
        <f t="shared" si="10"/>
        <v>0</v>
      </c>
      <c r="S46" s="12">
        <f t="shared" si="10"/>
        <v>0</v>
      </c>
      <c r="T46" s="12">
        <f t="shared" si="10"/>
        <v>0</v>
      </c>
      <c r="U46" s="12">
        <f t="shared" si="10"/>
        <v>0</v>
      </c>
      <c r="V46" s="12">
        <f t="shared" si="10"/>
        <v>0</v>
      </c>
      <c r="W46" s="12">
        <f t="shared" si="1"/>
        <v>4210</v>
      </c>
      <c r="X46" s="531"/>
    </row>
    <row r="47" spans="1:25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  <c r="X47" s="534"/>
    </row>
    <row r="48" spans="1:25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0</v>
      </c>
      <c r="X48" s="534"/>
    </row>
    <row r="49" spans="1:24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4210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4210</v>
      </c>
      <c r="X49" s="534"/>
    </row>
    <row r="50" spans="1:24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1">SUM(L51:L56)</f>
        <v>0</v>
      </c>
      <c r="M50" s="12">
        <f t="shared" si="11"/>
        <v>0</v>
      </c>
      <c r="N50" s="12">
        <f t="shared" si="11"/>
        <v>0</v>
      </c>
      <c r="O50" s="12">
        <f t="shared" si="11"/>
        <v>0</v>
      </c>
      <c r="P50" s="12">
        <f t="shared" si="11"/>
        <v>0</v>
      </c>
      <c r="Q50" s="12">
        <f t="shared" si="11"/>
        <v>0</v>
      </c>
      <c r="R50" s="12">
        <f t="shared" si="11"/>
        <v>0</v>
      </c>
      <c r="S50" s="12">
        <f t="shared" si="11"/>
        <v>0</v>
      </c>
      <c r="T50" s="12">
        <f t="shared" si="11"/>
        <v>0</v>
      </c>
      <c r="U50" s="12">
        <f t="shared" si="11"/>
        <v>0</v>
      </c>
      <c r="V50" s="12">
        <f t="shared" si="11"/>
        <v>0</v>
      </c>
      <c r="W50" s="12">
        <f t="shared" si="1"/>
        <v>0</v>
      </c>
      <c r="X50" s="531"/>
    </row>
    <row r="51" spans="1:24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  <c r="X51" s="534"/>
    </row>
    <row r="52" spans="1:24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0</v>
      </c>
      <c r="X52" s="534"/>
    </row>
    <row r="53" spans="1:24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  <c r="X53" s="534"/>
    </row>
    <row r="54" spans="1:24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  <c r="X54" s="534"/>
    </row>
    <row r="55" spans="1:24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0</v>
      </c>
      <c r="X55" s="534"/>
    </row>
    <row r="56" spans="1:24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  <c r="X56" s="534"/>
    </row>
    <row r="57" spans="1:24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  <c r="X57" s="534"/>
    </row>
    <row r="58" spans="1:24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18000</v>
      </c>
      <c r="L58" s="12">
        <f t="shared" ref="L58:V58" si="12">SUM(L59:L60)</f>
        <v>0</v>
      </c>
      <c r="M58" s="12">
        <f t="shared" si="12"/>
        <v>0</v>
      </c>
      <c r="N58" s="12">
        <f t="shared" si="12"/>
        <v>0</v>
      </c>
      <c r="O58" s="12">
        <f t="shared" si="12"/>
        <v>18000</v>
      </c>
      <c r="P58" s="12">
        <f t="shared" si="12"/>
        <v>0</v>
      </c>
      <c r="Q58" s="12">
        <f t="shared" si="12"/>
        <v>0</v>
      </c>
      <c r="R58" s="12">
        <f t="shared" si="12"/>
        <v>0</v>
      </c>
      <c r="S58" s="12">
        <f t="shared" si="12"/>
        <v>18000</v>
      </c>
      <c r="T58" s="12">
        <f t="shared" si="12"/>
        <v>87000</v>
      </c>
      <c r="U58" s="12">
        <f t="shared" si="12"/>
        <v>0</v>
      </c>
      <c r="V58" s="12">
        <f t="shared" si="12"/>
        <v>0</v>
      </c>
      <c r="W58" s="12">
        <f t="shared" si="1"/>
        <v>141000</v>
      </c>
      <c r="X58" s="531"/>
    </row>
    <row r="59" spans="1:24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18000</v>
      </c>
      <c r="L59" s="47">
        <v>0</v>
      </c>
      <c r="M59" s="47">
        <v>0</v>
      </c>
      <c r="N59" s="47">
        <v>0</v>
      </c>
      <c r="O59" s="47">
        <v>18000</v>
      </c>
      <c r="P59" s="47">
        <v>0</v>
      </c>
      <c r="Q59" s="47">
        <v>0</v>
      </c>
      <c r="R59" s="47">
        <v>0</v>
      </c>
      <c r="S59" s="47">
        <v>18000</v>
      </c>
      <c r="T59" s="47">
        <v>87000</v>
      </c>
      <c r="U59" s="47">
        <v>0</v>
      </c>
      <c r="V59" s="47">
        <v>0</v>
      </c>
      <c r="W59" s="47">
        <f t="shared" si="1"/>
        <v>141000</v>
      </c>
      <c r="X59" s="534"/>
    </row>
    <row r="60" spans="1:24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  <c r="X60" s="534"/>
    </row>
    <row r="61" spans="1:24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90800</v>
      </c>
      <c r="L61" s="47">
        <v>30000</v>
      </c>
      <c r="M61" s="47">
        <v>50000</v>
      </c>
      <c r="N61" s="47">
        <v>50000</v>
      </c>
      <c r="O61" s="47">
        <v>90800</v>
      </c>
      <c r="P61" s="47">
        <v>30000</v>
      </c>
      <c r="Q61" s="47">
        <v>30000</v>
      </c>
      <c r="R61" s="47">
        <v>50000</v>
      </c>
      <c r="S61" s="47">
        <v>90800</v>
      </c>
      <c r="T61" s="47">
        <v>30000</v>
      </c>
      <c r="U61" s="47">
        <v>50000</v>
      </c>
      <c r="V61" s="47">
        <v>30000</v>
      </c>
      <c r="W61" s="47">
        <f t="shared" si="1"/>
        <v>622400</v>
      </c>
      <c r="X61" s="534"/>
    </row>
    <row r="62" spans="1:24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  <c r="X62" s="534"/>
    </row>
    <row r="63" spans="1:24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257000</v>
      </c>
      <c r="L63" s="47">
        <v>0</v>
      </c>
      <c r="M63" s="47">
        <v>0</v>
      </c>
      <c r="N63" s="47">
        <v>1000</v>
      </c>
      <c r="O63" s="47">
        <v>0</v>
      </c>
      <c r="P63" s="47">
        <v>0</v>
      </c>
      <c r="Q63" s="47">
        <v>1000</v>
      </c>
      <c r="R63" s="47">
        <v>0</v>
      </c>
      <c r="S63" s="47">
        <v>0</v>
      </c>
      <c r="T63" s="47">
        <v>1000</v>
      </c>
      <c r="U63" s="47">
        <v>0</v>
      </c>
      <c r="V63" s="47">
        <v>0</v>
      </c>
      <c r="W63" s="47">
        <f t="shared" si="1"/>
        <v>260000</v>
      </c>
      <c r="X63" s="534"/>
    </row>
    <row r="64" spans="1:24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120000</v>
      </c>
      <c r="R64" s="47">
        <v>0</v>
      </c>
      <c r="S64" s="47">
        <v>45000</v>
      </c>
      <c r="T64" s="47">
        <v>0</v>
      </c>
      <c r="U64" s="47">
        <v>0</v>
      </c>
      <c r="V64" s="47">
        <v>0</v>
      </c>
      <c r="W64" s="47">
        <f t="shared" si="1"/>
        <v>165000</v>
      </c>
      <c r="X64" s="534"/>
    </row>
    <row r="65" spans="1:24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684720</v>
      </c>
      <c r="L65" s="47">
        <v>408720</v>
      </c>
      <c r="M65" s="47">
        <v>390720</v>
      </c>
      <c r="N65" s="47">
        <v>405720</v>
      </c>
      <c r="O65" s="47">
        <v>423720</v>
      </c>
      <c r="P65" s="47">
        <v>345720</v>
      </c>
      <c r="Q65" s="47">
        <v>543720</v>
      </c>
      <c r="R65" s="47">
        <v>418720</v>
      </c>
      <c r="S65" s="47">
        <v>605720</v>
      </c>
      <c r="T65" s="47">
        <v>320720</v>
      </c>
      <c r="U65" s="47">
        <v>423720</v>
      </c>
      <c r="V65" s="47">
        <v>365720</v>
      </c>
      <c r="W65" s="47">
        <f t="shared" si="1"/>
        <v>5337640</v>
      </c>
      <c r="X65" s="534"/>
    </row>
    <row r="66" spans="1:24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  <c r="X66" s="534"/>
    </row>
    <row r="67" spans="1:24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300000</v>
      </c>
      <c r="L67" s="12">
        <f t="shared" ref="L67:V67" si="13">SUM(L68:L69)</f>
        <v>385700</v>
      </c>
      <c r="M67" s="12">
        <f t="shared" si="13"/>
        <v>250000</v>
      </c>
      <c r="N67" s="12">
        <f t="shared" si="13"/>
        <v>390910</v>
      </c>
      <c r="O67" s="12">
        <f t="shared" si="13"/>
        <v>300000</v>
      </c>
      <c r="P67" s="12">
        <f t="shared" si="13"/>
        <v>250000</v>
      </c>
      <c r="Q67" s="12">
        <f t="shared" si="13"/>
        <v>350000</v>
      </c>
      <c r="R67" s="12">
        <f t="shared" si="13"/>
        <v>385700</v>
      </c>
      <c r="S67" s="12">
        <f t="shared" si="13"/>
        <v>390910</v>
      </c>
      <c r="T67" s="12">
        <f t="shared" si="13"/>
        <v>250000</v>
      </c>
      <c r="U67" s="12">
        <f t="shared" si="13"/>
        <v>300000</v>
      </c>
      <c r="V67" s="12">
        <f t="shared" si="13"/>
        <v>300000</v>
      </c>
      <c r="W67" s="12">
        <f t="shared" si="1"/>
        <v>3853220</v>
      </c>
      <c r="X67" s="531"/>
    </row>
    <row r="68" spans="1:24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300000</v>
      </c>
      <c r="L68" s="47">
        <v>385700</v>
      </c>
      <c r="M68" s="47">
        <v>250000</v>
      </c>
      <c r="N68" s="47">
        <v>390910</v>
      </c>
      <c r="O68" s="47">
        <v>300000</v>
      </c>
      <c r="P68" s="47">
        <v>250000</v>
      </c>
      <c r="Q68" s="47">
        <v>350000</v>
      </c>
      <c r="R68" s="47">
        <v>385700</v>
      </c>
      <c r="S68" s="47">
        <v>390910</v>
      </c>
      <c r="T68" s="47">
        <v>250000</v>
      </c>
      <c r="U68" s="47">
        <v>300000</v>
      </c>
      <c r="V68" s="47">
        <v>300000</v>
      </c>
      <c r="W68" s="47">
        <f t="shared" si="1"/>
        <v>3853220</v>
      </c>
      <c r="X68" s="534"/>
    </row>
    <row r="69" spans="1:24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  <c r="X69" s="534"/>
    </row>
    <row r="70" spans="1:24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15000</v>
      </c>
      <c r="L70" s="47">
        <v>15000</v>
      </c>
      <c r="M70" s="47">
        <v>15000</v>
      </c>
      <c r="N70" s="47">
        <v>15910</v>
      </c>
      <c r="O70" s="47">
        <v>15000</v>
      </c>
      <c r="P70" s="47">
        <v>15000</v>
      </c>
      <c r="Q70" s="47">
        <v>15000</v>
      </c>
      <c r="R70" s="47">
        <v>15000</v>
      </c>
      <c r="S70" s="47">
        <v>16818</v>
      </c>
      <c r="T70" s="47">
        <v>15000</v>
      </c>
      <c r="U70" s="47">
        <v>15000</v>
      </c>
      <c r="V70" s="47">
        <v>15000</v>
      </c>
      <c r="W70" s="47">
        <f t="shared" si="1"/>
        <v>182728</v>
      </c>
      <c r="X70" s="534"/>
    </row>
    <row r="71" spans="1:24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65912</v>
      </c>
      <c r="L71" s="47">
        <v>62520</v>
      </c>
      <c r="M71" s="47">
        <v>67960</v>
      </c>
      <c r="N71" s="47">
        <v>70650</v>
      </c>
      <c r="O71" s="47">
        <v>67850</v>
      </c>
      <c r="P71" s="47">
        <v>67410</v>
      </c>
      <c r="Q71" s="47">
        <v>65583</v>
      </c>
      <c r="R71" s="47">
        <v>66133</v>
      </c>
      <c r="S71" s="47">
        <v>71133</v>
      </c>
      <c r="T71" s="47">
        <v>66133</v>
      </c>
      <c r="U71" s="47">
        <v>71133</v>
      </c>
      <c r="V71" s="47">
        <v>66133</v>
      </c>
      <c r="W71" s="47">
        <f t="shared" ref="W71:W118" si="14">SUM(K71:V71)</f>
        <v>808550</v>
      </c>
      <c r="X71" s="534"/>
    </row>
    <row r="72" spans="1:24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420000</v>
      </c>
      <c r="L72" s="12">
        <f t="shared" ref="L72:V72" si="15">SUM(L73:L77)</f>
        <v>420000</v>
      </c>
      <c r="M72" s="12">
        <f t="shared" si="15"/>
        <v>420000</v>
      </c>
      <c r="N72" s="12">
        <f t="shared" si="15"/>
        <v>420000</v>
      </c>
      <c r="O72" s="12">
        <f t="shared" si="15"/>
        <v>420000</v>
      </c>
      <c r="P72" s="12">
        <f t="shared" si="15"/>
        <v>420000</v>
      </c>
      <c r="Q72" s="12">
        <f t="shared" si="15"/>
        <v>420000</v>
      </c>
      <c r="R72" s="12">
        <f t="shared" si="15"/>
        <v>420000</v>
      </c>
      <c r="S72" s="12">
        <f t="shared" si="15"/>
        <v>420000</v>
      </c>
      <c r="T72" s="12">
        <f t="shared" si="15"/>
        <v>420000</v>
      </c>
      <c r="U72" s="12">
        <f t="shared" si="15"/>
        <v>420000</v>
      </c>
      <c r="V72" s="12">
        <f t="shared" si="15"/>
        <v>420000</v>
      </c>
      <c r="W72" s="12">
        <f t="shared" si="14"/>
        <v>5040000</v>
      </c>
      <c r="X72" s="531"/>
    </row>
    <row r="73" spans="1:24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300000</v>
      </c>
      <c r="L73" s="47">
        <v>300000</v>
      </c>
      <c r="M73" s="47">
        <v>300000</v>
      </c>
      <c r="N73" s="47">
        <v>300000</v>
      </c>
      <c r="O73" s="47">
        <v>300000</v>
      </c>
      <c r="P73" s="47">
        <v>300000</v>
      </c>
      <c r="Q73" s="47">
        <v>300000</v>
      </c>
      <c r="R73" s="47">
        <v>300000</v>
      </c>
      <c r="S73" s="47">
        <v>300000</v>
      </c>
      <c r="T73" s="47">
        <v>300000</v>
      </c>
      <c r="U73" s="47">
        <v>300000</v>
      </c>
      <c r="V73" s="47">
        <v>300000</v>
      </c>
      <c r="W73" s="47">
        <f t="shared" si="14"/>
        <v>3600000</v>
      </c>
      <c r="X73" s="534"/>
    </row>
    <row r="74" spans="1:24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60000</v>
      </c>
      <c r="L74" s="47">
        <v>60000</v>
      </c>
      <c r="M74" s="47">
        <v>60000</v>
      </c>
      <c r="N74" s="47">
        <v>60000</v>
      </c>
      <c r="O74" s="47">
        <v>60000</v>
      </c>
      <c r="P74" s="47">
        <v>60000</v>
      </c>
      <c r="Q74" s="47">
        <v>60000</v>
      </c>
      <c r="R74" s="47">
        <v>60000</v>
      </c>
      <c r="S74" s="47">
        <v>60000</v>
      </c>
      <c r="T74" s="47">
        <v>60000</v>
      </c>
      <c r="U74" s="47">
        <v>60000</v>
      </c>
      <c r="V74" s="47">
        <v>60000</v>
      </c>
      <c r="W74" s="47">
        <f t="shared" si="14"/>
        <v>720000</v>
      </c>
      <c r="X74" s="534"/>
    </row>
    <row r="75" spans="1:24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60000</v>
      </c>
      <c r="L75" s="47">
        <v>60000</v>
      </c>
      <c r="M75" s="47">
        <v>60000</v>
      </c>
      <c r="N75" s="47">
        <v>60000</v>
      </c>
      <c r="O75" s="47">
        <v>60000</v>
      </c>
      <c r="P75" s="47">
        <v>60000</v>
      </c>
      <c r="Q75" s="47">
        <v>60000</v>
      </c>
      <c r="R75" s="47">
        <v>60000</v>
      </c>
      <c r="S75" s="47">
        <v>60000</v>
      </c>
      <c r="T75" s="47">
        <v>60000</v>
      </c>
      <c r="U75" s="47">
        <v>60000</v>
      </c>
      <c r="V75" s="47">
        <v>60000</v>
      </c>
      <c r="W75" s="47">
        <f t="shared" si="14"/>
        <v>720000</v>
      </c>
      <c r="X75" s="534"/>
    </row>
    <row r="76" spans="1:24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4"/>
        <v>0</v>
      </c>
      <c r="X76" s="534"/>
    </row>
    <row r="77" spans="1:24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4"/>
        <v>0</v>
      </c>
      <c r="X77" s="534"/>
    </row>
    <row r="78" spans="1:24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3500</v>
      </c>
      <c r="L78" s="47">
        <v>3500</v>
      </c>
      <c r="M78" s="47">
        <v>3500</v>
      </c>
      <c r="N78" s="47">
        <v>3500</v>
      </c>
      <c r="O78" s="47">
        <v>3500</v>
      </c>
      <c r="P78" s="47">
        <v>3500</v>
      </c>
      <c r="Q78" s="47">
        <v>3500</v>
      </c>
      <c r="R78" s="47">
        <v>3500</v>
      </c>
      <c r="S78" s="47">
        <v>3500</v>
      </c>
      <c r="T78" s="47">
        <v>3500</v>
      </c>
      <c r="U78" s="47">
        <v>3500</v>
      </c>
      <c r="V78" s="47">
        <v>3500</v>
      </c>
      <c r="W78" s="47">
        <f t="shared" si="14"/>
        <v>42000</v>
      </c>
      <c r="X78" s="534"/>
    </row>
    <row r="79" spans="1:24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225000</v>
      </c>
      <c r="L79" s="47">
        <v>25000</v>
      </c>
      <c r="M79" s="47">
        <v>425000</v>
      </c>
      <c r="N79" s="47">
        <v>225000</v>
      </c>
      <c r="O79" s="47">
        <v>25000</v>
      </c>
      <c r="P79" s="47">
        <v>225000</v>
      </c>
      <c r="Q79" s="47">
        <v>405000</v>
      </c>
      <c r="R79" s="47">
        <v>25000</v>
      </c>
      <c r="S79" s="47">
        <v>425000</v>
      </c>
      <c r="T79" s="47">
        <v>425000</v>
      </c>
      <c r="U79" s="47">
        <v>25000</v>
      </c>
      <c r="V79" s="47">
        <v>25000</v>
      </c>
      <c r="W79" s="47">
        <f t="shared" si="14"/>
        <v>2480000</v>
      </c>
      <c r="X79" s="534"/>
    </row>
    <row r="80" spans="1:24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6">SUM(L81:L82)</f>
        <v>0</v>
      </c>
      <c r="M80" s="12">
        <f t="shared" si="16"/>
        <v>0</v>
      </c>
      <c r="N80" s="12">
        <f t="shared" si="16"/>
        <v>0</v>
      </c>
      <c r="O80" s="12">
        <f t="shared" si="16"/>
        <v>0</v>
      </c>
      <c r="P80" s="12">
        <f t="shared" si="16"/>
        <v>0</v>
      </c>
      <c r="Q80" s="12">
        <f t="shared" si="16"/>
        <v>0</v>
      </c>
      <c r="R80" s="12">
        <f t="shared" si="16"/>
        <v>0</v>
      </c>
      <c r="S80" s="12">
        <f t="shared" si="16"/>
        <v>0</v>
      </c>
      <c r="T80" s="12">
        <f t="shared" si="16"/>
        <v>0</v>
      </c>
      <c r="U80" s="12">
        <f t="shared" si="16"/>
        <v>0</v>
      </c>
      <c r="V80" s="12">
        <f t="shared" si="16"/>
        <v>0</v>
      </c>
      <c r="W80" s="12">
        <f t="shared" si="14"/>
        <v>0</v>
      </c>
      <c r="X80" s="531"/>
    </row>
    <row r="81" spans="1:24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4"/>
        <v>0</v>
      </c>
      <c r="X81" s="534"/>
    </row>
    <row r="82" spans="1:24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4"/>
        <v>0</v>
      </c>
      <c r="X82" s="534"/>
    </row>
    <row r="83" spans="1:24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4"/>
        <v>0</v>
      </c>
      <c r="X83" s="534"/>
    </row>
    <row r="84" spans="1:24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4"/>
        <v>0</v>
      </c>
      <c r="X84" s="534"/>
    </row>
    <row r="85" spans="1:24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869777</v>
      </c>
      <c r="L85" s="25">
        <f t="shared" ref="L85:V85" si="17">SUM(L86:L96)</f>
        <v>869777</v>
      </c>
      <c r="M85" s="25">
        <f t="shared" si="17"/>
        <v>895818</v>
      </c>
      <c r="N85" s="25">
        <f t="shared" si="17"/>
        <v>895818</v>
      </c>
      <c r="O85" s="25">
        <f t="shared" si="17"/>
        <v>895818</v>
      </c>
      <c r="P85" s="25">
        <f t="shared" si="17"/>
        <v>895818</v>
      </c>
      <c r="Q85" s="25">
        <f t="shared" si="17"/>
        <v>895818</v>
      </c>
      <c r="R85" s="25">
        <f t="shared" si="17"/>
        <v>895818</v>
      </c>
      <c r="S85" s="25">
        <f t="shared" si="17"/>
        <v>895818</v>
      </c>
      <c r="T85" s="25">
        <f t="shared" si="17"/>
        <v>895818</v>
      </c>
      <c r="U85" s="25">
        <f t="shared" si="17"/>
        <v>895818</v>
      </c>
      <c r="V85" s="25">
        <f t="shared" si="17"/>
        <v>896240</v>
      </c>
      <c r="W85" s="25">
        <f t="shared" si="14"/>
        <v>10698156</v>
      </c>
      <c r="X85" s="531"/>
    </row>
    <row r="86" spans="1:24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>
        <v>0</v>
      </c>
      <c r="L86" s="47">
        <v>0</v>
      </c>
      <c r="M86" s="47">
        <v>0</v>
      </c>
      <c r="N86" s="47">
        <v>0</v>
      </c>
      <c r="O86" s="47">
        <v>0</v>
      </c>
      <c r="P86" s="47">
        <v>0</v>
      </c>
      <c r="Q86" s="47">
        <v>0</v>
      </c>
      <c r="R86" s="47">
        <v>0</v>
      </c>
      <c r="S86" s="47">
        <v>0</v>
      </c>
      <c r="T86" s="47">
        <v>0</v>
      </c>
      <c r="U86" s="47">
        <v>0</v>
      </c>
      <c r="V86" s="47">
        <v>0</v>
      </c>
      <c r="W86" s="47">
        <f t="shared" si="14"/>
        <v>0</v>
      </c>
      <c r="X86" s="534"/>
    </row>
    <row r="87" spans="1:24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>
        <f t="shared" ref="K87:U87" si="18">627274-156233</f>
        <v>471041</v>
      </c>
      <c r="L87" s="47">
        <f t="shared" si="18"/>
        <v>471041</v>
      </c>
      <c r="M87" s="47">
        <f t="shared" si="18"/>
        <v>471041</v>
      </c>
      <c r="N87" s="47">
        <f t="shared" si="18"/>
        <v>471041</v>
      </c>
      <c r="O87" s="47">
        <f t="shared" si="18"/>
        <v>471041</v>
      </c>
      <c r="P87" s="47">
        <f t="shared" si="18"/>
        <v>471041</v>
      </c>
      <c r="Q87" s="47">
        <f t="shared" si="18"/>
        <v>471041</v>
      </c>
      <c r="R87" s="47">
        <f t="shared" si="18"/>
        <v>471041</v>
      </c>
      <c r="S87" s="47">
        <f t="shared" si="18"/>
        <v>471041</v>
      </c>
      <c r="T87" s="47">
        <f t="shared" si="18"/>
        <v>471041</v>
      </c>
      <c r="U87" s="47">
        <f t="shared" si="18"/>
        <v>471041</v>
      </c>
      <c r="V87" s="47">
        <f>627367-156238</f>
        <v>471129</v>
      </c>
      <c r="W87" s="47">
        <f t="shared" si="14"/>
        <v>5652580</v>
      </c>
      <c r="X87" s="534"/>
    </row>
    <row r="88" spans="1:24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v>0</v>
      </c>
      <c r="U88" s="47">
        <v>0</v>
      </c>
      <c r="V88" s="47">
        <v>0</v>
      </c>
      <c r="W88" s="47">
        <f t="shared" si="14"/>
        <v>0</v>
      </c>
      <c r="X88" s="534"/>
    </row>
    <row r="89" spans="1:24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>
        <v>11946</v>
      </c>
      <c r="L89" s="47">
        <v>11946</v>
      </c>
      <c r="M89" s="47">
        <v>37987</v>
      </c>
      <c r="N89" s="47">
        <v>37987</v>
      </c>
      <c r="O89" s="47">
        <v>37987</v>
      </c>
      <c r="P89" s="47">
        <v>37987</v>
      </c>
      <c r="Q89" s="47">
        <v>37987</v>
      </c>
      <c r="R89" s="47">
        <v>37987</v>
      </c>
      <c r="S89" s="47">
        <v>37987</v>
      </c>
      <c r="T89" s="47">
        <v>37987</v>
      </c>
      <c r="U89" s="47">
        <v>37987</v>
      </c>
      <c r="V89" s="47">
        <v>38007</v>
      </c>
      <c r="W89" s="47">
        <f t="shared" si="14"/>
        <v>403782</v>
      </c>
      <c r="X89" s="534"/>
    </row>
    <row r="90" spans="1:24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279084</v>
      </c>
      <c r="L90" s="47">
        <v>279084</v>
      </c>
      <c r="M90" s="47">
        <v>279084</v>
      </c>
      <c r="N90" s="47">
        <v>279084</v>
      </c>
      <c r="O90" s="47">
        <v>279084</v>
      </c>
      <c r="P90" s="47">
        <v>279084</v>
      </c>
      <c r="Q90" s="47">
        <v>279084</v>
      </c>
      <c r="R90" s="47">
        <v>279084</v>
      </c>
      <c r="S90" s="47">
        <v>279084</v>
      </c>
      <c r="T90" s="47">
        <v>279084</v>
      </c>
      <c r="U90" s="47">
        <v>279084</v>
      </c>
      <c r="V90" s="47">
        <v>279278</v>
      </c>
      <c r="W90" s="47">
        <f t="shared" si="14"/>
        <v>3349202</v>
      </c>
      <c r="X90" s="534"/>
    </row>
    <row r="91" spans="1:24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0</v>
      </c>
      <c r="R91" s="47">
        <v>0</v>
      </c>
      <c r="S91" s="47">
        <v>0</v>
      </c>
      <c r="T91" s="47">
        <v>0</v>
      </c>
      <c r="U91" s="47">
        <v>0</v>
      </c>
      <c r="V91" s="47">
        <v>0</v>
      </c>
      <c r="W91" s="47">
        <f t="shared" si="14"/>
        <v>0</v>
      </c>
      <c r="X91" s="534"/>
    </row>
    <row r="92" spans="1:24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107706</v>
      </c>
      <c r="L92" s="47">
        <v>107706</v>
      </c>
      <c r="M92" s="47">
        <v>107706</v>
      </c>
      <c r="N92" s="47">
        <v>107706</v>
      </c>
      <c r="O92" s="47">
        <v>107706</v>
      </c>
      <c r="P92" s="47">
        <v>107706</v>
      </c>
      <c r="Q92" s="47">
        <v>107706</v>
      </c>
      <c r="R92" s="47">
        <v>107706</v>
      </c>
      <c r="S92" s="47">
        <v>107706</v>
      </c>
      <c r="T92" s="47">
        <v>107706</v>
      </c>
      <c r="U92" s="47">
        <v>107706</v>
      </c>
      <c r="V92" s="47">
        <v>107826</v>
      </c>
      <c r="W92" s="47">
        <f t="shared" si="14"/>
        <v>1292592</v>
      </c>
      <c r="X92" s="534"/>
    </row>
    <row r="93" spans="1:24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0</v>
      </c>
      <c r="S93" s="47">
        <v>0</v>
      </c>
      <c r="T93" s="47">
        <v>0</v>
      </c>
      <c r="U93" s="47">
        <v>0</v>
      </c>
      <c r="V93" s="47">
        <v>0</v>
      </c>
      <c r="W93" s="47">
        <f t="shared" si="14"/>
        <v>0</v>
      </c>
      <c r="X93" s="534"/>
    </row>
    <row r="94" spans="1:24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0</v>
      </c>
      <c r="S94" s="47">
        <v>0</v>
      </c>
      <c r="T94" s="47">
        <v>0</v>
      </c>
      <c r="U94" s="47">
        <v>0</v>
      </c>
      <c r="V94" s="47">
        <v>0</v>
      </c>
      <c r="W94" s="47">
        <f t="shared" si="14"/>
        <v>0</v>
      </c>
      <c r="X94" s="534"/>
    </row>
    <row r="95" spans="1:24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0</v>
      </c>
      <c r="T95" s="47">
        <v>0</v>
      </c>
      <c r="U95" s="47">
        <v>0</v>
      </c>
      <c r="V95" s="47">
        <v>0</v>
      </c>
      <c r="W95" s="47">
        <f t="shared" si="14"/>
        <v>0</v>
      </c>
      <c r="X95" s="534"/>
    </row>
    <row r="96" spans="1:24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f t="shared" si="14"/>
        <v>0</v>
      </c>
      <c r="X96" s="534"/>
    </row>
    <row r="97" spans="1:24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9002180</v>
      </c>
      <c r="L97" s="29">
        <f t="shared" ref="L97:V97" si="19">L37+L19+L85</f>
        <v>8699070</v>
      </c>
      <c r="M97" s="29">
        <f t="shared" si="19"/>
        <v>13333801</v>
      </c>
      <c r="N97" s="29">
        <f t="shared" si="19"/>
        <v>10037770.5745</v>
      </c>
      <c r="O97" s="29">
        <f t="shared" si="19"/>
        <v>9463953</v>
      </c>
      <c r="P97" s="29">
        <f t="shared" si="19"/>
        <v>9084708</v>
      </c>
      <c r="Q97" s="29">
        <f t="shared" si="19"/>
        <v>9583253</v>
      </c>
      <c r="R97" s="29">
        <f t="shared" si="19"/>
        <v>8850591.004999999</v>
      </c>
      <c r="S97" s="29">
        <f t="shared" si="19"/>
        <v>17474803</v>
      </c>
      <c r="T97" s="29">
        <f t="shared" si="19"/>
        <v>10122153.7925</v>
      </c>
      <c r="U97" s="29">
        <f t="shared" si="19"/>
        <v>8721024</v>
      </c>
      <c r="V97" s="29">
        <f t="shared" si="19"/>
        <v>9537667</v>
      </c>
      <c r="W97" s="29">
        <f>SUM(K97:V97)</f>
        <v>123910974.37199999</v>
      </c>
      <c r="X97" s="531"/>
    </row>
    <row r="98" spans="1:24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-3135060.3200000003</v>
      </c>
      <c r="L98" s="33">
        <f t="shared" ref="L98:V98" si="20">L18-L97</f>
        <v>-1973040.3900000006</v>
      </c>
      <c r="M98" s="33">
        <f t="shared" si="20"/>
        <v>-4979900.62</v>
      </c>
      <c r="N98" s="33">
        <f t="shared" si="20"/>
        <v>-1228212.8245000001</v>
      </c>
      <c r="O98" s="33">
        <f t="shared" si="20"/>
        <v>-1880441.7599999998</v>
      </c>
      <c r="P98" s="33">
        <f t="shared" si="20"/>
        <v>-2084007.33</v>
      </c>
      <c r="Q98" s="33">
        <f t="shared" si="20"/>
        <v>-1913644.9399999995</v>
      </c>
      <c r="R98" s="33">
        <f t="shared" si="20"/>
        <v>-715942.95499999914</v>
      </c>
      <c r="S98" s="33">
        <f t="shared" si="20"/>
        <v>-4638149.26</v>
      </c>
      <c r="T98" s="33">
        <f t="shared" si="20"/>
        <v>-3737928.7925000004</v>
      </c>
      <c r="U98" s="33">
        <f t="shared" si="20"/>
        <v>-1384737</v>
      </c>
      <c r="V98" s="33">
        <f t="shared" si="20"/>
        <v>-1873319.5</v>
      </c>
      <c r="W98" s="33">
        <f t="shared" si="14"/>
        <v>-29544385.691999998</v>
      </c>
      <c r="X98" s="531"/>
    </row>
    <row r="99" spans="1:24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440</v>
      </c>
      <c r="L99" s="37">
        <f t="shared" ref="L99:V99" si="21">SUM(L100,L104:L106)</f>
        <v>0</v>
      </c>
      <c r="M99" s="37">
        <f t="shared" si="21"/>
        <v>1419</v>
      </c>
      <c r="N99" s="37">
        <f t="shared" si="21"/>
        <v>20500</v>
      </c>
      <c r="O99" s="37">
        <f t="shared" si="21"/>
        <v>9455</v>
      </c>
      <c r="P99" s="37">
        <f t="shared" si="21"/>
        <v>10000</v>
      </c>
      <c r="Q99" s="37">
        <f t="shared" si="21"/>
        <v>0</v>
      </c>
      <c r="R99" s="37">
        <f t="shared" si="21"/>
        <v>0</v>
      </c>
      <c r="S99" s="37">
        <f t="shared" si="21"/>
        <v>0</v>
      </c>
      <c r="T99" s="37">
        <f t="shared" si="21"/>
        <v>0</v>
      </c>
      <c r="U99" s="37">
        <f t="shared" si="21"/>
        <v>0</v>
      </c>
      <c r="V99" s="37">
        <f t="shared" si="21"/>
        <v>0</v>
      </c>
      <c r="W99" s="37">
        <f t="shared" si="14"/>
        <v>41814</v>
      </c>
      <c r="X99" s="531"/>
    </row>
    <row r="100" spans="1:24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2">SUM(L101:L103)</f>
        <v>0</v>
      </c>
      <c r="M100" s="12">
        <f t="shared" si="22"/>
        <v>0</v>
      </c>
      <c r="N100" s="12">
        <f t="shared" si="22"/>
        <v>0</v>
      </c>
      <c r="O100" s="12">
        <f t="shared" si="22"/>
        <v>0</v>
      </c>
      <c r="P100" s="12">
        <f t="shared" si="22"/>
        <v>0</v>
      </c>
      <c r="Q100" s="12">
        <f t="shared" si="22"/>
        <v>0</v>
      </c>
      <c r="R100" s="12">
        <f t="shared" si="22"/>
        <v>0</v>
      </c>
      <c r="S100" s="12">
        <f t="shared" si="22"/>
        <v>0</v>
      </c>
      <c r="T100" s="12">
        <f t="shared" si="22"/>
        <v>0</v>
      </c>
      <c r="U100" s="12">
        <f t="shared" si="22"/>
        <v>0</v>
      </c>
      <c r="V100" s="12">
        <f t="shared" si="22"/>
        <v>0</v>
      </c>
      <c r="W100" s="12">
        <f t="shared" si="14"/>
        <v>0</v>
      </c>
      <c r="X100" s="531"/>
    </row>
    <row r="101" spans="1:24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0</v>
      </c>
      <c r="R101" s="47">
        <v>0</v>
      </c>
      <c r="S101" s="47">
        <v>0</v>
      </c>
      <c r="T101" s="47">
        <v>0</v>
      </c>
      <c r="U101" s="47">
        <v>0</v>
      </c>
      <c r="V101" s="47">
        <v>0</v>
      </c>
      <c r="W101" s="47">
        <f t="shared" si="14"/>
        <v>0</v>
      </c>
      <c r="X101" s="534"/>
    </row>
    <row r="102" spans="1:24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>
        <v>0</v>
      </c>
      <c r="L102" s="47">
        <v>0</v>
      </c>
      <c r="M102" s="47">
        <v>0</v>
      </c>
      <c r="N102" s="47">
        <v>0</v>
      </c>
      <c r="O102" s="47">
        <v>0</v>
      </c>
      <c r="P102" s="47">
        <v>0</v>
      </c>
      <c r="Q102" s="47">
        <v>0</v>
      </c>
      <c r="R102" s="47">
        <v>0</v>
      </c>
      <c r="S102" s="47">
        <v>0</v>
      </c>
      <c r="T102" s="47">
        <v>0</v>
      </c>
      <c r="U102" s="47">
        <v>0</v>
      </c>
      <c r="V102" s="47">
        <v>0</v>
      </c>
      <c r="W102" s="47">
        <f t="shared" si="14"/>
        <v>0</v>
      </c>
      <c r="X102" s="534"/>
    </row>
    <row r="103" spans="1:24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f t="shared" si="14"/>
        <v>0</v>
      </c>
      <c r="X103" s="534"/>
    </row>
    <row r="104" spans="1:24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v>0</v>
      </c>
      <c r="Q104" s="47">
        <v>0</v>
      </c>
      <c r="R104" s="47">
        <v>0</v>
      </c>
      <c r="S104" s="47">
        <v>0</v>
      </c>
      <c r="T104" s="47">
        <v>0</v>
      </c>
      <c r="U104" s="47">
        <v>0</v>
      </c>
      <c r="V104" s="47">
        <v>0</v>
      </c>
      <c r="W104" s="47">
        <f t="shared" si="14"/>
        <v>0</v>
      </c>
      <c r="X104" s="534"/>
    </row>
    <row r="105" spans="1:24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>
        <v>440</v>
      </c>
      <c r="L105" s="47">
        <v>0</v>
      </c>
      <c r="M105" s="47">
        <v>1419</v>
      </c>
      <c r="N105" s="47">
        <v>20500</v>
      </c>
      <c r="O105" s="47">
        <v>9455</v>
      </c>
      <c r="P105" s="47">
        <v>10000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f t="shared" si="14"/>
        <v>41814</v>
      </c>
      <c r="X105" s="534"/>
    </row>
    <row r="106" spans="1:24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0</v>
      </c>
      <c r="U106" s="47">
        <v>0</v>
      </c>
      <c r="V106" s="47">
        <v>0</v>
      </c>
      <c r="W106" s="47">
        <f t="shared" si="14"/>
        <v>0</v>
      </c>
      <c r="X106" s="534"/>
    </row>
    <row r="107" spans="1:24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3">SUM(L108:L110)</f>
        <v>0</v>
      </c>
      <c r="M107" s="41">
        <f t="shared" si="23"/>
        <v>3</v>
      </c>
      <c r="N107" s="41">
        <f t="shared" si="23"/>
        <v>0</v>
      </c>
      <c r="O107" s="41">
        <f t="shared" si="23"/>
        <v>0</v>
      </c>
      <c r="P107" s="41">
        <f t="shared" si="23"/>
        <v>0</v>
      </c>
      <c r="Q107" s="41">
        <f t="shared" si="23"/>
        <v>0</v>
      </c>
      <c r="R107" s="41">
        <f t="shared" si="23"/>
        <v>0</v>
      </c>
      <c r="S107" s="41">
        <f t="shared" si="23"/>
        <v>0</v>
      </c>
      <c r="T107" s="41">
        <f t="shared" si="23"/>
        <v>0</v>
      </c>
      <c r="U107" s="41">
        <f t="shared" si="23"/>
        <v>0</v>
      </c>
      <c r="V107" s="41">
        <f t="shared" si="23"/>
        <v>0</v>
      </c>
      <c r="W107" s="41">
        <f t="shared" si="14"/>
        <v>3</v>
      </c>
      <c r="X107" s="531"/>
    </row>
    <row r="108" spans="1:24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f t="shared" si="14"/>
        <v>0</v>
      </c>
      <c r="X108" s="534"/>
    </row>
    <row r="109" spans="1:24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>
        <v>0</v>
      </c>
      <c r="L109" s="47">
        <v>0</v>
      </c>
      <c r="M109" s="47">
        <v>3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f t="shared" si="14"/>
        <v>3</v>
      </c>
      <c r="X109" s="534"/>
    </row>
    <row r="110" spans="1:24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>
        <v>0</v>
      </c>
      <c r="L110" s="47">
        <v>0</v>
      </c>
      <c r="M110" s="47">
        <v>0</v>
      </c>
      <c r="N110" s="47">
        <v>0</v>
      </c>
      <c r="O110" s="47">
        <v>0</v>
      </c>
      <c r="P110" s="47">
        <v>0</v>
      </c>
      <c r="Q110" s="47">
        <v>0</v>
      </c>
      <c r="R110" s="47">
        <v>0</v>
      </c>
      <c r="S110" s="47">
        <v>0</v>
      </c>
      <c r="T110" s="47">
        <v>0</v>
      </c>
      <c r="U110" s="47">
        <v>0</v>
      </c>
      <c r="V110" s="47">
        <v>0</v>
      </c>
      <c r="W110" s="47">
        <f t="shared" si="14"/>
        <v>0</v>
      </c>
      <c r="X110" s="534"/>
    </row>
    <row r="111" spans="1:24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-3134620.3200000003</v>
      </c>
      <c r="L111" s="33">
        <f t="shared" ref="L111:V111" si="24">L98+L99-L107</f>
        <v>-1973040.3900000006</v>
      </c>
      <c r="M111" s="33">
        <f t="shared" si="24"/>
        <v>-4978484.62</v>
      </c>
      <c r="N111" s="33">
        <f t="shared" si="24"/>
        <v>-1207712.8245000001</v>
      </c>
      <c r="O111" s="33">
        <f t="shared" si="24"/>
        <v>-1870986.7599999998</v>
      </c>
      <c r="P111" s="33">
        <f t="shared" si="24"/>
        <v>-2074007.33</v>
      </c>
      <c r="Q111" s="33">
        <f t="shared" si="24"/>
        <v>-1913644.9399999995</v>
      </c>
      <c r="R111" s="33">
        <f t="shared" si="24"/>
        <v>-715942.95499999914</v>
      </c>
      <c r="S111" s="33">
        <f t="shared" si="24"/>
        <v>-4638149.26</v>
      </c>
      <c r="T111" s="33">
        <f t="shared" si="24"/>
        <v>-3737928.7925000004</v>
      </c>
      <c r="U111" s="33">
        <f t="shared" si="24"/>
        <v>-1384737</v>
      </c>
      <c r="V111" s="33">
        <f t="shared" si="24"/>
        <v>-1873319.5</v>
      </c>
      <c r="W111" s="33">
        <f t="shared" si="14"/>
        <v>-29502574.691999998</v>
      </c>
      <c r="X111" s="531"/>
    </row>
    <row r="112" spans="1:24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5">SUM(L113:L114)</f>
        <v>0</v>
      </c>
      <c r="M112" s="37">
        <f t="shared" si="25"/>
        <v>0</v>
      </c>
      <c r="N112" s="37">
        <f t="shared" si="25"/>
        <v>0</v>
      </c>
      <c r="O112" s="37">
        <f t="shared" si="25"/>
        <v>0</v>
      </c>
      <c r="P112" s="37">
        <f t="shared" si="25"/>
        <v>0</v>
      </c>
      <c r="Q112" s="37">
        <f t="shared" si="25"/>
        <v>0</v>
      </c>
      <c r="R112" s="37">
        <f t="shared" si="25"/>
        <v>0</v>
      </c>
      <c r="S112" s="37">
        <f t="shared" si="25"/>
        <v>0</v>
      </c>
      <c r="T112" s="37">
        <f t="shared" si="25"/>
        <v>0</v>
      </c>
      <c r="U112" s="37">
        <f t="shared" si="25"/>
        <v>0</v>
      </c>
      <c r="V112" s="37">
        <f t="shared" si="25"/>
        <v>0</v>
      </c>
      <c r="W112" s="37">
        <f t="shared" si="14"/>
        <v>0</v>
      </c>
      <c r="X112" s="531"/>
    </row>
    <row r="113" spans="1:24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f t="shared" si="14"/>
        <v>0</v>
      </c>
      <c r="X113" s="534"/>
    </row>
    <row r="114" spans="1:24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v>0</v>
      </c>
      <c r="Q114" s="47">
        <v>0</v>
      </c>
      <c r="R114" s="47">
        <v>0</v>
      </c>
      <c r="S114" s="47">
        <v>0</v>
      </c>
      <c r="T114" s="47">
        <v>0</v>
      </c>
      <c r="U114" s="47">
        <v>0</v>
      </c>
      <c r="V114" s="47">
        <v>0</v>
      </c>
      <c r="W114" s="47">
        <f t="shared" si="14"/>
        <v>0</v>
      </c>
      <c r="X114" s="534"/>
    </row>
    <row r="115" spans="1:24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6">SUM(L116:L117)</f>
        <v>0</v>
      </c>
      <c r="M115" s="41">
        <f t="shared" si="26"/>
        <v>0</v>
      </c>
      <c r="N115" s="41">
        <f t="shared" si="26"/>
        <v>0</v>
      </c>
      <c r="O115" s="41">
        <f t="shared" si="26"/>
        <v>0</v>
      </c>
      <c r="P115" s="41">
        <f t="shared" si="26"/>
        <v>0</v>
      </c>
      <c r="Q115" s="41">
        <f t="shared" si="26"/>
        <v>0</v>
      </c>
      <c r="R115" s="41">
        <f t="shared" si="26"/>
        <v>0</v>
      </c>
      <c r="S115" s="41">
        <f t="shared" si="26"/>
        <v>0</v>
      </c>
      <c r="T115" s="41">
        <f t="shared" si="26"/>
        <v>0</v>
      </c>
      <c r="U115" s="41">
        <f t="shared" si="26"/>
        <v>0</v>
      </c>
      <c r="V115" s="41">
        <f t="shared" si="26"/>
        <v>0</v>
      </c>
      <c r="W115" s="41">
        <f t="shared" si="14"/>
        <v>0</v>
      </c>
      <c r="X115" s="531"/>
    </row>
    <row r="116" spans="1:24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7">
        <v>0</v>
      </c>
      <c r="Q116" s="47">
        <v>0</v>
      </c>
      <c r="R116" s="47">
        <v>0</v>
      </c>
      <c r="S116" s="47">
        <v>0</v>
      </c>
      <c r="T116" s="47">
        <v>0</v>
      </c>
      <c r="U116" s="47">
        <v>0</v>
      </c>
      <c r="V116" s="47">
        <v>0</v>
      </c>
      <c r="W116" s="47">
        <f t="shared" si="14"/>
        <v>0</v>
      </c>
      <c r="X116" s="534"/>
    </row>
    <row r="117" spans="1:24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f t="shared" si="14"/>
        <v>0</v>
      </c>
      <c r="X117" s="534"/>
    </row>
    <row r="118" spans="1:24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-3134620.3200000003</v>
      </c>
      <c r="L118" s="46">
        <f t="shared" ref="L118:V118" si="27">L111+L112-L115</f>
        <v>-1973040.3900000006</v>
      </c>
      <c r="M118" s="46">
        <f t="shared" si="27"/>
        <v>-4978484.62</v>
      </c>
      <c r="N118" s="46">
        <f t="shared" si="27"/>
        <v>-1207712.8245000001</v>
      </c>
      <c r="O118" s="46">
        <f t="shared" si="27"/>
        <v>-1870986.7599999998</v>
      </c>
      <c r="P118" s="46">
        <f t="shared" si="27"/>
        <v>-2074007.33</v>
      </c>
      <c r="Q118" s="46">
        <f t="shared" si="27"/>
        <v>-1913644.9399999995</v>
      </c>
      <c r="R118" s="46">
        <f t="shared" si="27"/>
        <v>-715942.95499999914</v>
      </c>
      <c r="S118" s="46">
        <f t="shared" si="27"/>
        <v>-4638149.26</v>
      </c>
      <c r="T118" s="46">
        <f t="shared" si="27"/>
        <v>-3737928.7925000004</v>
      </c>
      <c r="U118" s="46">
        <f t="shared" si="27"/>
        <v>-1384737</v>
      </c>
      <c r="V118" s="46">
        <f t="shared" si="27"/>
        <v>-1873319.5</v>
      </c>
      <c r="W118" s="46">
        <f t="shared" si="14"/>
        <v>-29502574.691999998</v>
      </c>
      <c r="X118" s="531"/>
    </row>
  </sheetData>
  <mergeCells count="2">
    <mergeCell ref="A4:A5"/>
    <mergeCell ref="B4:J5"/>
  </mergeCells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D080-EA6E-4534-B604-2814FCC0A443}">
  <sheetPr>
    <pageSetUpPr fitToPage="1"/>
  </sheetPr>
  <dimension ref="A1:X118"/>
  <sheetViews>
    <sheetView showGridLines="0" workbookViewId="0">
      <pane xSplit="10" ySplit="5" topLeftCell="K6" activePane="bottomRight" state="frozen"/>
      <selection activeCell="T120" sqref="T120"/>
      <selection pane="topRight" activeCell="T120" sqref="T120"/>
      <selection pane="bottomLeft" activeCell="T120" sqref="T120"/>
      <selection pane="bottomRight" activeCell="X19" sqref="X19"/>
    </sheetView>
  </sheetViews>
  <sheetFormatPr baseColWidth="10" defaultColWidth="9" defaultRowHeight="18"/>
  <cols>
    <col min="1" max="1" width="5.83203125" style="49" customWidth="1"/>
    <col min="2" max="8" width="2.33203125" style="49" customWidth="1"/>
    <col min="9" max="9" width="2.1640625" style="49" customWidth="1"/>
    <col min="10" max="10" width="0" style="49" hidden="1" customWidth="1"/>
    <col min="11" max="16" width="12.1640625" style="49" bestFit="1" customWidth="1"/>
    <col min="17" max="19" width="13" style="49" bestFit="1" customWidth="1"/>
    <col min="20" max="22" width="12.1640625" style="49" bestFit="1" customWidth="1"/>
    <col min="23" max="23" width="12.1640625" style="51" bestFit="1" customWidth="1"/>
    <col min="24" max="16384" width="9" style="51"/>
  </cols>
  <sheetData>
    <row r="1" spans="1:23" ht="20" customHeight="1">
      <c r="A1" s="56" t="s">
        <v>226</v>
      </c>
    </row>
    <row r="3" spans="1:23" ht="11.75" customHeight="1">
      <c r="A3" s="57" t="s">
        <v>224</v>
      </c>
    </row>
    <row r="4" spans="1:23" s="58" customFormat="1" ht="11.75" customHeight="1">
      <c r="A4" s="574" t="s">
        <v>0</v>
      </c>
      <c r="B4" s="576" t="s">
        <v>1</v>
      </c>
      <c r="C4" s="577"/>
      <c r="D4" s="577"/>
      <c r="E4" s="577"/>
      <c r="F4" s="577"/>
      <c r="G4" s="577"/>
      <c r="H4" s="577"/>
      <c r="I4" s="577"/>
      <c r="J4" s="578"/>
      <c r="K4" s="55" t="s">
        <v>227</v>
      </c>
      <c r="L4" s="55" t="s">
        <v>228</v>
      </c>
      <c r="M4" s="55" t="s">
        <v>229</v>
      </c>
      <c r="N4" s="55" t="s">
        <v>230</v>
      </c>
      <c r="O4" s="55" t="s">
        <v>231</v>
      </c>
      <c r="P4" s="55" t="s">
        <v>232</v>
      </c>
      <c r="Q4" s="55" t="s">
        <v>233</v>
      </c>
      <c r="R4" s="55" t="s">
        <v>234</v>
      </c>
      <c r="S4" s="55" t="s">
        <v>235</v>
      </c>
      <c r="T4" s="55" t="s">
        <v>236</v>
      </c>
      <c r="U4" s="55" t="s">
        <v>237</v>
      </c>
      <c r="V4" s="55" t="s">
        <v>238</v>
      </c>
      <c r="W4" s="52" t="s">
        <v>225</v>
      </c>
    </row>
    <row r="5" spans="1:23" s="58" customFormat="1" ht="17" customHeight="1">
      <c r="A5" s="575"/>
      <c r="B5" s="579"/>
      <c r="C5" s="580"/>
      <c r="D5" s="580"/>
      <c r="E5" s="580"/>
      <c r="F5" s="580"/>
      <c r="G5" s="580"/>
      <c r="H5" s="580"/>
      <c r="I5" s="580"/>
      <c r="J5" s="581"/>
      <c r="K5" s="50" t="s">
        <v>2</v>
      </c>
      <c r="L5" s="50" t="s">
        <v>2</v>
      </c>
      <c r="M5" s="50" t="s">
        <v>2</v>
      </c>
      <c r="N5" s="50" t="s">
        <v>2</v>
      </c>
      <c r="O5" s="50" t="s">
        <v>2</v>
      </c>
      <c r="P5" s="50" t="s">
        <v>2</v>
      </c>
      <c r="Q5" s="50" t="s">
        <v>2</v>
      </c>
      <c r="R5" s="50" t="s">
        <v>2</v>
      </c>
      <c r="S5" s="50" t="s">
        <v>2</v>
      </c>
      <c r="T5" s="50" t="s">
        <v>2</v>
      </c>
      <c r="U5" s="50" t="s">
        <v>2</v>
      </c>
      <c r="V5" s="50" t="s">
        <v>2</v>
      </c>
      <c r="W5" s="50" t="s">
        <v>2</v>
      </c>
    </row>
    <row r="6" spans="1:23" s="8" customFormat="1" ht="11.75" customHeight="1">
      <c r="A6" s="3" t="s">
        <v>3</v>
      </c>
      <c r="B6" s="4" t="s">
        <v>4</v>
      </c>
      <c r="C6" s="5"/>
      <c r="D6" s="5"/>
      <c r="E6" s="5"/>
      <c r="F6" s="5"/>
      <c r="G6" s="5"/>
      <c r="H6" s="5"/>
      <c r="I6" s="5"/>
      <c r="J6" s="6"/>
      <c r="K6" s="7">
        <f>SUM(K7:K16)</f>
        <v>543750</v>
      </c>
      <c r="L6" s="7">
        <f t="shared" ref="L6:V6" si="0">SUM(L7:L16)</f>
        <v>2847520</v>
      </c>
      <c r="M6" s="7">
        <f t="shared" si="0"/>
        <v>22680000</v>
      </c>
      <c r="N6" s="7">
        <f t="shared" si="0"/>
        <v>49815000</v>
      </c>
      <c r="O6" s="7">
        <f t="shared" si="0"/>
        <v>56840000</v>
      </c>
      <c r="P6" s="7">
        <f t="shared" si="0"/>
        <v>20842025</v>
      </c>
      <c r="Q6" s="7">
        <f t="shared" si="0"/>
        <v>840000</v>
      </c>
      <c r="R6" s="7">
        <f t="shared" si="0"/>
        <v>0</v>
      </c>
      <c r="S6" s="7">
        <f t="shared" si="0"/>
        <v>0</v>
      </c>
      <c r="T6" s="7">
        <f t="shared" si="0"/>
        <v>0</v>
      </c>
      <c r="U6" s="7">
        <f t="shared" si="0"/>
        <v>0</v>
      </c>
      <c r="V6" s="7">
        <f t="shared" si="0"/>
        <v>0</v>
      </c>
      <c r="W6" s="7">
        <f>SUM(K6:V6)</f>
        <v>154408295</v>
      </c>
    </row>
    <row r="7" spans="1:23" s="63" customFormat="1" ht="11.75" customHeight="1">
      <c r="A7" s="59" t="s">
        <v>5</v>
      </c>
      <c r="B7" s="60"/>
      <c r="C7" s="61" t="s">
        <v>6</v>
      </c>
      <c r="D7" s="57"/>
      <c r="E7" s="57"/>
      <c r="F7" s="57"/>
      <c r="G7" s="57"/>
      <c r="H7" s="57"/>
      <c r="I7" s="57"/>
      <c r="J7" s="62"/>
      <c r="K7" s="47">
        <v>543750</v>
      </c>
      <c r="L7" s="47">
        <v>2847520</v>
      </c>
      <c r="M7" s="47">
        <v>22680000</v>
      </c>
      <c r="N7" s="47">
        <v>49815000</v>
      </c>
      <c r="O7" s="47">
        <v>56840000</v>
      </c>
      <c r="P7" s="47">
        <v>20842025</v>
      </c>
      <c r="Q7" s="47">
        <v>840000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f t="shared" ref="W7:W70" si="1">SUM(K7:V7)</f>
        <v>154408295</v>
      </c>
    </row>
    <row r="8" spans="1:23" s="63" customFormat="1" ht="11.75" customHeight="1">
      <c r="A8" s="59" t="s">
        <v>7</v>
      </c>
      <c r="B8" s="59"/>
      <c r="C8" s="64" t="s">
        <v>8</v>
      </c>
      <c r="D8" s="57"/>
      <c r="E8" s="57"/>
      <c r="F8" s="57"/>
      <c r="G8" s="57"/>
      <c r="H8" s="57"/>
      <c r="I8" s="57"/>
      <c r="J8" s="62"/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f t="shared" si="1"/>
        <v>0</v>
      </c>
    </row>
    <row r="9" spans="1:23" s="63" customFormat="1" ht="11.75" customHeight="1">
      <c r="A9" s="59" t="s">
        <v>9</v>
      </c>
      <c r="B9" s="59"/>
      <c r="C9" s="64" t="s">
        <v>10</v>
      </c>
      <c r="D9" s="57"/>
      <c r="E9" s="57"/>
      <c r="F9" s="57"/>
      <c r="G9" s="57"/>
      <c r="H9" s="57"/>
      <c r="I9" s="57"/>
      <c r="J9" s="62"/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f t="shared" si="1"/>
        <v>0</v>
      </c>
    </row>
    <row r="10" spans="1:23" s="63" customFormat="1" ht="11.75" customHeight="1">
      <c r="A10" s="59" t="s">
        <v>11</v>
      </c>
      <c r="B10" s="59"/>
      <c r="C10" s="64" t="s">
        <v>12</v>
      </c>
      <c r="D10" s="57"/>
      <c r="E10" s="57"/>
      <c r="F10" s="57"/>
      <c r="G10" s="57"/>
      <c r="H10" s="57"/>
      <c r="I10" s="57"/>
      <c r="J10" s="62"/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f t="shared" si="1"/>
        <v>0</v>
      </c>
    </row>
    <row r="11" spans="1:23" s="63" customFormat="1" ht="11.75" customHeight="1">
      <c r="A11" s="59" t="s">
        <v>13</v>
      </c>
      <c r="B11" s="59"/>
      <c r="C11" s="64" t="s">
        <v>14</v>
      </c>
      <c r="D11" s="57"/>
      <c r="E11" s="57"/>
      <c r="F11" s="57"/>
      <c r="G11" s="57"/>
      <c r="H11" s="57"/>
      <c r="I11" s="57"/>
      <c r="J11" s="62"/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f t="shared" si="1"/>
        <v>0</v>
      </c>
    </row>
    <row r="12" spans="1:23" s="63" customFormat="1" ht="11.75" customHeight="1">
      <c r="A12" s="59" t="s">
        <v>15</v>
      </c>
      <c r="B12" s="59"/>
      <c r="C12" s="64" t="s">
        <v>16</v>
      </c>
      <c r="D12" s="57"/>
      <c r="E12" s="57"/>
      <c r="F12" s="57"/>
      <c r="G12" s="57"/>
      <c r="H12" s="57"/>
      <c r="I12" s="57"/>
      <c r="J12" s="62"/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f t="shared" si="1"/>
        <v>0</v>
      </c>
    </row>
    <row r="13" spans="1:23" s="63" customFormat="1" ht="11.75" customHeight="1">
      <c r="A13" s="59" t="s">
        <v>17</v>
      </c>
      <c r="B13" s="59"/>
      <c r="C13" s="64" t="s">
        <v>18</v>
      </c>
      <c r="D13" s="57"/>
      <c r="E13" s="57"/>
      <c r="F13" s="57"/>
      <c r="G13" s="57"/>
      <c r="H13" s="57"/>
      <c r="I13" s="57"/>
      <c r="J13" s="62"/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f t="shared" si="1"/>
        <v>0</v>
      </c>
    </row>
    <row r="14" spans="1:23" s="63" customFormat="1" ht="11.75" customHeight="1">
      <c r="A14" s="59" t="s">
        <v>19</v>
      </c>
      <c r="B14" s="59"/>
      <c r="C14" s="64" t="s">
        <v>20</v>
      </c>
      <c r="D14" s="57"/>
      <c r="E14" s="57"/>
      <c r="F14" s="57"/>
      <c r="G14" s="57"/>
      <c r="H14" s="57"/>
      <c r="I14" s="57"/>
      <c r="J14" s="62"/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f t="shared" si="1"/>
        <v>0</v>
      </c>
    </row>
    <row r="15" spans="1:23" s="63" customFormat="1" ht="11.75" customHeight="1">
      <c r="A15" s="59" t="s">
        <v>21</v>
      </c>
      <c r="B15" s="59"/>
      <c r="C15" s="64" t="s">
        <v>22</v>
      </c>
      <c r="D15" s="57"/>
      <c r="E15" s="57"/>
      <c r="F15" s="57"/>
      <c r="G15" s="57"/>
      <c r="H15" s="57"/>
      <c r="I15" s="57"/>
      <c r="J15" s="62"/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f t="shared" si="1"/>
        <v>0</v>
      </c>
    </row>
    <row r="16" spans="1:23" s="63" customFormat="1" ht="11.75" customHeight="1">
      <c r="A16" s="59" t="s">
        <v>23</v>
      </c>
      <c r="B16" s="59"/>
      <c r="C16" s="64" t="s">
        <v>24</v>
      </c>
      <c r="D16" s="57"/>
      <c r="E16" s="57"/>
      <c r="F16" s="57"/>
      <c r="G16" s="57"/>
      <c r="H16" s="57"/>
      <c r="I16" s="57"/>
      <c r="J16" s="62"/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f t="shared" si="1"/>
        <v>0</v>
      </c>
    </row>
    <row r="17" spans="1:24" s="63" customFormat="1" ht="11.75" customHeight="1" thickBot="1">
      <c r="A17" s="59" t="s">
        <v>25</v>
      </c>
      <c r="B17" s="65" t="s">
        <v>26</v>
      </c>
      <c r="C17" s="66"/>
      <c r="D17" s="66"/>
      <c r="E17" s="66"/>
      <c r="F17" s="66"/>
      <c r="G17" s="66"/>
      <c r="H17" s="66"/>
      <c r="I17" s="66"/>
      <c r="J17" s="67"/>
      <c r="K17" s="48">
        <v>0</v>
      </c>
      <c r="L17" s="48">
        <f>L7*0.3205</f>
        <v>912630.16</v>
      </c>
      <c r="M17" s="48">
        <f t="shared" ref="M17:P17" si="2">M7*0.3205</f>
        <v>7268940</v>
      </c>
      <c r="N17" s="48">
        <f t="shared" si="2"/>
        <v>15965707.5</v>
      </c>
      <c r="O17" s="48">
        <f t="shared" si="2"/>
        <v>18217220</v>
      </c>
      <c r="P17" s="48">
        <f t="shared" si="2"/>
        <v>6679869.0125000002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f t="shared" si="1"/>
        <v>49044366.672499999</v>
      </c>
    </row>
    <row r="18" spans="1:24" s="8" customFormat="1" ht="11.75" customHeight="1" thickTop="1">
      <c r="A18" s="9" t="s">
        <v>27</v>
      </c>
      <c r="B18" s="14" t="s">
        <v>28</v>
      </c>
      <c r="C18" s="15"/>
      <c r="D18" s="15"/>
      <c r="E18" s="15"/>
      <c r="F18" s="15"/>
      <c r="G18" s="15"/>
      <c r="H18" s="15"/>
      <c r="I18" s="15"/>
      <c r="J18" s="16"/>
      <c r="K18" s="17">
        <f>K6-K17</f>
        <v>543750</v>
      </c>
      <c r="L18" s="17">
        <f t="shared" ref="L18:V18" si="3">L6-L17</f>
        <v>1934889.8399999999</v>
      </c>
      <c r="M18" s="17">
        <f t="shared" si="3"/>
        <v>15411060</v>
      </c>
      <c r="N18" s="17">
        <f t="shared" si="3"/>
        <v>33849292.5</v>
      </c>
      <c r="O18" s="17">
        <f t="shared" si="3"/>
        <v>38622780</v>
      </c>
      <c r="P18" s="17">
        <f t="shared" si="3"/>
        <v>14162155.987500001</v>
      </c>
      <c r="Q18" s="17">
        <f t="shared" si="3"/>
        <v>840000</v>
      </c>
      <c r="R18" s="17">
        <f t="shared" si="3"/>
        <v>0</v>
      </c>
      <c r="S18" s="17">
        <f t="shared" si="3"/>
        <v>0</v>
      </c>
      <c r="T18" s="17">
        <f t="shared" si="3"/>
        <v>0</v>
      </c>
      <c r="U18" s="17">
        <f t="shared" si="3"/>
        <v>0</v>
      </c>
      <c r="V18" s="17">
        <f t="shared" si="3"/>
        <v>0</v>
      </c>
      <c r="W18" s="17">
        <f t="shared" si="1"/>
        <v>105363928.3275</v>
      </c>
    </row>
    <row r="19" spans="1:24" s="8" customFormat="1" ht="11.75" customHeight="1">
      <c r="A19" s="9" t="s">
        <v>29</v>
      </c>
      <c r="B19" s="18" t="s">
        <v>30</v>
      </c>
      <c r="C19" s="19"/>
      <c r="D19" s="19"/>
      <c r="E19" s="19"/>
      <c r="F19" s="19"/>
      <c r="G19" s="19"/>
      <c r="H19" s="19"/>
      <c r="I19" s="19"/>
      <c r="J19" s="20"/>
      <c r="K19" s="21">
        <f>SUM(K20:K22,K26,K29:K31,K35:K36)</f>
        <v>0</v>
      </c>
      <c r="L19" s="21">
        <f t="shared" ref="L19:V19" si="4">SUM(L20:L22,L26,L29:L31,L35:L36)</f>
        <v>0</v>
      </c>
      <c r="M19" s="21">
        <f t="shared" si="4"/>
        <v>0</v>
      </c>
      <c r="N19" s="21">
        <f t="shared" si="4"/>
        <v>250000</v>
      </c>
      <c r="O19" s="21">
        <f t="shared" si="4"/>
        <v>1100000</v>
      </c>
      <c r="P19" s="21">
        <f t="shared" si="4"/>
        <v>1100000</v>
      </c>
      <c r="Q19" s="21">
        <f t="shared" si="4"/>
        <v>1100000</v>
      </c>
      <c r="R19" s="21">
        <f t="shared" si="4"/>
        <v>460000</v>
      </c>
      <c r="S19" s="21">
        <f t="shared" si="4"/>
        <v>0</v>
      </c>
      <c r="T19" s="21">
        <f t="shared" si="4"/>
        <v>0</v>
      </c>
      <c r="U19" s="21">
        <f t="shared" si="4"/>
        <v>0</v>
      </c>
      <c r="V19" s="21">
        <f t="shared" si="4"/>
        <v>0</v>
      </c>
      <c r="W19" s="21">
        <f t="shared" si="1"/>
        <v>4010000</v>
      </c>
      <c r="X19" s="8">
        <f>+ｶﾞｰﾃﾞﾝ!X19-ｶﾞｰﾃﾞﾝ!Y19</f>
        <v>24932582.371999994</v>
      </c>
    </row>
    <row r="20" spans="1:24" s="63" customFormat="1" ht="11.75" customHeight="1">
      <c r="A20" s="59" t="s">
        <v>31</v>
      </c>
      <c r="B20" s="59"/>
      <c r="C20" s="64" t="s">
        <v>32</v>
      </c>
      <c r="D20" s="57"/>
      <c r="E20" s="57"/>
      <c r="F20" s="57"/>
      <c r="G20" s="57"/>
      <c r="H20" s="57"/>
      <c r="I20" s="57"/>
      <c r="J20" s="62"/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f t="shared" si="1"/>
        <v>0</v>
      </c>
      <c r="X20" s="8">
        <f>+ｶﾞｰﾃﾞﾝ!X20-ｶﾞｰﾃﾞﾝ!Y20</f>
        <v>0</v>
      </c>
    </row>
    <row r="21" spans="1:24" s="63" customFormat="1" ht="11.75" customHeight="1">
      <c r="A21" s="59" t="s">
        <v>33</v>
      </c>
      <c r="B21" s="59"/>
      <c r="C21" s="64" t="s">
        <v>34</v>
      </c>
      <c r="D21" s="57"/>
      <c r="E21" s="57"/>
      <c r="F21" s="57"/>
      <c r="G21" s="57"/>
      <c r="H21" s="57"/>
      <c r="I21" s="57"/>
      <c r="J21" s="62"/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f t="shared" si="1"/>
        <v>0</v>
      </c>
      <c r="X21" s="8">
        <f>+ｶﾞｰﾃﾞﾝ!X21-ｶﾞｰﾃﾞﾝ!Y21</f>
        <v>0</v>
      </c>
    </row>
    <row r="22" spans="1:24" s="8" customFormat="1" ht="11.75" customHeight="1">
      <c r="A22" s="9" t="s">
        <v>35</v>
      </c>
      <c r="B22" s="9"/>
      <c r="C22" s="13" t="s">
        <v>36</v>
      </c>
      <c r="D22" s="2"/>
      <c r="E22" s="2"/>
      <c r="F22" s="2"/>
      <c r="G22" s="2"/>
      <c r="H22" s="2"/>
      <c r="I22" s="2"/>
      <c r="J22" s="11"/>
      <c r="K22" s="12">
        <f>SUM(K23:K25)</f>
        <v>0</v>
      </c>
      <c r="L22" s="12">
        <f t="shared" ref="L22:V22" si="5">SUM(L23:L25)</f>
        <v>0</v>
      </c>
      <c r="M22" s="12">
        <f t="shared" si="5"/>
        <v>0</v>
      </c>
      <c r="N22" s="12">
        <f t="shared" si="5"/>
        <v>230000</v>
      </c>
      <c r="O22" s="12">
        <f t="shared" si="5"/>
        <v>1000000</v>
      </c>
      <c r="P22" s="12">
        <f t="shared" si="5"/>
        <v>1000000</v>
      </c>
      <c r="Q22" s="12">
        <f t="shared" si="5"/>
        <v>1000000</v>
      </c>
      <c r="R22" s="12">
        <f t="shared" si="5"/>
        <v>400000</v>
      </c>
      <c r="S22" s="12">
        <f t="shared" si="5"/>
        <v>0</v>
      </c>
      <c r="T22" s="12">
        <f t="shared" si="5"/>
        <v>0</v>
      </c>
      <c r="U22" s="12">
        <f t="shared" si="5"/>
        <v>0</v>
      </c>
      <c r="V22" s="12">
        <f t="shared" si="5"/>
        <v>0</v>
      </c>
      <c r="W22" s="12">
        <f t="shared" si="1"/>
        <v>3630000</v>
      </c>
      <c r="X22" s="8">
        <f>+ｶﾞｰﾃﾞﾝ!X22-ｶﾞｰﾃﾞﾝ!Y22</f>
        <v>21130143</v>
      </c>
    </row>
    <row r="23" spans="1:24" s="63" customFormat="1" ht="11.75" customHeight="1">
      <c r="A23" s="59" t="s">
        <v>37</v>
      </c>
      <c r="B23" s="59"/>
      <c r="C23" s="59"/>
      <c r="D23" s="64" t="s">
        <v>38</v>
      </c>
      <c r="E23" s="57"/>
      <c r="F23" s="57"/>
      <c r="G23" s="57"/>
      <c r="H23" s="57"/>
      <c r="I23" s="57"/>
      <c r="J23" s="62"/>
      <c r="K23" s="47"/>
      <c r="L23" s="47"/>
      <c r="M23" s="47"/>
      <c r="N23" s="47"/>
      <c r="O23" s="47"/>
      <c r="P23" s="47"/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f t="shared" si="1"/>
        <v>0</v>
      </c>
      <c r="X23" s="8">
        <f>+ｶﾞｰﾃﾞﾝ!X23-ｶﾞｰﾃﾞﾝ!Y23</f>
        <v>18982743</v>
      </c>
    </row>
    <row r="24" spans="1:24" s="63" customFormat="1" ht="11.75" customHeight="1">
      <c r="A24" s="59" t="s">
        <v>39</v>
      </c>
      <c r="B24" s="59"/>
      <c r="C24" s="59"/>
      <c r="D24" s="64" t="s">
        <v>40</v>
      </c>
      <c r="E24" s="57"/>
      <c r="F24" s="57"/>
      <c r="G24" s="57"/>
      <c r="H24" s="57"/>
      <c r="I24" s="57"/>
      <c r="J24" s="62"/>
      <c r="K24" s="47"/>
      <c r="L24" s="47"/>
      <c r="M24" s="47"/>
      <c r="N24" s="47"/>
      <c r="O24" s="47"/>
      <c r="P24" s="47"/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f t="shared" si="1"/>
        <v>0</v>
      </c>
      <c r="X24" s="8">
        <f>+ｶﾞｰﾃﾞﾝ!X24-ｶﾞｰﾃﾞﾝ!Y24</f>
        <v>0</v>
      </c>
    </row>
    <row r="25" spans="1:24" s="63" customFormat="1" ht="11.75" customHeight="1">
      <c r="A25" s="59" t="s">
        <v>41</v>
      </c>
      <c r="B25" s="59"/>
      <c r="C25" s="59"/>
      <c r="D25" s="64" t="s">
        <v>42</v>
      </c>
      <c r="E25" s="57"/>
      <c r="F25" s="57"/>
      <c r="G25" s="57"/>
      <c r="H25" s="57"/>
      <c r="I25" s="57"/>
      <c r="J25" s="62"/>
      <c r="K25" s="47"/>
      <c r="L25" s="47"/>
      <c r="M25" s="47"/>
      <c r="N25" s="47">
        <v>230000</v>
      </c>
      <c r="O25" s="47">
        <v>1000000</v>
      </c>
      <c r="P25" s="47">
        <v>1000000</v>
      </c>
      <c r="Q25" s="47">
        <v>1000000</v>
      </c>
      <c r="R25" s="47">
        <v>400000</v>
      </c>
      <c r="S25" s="47">
        <v>0</v>
      </c>
      <c r="T25" s="47">
        <v>0</v>
      </c>
      <c r="U25" s="47">
        <v>0</v>
      </c>
      <c r="V25" s="47">
        <v>0</v>
      </c>
      <c r="W25" s="47">
        <f t="shared" si="1"/>
        <v>3630000</v>
      </c>
      <c r="X25" s="8">
        <f>+ｶﾞｰﾃﾞﾝ!X25-ｶﾞｰﾃﾞﾝ!Y25</f>
        <v>2147400</v>
      </c>
    </row>
    <row r="26" spans="1:24" s="8" customFormat="1" ht="11.75" customHeight="1">
      <c r="A26" s="9" t="s">
        <v>43</v>
      </c>
      <c r="B26" s="9"/>
      <c r="C26" s="13" t="s">
        <v>44</v>
      </c>
      <c r="D26" s="2"/>
      <c r="E26" s="2"/>
      <c r="F26" s="2"/>
      <c r="G26" s="2"/>
      <c r="H26" s="2"/>
      <c r="I26" s="2"/>
      <c r="J26" s="11"/>
      <c r="K26" s="12">
        <f>SUM(K27:K28)</f>
        <v>0</v>
      </c>
      <c r="L26" s="12">
        <f t="shared" ref="L26:V26" si="6">SUM(L27:L28)</f>
        <v>0</v>
      </c>
      <c r="M26" s="12">
        <f t="shared" si="6"/>
        <v>0</v>
      </c>
      <c r="N26" s="12">
        <f t="shared" si="6"/>
        <v>0</v>
      </c>
      <c r="O26" s="12">
        <f t="shared" si="6"/>
        <v>0</v>
      </c>
      <c r="P26" s="12">
        <f t="shared" si="6"/>
        <v>0</v>
      </c>
      <c r="Q26" s="12">
        <f t="shared" si="6"/>
        <v>0</v>
      </c>
      <c r="R26" s="12">
        <f t="shared" si="6"/>
        <v>0</v>
      </c>
      <c r="S26" s="12">
        <f t="shared" si="6"/>
        <v>0</v>
      </c>
      <c r="T26" s="12">
        <f t="shared" si="6"/>
        <v>0</v>
      </c>
      <c r="U26" s="12">
        <f t="shared" si="6"/>
        <v>0</v>
      </c>
      <c r="V26" s="12">
        <f t="shared" si="6"/>
        <v>0</v>
      </c>
      <c r="W26" s="12">
        <f t="shared" si="1"/>
        <v>0</v>
      </c>
      <c r="X26" s="8">
        <f>+ｶﾞｰﾃﾞﾝ!X26-ｶﾞｰﾃﾞﾝ!Y26</f>
        <v>0</v>
      </c>
    </row>
    <row r="27" spans="1:24" s="63" customFormat="1" ht="11.75" customHeight="1">
      <c r="A27" s="59" t="s">
        <v>45</v>
      </c>
      <c r="B27" s="59"/>
      <c r="C27" s="59"/>
      <c r="D27" s="64" t="s">
        <v>46</v>
      </c>
      <c r="E27" s="57"/>
      <c r="F27" s="57"/>
      <c r="G27" s="57"/>
      <c r="H27" s="57"/>
      <c r="I27" s="57"/>
      <c r="J27" s="62"/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f t="shared" si="1"/>
        <v>0</v>
      </c>
      <c r="X27" s="8">
        <f>+ｶﾞｰﾃﾞﾝ!X27-ｶﾞｰﾃﾞﾝ!Y27</f>
        <v>0</v>
      </c>
    </row>
    <row r="28" spans="1:24" s="63" customFormat="1" ht="11.75" customHeight="1">
      <c r="A28" s="59" t="s">
        <v>47</v>
      </c>
      <c r="B28" s="59"/>
      <c r="C28" s="59"/>
      <c r="D28" s="64" t="s">
        <v>48</v>
      </c>
      <c r="E28" s="57"/>
      <c r="F28" s="57"/>
      <c r="G28" s="57"/>
      <c r="H28" s="57"/>
      <c r="I28" s="57"/>
      <c r="J28" s="62"/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f t="shared" si="1"/>
        <v>0</v>
      </c>
      <c r="X28" s="8">
        <f>+ｶﾞｰﾃﾞﾝ!X28-ｶﾞｰﾃﾞﾝ!Y28</f>
        <v>0</v>
      </c>
    </row>
    <row r="29" spans="1:24" s="63" customFormat="1" ht="11.75" customHeight="1">
      <c r="A29" s="59" t="s">
        <v>49</v>
      </c>
      <c r="B29" s="59"/>
      <c r="C29" s="64" t="s">
        <v>50</v>
      </c>
      <c r="D29" s="57"/>
      <c r="E29" s="57"/>
      <c r="F29" s="57"/>
      <c r="G29" s="57"/>
      <c r="H29" s="57"/>
      <c r="I29" s="57"/>
      <c r="J29" s="62"/>
      <c r="K29" s="47"/>
      <c r="L29" s="47"/>
      <c r="M29" s="47"/>
      <c r="N29" s="47"/>
      <c r="O29" s="47"/>
      <c r="P29" s="47"/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f t="shared" si="1"/>
        <v>0</v>
      </c>
      <c r="X29" s="8">
        <f>+ｶﾞｰﾃﾞﾝ!X29-ｶﾞｰﾃﾞﾝ!Y29</f>
        <v>2900253.3719999995</v>
      </c>
    </row>
    <row r="30" spans="1:24" s="63" customFormat="1" ht="11.75" customHeight="1">
      <c r="A30" s="59" t="s">
        <v>51</v>
      </c>
      <c r="B30" s="59"/>
      <c r="C30" s="64" t="s">
        <v>52</v>
      </c>
      <c r="D30" s="57"/>
      <c r="E30" s="57"/>
      <c r="F30" s="57"/>
      <c r="G30" s="57"/>
      <c r="H30" s="57"/>
      <c r="I30" s="57"/>
      <c r="J30" s="62"/>
      <c r="K30" s="47"/>
      <c r="L30" s="47"/>
      <c r="M30" s="47"/>
      <c r="N30" s="47"/>
      <c r="O30" s="47"/>
      <c r="P30" s="47"/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f t="shared" si="1"/>
        <v>0</v>
      </c>
      <c r="X30" s="8">
        <f>+ｶﾞｰﾃﾞﾝ!X30-ｶﾞｰﾃﾞﾝ!Y30</f>
        <v>21600</v>
      </c>
    </row>
    <row r="31" spans="1:24" s="8" customFormat="1" ht="11.75" customHeight="1">
      <c r="A31" s="9" t="s">
        <v>53</v>
      </c>
      <c r="B31" s="9"/>
      <c r="C31" s="13" t="s">
        <v>54</v>
      </c>
      <c r="D31" s="2"/>
      <c r="E31" s="2"/>
      <c r="F31" s="2"/>
      <c r="G31" s="2"/>
      <c r="H31" s="2"/>
      <c r="I31" s="2"/>
      <c r="J31" s="11"/>
      <c r="K31" s="12">
        <f>SUM(K32:K34)</f>
        <v>0</v>
      </c>
      <c r="L31" s="12">
        <f t="shared" ref="L31:V31" si="7">SUM(L32:L34)</f>
        <v>0</v>
      </c>
      <c r="M31" s="12">
        <f t="shared" si="7"/>
        <v>0</v>
      </c>
      <c r="N31" s="12">
        <f t="shared" si="7"/>
        <v>0</v>
      </c>
      <c r="O31" s="12">
        <f t="shared" si="7"/>
        <v>0</v>
      </c>
      <c r="P31" s="12">
        <f t="shared" si="7"/>
        <v>0</v>
      </c>
      <c r="Q31" s="12">
        <f t="shared" si="7"/>
        <v>0</v>
      </c>
      <c r="R31" s="12">
        <f t="shared" si="7"/>
        <v>0</v>
      </c>
      <c r="S31" s="12">
        <f t="shared" si="7"/>
        <v>0</v>
      </c>
      <c r="T31" s="12">
        <f t="shared" si="7"/>
        <v>0</v>
      </c>
      <c r="U31" s="12">
        <f t="shared" si="7"/>
        <v>0</v>
      </c>
      <c r="V31" s="12">
        <f t="shared" si="7"/>
        <v>0</v>
      </c>
      <c r="W31" s="12">
        <f t="shared" si="1"/>
        <v>0</v>
      </c>
      <c r="X31" s="8">
        <f>+ｶﾞｰﾃﾞﾝ!X31-ｶﾞｰﾃﾞﾝ!Y31</f>
        <v>191400</v>
      </c>
    </row>
    <row r="32" spans="1:24" s="63" customFormat="1" ht="11.75" customHeight="1">
      <c r="A32" s="59" t="s">
        <v>55</v>
      </c>
      <c r="B32" s="59"/>
      <c r="C32" s="59"/>
      <c r="D32" s="64" t="s">
        <v>54</v>
      </c>
      <c r="E32" s="57"/>
      <c r="F32" s="57"/>
      <c r="G32" s="57"/>
      <c r="H32" s="57"/>
      <c r="I32" s="57"/>
      <c r="J32" s="62"/>
      <c r="K32" s="47"/>
      <c r="L32" s="47"/>
      <c r="M32" s="47"/>
      <c r="N32" s="47"/>
      <c r="O32" s="47"/>
      <c r="P32" s="47"/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f t="shared" si="1"/>
        <v>0</v>
      </c>
      <c r="X32" s="8">
        <f>+ｶﾞｰﾃﾞﾝ!X32-ｶﾞｰﾃﾞﾝ!Y32</f>
        <v>32400</v>
      </c>
    </row>
    <row r="33" spans="1:24" s="63" customFormat="1" ht="11.75" customHeight="1">
      <c r="A33" s="59" t="s">
        <v>56</v>
      </c>
      <c r="B33" s="59"/>
      <c r="C33" s="59"/>
      <c r="D33" s="64" t="s">
        <v>57</v>
      </c>
      <c r="E33" s="57"/>
      <c r="F33" s="57"/>
      <c r="G33" s="57"/>
      <c r="H33" s="57"/>
      <c r="I33" s="57"/>
      <c r="J33" s="62"/>
      <c r="K33" s="47"/>
      <c r="L33" s="47"/>
      <c r="M33" s="47"/>
      <c r="N33" s="47"/>
      <c r="O33" s="47"/>
      <c r="P33" s="47"/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f t="shared" si="1"/>
        <v>0</v>
      </c>
      <c r="X33" s="8">
        <f>+ｶﾞｰﾃﾞﾝ!X33-ｶﾞｰﾃﾞﾝ!Y33</f>
        <v>99000</v>
      </c>
    </row>
    <row r="34" spans="1:24" s="63" customFormat="1" ht="11.75" customHeight="1">
      <c r="A34" s="59" t="s">
        <v>58</v>
      </c>
      <c r="B34" s="59"/>
      <c r="C34" s="59"/>
      <c r="D34" s="64" t="s">
        <v>59</v>
      </c>
      <c r="E34" s="57"/>
      <c r="F34" s="57"/>
      <c r="G34" s="57"/>
      <c r="H34" s="57"/>
      <c r="I34" s="57"/>
      <c r="J34" s="62"/>
      <c r="K34" s="47"/>
      <c r="L34" s="47"/>
      <c r="M34" s="47"/>
      <c r="N34" s="47"/>
      <c r="O34" s="47"/>
      <c r="P34" s="47"/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f t="shared" si="1"/>
        <v>0</v>
      </c>
      <c r="X34" s="8">
        <f>+ｶﾞｰﾃﾞﾝ!X34-ｶﾞｰﾃﾞﾝ!Y34</f>
        <v>60000</v>
      </c>
    </row>
    <row r="35" spans="1:24" s="63" customFormat="1" ht="11.75" customHeight="1">
      <c r="A35" s="59" t="s">
        <v>60</v>
      </c>
      <c r="B35" s="59"/>
      <c r="C35" s="64" t="s">
        <v>61</v>
      </c>
      <c r="D35" s="57"/>
      <c r="E35" s="57"/>
      <c r="F35" s="57"/>
      <c r="G35" s="57"/>
      <c r="H35" s="57"/>
      <c r="I35" s="57"/>
      <c r="J35" s="62"/>
      <c r="K35" s="47"/>
      <c r="L35" s="47"/>
      <c r="M35" s="47"/>
      <c r="N35" s="47">
        <v>20000</v>
      </c>
      <c r="O35" s="47">
        <v>100000</v>
      </c>
      <c r="P35" s="47">
        <v>100000</v>
      </c>
      <c r="Q35" s="47">
        <v>100000</v>
      </c>
      <c r="R35" s="47">
        <v>60000</v>
      </c>
      <c r="S35" s="47">
        <v>0</v>
      </c>
      <c r="T35" s="47">
        <v>0</v>
      </c>
      <c r="U35" s="47">
        <v>0</v>
      </c>
      <c r="V35" s="47">
        <v>0</v>
      </c>
      <c r="W35" s="47">
        <f t="shared" si="1"/>
        <v>380000</v>
      </c>
      <c r="X35" s="8">
        <f>+ｶﾞｰﾃﾞﾝ!X35-ｶﾞｰﾃﾞﾝ!Y35</f>
        <v>689186</v>
      </c>
    </row>
    <row r="36" spans="1:24" s="63" customFormat="1" ht="11.75" customHeight="1">
      <c r="A36" s="59" t="s">
        <v>62</v>
      </c>
      <c r="B36" s="59"/>
      <c r="C36" s="64" t="s">
        <v>63</v>
      </c>
      <c r="D36" s="57"/>
      <c r="E36" s="57"/>
      <c r="F36" s="57"/>
      <c r="G36" s="57"/>
      <c r="H36" s="57"/>
      <c r="I36" s="57"/>
      <c r="J36" s="62"/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53">
        <f t="shared" si="1"/>
        <v>0</v>
      </c>
      <c r="X36" s="8">
        <f>+ｶﾞｰﾃﾞﾝ!X36-ｶﾞｰﾃﾞﾝ!Y36</f>
        <v>0</v>
      </c>
    </row>
    <row r="37" spans="1:24" s="8" customFormat="1" ht="11.75" customHeight="1">
      <c r="A37" s="9" t="s">
        <v>64</v>
      </c>
      <c r="B37" s="22" t="s">
        <v>65</v>
      </c>
      <c r="C37" s="23"/>
      <c r="D37" s="23"/>
      <c r="E37" s="23"/>
      <c r="F37" s="23"/>
      <c r="G37" s="23"/>
      <c r="H37" s="23"/>
      <c r="I37" s="23"/>
      <c r="J37" s="24"/>
      <c r="K37" s="25">
        <f>SUM(K38:K41,K46,K50,K57:K58,K61:K67,K70:K72,K78:K80,K83:K84)</f>
        <v>578400</v>
      </c>
      <c r="L37" s="25">
        <f t="shared" ref="L37:V37" si="8">SUM(L38:L41,L46,L50,L57:L58,L61:L67,L70:L72,L78:L80,L83:L84)</f>
        <v>3563283</v>
      </c>
      <c r="M37" s="25">
        <f t="shared" si="8"/>
        <v>5686163</v>
      </c>
      <c r="N37" s="25">
        <f t="shared" si="8"/>
        <v>12581430</v>
      </c>
      <c r="O37" s="25">
        <f t="shared" si="8"/>
        <v>14324683</v>
      </c>
      <c r="P37" s="25">
        <f t="shared" si="8"/>
        <v>15267905</v>
      </c>
      <c r="Q37" s="25">
        <f t="shared" si="8"/>
        <v>11787000</v>
      </c>
      <c r="R37" s="25">
        <f t="shared" si="8"/>
        <v>91500</v>
      </c>
      <c r="S37" s="25">
        <f t="shared" si="8"/>
        <v>91500</v>
      </c>
      <c r="T37" s="25">
        <f t="shared" si="8"/>
        <v>91500</v>
      </c>
      <c r="U37" s="25">
        <f t="shared" si="8"/>
        <v>91500</v>
      </c>
      <c r="V37" s="25">
        <f t="shared" si="8"/>
        <v>91500</v>
      </c>
      <c r="W37" s="25">
        <f t="shared" si="1"/>
        <v>64246364</v>
      </c>
    </row>
    <row r="38" spans="1:24" s="63" customFormat="1" ht="11.75" customHeight="1">
      <c r="A38" s="59" t="s">
        <v>66</v>
      </c>
      <c r="B38" s="60"/>
      <c r="C38" s="61" t="s">
        <v>67</v>
      </c>
      <c r="D38" s="57"/>
      <c r="E38" s="57"/>
      <c r="F38" s="57"/>
      <c r="G38" s="57"/>
      <c r="H38" s="57"/>
      <c r="I38" s="57"/>
      <c r="J38" s="62"/>
      <c r="K38" s="47">
        <v>0</v>
      </c>
      <c r="L38" s="47">
        <v>2313000</v>
      </c>
      <c r="M38" s="47">
        <v>500000</v>
      </c>
      <c r="N38" s="47">
        <v>513000</v>
      </c>
      <c r="O38" s="47">
        <v>513000</v>
      </c>
      <c r="P38" s="47">
        <v>400000</v>
      </c>
      <c r="Q38" s="47">
        <v>200000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f t="shared" si="1"/>
        <v>4439000</v>
      </c>
    </row>
    <row r="39" spans="1:24" s="63" customFormat="1" ht="11.75" customHeight="1">
      <c r="A39" s="59" t="s">
        <v>68</v>
      </c>
      <c r="B39" s="59"/>
      <c r="C39" s="64" t="s">
        <v>69</v>
      </c>
      <c r="D39" s="57"/>
      <c r="E39" s="57"/>
      <c r="F39" s="57"/>
      <c r="G39" s="57"/>
      <c r="H39" s="57"/>
      <c r="I39" s="57"/>
      <c r="J39" s="62"/>
      <c r="K39" s="47">
        <v>0</v>
      </c>
      <c r="L39" s="47">
        <v>10000</v>
      </c>
      <c r="M39" s="47">
        <v>10000</v>
      </c>
      <c r="N39" s="47">
        <v>10000</v>
      </c>
      <c r="O39" s="47">
        <v>10000</v>
      </c>
      <c r="P39" s="47">
        <v>10000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f t="shared" si="1"/>
        <v>50000</v>
      </c>
    </row>
    <row r="40" spans="1:24" s="63" customFormat="1" ht="11.75" customHeight="1">
      <c r="A40" s="59" t="s">
        <v>70</v>
      </c>
      <c r="B40" s="59"/>
      <c r="C40" s="64" t="s">
        <v>71</v>
      </c>
      <c r="D40" s="57"/>
      <c r="E40" s="57"/>
      <c r="F40" s="57"/>
      <c r="G40" s="57"/>
      <c r="H40" s="57"/>
      <c r="I40" s="57"/>
      <c r="J40" s="62"/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f t="shared" si="1"/>
        <v>0</v>
      </c>
    </row>
    <row r="41" spans="1:24" s="8" customFormat="1" ht="11.75" customHeight="1">
      <c r="A41" s="9" t="s">
        <v>72</v>
      </c>
      <c r="B41" s="9"/>
      <c r="C41" s="13" t="s">
        <v>73</v>
      </c>
      <c r="D41" s="2"/>
      <c r="E41" s="2"/>
      <c r="F41" s="2"/>
      <c r="G41" s="2"/>
      <c r="H41" s="2"/>
      <c r="I41" s="2"/>
      <c r="J41" s="11"/>
      <c r="K41" s="12">
        <f>SUM(K42:K45)</f>
        <v>480000</v>
      </c>
      <c r="L41" s="12">
        <f t="shared" ref="L41:V41" si="9">SUM(L42:L45)</f>
        <v>0</v>
      </c>
      <c r="M41" s="12">
        <f t="shared" si="9"/>
        <v>3393500</v>
      </c>
      <c r="N41" s="12">
        <f t="shared" si="9"/>
        <v>4030000</v>
      </c>
      <c r="O41" s="12">
        <f t="shared" si="9"/>
        <v>3720000</v>
      </c>
      <c r="P41" s="12">
        <f t="shared" si="9"/>
        <v>2500000</v>
      </c>
      <c r="Q41" s="12">
        <f t="shared" si="9"/>
        <v>0</v>
      </c>
      <c r="R41" s="12">
        <f t="shared" si="9"/>
        <v>0</v>
      </c>
      <c r="S41" s="12">
        <f t="shared" si="9"/>
        <v>0</v>
      </c>
      <c r="T41" s="12">
        <f t="shared" si="9"/>
        <v>0</v>
      </c>
      <c r="U41" s="12">
        <f t="shared" si="9"/>
        <v>0</v>
      </c>
      <c r="V41" s="12">
        <f t="shared" si="9"/>
        <v>0</v>
      </c>
      <c r="W41" s="12">
        <f t="shared" si="1"/>
        <v>14123500</v>
      </c>
    </row>
    <row r="42" spans="1:24" s="63" customFormat="1" ht="11.75" customHeight="1">
      <c r="A42" s="59" t="s">
        <v>74</v>
      </c>
      <c r="B42" s="59"/>
      <c r="C42" s="59"/>
      <c r="D42" s="64" t="s">
        <v>75</v>
      </c>
      <c r="E42" s="57"/>
      <c r="F42" s="57"/>
      <c r="G42" s="57"/>
      <c r="H42" s="57"/>
      <c r="I42" s="57"/>
      <c r="J42" s="62"/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f t="shared" si="1"/>
        <v>0</v>
      </c>
    </row>
    <row r="43" spans="1:24" s="63" customFormat="1" ht="11.75" customHeight="1">
      <c r="A43" s="59" t="s">
        <v>76</v>
      </c>
      <c r="B43" s="59"/>
      <c r="C43" s="59"/>
      <c r="D43" s="64" t="s">
        <v>77</v>
      </c>
      <c r="E43" s="57"/>
      <c r="F43" s="57"/>
      <c r="G43" s="57"/>
      <c r="H43" s="57"/>
      <c r="I43" s="57"/>
      <c r="J43" s="62"/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/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f t="shared" si="1"/>
        <v>0</v>
      </c>
    </row>
    <row r="44" spans="1:24" s="63" customFormat="1" ht="11.75" customHeight="1">
      <c r="A44" s="59" t="s">
        <v>78</v>
      </c>
      <c r="B44" s="59"/>
      <c r="C44" s="59"/>
      <c r="D44" s="64" t="s">
        <v>79</v>
      </c>
      <c r="E44" s="57"/>
      <c r="F44" s="57"/>
      <c r="G44" s="57"/>
      <c r="H44" s="57"/>
      <c r="I44" s="57"/>
      <c r="J44" s="62"/>
      <c r="K44" s="47">
        <v>480000</v>
      </c>
      <c r="L44" s="47">
        <v>0</v>
      </c>
      <c r="M44" s="47">
        <v>3320000</v>
      </c>
      <c r="N44" s="47">
        <v>4030000</v>
      </c>
      <c r="O44" s="47">
        <v>3720000</v>
      </c>
      <c r="P44" s="47">
        <v>2500000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f t="shared" si="1"/>
        <v>14050000</v>
      </c>
    </row>
    <row r="45" spans="1:24" s="63" customFormat="1" ht="11.75" customHeight="1">
      <c r="A45" s="59" t="s">
        <v>80</v>
      </c>
      <c r="B45" s="59"/>
      <c r="C45" s="59"/>
      <c r="D45" s="64" t="s">
        <v>81</v>
      </c>
      <c r="E45" s="57"/>
      <c r="F45" s="57"/>
      <c r="G45" s="57"/>
      <c r="H45" s="57"/>
      <c r="I45" s="57"/>
      <c r="J45" s="62"/>
      <c r="K45" s="47">
        <v>0</v>
      </c>
      <c r="L45" s="47">
        <v>0</v>
      </c>
      <c r="M45" s="47">
        <v>73500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f t="shared" si="1"/>
        <v>73500</v>
      </c>
    </row>
    <row r="46" spans="1:24" s="8" customFormat="1" ht="11.75" customHeight="1">
      <c r="A46" s="9" t="s">
        <v>82</v>
      </c>
      <c r="B46" s="9"/>
      <c r="C46" s="13" t="s">
        <v>83</v>
      </c>
      <c r="D46" s="2"/>
      <c r="E46" s="2"/>
      <c r="F46" s="2"/>
      <c r="G46" s="2"/>
      <c r="H46" s="2"/>
      <c r="I46" s="2"/>
      <c r="J46" s="11"/>
      <c r="K46" s="12">
        <f>SUM(K47:K49)</f>
        <v>0</v>
      </c>
      <c r="L46" s="12">
        <f t="shared" ref="L46:V46" si="10">SUM(L47:L49)</f>
        <v>0</v>
      </c>
      <c r="M46" s="12">
        <f t="shared" si="10"/>
        <v>0</v>
      </c>
      <c r="N46" s="12">
        <f t="shared" si="10"/>
        <v>0</v>
      </c>
      <c r="O46" s="12">
        <f t="shared" si="10"/>
        <v>0</v>
      </c>
      <c r="P46" s="12">
        <f t="shared" si="10"/>
        <v>0</v>
      </c>
      <c r="Q46" s="12">
        <f t="shared" si="10"/>
        <v>0</v>
      </c>
      <c r="R46" s="12">
        <f t="shared" si="10"/>
        <v>0</v>
      </c>
      <c r="S46" s="12">
        <f t="shared" si="10"/>
        <v>0</v>
      </c>
      <c r="T46" s="12">
        <f t="shared" si="10"/>
        <v>0</v>
      </c>
      <c r="U46" s="12">
        <f t="shared" si="10"/>
        <v>0</v>
      </c>
      <c r="V46" s="12">
        <f t="shared" si="10"/>
        <v>0</v>
      </c>
      <c r="W46" s="12">
        <f t="shared" si="1"/>
        <v>0</v>
      </c>
    </row>
    <row r="47" spans="1:24" s="63" customFormat="1" ht="11.75" customHeight="1">
      <c r="A47" s="59" t="s">
        <v>84</v>
      </c>
      <c r="B47" s="59"/>
      <c r="C47" s="59"/>
      <c r="D47" s="64" t="s">
        <v>85</v>
      </c>
      <c r="E47" s="57"/>
      <c r="F47" s="57"/>
      <c r="G47" s="57"/>
      <c r="H47" s="57"/>
      <c r="I47" s="57"/>
      <c r="J47" s="62"/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f t="shared" si="1"/>
        <v>0</v>
      </c>
    </row>
    <row r="48" spans="1:24" s="63" customFormat="1" ht="11.75" customHeight="1">
      <c r="A48" s="59" t="s">
        <v>86</v>
      </c>
      <c r="B48" s="59"/>
      <c r="C48" s="59"/>
      <c r="D48" s="64" t="s">
        <v>87</v>
      </c>
      <c r="E48" s="57"/>
      <c r="F48" s="57"/>
      <c r="G48" s="57"/>
      <c r="H48" s="57"/>
      <c r="I48" s="57"/>
      <c r="J48" s="62"/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f t="shared" si="1"/>
        <v>0</v>
      </c>
    </row>
    <row r="49" spans="1:23" s="63" customFormat="1" ht="11.75" customHeight="1">
      <c r="A49" s="59" t="s">
        <v>88</v>
      </c>
      <c r="B49" s="59"/>
      <c r="C49" s="59"/>
      <c r="D49" s="64" t="s">
        <v>89</v>
      </c>
      <c r="E49" s="57"/>
      <c r="F49" s="57"/>
      <c r="G49" s="57"/>
      <c r="H49" s="57"/>
      <c r="I49" s="57"/>
      <c r="J49" s="62"/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f t="shared" si="1"/>
        <v>0</v>
      </c>
    </row>
    <row r="50" spans="1:23" s="8" customFormat="1" ht="11.75" customHeight="1">
      <c r="A50" s="9" t="s">
        <v>90</v>
      </c>
      <c r="B50" s="9"/>
      <c r="C50" s="13" t="s">
        <v>91</v>
      </c>
      <c r="D50" s="2"/>
      <c r="E50" s="2"/>
      <c r="F50" s="2"/>
      <c r="G50" s="2"/>
      <c r="H50" s="2"/>
      <c r="I50" s="2"/>
      <c r="J50" s="11"/>
      <c r="K50" s="12">
        <f>SUM(K51:K56)</f>
        <v>0</v>
      </c>
      <c r="L50" s="12">
        <f t="shared" ref="L50:V50" si="11">SUM(L51:L56)</f>
        <v>0</v>
      </c>
      <c r="M50" s="12">
        <f t="shared" si="11"/>
        <v>0</v>
      </c>
      <c r="N50" s="12">
        <f t="shared" si="11"/>
        <v>0</v>
      </c>
      <c r="O50" s="12">
        <f t="shared" si="11"/>
        <v>0</v>
      </c>
      <c r="P50" s="12">
        <f t="shared" si="11"/>
        <v>0</v>
      </c>
      <c r="Q50" s="12">
        <f t="shared" si="11"/>
        <v>150000</v>
      </c>
      <c r="R50" s="12">
        <f t="shared" si="11"/>
        <v>0</v>
      </c>
      <c r="S50" s="12">
        <f t="shared" si="11"/>
        <v>0</v>
      </c>
      <c r="T50" s="12">
        <f t="shared" si="11"/>
        <v>0</v>
      </c>
      <c r="U50" s="12">
        <f t="shared" si="11"/>
        <v>0</v>
      </c>
      <c r="V50" s="12">
        <f t="shared" si="11"/>
        <v>0</v>
      </c>
      <c r="W50" s="12">
        <f t="shared" si="1"/>
        <v>150000</v>
      </c>
    </row>
    <row r="51" spans="1:23" s="63" customFormat="1" ht="11.75" customHeight="1">
      <c r="A51" s="59" t="s">
        <v>92</v>
      </c>
      <c r="B51" s="59"/>
      <c r="C51" s="59"/>
      <c r="D51" s="64" t="s">
        <v>93</v>
      </c>
      <c r="E51" s="57"/>
      <c r="F51" s="57"/>
      <c r="G51" s="57"/>
      <c r="H51" s="57"/>
      <c r="I51" s="57"/>
      <c r="J51" s="62"/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f t="shared" si="1"/>
        <v>0</v>
      </c>
    </row>
    <row r="52" spans="1:23" s="63" customFormat="1" ht="11.75" customHeight="1">
      <c r="A52" s="59" t="s">
        <v>94</v>
      </c>
      <c r="B52" s="59"/>
      <c r="C52" s="59"/>
      <c r="D52" s="64" t="s">
        <v>95</v>
      </c>
      <c r="E52" s="57"/>
      <c r="F52" s="57"/>
      <c r="G52" s="57"/>
      <c r="H52" s="57"/>
      <c r="I52" s="57"/>
      <c r="J52" s="62"/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f t="shared" si="1"/>
        <v>0</v>
      </c>
    </row>
    <row r="53" spans="1:23" s="63" customFormat="1" ht="11.75" customHeight="1">
      <c r="A53" s="59" t="s">
        <v>96</v>
      </c>
      <c r="B53" s="59"/>
      <c r="C53" s="59"/>
      <c r="D53" s="64" t="s">
        <v>97</v>
      </c>
      <c r="E53" s="57"/>
      <c r="F53" s="57"/>
      <c r="G53" s="57"/>
      <c r="H53" s="57"/>
      <c r="I53" s="57"/>
      <c r="J53" s="62"/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f t="shared" si="1"/>
        <v>0</v>
      </c>
    </row>
    <row r="54" spans="1:23" s="63" customFormat="1" ht="11.75" customHeight="1">
      <c r="A54" s="59" t="s">
        <v>98</v>
      </c>
      <c r="B54" s="59"/>
      <c r="C54" s="59"/>
      <c r="D54" s="64" t="s">
        <v>99</v>
      </c>
      <c r="E54" s="57"/>
      <c r="F54" s="57"/>
      <c r="G54" s="57"/>
      <c r="H54" s="57"/>
      <c r="I54" s="57"/>
      <c r="J54" s="62"/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f t="shared" si="1"/>
        <v>0</v>
      </c>
    </row>
    <row r="55" spans="1:23" s="63" customFormat="1" ht="11.75" customHeight="1">
      <c r="A55" s="59" t="s">
        <v>100</v>
      </c>
      <c r="B55" s="59"/>
      <c r="C55" s="59"/>
      <c r="D55" s="64" t="s">
        <v>101</v>
      </c>
      <c r="E55" s="57"/>
      <c r="F55" s="57"/>
      <c r="G55" s="57"/>
      <c r="H55" s="57"/>
      <c r="I55" s="57"/>
      <c r="J55" s="62"/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150000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f t="shared" si="1"/>
        <v>150000</v>
      </c>
    </row>
    <row r="56" spans="1:23" s="63" customFormat="1" ht="11.75" customHeight="1">
      <c r="A56" s="59" t="s">
        <v>102</v>
      </c>
      <c r="B56" s="59"/>
      <c r="C56" s="59"/>
      <c r="D56" s="64" t="s">
        <v>103</v>
      </c>
      <c r="E56" s="57"/>
      <c r="F56" s="57"/>
      <c r="G56" s="57"/>
      <c r="H56" s="57"/>
      <c r="I56" s="57"/>
      <c r="J56" s="62"/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f t="shared" si="1"/>
        <v>0</v>
      </c>
    </row>
    <row r="57" spans="1:23" s="63" customFormat="1" ht="11.75" customHeight="1">
      <c r="A57" s="59" t="s">
        <v>104</v>
      </c>
      <c r="B57" s="59"/>
      <c r="C57" s="64" t="s">
        <v>105</v>
      </c>
      <c r="D57" s="57"/>
      <c r="E57" s="57"/>
      <c r="F57" s="57"/>
      <c r="G57" s="57"/>
      <c r="H57" s="57"/>
      <c r="I57" s="57"/>
      <c r="J57" s="62"/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f t="shared" si="1"/>
        <v>0</v>
      </c>
    </row>
    <row r="58" spans="1:23" s="8" customFormat="1" ht="11.75" customHeight="1">
      <c r="A58" s="9" t="s">
        <v>106</v>
      </c>
      <c r="B58" s="9"/>
      <c r="C58" s="13" t="s">
        <v>107</v>
      </c>
      <c r="D58" s="2"/>
      <c r="E58" s="2"/>
      <c r="F58" s="2"/>
      <c r="G58" s="2"/>
      <c r="H58" s="2"/>
      <c r="I58" s="2"/>
      <c r="J58" s="11"/>
      <c r="K58" s="12">
        <f>SUM(K59:K60)</f>
        <v>0</v>
      </c>
      <c r="L58" s="12">
        <f t="shared" ref="L58:V58" si="12">SUM(L59:L60)</f>
        <v>87000</v>
      </c>
      <c r="M58" s="12">
        <f t="shared" si="12"/>
        <v>0</v>
      </c>
      <c r="N58" s="12">
        <f t="shared" si="12"/>
        <v>87000</v>
      </c>
      <c r="O58" s="12">
        <f t="shared" si="12"/>
        <v>0</v>
      </c>
      <c r="P58" s="12">
        <f t="shared" si="12"/>
        <v>87000</v>
      </c>
      <c r="Q58" s="12">
        <f t="shared" si="12"/>
        <v>0</v>
      </c>
      <c r="R58" s="12">
        <f t="shared" si="12"/>
        <v>0</v>
      </c>
      <c r="S58" s="12">
        <f t="shared" si="12"/>
        <v>0</v>
      </c>
      <c r="T58" s="12">
        <f t="shared" si="12"/>
        <v>0</v>
      </c>
      <c r="U58" s="12">
        <f t="shared" si="12"/>
        <v>0</v>
      </c>
      <c r="V58" s="12">
        <f t="shared" si="12"/>
        <v>0</v>
      </c>
      <c r="W58" s="12">
        <f t="shared" si="1"/>
        <v>261000</v>
      </c>
    </row>
    <row r="59" spans="1:23" s="63" customFormat="1" ht="11.75" customHeight="1">
      <c r="A59" s="59" t="s">
        <v>108</v>
      </c>
      <c r="B59" s="59"/>
      <c r="C59" s="59"/>
      <c r="D59" s="64" t="s">
        <v>107</v>
      </c>
      <c r="E59" s="57"/>
      <c r="F59" s="57"/>
      <c r="G59" s="57"/>
      <c r="H59" s="57"/>
      <c r="I59" s="57"/>
      <c r="J59" s="62"/>
      <c r="K59" s="47">
        <v>0</v>
      </c>
      <c r="L59" s="47">
        <v>87000</v>
      </c>
      <c r="M59" s="47">
        <v>0</v>
      </c>
      <c r="N59" s="47">
        <v>87000</v>
      </c>
      <c r="O59" s="47">
        <v>0</v>
      </c>
      <c r="P59" s="47">
        <v>87000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f t="shared" si="1"/>
        <v>261000</v>
      </c>
    </row>
    <row r="60" spans="1:23" s="63" customFormat="1" ht="11.75" customHeight="1">
      <c r="A60" s="59" t="s">
        <v>109</v>
      </c>
      <c r="B60" s="59"/>
      <c r="C60" s="59"/>
      <c r="D60" s="64" t="s">
        <v>110</v>
      </c>
      <c r="E60" s="57"/>
      <c r="F60" s="57"/>
      <c r="G60" s="57"/>
      <c r="H60" s="57"/>
      <c r="I60" s="57"/>
      <c r="J60" s="62"/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f t="shared" si="1"/>
        <v>0</v>
      </c>
    </row>
    <row r="61" spans="1:23" s="63" customFormat="1" ht="11.75" customHeight="1">
      <c r="A61" s="59" t="s">
        <v>111</v>
      </c>
      <c r="B61" s="59"/>
      <c r="C61" s="64" t="s">
        <v>112</v>
      </c>
      <c r="D61" s="57"/>
      <c r="E61" s="57"/>
      <c r="F61" s="57"/>
      <c r="G61" s="57"/>
      <c r="H61" s="57"/>
      <c r="I61" s="57"/>
      <c r="J61" s="62"/>
      <c r="K61" s="47">
        <v>0</v>
      </c>
      <c r="L61" s="47">
        <v>0</v>
      </c>
      <c r="M61" s="47">
        <v>50000</v>
      </c>
      <c r="N61" s="47">
        <v>200000</v>
      </c>
      <c r="O61" s="47">
        <v>200000</v>
      </c>
      <c r="P61" s="47">
        <v>200000</v>
      </c>
      <c r="Q61" s="47">
        <v>50000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f t="shared" si="1"/>
        <v>700000</v>
      </c>
    </row>
    <row r="62" spans="1:23" s="63" customFormat="1" ht="11.75" customHeight="1">
      <c r="A62" s="59" t="s">
        <v>113</v>
      </c>
      <c r="B62" s="59"/>
      <c r="C62" s="64" t="s">
        <v>114</v>
      </c>
      <c r="D62" s="57"/>
      <c r="E62" s="57"/>
      <c r="F62" s="57"/>
      <c r="G62" s="57"/>
      <c r="H62" s="57"/>
      <c r="I62" s="57"/>
      <c r="J62" s="62"/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f t="shared" si="1"/>
        <v>0</v>
      </c>
    </row>
    <row r="63" spans="1:23" s="63" customFormat="1" ht="11.75" customHeight="1">
      <c r="A63" s="59" t="s">
        <v>115</v>
      </c>
      <c r="B63" s="59"/>
      <c r="C63" s="64" t="s">
        <v>116</v>
      </c>
      <c r="D63" s="57"/>
      <c r="E63" s="57"/>
      <c r="F63" s="57"/>
      <c r="G63" s="57"/>
      <c r="H63" s="57"/>
      <c r="I63" s="57"/>
      <c r="J63" s="62"/>
      <c r="K63" s="47">
        <v>6900</v>
      </c>
      <c r="L63" s="47">
        <v>0</v>
      </c>
      <c r="M63" s="47">
        <v>5000</v>
      </c>
      <c r="N63" s="47">
        <v>5000</v>
      </c>
      <c r="O63" s="47">
        <v>5000</v>
      </c>
      <c r="P63" s="47">
        <v>5000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f t="shared" si="1"/>
        <v>26900</v>
      </c>
    </row>
    <row r="64" spans="1:23" s="63" customFormat="1" ht="11.75" customHeight="1">
      <c r="A64" s="59" t="s">
        <v>117</v>
      </c>
      <c r="B64" s="59"/>
      <c r="C64" s="64" t="s">
        <v>118</v>
      </c>
      <c r="D64" s="57"/>
      <c r="E64" s="57"/>
      <c r="F64" s="57"/>
      <c r="G64" s="57"/>
      <c r="H64" s="57"/>
      <c r="I64" s="57"/>
      <c r="J64" s="62"/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f t="shared" si="1"/>
        <v>0</v>
      </c>
    </row>
    <row r="65" spans="1:23" s="63" customFormat="1" ht="11.75" customHeight="1">
      <c r="A65" s="59" t="s">
        <v>119</v>
      </c>
      <c r="B65" s="59"/>
      <c r="C65" s="64" t="s">
        <v>120</v>
      </c>
      <c r="D65" s="57"/>
      <c r="E65" s="57"/>
      <c r="F65" s="57"/>
      <c r="G65" s="57"/>
      <c r="H65" s="57"/>
      <c r="I65" s="57"/>
      <c r="J65" s="62"/>
      <c r="K65" s="47">
        <v>29000</v>
      </c>
      <c r="L65" s="47">
        <v>249500</v>
      </c>
      <c r="M65" s="47">
        <v>1297000</v>
      </c>
      <c r="N65" s="47">
        <v>7002000</v>
      </c>
      <c r="O65" s="47">
        <v>8662000</v>
      </c>
      <c r="P65" s="47">
        <v>11182000</v>
      </c>
      <c r="Q65" s="47">
        <v>11174000</v>
      </c>
      <c r="R65" s="47">
        <v>29000</v>
      </c>
      <c r="S65" s="47">
        <v>29000</v>
      </c>
      <c r="T65" s="47">
        <v>29000</v>
      </c>
      <c r="U65" s="47">
        <v>29000</v>
      </c>
      <c r="V65" s="47">
        <v>29000</v>
      </c>
      <c r="W65" s="47">
        <f t="shared" si="1"/>
        <v>39740500</v>
      </c>
    </row>
    <row r="66" spans="1:23" s="63" customFormat="1" ht="11.75" customHeight="1">
      <c r="A66" s="59" t="s">
        <v>121</v>
      </c>
      <c r="B66" s="59"/>
      <c r="C66" s="64" t="s">
        <v>122</v>
      </c>
      <c r="D66" s="57"/>
      <c r="E66" s="57"/>
      <c r="F66" s="57"/>
      <c r="G66" s="57"/>
      <c r="H66" s="57"/>
      <c r="I66" s="57"/>
      <c r="J66" s="62"/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f t="shared" si="1"/>
        <v>0</v>
      </c>
    </row>
    <row r="67" spans="1:23" s="8" customFormat="1" ht="11.75" customHeight="1">
      <c r="A67" s="9" t="s">
        <v>123</v>
      </c>
      <c r="B67" s="9"/>
      <c r="C67" s="13" t="s">
        <v>124</v>
      </c>
      <c r="D67" s="2"/>
      <c r="E67" s="2"/>
      <c r="F67" s="2"/>
      <c r="G67" s="2"/>
      <c r="H67" s="2"/>
      <c r="I67" s="2"/>
      <c r="J67" s="11"/>
      <c r="K67" s="12">
        <f>SUM(K68:K69)</f>
        <v>0</v>
      </c>
      <c r="L67" s="12">
        <f t="shared" ref="L67:V67" si="13">SUM(L68:L69)</f>
        <v>120000</v>
      </c>
      <c r="M67" s="12">
        <f t="shared" si="13"/>
        <v>215000</v>
      </c>
      <c r="N67" s="12">
        <f t="shared" si="13"/>
        <v>420000</v>
      </c>
      <c r="O67" s="12">
        <f t="shared" si="13"/>
        <v>765000</v>
      </c>
      <c r="P67" s="12">
        <f t="shared" si="13"/>
        <v>400000</v>
      </c>
      <c r="Q67" s="12">
        <f t="shared" si="13"/>
        <v>0</v>
      </c>
      <c r="R67" s="12">
        <f t="shared" si="13"/>
        <v>0</v>
      </c>
      <c r="S67" s="12">
        <f t="shared" si="13"/>
        <v>0</v>
      </c>
      <c r="T67" s="12">
        <f t="shared" si="13"/>
        <v>0</v>
      </c>
      <c r="U67" s="12">
        <f t="shared" si="13"/>
        <v>0</v>
      </c>
      <c r="V67" s="12">
        <f t="shared" si="13"/>
        <v>0</v>
      </c>
      <c r="W67" s="12">
        <f t="shared" si="1"/>
        <v>1920000</v>
      </c>
    </row>
    <row r="68" spans="1:23" s="63" customFormat="1" ht="11.75" customHeight="1">
      <c r="A68" s="59" t="s">
        <v>125</v>
      </c>
      <c r="B68" s="59"/>
      <c r="C68" s="59"/>
      <c r="D68" s="64" t="s">
        <v>124</v>
      </c>
      <c r="E68" s="57"/>
      <c r="F68" s="57"/>
      <c r="G68" s="57"/>
      <c r="H68" s="57"/>
      <c r="I68" s="57"/>
      <c r="J68" s="62"/>
      <c r="K68" s="47">
        <v>0</v>
      </c>
      <c r="L68" s="47">
        <v>120000</v>
      </c>
      <c r="M68" s="47">
        <v>215000</v>
      </c>
      <c r="N68" s="47">
        <v>420000</v>
      </c>
      <c r="O68" s="47">
        <v>765000</v>
      </c>
      <c r="P68" s="47">
        <v>400000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f t="shared" si="1"/>
        <v>1920000</v>
      </c>
    </row>
    <row r="69" spans="1:23" s="63" customFormat="1" ht="11.75" customHeight="1">
      <c r="A69" s="59" t="s">
        <v>126</v>
      </c>
      <c r="B69" s="59"/>
      <c r="C69" s="59"/>
      <c r="D69" s="64" t="s">
        <v>127</v>
      </c>
      <c r="E69" s="57"/>
      <c r="F69" s="57"/>
      <c r="G69" s="57"/>
      <c r="H69" s="57"/>
      <c r="I69" s="57"/>
      <c r="J69" s="62"/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f t="shared" si="1"/>
        <v>0</v>
      </c>
    </row>
    <row r="70" spans="1:23" s="63" customFormat="1" ht="11.75" customHeight="1">
      <c r="A70" s="59" t="s">
        <v>128</v>
      </c>
      <c r="B70" s="59"/>
      <c r="C70" s="64" t="s">
        <v>129</v>
      </c>
      <c r="D70" s="57"/>
      <c r="E70" s="57"/>
      <c r="F70" s="57"/>
      <c r="G70" s="57"/>
      <c r="H70" s="57"/>
      <c r="I70" s="57"/>
      <c r="J70" s="62"/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f t="shared" si="1"/>
        <v>0</v>
      </c>
    </row>
    <row r="71" spans="1:23" s="63" customFormat="1" ht="11.75" customHeight="1">
      <c r="A71" s="59" t="s">
        <v>130</v>
      </c>
      <c r="B71" s="59"/>
      <c r="C71" s="64" t="s">
        <v>131</v>
      </c>
      <c r="D71" s="57"/>
      <c r="E71" s="57"/>
      <c r="F71" s="57"/>
      <c r="G71" s="57"/>
      <c r="H71" s="57"/>
      <c r="I71" s="57"/>
      <c r="J71" s="62"/>
      <c r="K71" s="47">
        <v>0</v>
      </c>
      <c r="L71" s="47">
        <v>3783</v>
      </c>
      <c r="M71" s="47">
        <v>22963</v>
      </c>
      <c r="N71" s="47">
        <v>16930</v>
      </c>
      <c r="O71" s="47">
        <v>12183</v>
      </c>
      <c r="P71" s="47">
        <v>21405</v>
      </c>
      <c r="Q71" s="47">
        <v>500</v>
      </c>
      <c r="R71" s="47">
        <v>0</v>
      </c>
      <c r="S71" s="47">
        <v>0</v>
      </c>
      <c r="T71" s="47">
        <v>0</v>
      </c>
      <c r="U71" s="47">
        <v>0</v>
      </c>
      <c r="V71" s="47">
        <v>0</v>
      </c>
      <c r="W71" s="47">
        <f t="shared" ref="W71:W118" si="14">SUM(K71:V71)</f>
        <v>77764</v>
      </c>
    </row>
    <row r="72" spans="1:23" s="8" customFormat="1" ht="11.75" customHeight="1">
      <c r="A72" s="9" t="s">
        <v>132</v>
      </c>
      <c r="B72" s="9"/>
      <c r="C72" s="13" t="s">
        <v>133</v>
      </c>
      <c r="D72" s="2"/>
      <c r="E72" s="2"/>
      <c r="F72" s="2"/>
      <c r="G72" s="2"/>
      <c r="H72" s="2"/>
      <c r="I72" s="2"/>
      <c r="J72" s="11"/>
      <c r="K72" s="12">
        <f>SUM(K73:K77)</f>
        <v>0</v>
      </c>
      <c r="L72" s="12">
        <f t="shared" ref="L72:V72" si="15">SUM(L73:L77)</f>
        <v>0</v>
      </c>
      <c r="M72" s="12">
        <f t="shared" si="15"/>
        <v>30000</v>
      </c>
      <c r="N72" s="12">
        <f t="shared" si="15"/>
        <v>135000</v>
      </c>
      <c r="O72" s="12">
        <f t="shared" si="15"/>
        <v>275000</v>
      </c>
      <c r="P72" s="12">
        <f t="shared" si="15"/>
        <v>300000</v>
      </c>
      <c r="Q72" s="12">
        <f t="shared" si="15"/>
        <v>150000</v>
      </c>
      <c r="R72" s="12">
        <f t="shared" si="15"/>
        <v>0</v>
      </c>
      <c r="S72" s="12">
        <f t="shared" si="15"/>
        <v>0</v>
      </c>
      <c r="T72" s="12">
        <f t="shared" si="15"/>
        <v>0</v>
      </c>
      <c r="U72" s="12">
        <f t="shared" si="15"/>
        <v>0</v>
      </c>
      <c r="V72" s="12">
        <f t="shared" si="15"/>
        <v>0</v>
      </c>
      <c r="W72" s="12">
        <f t="shared" si="14"/>
        <v>890000</v>
      </c>
    </row>
    <row r="73" spans="1:23" s="63" customFormat="1" ht="11.75" customHeight="1">
      <c r="A73" s="59" t="s">
        <v>134</v>
      </c>
      <c r="B73" s="59"/>
      <c r="C73" s="59"/>
      <c r="D73" s="64" t="s">
        <v>135</v>
      </c>
      <c r="E73" s="57"/>
      <c r="F73" s="57"/>
      <c r="G73" s="57"/>
      <c r="H73" s="57"/>
      <c r="I73" s="57"/>
      <c r="J73" s="62"/>
      <c r="K73" s="47">
        <v>0</v>
      </c>
      <c r="L73" s="47">
        <v>0</v>
      </c>
      <c r="M73" s="47">
        <v>25000</v>
      </c>
      <c r="N73" s="47">
        <v>100000</v>
      </c>
      <c r="O73" s="47">
        <v>200000</v>
      </c>
      <c r="P73" s="47">
        <v>200000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f t="shared" si="14"/>
        <v>525000</v>
      </c>
    </row>
    <row r="74" spans="1:23" s="63" customFormat="1" ht="11.75" customHeight="1">
      <c r="A74" s="59" t="s">
        <v>136</v>
      </c>
      <c r="B74" s="59"/>
      <c r="C74" s="59"/>
      <c r="D74" s="64" t="s">
        <v>137</v>
      </c>
      <c r="E74" s="57"/>
      <c r="F74" s="57"/>
      <c r="G74" s="57"/>
      <c r="H74" s="57"/>
      <c r="I74" s="57"/>
      <c r="J74" s="62"/>
      <c r="K74" s="47">
        <v>0</v>
      </c>
      <c r="L74" s="47">
        <v>0</v>
      </c>
      <c r="M74" s="47">
        <v>5000</v>
      </c>
      <c r="N74" s="47">
        <v>35000</v>
      </c>
      <c r="O74" s="47">
        <v>75000</v>
      </c>
      <c r="P74" s="47">
        <v>100000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f t="shared" si="14"/>
        <v>215000</v>
      </c>
    </row>
    <row r="75" spans="1:23" s="63" customFormat="1" ht="11.75" customHeight="1">
      <c r="A75" s="59" t="s">
        <v>138</v>
      </c>
      <c r="B75" s="59"/>
      <c r="C75" s="59"/>
      <c r="D75" s="64" t="s">
        <v>139</v>
      </c>
      <c r="E75" s="57"/>
      <c r="F75" s="57"/>
      <c r="G75" s="57"/>
      <c r="H75" s="57"/>
      <c r="I75" s="57"/>
      <c r="J75" s="62"/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150000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f t="shared" si="14"/>
        <v>150000</v>
      </c>
    </row>
    <row r="76" spans="1:23" s="63" customFormat="1" ht="11.75" customHeight="1">
      <c r="A76" s="59" t="s">
        <v>140</v>
      </c>
      <c r="B76" s="59"/>
      <c r="C76" s="59"/>
      <c r="D76" s="64" t="s">
        <v>141</v>
      </c>
      <c r="E76" s="57"/>
      <c r="F76" s="57"/>
      <c r="G76" s="57"/>
      <c r="H76" s="57"/>
      <c r="I76" s="57"/>
      <c r="J76" s="62"/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f t="shared" si="14"/>
        <v>0</v>
      </c>
    </row>
    <row r="77" spans="1:23" s="63" customFormat="1" ht="11.75" customHeight="1">
      <c r="A77" s="59" t="s">
        <v>142</v>
      </c>
      <c r="B77" s="59"/>
      <c r="C77" s="59"/>
      <c r="D77" s="64" t="s">
        <v>143</v>
      </c>
      <c r="E77" s="57"/>
      <c r="F77" s="57"/>
      <c r="G77" s="57"/>
      <c r="H77" s="57"/>
      <c r="I77" s="57"/>
      <c r="J77" s="62"/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f t="shared" si="14"/>
        <v>0</v>
      </c>
    </row>
    <row r="78" spans="1:23" s="63" customFormat="1" ht="11.75" customHeight="1">
      <c r="A78" s="59" t="s">
        <v>144</v>
      </c>
      <c r="B78" s="59"/>
      <c r="C78" s="64" t="s">
        <v>145</v>
      </c>
      <c r="D78" s="57"/>
      <c r="E78" s="57"/>
      <c r="F78" s="57"/>
      <c r="G78" s="57"/>
      <c r="H78" s="57"/>
      <c r="I78" s="57"/>
      <c r="J78" s="62"/>
      <c r="K78" s="47">
        <v>0</v>
      </c>
      <c r="L78" s="47">
        <v>17500</v>
      </c>
      <c r="M78" s="47">
        <v>200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f t="shared" si="14"/>
        <v>17700</v>
      </c>
    </row>
    <row r="79" spans="1:23" s="63" customFormat="1" ht="11.75" customHeight="1">
      <c r="A79" s="59" t="s">
        <v>146</v>
      </c>
      <c r="B79" s="59"/>
      <c r="C79" s="64" t="s">
        <v>147</v>
      </c>
      <c r="D79" s="57"/>
      <c r="E79" s="57"/>
      <c r="F79" s="57"/>
      <c r="G79" s="57"/>
      <c r="H79" s="57"/>
      <c r="I79" s="57"/>
      <c r="J79" s="62"/>
      <c r="K79" s="47">
        <v>62500</v>
      </c>
      <c r="L79" s="47">
        <v>762500</v>
      </c>
      <c r="M79" s="47">
        <v>162500</v>
      </c>
      <c r="N79" s="47">
        <v>162500</v>
      </c>
      <c r="O79" s="47">
        <v>162500</v>
      </c>
      <c r="P79" s="47">
        <v>162500</v>
      </c>
      <c r="Q79" s="47">
        <v>62500</v>
      </c>
      <c r="R79" s="47">
        <v>62500</v>
      </c>
      <c r="S79" s="47">
        <v>62500</v>
      </c>
      <c r="T79" s="47">
        <v>62500</v>
      </c>
      <c r="U79" s="47">
        <v>62500</v>
      </c>
      <c r="V79" s="47">
        <v>62500</v>
      </c>
      <c r="W79" s="47">
        <f t="shared" si="14"/>
        <v>1850000</v>
      </c>
    </row>
    <row r="80" spans="1:23" s="8" customFormat="1" ht="11.75" customHeight="1">
      <c r="A80" s="9" t="s">
        <v>148</v>
      </c>
      <c r="B80" s="9"/>
      <c r="C80" s="13" t="s">
        <v>149</v>
      </c>
      <c r="D80" s="2"/>
      <c r="E80" s="2"/>
      <c r="F80" s="2"/>
      <c r="G80" s="2"/>
      <c r="H80" s="2"/>
      <c r="I80" s="2"/>
      <c r="J80" s="11"/>
      <c r="K80" s="12">
        <f>SUM(K81:K82)</f>
        <v>0</v>
      </c>
      <c r="L80" s="12">
        <f t="shared" ref="L80:V80" si="16">SUM(L81:L82)</f>
        <v>0</v>
      </c>
      <c r="M80" s="12">
        <f t="shared" si="16"/>
        <v>0</v>
      </c>
      <c r="N80" s="12">
        <f t="shared" si="16"/>
        <v>0</v>
      </c>
      <c r="O80" s="12">
        <f t="shared" si="16"/>
        <v>0</v>
      </c>
      <c r="P80" s="12">
        <f t="shared" si="16"/>
        <v>0</v>
      </c>
      <c r="Q80" s="12">
        <f t="shared" si="16"/>
        <v>0</v>
      </c>
      <c r="R80" s="12">
        <f t="shared" si="16"/>
        <v>0</v>
      </c>
      <c r="S80" s="12">
        <f t="shared" si="16"/>
        <v>0</v>
      </c>
      <c r="T80" s="12">
        <f t="shared" si="16"/>
        <v>0</v>
      </c>
      <c r="U80" s="12">
        <f t="shared" si="16"/>
        <v>0</v>
      </c>
      <c r="V80" s="12">
        <f t="shared" si="16"/>
        <v>0</v>
      </c>
      <c r="W80" s="12">
        <f t="shared" si="14"/>
        <v>0</v>
      </c>
    </row>
    <row r="81" spans="1:23" s="63" customFormat="1" ht="11.75" customHeight="1">
      <c r="A81" s="59" t="s">
        <v>150</v>
      </c>
      <c r="B81" s="59"/>
      <c r="C81" s="59"/>
      <c r="D81" s="64" t="s">
        <v>151</v>
      </c>
      <c r="E81" s="57"/>
      <c r="F81" s="57"/>
      <c r="G81" s="57"/>
      <c r="H81" s="57"/>
      <c r="I81" s="57"/>
      <c r="J81" s="62"/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f t="shared" si="14"/>
        <v>0</v>
      </c>
    </row>
    <row r="82" spans="1:23" s="63" customFormat="1" ht="11.75" customHeight="1">
      <c r="A82" s="59" t="s">
        <v>152</v>
      </c>
      <c r="B82" s="59"/>
      <c r="C82" s="59"/>
      <c r="D82" s="64" t="s">
        <v>153</v>
      </c>
      <c r="E82" s="57"/>
      <c r="F82" s="57"/>
      <c r="G82" s="57"/>
      <c r="H82" s="57"/>
      <c r="I82" s="57"/>
      <c r="J82" s="62"/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f t="shared" si="14"/>
        <v>0</v>
      </c>
    </row>
    <row r="83" spans="1:23" s="63" customFormat="1" ht="11.75" customHeight="1">
      <c r="A83" s="59" t="s">
        <v>154</v>
      </c>
      <c r="B83" s="59"/>
      <c r="C83" s="64" t="s">
        <v>155</v>
      </c>
      <c r="D83" s="57"/>
      <c r="E83" s="57"/>
      <c r="F83" s="57"/>
      <c r="G83" s="57"/>
      <c r="H83" s="57"/>
      <c r="I83" s="57"/>
      <c r="J83" s="62"/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f t="shared" si="14"/>
        <v>0</v>
      </c>
    </row>
    <row r="84" spans="1:23" s="63" customFormat="1" ht="11.75" customHeight="1">
      <c r="A84" s="59" t="s">
        <v>156</v>
      </c>
      <c r="B84" s="59"/>
      <c r="C84" s="64" t="s">
        <v>157</v>
      </c>
      <c r="D84" s="57"/>
      <c r="E84" s="57"/>
      <c r="F84" s="57"/>
      <c r="G84" s="57"/>
      <c r="H84" s="57"/>
      <c r="I84" s="57"/>
      <c r="J84" s="62"/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f t="shared" si="14"/>
        <v>0</v>
      </c>
    </row>
    <row r="85" spans="1:23" s="8" customFormat="1" ht="11.75" customHeight="1">
      <c r="A85" s="9" t="s">
        <v>158</v>
      </c>
      <c r="B85" s="22" t="s">
        <v>159</v>
      </c>
      <c r="C85" s="23"/>
      <c r="D85" s="23"/>
      <c r="E85" s="23"/>
      <c r="F85" s="23"/>
      <c r="G85" s="23"/>
      <c r="H85" s="23"/>
      <c r="I85" s="23"/>
      <c r="J85" s="24"/>
      <c r="K85" s="25">
        <f>SUM(K86:K96)</f>
        <v>32014</v>
      </c>
      <c r="L85" s="25">
        <f t="shared" ref="L85:V85" si="17">SUM(L86:L96)</f>
        <v>32014</v>
      </c>
      <c r="M85" s="25">
        <f t="shared" si="17"/>
        <v>32014</v>
      </c>
      <c r="N85" s="25">
        <f t="shared" si="17"/>
        <v>32014</v>
      </c>
      <c r="O85" s="25">
        <f t="shared" si="17"/>
        <v>32014</v>
      </c>
      <c r="P85" s="25">
        <f t="shared" si="17"/>
        <v>32014</v>
      </c>
      <c r="Q85" s="25">
        <f t="shared" si="17"/>
        <v>32014</v>
      </c>
      <c r="R85" s="25">
        <f t="shared" si="17"/>
        <v>32014</v>
      </c>
      <c r="S85" s="25">
        <f t="shared" si="17"/>
        <v>32014</v>
      </c>
      <c r="T85" s="25">
        <f t="shared" si="17"/>
        <v>32014</v>
      </c>
      <c r="U85" s="25">
        <f t="shared" si="17"/>
        <v>32014</v>
      </c>
      <c r="V85" s="25">
        <f t="shared" si="17"/>
        <v>32019</v>
      </c>
      <c r="W85" s="25">
        <f t="shared" si="14"/>
        <v>384173</v>
      </c>
    </row>
    <row r="86" spans="1:23" s="63" customFormat="1" ht="11.75" customHeight="1">
      <c r="A86" s="59" t="s">
        <v>160</v>
      </c>
      <c r="B86" s="60"/>
      <c r="C86" s="61" t="s">
        <v>93</v>
      </c>
      <c r="D86" s="57"/>
      <c r="E86" s="57"/>
      <c r="F86" s="57"/>
      <c r="G86" s="57"/>
      <c r="H86" s="57"/>
      <c r="I86" s="57"/>
      <c r="J86" s="62"/>
      <c r="K86" s="47">
        <v>0</v>
      </c>
      <c r="L86" s="47">
        <v>0</v>
      </c>
      <c r="M86" s="47">
        <v>0</v>
      </c>
      <c r="N86" s="47">
        <v>0</v>
      </c>
      <c r="O86" s="47">
        <v>0</v>
      </c>
      <c r="P86" s="47">
        <v>0</v>
      </c>
      <c r="Q86" s="47">
        <v>0</v>
      </c>
      <c r="R86" s="47">
        <v>0</v>
      </c>
      <c r="S86" s="47">
        <v>0</v>
      </c>
      <c r="T86" s="47">
        <v>0</v>
      </c>
      <c r="U86" s="47">
        <v>0</v>
      </c>
      <c r="V86" s="47">
        <v>0</v>
      </c>
      <c r="W86" s="47">
        <f t="shared" si="14"/>
        <v>0</v>
      </c>
    </row>
    <row r="87" spans="1:23" s="63" customFormat="1" ht="11.75" customHeight="1">
      <c r="A87" s="59" t="s">
        <v>161</v>
      </c>
      <c r="B87" s="59"/>
      <c r="C87" s="64" t="s">
        <v>162</v>
      </c>
      <c r="D87" s="57"/>
      <c r="E87" s="57"/>
      <c r="F87" s="57"/>
      <c r="G87" s="57"/>
      <c r="H87" s="57"/>
      <c r="I87" s="57"/>
      <c r="J87" s="62"/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</v>
      </c>
      <c r="V87" s="47">
        <v>0</v>
      </c>
      <c r="W87" s="47">
        <f t="shared" si="14"/>
        <v>0</v>
      </c>
    </row>
    <row r="88" spans="1:23" s="63" customFormat="1" ht="11.75" customHeight="1">
      <c r="A88" s="59" t="s">
        <v>163</v>
      </c>
      <c r="B88" s="59"/>
      <c r="C88" s="64" t="s">
        <v>97</v>
      </c>
      <c r="D88" s="57"/>
      <c r="E88" s="57"/>
      <c r="F88" s="57"/>
      <c r="G88" s="57"/>
      <c r="H88" s="57"/>
      <c r="I88" s="57"/>
      <c r="J88" s="62"/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v>0</v>
      </c>
      <c r="U88" s="47">
        <v>0</v>
      </c>
      <c r="V88" s="47">
        <v>0</v>
      </c>
      <c r="W88" s="47">
        <f t="shared" si="14"/>
        <v>0</v>
      </c>
    </row>
    <row r="89" spans="1:23" s="63" customFormat="1" ht="11.75" customHeight="1">
      <c r="A89" s="59" t="s">
        <v>164</v>
      </c>
      <c r="B89" s="59"/>
      <c r="C89" s="64" t="s">
        <v>165</v>
      </c>
      <c r="D89" s="57"/>
      <c r="E89" s="57"/>
      <c r="F89" s="57"/>
      <c r="G89" s="57"/>
      <c r="H89" s="57"/>
      <c r="I89" s="57"/>
      <c r="J89" s="62"/>
      <c r="K89" s="47">
        <v>0</v>
      </c>
      <c r="L89" s="47">
        <v>0</v>
      </c>
      <c r="M89" s="47">
        <v>0</v>
      </c>
      <c r="N89" s="47">
        <v>0</v>
      </c>
      <c r="O89" s="47">
        <v>0</v>
      </c>
      <c r="P89" s="47">
        <v>0</v>
      </c>
      <c r="Q89" s="47">
        <v>0</v>
      </c>
      <c r="R89" s="47">
        <v>0</v>
      </c>
      <c r="S89" s="47">
        <v>0</v>
      </c>
      <c r="T89" s="47">
        <v>0</v>
      </c>
      <c r="U89" s="47">
        <v>0</v>
      </c>
      <c r="V89" s="47">
        <v>0</v>
      </c>
      <c r="W89" s="47">
        <f t="shared" si="14"/>
        <v>0</v>
      </c>
    </row>
    <row r="90" spans="1:23" s="63" customFormat="1" ht="11.75" customHeight="1">
      <c r="A90" s="59" t="s">
        <v>166</v>
      </c>
      <c r="B90" s="59"/>
      <c r="C90" s="64" t="s">
        <v>101</v>
      </c>
      <c r="D90" s="57"/>
      <c r="E90" s="57"/>
      <c r="F90" s="57"/>
      <c r="G90" s="57"/>
      <c r="H90" s="57"/>
      <c r="I90" s="57"/>
      <c r="J90" s="62"/>
      <c r="K90" s="47">
        <v>10070</v>
      </c>
      <c r="L90" s="47">
        <v>10070</v>
      </c>
      <c r="M90" s="47">
        <v>10070</v>
      </c>
      <c r="N90" s="47">
        <v>10070</v>
      </c>
      <c r="O90" s="47">
        <v>10070</v>
      </c>
      <c r="P90" s="47">
        <v>10070</v>
      </c>
      <c r="Q90" s="47">
        <v>10070</v>
      </c>
      <c r="R90" s="47">
        <v>10070</v>
      </c>
      <c r="S90" s="47">
        <v>10070</v>
      </c>
      <c r="T90" s="47">
        <v>10070</v>
      </c>
      <c r="U90" s="47">
        <v>10070</v>
      </c>
      <c r="V90" s="47">
        <v>10070</v>
      </c>
      <c r="W90" s="47">
        <f t="shared" si="14"/>
        <v>120840</v>
      </c>
    </row>
    <row r="91" spans="1:23" s="63" customFormat="1" ht="11.75" customHeight="1">
      <c r="A91" s="59" t="s">
        <v>167</v>
      </c>
      <c r="B91" s="59"/>
      <c r="C91" s="64" t="s">
        <v>103</v>
      </c>
      <c r="D91" s="57"/>
      <c r="E91" s="57"/>
      <c r="F91" s="57"/>
      <c r="G91" s="57"/>
      <c r="H91" s="57"/>
      <c r="I91" s="57"/>
      <c r="J91" s="62"/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0</v>
      </c>
      <c r="R91" s="47">
        <v>0</v>
      </c>
      <c r="S91" s="47">
        <v>0</v>
      </c>
      <c r="T91" s="47">
        <v>0</v>
      </c>
      <c r="U91" s="47">
        <v>0</v>
      </c>
      <c r="V91" s="47">
        <v>0</v>
      </c>
      <c r="W91" s="47">
        <f t="shared" si="14"/>
        <v>0</v>
      </c>
    </row>
    <row r="92" spans="1:23" s="63" customFormat="1" ht="11.75" customHeight="1">
      <c r="A92" s="59" t="s">
        <v>168</v>
      </c>
      <c r="B92" s="59"/>
      <c r="C92" s="64" t="s">
        <v>169</v>
      </c>
      <c r="D92" s="57"/>
      <c r="E92" s="57"/>
      <c r="F92" s="57"/>
      <c r="G92" s="57"/>
      <c r="H92" s="57"/>
      <c r="I92" s="57"/>
      <c r="J92" s="62"/>
      <c r="K92" s="47">
        <v>21944</v>
      </c>
      <c r="L92" s="47">
        <v>21944</v>
      </c>
      <c r="M92" s="47">
        <v>21944</v>
      </c>
      <c r="N92" s="47">
        <v>21944</v>
      </c>
      <c r="O92" s="47">
        <v>21944</v>
      </c>
      <c r="P92" s="47">
        <v>21944</v>
      </c>
      <c r="Q92" s="47">
        <v>21944</v>
      </c>
      <c r="R92" s="47">
        <v>21944</v>
      </c>
      <c r="S92" s="47">
        <v>21944</v>
      </c>
      <c r="T92" s="47">
        <v>21944</v>
      </c>
      <c r="U92" s="47">
        <v>21944</v>
      </c>
      <c r="V92" s="47">
        <v>21949</v>
      </c>
      <c r="W92" s="47">
        <f t="shared" si="14"/>
        <v>263333</v>
      </c>
    </row>
    <row r="93" spans="1:23" s="63" customFormat="1" ht="11.75" customHeight="1">
      <c r="A93" s="59" t="s">
        <v>170</v>
      </c>
      <c r="B93" s="59"/>
      <c r="C93" s="64" t="s">
        <v>171</v>
      </c>
      <c r="D93" s="57"/>
      <c r="E93" s="57"/>
      <c r="F93" s="57"/>
      <c r="G93" s="57"/>
      <c r="H93" s="57"/>
      <c r="I93" s="57"/>
      <c r="J93" s="62"/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0</v>
      </c>
      <c r="S93" s="47">
        <v>0</v>
      </c>
      <c r="T93" s="47">
        <v>0</v>
      </c>
      <c r="U93" s="47">
        <v>0</v>
      </c>
      <c r="V93" s="47">
        <v>0</v>
      </c>
      <c r="W93" s="47">
        <f t="shared" si="14"/>
        <v>0</v>
      </c>
    </row>
    <row r="94" spans="1:23" s="63" customFormat="1" ht="11.75" customHeight="1">
      <c r="A94" s="59" t="s">
        <v>172</v>
      </c>
      <c r="B94" s="59"/>
      <c r="C94" s="64" t="s">
        <v>173</v>
      </c>
      <c r="D94" s="57"/>
      <c r="E94" s="57"/>
      <c r="F94" s="57"/>
      <c r="G94" s="57"/>
      <c r="H94" s="57"/>
      <c r="I94" s="57"/>
      <c r="J94" s="62"/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0</v>
      </c>
      <c r="S94" s="47">
        <v>0</v>
      </c>
      <c r="T94" s="47">
        <v>0</v>
      </c>
      <c r="U94" s="47">
        <v>0</v>
      </c>
      <c r="V94" s="47">
        <v>0</v>
      </c>
      <c r="W94" s="47">
        <f t="shared" si="14"/>
        <v>0</v>
      </c>
    </row>
    <row r="95" spans="1:23" s="63" customFormat="1" ht="11.75" customHeight="1">
      <c r="A95" s="59" t="s">
        <v>174</v>
      </c>
      <c r="B95" s="59"/>
      <c r="C95" s="64" t="s">
        <v>175</v>
      </c>
      <c r="D95" s="57"/>
      <c r="E95" s="57"/>
      <c r="F95" s="57"/>
      <c r="G95" s="57"/>
      <c r="H95" s="57"/>
      <c r="I95" s="57"/>
      <c r="J95" s="62"/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0</v>
      </c>
      <c r="T95" s="47">
        <v>0</v>
      </c>
      <c r="U95" s="47">
        <v>0</v>
      </c>
      <c r="V95" s="47">
        <v>0</v>
      </c>
      <c r="W95" s="47">
        <f t="shared" si="14"/>
        <v>0</v>
      </c>
    </row>
    <row r="96" spans="1:23" s="63" customFormat="1" ht="11.75" customHeight="1" thickBot="1">
      <c r="A96" s="59" t="s">
        <v>176</v>
      </c>
      <c r="B96" s="59"/>
      <c r="C96" s="64" t="s">
        <v>177</v>
      </c>
      <c r="D96" s="57"/>
      <c r="E96" s="57"/>
      <c r="F96" s="57"/>
      <c r="G96" s="57"/>
      <c r="H96" s="57"/>
      <c r="I96" s="57"/>
      <c r="J96" s="62"/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f t="shared" si="14"/>
        <v>0</v>
      </c>
    </row>
    <row r="97" spans="1:23" s="8" customFormat="1" ht="11.75" customHeight="1" thickTop="1" thickBot="1">
      <c r="A97" s="9" t="s">
        <v>178</v>
      </c>
      <c r="B97" s="26" t="s">
        <v>179</v>
      </c>
      <c r="C97" s="27"/>
      <c r="D97" s="27"/>
      <c r="E97" s="27"/>
      <c r="F97" s="27"/>
      <c r="G97" s="27"/>
      <c r="H97" s="27"/>
      <c r="I97" s="27"/>
      <c r="J97" s="28"/>
      <c r="K97" s="29">
        <f>K37+K19+K85</f>
        <v>610414</v>
      </c>
      <c r="L97" s="29">
        <f t="shared" ref="L97:V97" si="18">L37+L19+L85</f>
        <v>3595297</v>
      </c>
      <c r="M97" s="29">
        <f t="shared" si="18"/>
        <v>5718177</v>
      </c>
      <c r="N97" s="29">
        <f t="shared" si="18"/>
        <v>12863444</v>
      </c>
      <c r="O97" s="29">
        <f t="shared" si="18"/>
        <v>15456697</v>
      </c>
      <c r="P97" s="29">
        <f t="shared" si="18"/>
        <v>16399919</v>
      </c>
      <c r="Q97" s="29">
        <f t="shared" si="18"/>
        <v>12919014</v>
      </c>
      <c r="R97" s="29">
        <f t="shared" si="18"/>
        <v>583514</v>
      </c>
      <c r="S97" s="29">
        <f t="shared" si="18"/>
        <v>123514</v>
      </c>
      <c r="T97" s="29">
        <f t="shared" si="18"/>
        <v>123514</v>
      </c>
      <c r="U97" s="29">
        <f t="shared" si="18"/>
        <v>123514</v>
      </c>
      <c r="V97" s="29">
        <f t="shared" si="18"/>
        <v>123519</v>
      </c>
      <c r="W97" s="29">
        <f>SUM(K97:V97)</f>
        <v>68640537</v>
      </c>
    </row>
    <row r="98" spans="1:23" s="8" customFormat="1" ht="11.75" customHeight="1" thickBot="1">
      <c r="A98" s="9" t="s">
        <v>180</v>
      </c>
      <c r="B98" s="30" t="s">
        <v>181</v>
      </c>
      <c r="C98" s="31"/>
      <c r="D98" s="31"/>
      <c r="E98" s="31"/>
      <c r="F98" s="31"/>
      <c r="G98" s="31"/>
      <c r="H98" s="31"/>
      <c r="I98" s="31"/>
      <c r="J98" s="32"/>
      <c r="K98" s="33">
        <f>K18-K97</f>
        <v>-66664</v>
      </c>
      <c r="L98" s="33">
        <f t="shared" ref="L98:V98" si="19">L18-L97</f>
        <v>-1660407.1600000001</v>
      </c>
      <c r="M98" s="33">
        <f t="shared" si="19"/>
        <v>9692883</v>
      </c>
      <c r="N98" s="33">
        <f t="shared" si="19"/>
        <v>20985848.5</v>
      </c>
      <c r="O98" s="33">
        <f t="shared" si="19"/>
        <v>23166083</v>
      </c>
      <c r="P98" s="33">
        <f t="shared" si="19"/>
        <v>-2237763.0124999993</v>
      </c>
      <c r="Q98" s="33">
        <f t="shared" si="19"/>
        <v>-12079014</v>
      </c>
      <c r="R98" s="33">
        <f t="shared" si="19"/>
        <v>-583514</v>
      </c>
      <c r="S98" s="33">
        <f t="shared" si="19"/>
        <v>-123514</v>
      </c>
      <c r="T98" s="33">
        <f t="shared" si="19"/>
        <v>-123514</v>
      </c>
      <c r="U98" s="33">
        <f t="shared" si="19"/>
        <v>-123514</v>
      </c>
      <c r="V98" s="33">
        <f t="shared" si="19"/>
        <v>-123519</v>
      </c>
      <c r="W98" s="33">
        <f t="shared" si="14"/>
        <v>36723391.327500001</v>
      </c>
    </row>
    <row r="99" spans="1:23" s="8" customFormat="1" ht="11.75" customHeight="1">
      <c r="A99" s="9" t="s">
        <v>182</v>
      </c>
      <c r="B99" s="34" t="s">
        <v>183</v>
      </c>
      <c r="C99" s="35"/>
      <c r="D99" s="35"/>
      <c r="E99" s="35"/>
      <c r="F99" s="35"/>
      <c r="G99" s="35"/>
      <c r="H99" s="35"/>
      <c r="I99" s="35"/>
      <c r="J99" s="36"/>
      <c r="K99" s="37">
        <f>SUM(K100,K104:K106)</f>
        <v>0</v>
      </c>
      <c r="L99" s="37">
        <f t="shared" ref="L99:V99" si="20">SUM(L100,L104:L106)</f>
        <v>0</v>
      </c>
      <c r="M99" s="37">
        <f t="shared" si="20"/>
        <v>0</v>
      </c>
      <c r="N99" s="37">
        <f t="shared" si="20"/>
        <v>0</v>
      </c>
      <c r="O99" s="37">
        <f t="shared" si="20"/>
        <v>0</v>
      </c>
      <c r="P99" s="37">
        <f t="shared" si="20"/>
        <v>0</v>
      </c>
      <c r="Q99" s="37">
        <f t="shared" si="20"/>
        <v>0</v>
      </c>
      <c r="R99" s="37">
        <f t="shared" si="20"/>
        <v>0</v>
      </c>
      <c r="S99" s="37">
        <f t="shared" si="20"/>
        <v>0</v>
      </c>
      <c r="T99" s="37">
        <f t="shared" si="20"/>
        <v>0</v>
      </c>
      <c r="U99" s="37">
        <f t="shared" si="20"/>
        <v>0</v>
      </c>
      <c r="V99" s="37">
        <f t="shared" si="20"/>
        <v>0</v>
      </c>
      <c r="W99" s="37">
        <f t="shared" si="14"/>
        <v>0</v>
      </c>
    </row>
    <row r="100" spans="1:23" s="8" customFormat="1" ht="11.75" customHeight="1">
      <c r="A100" s="9" t="s">
        <v>184</v>
      </c>
      <c r="B100" s="3"/>
      <c r="C100" s="10" t="s">
        <v>185</v>
      </c>
      <c r="D100" s="2"/>
      <c r="E100" s="2"/>
      <c r="F100" s="2"/>
      <c r="G100" s="2"/>
      <c r="H100" s="2"/>
      <c r="I100" s="2"/>
      <c r="J100" s="11"/>
      <c r="K100" s="12">
        <f>SUM(K101:K103)</f>
        <v>0</v>
      </c>
      <c r="L100" s="12">
        <f t="shared" ref="L100:V100" si="21">SUM(L101:L103)</f>
        <v>0</v>
      </c>
      <c r="M100" s="12">
        <f t="shared" si="21"/>
        <v>0</v>
      </c>
      <c r="N100" s="12">
        <f t="shared" si="21"/>
        <v>0</v>
      </c>
      <c r="O100" s="12">
        <f t="shared" si="21"/>
        <v>0</v>
      </c>
      <c r="P100" s="12">
        <f t="shared" si="21"/>
        <v>0</v>
      </c>
      <c r="Q100" s="12">
        <f t="shared" si="21"/>
        <v>0</v>
      </c>
      <c r="R100" s="12">
        <f t="shared" si="21"/>
        <v>0</v>
      </c>
      <c r="S100" s="12">
        <f t="shared" si="21"/>
        <v>0</v>
      </c>
      <c r="T100" s="12">
        <f t="shared" si="21"/>
        <v>0</v>
      </c>
      <c r="U100" s="12">
        <f t="shared" si="21"/>
        <v>0</v>
      </c>
      <c r="V100" s="12">
        <f t="shared" si="21"/>
        <v>0</v>
      </c>
      <c r="W100" s="12">
        <f t="shared" si="14"/>
        <v>0</v>
      </c>
    </row>
    <row r="101" spans="1:23" s="63" customFormat="1" ht="11.75" customHeight="1">
      <c r="A101" s="59" t="s">
        <v>186</v>
      </c>
      <c r="B101" s="59"/>
      <c r="C101" s="59"/>
      <c r="D101" s="64" t="s">
        <v>187</v>
      </c>
      <c r="E101" s="57"/>
      <c r="F101" s="57"/>
      <c r="G101" s="57"/>
      <c r="H101" s="57"/>
      <c r="I101" s="57"/>
      <c r="J101" s="62"/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0</v>
      </c>
      <c r="R101" s="47">
        <v>0</v>
      </c>
      <c r="S101" s="47">
        <v>0</v>
      </c>
      <c r="T101" s="47">
        <v>0</v>
      </c>
      <c r="U101" s="47">
        <v>0</v>
      </c>
      <c r="V101" s="47">
        <v>0</v>
      </c>
      <c r="W101" s="47">
        <f t="shared" si="14"/>
        <v>0</v>
      </c>
    </row>
    <row r="102" spans="1:23" s="63" customFormat="1" ht="11.75" customHeight="1">
      <c r="A102" s="59" t="s">
        <v>188</v>
      </c>
      <c r="B102" s="59"/>
      <c r="C102" s="59"/>
      <c r="D102" s="64" t="s">
        <v>189</v>
      </c>
      <c r="E102" s="57"/>
      <c r="F102" s="57"/>
      <c r="G102" s="57"/>
      <c r="H102" s="57"/>
      <c r="I102" s="57"/>
      <c r="J102" s="62"/>
      <c r="K102" s="47">
        <v>0</v>
      </c>
      <c r="L102" s="47">
        <v>0</v>
      </c>
      <c r="M102" s="47">
        <v>0</v>
      </c>
      <c r="N102" s="47">
        <v>0</v>
      </c>
      <c r="O102" s="47">
        <v>0</v>
      </c>
      <c r="P102" s="47">
        <v>0</v>
      </c>
      <c r="Q102" s="47">
        <v>0</v>
      </c>
      <c r="R102" s="47">
        <v>0</v>
      </c>
      <c r="S102" s="47">
        <v>0</v>
      </c>
      <c r="T102" s="47">
        <v>0</v>
      </c>
      <c r="U102" s="47">
        <v>0</v>
      </c>
      <c r="V102" s="47">
        <v>0</v>
      </c>
      <c r="W102" s="47">
        <f t="shared" si="14"/>
        <v>0</v>
      </c>
    </row>
    <row r="103" spans="1:23" s="63" customFormat="1" ht="11.75" customHeight="1">
      <c r="A103" s="59" t="s">
        <v>190</v>
      </c>
      <c r="B103" s="59"/>
      <c r="C103" s="59"/>
      <c r="D103" s="64" t="s">
        <v>191</v>
      </c>
      <c r="E103" s="57"/>
      <c r="F103" s="57"/>
      <c r="G103" s="57"/>
      <c r="H103" s="57"/>
      <c r="I103" s="57"/>
      <c r="J103" s="62"/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f t="shared" si="14"/>
        <v>0</v>
      </c>
    </row>
    <row r="104" spans="1:23" s="63" customFormat="1" ht="11.75" customHeight="1">
      <c r="A104" s="59" t="s">
        <v>192</v>
      </c>
      <c r="B104" s="59"/>
      <c r="C104" s="64" t="s">
        <v>193</v>
      </c>
      <c r="D104" s="57"/>
      <c r="E104" s="57"/>
      <c r="F104" s="57"/>
      <c r="G104" s="57"/>
      <c r="H104" s="57"/>
      <c r="I104" s="57"/>
      <c r="J104" s="62"/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v>0</v>
      </c>
      <c r="Q104" s="47">
        <v>0</v>
      </c>
      <c r="R104" s="47">
        <v>0</v>
      </c>
      <c r="S104" s="47">
        <v>0</v>
      </c>
      <c r="T104" s="47">
        <v>0</v>
      </c>
      <c r="U104" s="47">
        <v>0</v>
      </c>
      <c r="V104" s="47">
        <v>0</v>
      </c>
      <c r="W104" s="47">
        <f t="shared" si="14"/>
        <v>0</v>
      </c>
    </row>
    <row r="105" spans="1:23" s="63" customFormat="1" ht="11.75" customHeight="1">
      <c r="A105" s="59" t="s">
        <v>194</v>
      </c>
      <c r="B105" s="59"/>
      <c r="C105" s="64" t="s">
        <v>195</v>
      </c>
      <c r="D105" s="57"/>
      <c r="E105" s="57"/>
      <c r="F105" s="57"/>
      <c r="G105" s="57"/>
      <c r="H105" s="57"/>
      <c r="I105" s="57"/>
      <c r="J105" s="62"/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f t="shared" si="14"/>
        <v>0</v>
      </c>
    </row>
    <row r="106" spans="1:23" s="63" customFormat="1" ht="11.75" customHeight="1">
      <c r="A106" s="59" t="s">
        <v>196</v>
      </c>
      <c r="B106" s="59"/>
      <c r="C106" s="64" t="s">
        <v>191</v>
      </c>
      <c r="D106" s="57"/>
      <c r="E106" s="57"/>
      <c r="F106" s="57"/>
      <c r="G106" s="57"/>
      <c r="H106" s="57"/>
      <c r="I106" s="57"/>
      <c r="J106" s="62"/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0</v>
      </c>
      <c r="U106" s="47">
        <v>0</v>
      </c>
      <c r="V106" s="47">
        <v>0</v>
      </c>
      <c r="W106" s="47">
        <f t="shared" si="14"/>
        <v>0</v>
      </c>
    </row>
    <row r="107" spans="1:23" s="8" customFormat="1" ht="11.75" customHeight="1">
      <c r="A107" s="9" t="s">
        <v>197</v>
      </c>
      <c r="B107" s="38" t="s">
        <v>198</v>
      </c>
      <c r="C107" s="39"/>
      <c r="D107" s="39"/>
      <c r="E107" s="39"/>
      <c r="F107" s="39"/>
      <c r="G107" s="39"/>
      <c r="H107" s="39"/>
      <c r="I107" s="39"/>
      <c r="J107" s="40"/>
      <c r="K107" s="41">
        <f>SUM(K108:K110)</f>
        <v>0</v>
      </c>
      <c r="L107" s="41">
        <f t="shared" ref="L107:V107" si="22">SUM(L108:L110)</f>
        <v>1000</v>
      </c>
      <c r="M107" s="41">
        <f t="shared" si="22"/>
        <v>0</v>
      </c>
      <c r="N107" s="41">
        <f t="shared" si="22"/>
        <v>700</v>
      </c>
      <c r="O107" s="41">
        <f t="shared" si="22"/>
        <v>700</v>
      </c>
      <c r="P107" s="41">
        <f t="shared" si="22"/>
        <v>0</v>
      </c>
      <c r="Q107" s="41">
        <f t="shared" si="22"/>
        <v>0</v>
      </c>
      <c r="R107" s="41">
        <f t="shared" si="22"/>
        <v>0</v>
      </c>
      <c r="S107" s="41">
        <f t="shared" si="22"/>
        <v>0</v>
      </c>
      <c r="T107" s="41">
        <f t="shared" si="22"/>
        <v>0</v>
      </c>
      <c r="U107" s="41">
        <f t="shared" si="22"/>
        <v>0</v>
      </c>
      <c r="V107" s="41">
        <f t="shared" si="22"/>
        <v>0</v>
      </c>
      <c r="W107" s="41">
        <f t="shared" si="14"/>
        <v>2400</v>
      </c>
    </row>
    <row r="108" spans="1:23" s="63" customFormat="1" ht="11.75" customHeight="1">
      <c r="A108" s="59" t="s">
        <v>199</v>
      </c>
      <c r="B108" s="60"/>
      <c r="C108" s="61" t="s">
        <v>200</v>
      </c>
      <c r="D108" s="57"/>
      <c r="E108" s="57"/>
      <c r="F108" s="57"/>
      <c r="G108" s="57"/>
      <c r="H108" s="57"/>
      <c r="I108" s="57"/>
      <c r="J108" s="62"/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f t="shared" si="14"/>
        <v>0</v>
      </c>
    </row>
    <row r="109" spans="1:23" s="63" customFormat="1" ht="11.75" customHeight="1">
      <c r="A109" s="59" t="s">
        <v>201</v>
      </c>
      <c r="B109" s="59"/>
      <c r="C109" s="64" t="s">
        <v>202</v>
      </c>
      <c r="D109" s="57"/>
      <c r="E109" s="57"/>
      <c r="F109" s="57"/>
      <c r="G109" s="57"/>
      <c r="H109" s="57"/>
      <c r="I109" s="57"/>
      <c r="J109" s="62"/>
      <c r="K109" s="47">
        <v>0</v>
      </c>
      <c r="L109" s="47">
        <v>0</v>
      </c>
      <c r="M109" s="47">
        <v>0</v>
      </c>
      <c r="N109" s="47">
        <v>700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f t="shared" si="14"/>
        <v>700</v>
      </c>
    </row>
    <row r="110" spans="1:23" s="63" customFormat="1" ht="11.75" customHeight="1" thickBot="1">
      <c r="A110" s="59" t="s">
        <v>203</v>
      </c>
      <c r="B110" s="59"/>
      <c r="C110" s="64" t="s">
        <v>191</v>
      </c>
      <c r="D110" s="57"/>
      <c r="E110" s="57"/>
      <c r="F110" s="57"/>
      <c r="G110" s="57"/>
      <c r="H110" s="57"/>
      <c r="I110" s="57"/>
      <c r="J110" s="62"/>
      <c r="K110" s="47">
        <v>0</v>
      </c>
      <c r="L110" s="47">
        <v>1000</v>
      </c>
      <c r="M110" s="47">
        <v>0</v>
      </c>
      <c r="N110" s="47">
        <v>0</v>
      </c>
      <c r="O110" s="47">
        <v>700</v>
      </c>
      <c r="P110" s="47">
        <v>0</v>
      </c>
      <c r="Q110" s="47">
        <v>0</v>
      </c>
      <c r="R110" s="47">
        <v>0</v>
      </c>
      <c r="S110" s="47">
        <v>0</v>
      </c>
      <c r="T110" s="47">
        <v>0</v>
      </c>
      <c r="U110" s="47">
        <v>0</v>
      </c>
      <c r="V110" s="47">
        <v>0</v>
      </c>
      <c r="W110" s="47">
        <f t="shared" si="14"/>
        <v>1700</v>
      </c>
    </row>
    <row r="111" spans="1:23" s="8" customFormat="1" ht="11.75" customHeight="1" thickBot="1">
      <c r="A111" s="9" t="s">
        <v>204</v>
      </c>
      <c r="B111" s="30" t="s">
        <v>205</v>
      </c>
      <c r="C111" s="31"/>
      <c r="D111" s="31"/>
      <c r="E111" s="31"/>
      <c r="F111" s="31"/>
      <c r="G111" s="31"/>
      <c r="H111" s="31"/>
      <c r="I111" s="31"/>
      <c r="J111" s="32"/>
      <c r="K111" s="33">
        <f>K98+K99-K107</f>
        <v>-66664</v>
      </c>
      <c r="L111" s="33">
        <f t="shared" ref="L111:V111" si="23">L98+L99-L107</f>
        <v>-1661407.1600000001</v>
      </c>
      <c r="M111" s="33">
        <f t="shared" si="23"/>
        <v>9692883</v>
      </c>
      <c r="N111" s="33">
        <f t="shared" si="23"/>
        <v>20985148.5</v>
      </c>
      <c r="O111" s="33">
        <f t="shared" si="23"/>
        <v>23165383</v>
      </c>
      <c r="P111" s="33">
        <f t="shared" si="23"/>
        <v>-2237763.0124999993</v>
      </c>
      <c r="Q111" s="33">
        <f t="shared" si="23"/>
        <v>-12079014</v>
      </c>
      <c r="R111" s="33">
        <f t="shared" si="23"/>
        <v>-583514</v>
      </c>
      <c r="S111" s="33">
        <f t="shared" si="23"/>
        <v>-123514</v>
      </c>
      <c r="T111" s="33">
        <f t="shared" si="23"/>
        <v>-123514</v>
      </c>
      <c r="U111" s="33">
        <f t="shared" si="23"/>
        <v>-123514</v>
      </c>
      <c r="V111" s="33">
        <f t="shared" si="23"/>
        <v>-123519</v>
      </c>
      <c r="W111" s="33">
        <f t="shared" si="14"/>
        <v>36720991.327500001</v>
      </c>
    </row>
    <row r="112" spans="1:23" s="8" customFormat="1" ht="11.75" customHeight="1">
      <c r="A112" s="9" t="s">
        <v>206</v>
      </c>
      <c r="B112" s="34" t="s">
        <v>207</v>
      </c>
      <c r="C112" s="35"/>
      <c r="D112" s="35"/>
      <c r="E112" s="35"/>
      <c r="F112" s="35"/>
      <c r="G112" s="35"/>
      <c r="H112" s="35"/>
      <c r="I112" s="35"/>
      <c r="J112" s="36"/>
      <c r="K112" s="37">
        <f>SUM(K113:K114)</f>
        <v>0</v>
      </c>
      <c r="L112" s="37">
        <f t="shared" ref="L112:V112" si="24">SUM(L113:L114)</f>
        <v>0</v>
      </c>
      <c r="M112" s="37">
        <f t="shared" si="24"/>
        <v>0</v>
      </c>
      <c r="N112" s="37">
        <f t="shared" si="24"/>
        <v>0</v>
      </c>
      <c r="O112" s="37">
        <f t="shared" si="24"/>
        <v>0</v>
      </c>
      <c r="P112" s="37">
        <f t="shared" si="24"/>
        <v>0</v>
      </c>
      <c r="Q112" s="37">
        <f t="shared" si="24"/>
        <v>0</v>
      </c>
      <c r="R112" s="37">
        <f t="shared" si="24"/>
        <v>0</v>
      </c>
      <c r="S112" s="37">
        <f t="shared" si="24"/>
        <v>0</v>
      </c>
      <c r="T112" s="37">
        <f t="shared" si="24"/>
        <v>0</v>
      </c>
      <c r="U112" s="37">
        <f t="shared" si="24"/>
        <v>0</v>
      </c>
      <c r="V112" s="37">
        <f t="shared" si="24"/>
        <v>0</v>
      </c>
      <c r="W112" s="37">
        <f t="shared" si="14"/>
        <v>0</v>
      </c>
    </row>
    <row r="113" spans="1:23" s="63" customFormat="1" ht="11.75" customHeight="1">
      <c r="A113" s="59" t="s">
        <v>208</v>
      </c>
      <c r="B113" s="60"/>
      <c r="C113" s="61" t="s">
        <v>209</v>
      </c>
      <c r="D113" s="57"/>
      <c r="E113" s="57"/>
      <c r="F113" s="57"/>
      <c r="G113" s="57"/>
      <c r="H113" s="57"/>
      <c r="I113" s="57"/>
      <c r="J113" s="62"/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f t="shared" si="14"/>
        <v>0</v>
      </c>
    </row>
    <row r="114" spans="1:23" s="63" customFormat="1" ht="11.75" customHeight="1">
      <c r="A114" s="59" t="s">
        <v>210</v>
      </c>
      <c r="B114" s="59"/>
      <c r="C114" s="64" t="s">
        <v>191</v>
      </c>
      <c r="D114" s="57"/>
      <c r="E114" s="57"/>
      <c r="F114" s="57"/>
      <c r="G114" s="57"/>
      <c r="H114" s="57"/>
      <c r="I114" s="57"/>
      <c r="J114" s="62"/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v>0</v>
      </c>
      <c r="Q114" s="47">
        <v>0</v>
      </c>
      <c r="R114" s="47">
        <v>0</v>
      </c>
      <c r="S114" s="47">
        <v>0</v>
      </c>
      <c r="T114" s="47">
        <v>0</v>
      </c>
      <c r="U114" s="47">
        <v>0</v>
      </c>
      <c r="V114" s="47">
        <v>0</v>
      </c>
      <c r="W114" s="47">
        <f t="shared" si="14"/>
        <v>0</v>
      </c>
    </row>
    <row r="115" spans="1:23" s="8" customFormat="1" ht="11.75" customHeight="1">
      <c r="A115" s="9" t="s">
        <v>211</v>
      </c>
      <c r="B115" s="38" t="s">
        <v>212</v>
      </c>
      <c r="C115" s="39"/>
      <c r="D115" s="39"/>
      <c r="E115" s="39"/>
      <c r="F115" s="39"/>
      <c r="G115" s="39"/>
      <c r="H115" s="39"/>
      <c r="I115" s="39"/>
      <c r="J115" s="40"/>
      <c r="K115" s="41">
        <f>SUM(K116:K117)</f>
        <v>0</v>
      </c>
      <c r="L115" s="41">
        <f t="shared" ref="L115:V115" si="25">SUM(L116:L117)</f>
        <v>0</v>
      </c>
      <c r="M115" s="41">
        <f t="shared" si="25"/>
        <v>0</v>
      </c>
      <c r="N115" s="41">
        <f t="shared" si="25"/>
        <v>0</v>
      </c>
      <c r="O115" s="41">
        <f t="shared" si="25"/>
        <v>0</v>
      </c>
      <c r="P115" s="41">
        <f t="shared" si="25"/>
        <v>0</v>
      </c>
      <c r="Q115" s="41">
        <f t="shared" si="25"/>
        <v>0</v>
      </c>
      <c r="R115" s="41">
        <f t="shared" si="25"/>
        <v>0</v>
      </c>
      <c r="S115" s="41">
        <f t="shared" si="25"/>
        <v>0</v>
      </c>
      <c r="T115" s="41">
        <f t="shared" si="25"/>
        <v>0</v>
      </c>
      <c r="U115" s="41">
        <f t="shared" si="25"/>
        <v>0</v>
      </c>
      <c r="V115" s="41">
        <f t="shared" si="25"/>
        <v>0</v>
      </c>
      <c r="W115" s="41">
        <f t="shared" si="14"/>
        <v>0</v>
      </c>
    </row>
    <row r="116" spans="1:23" s="63" customFormat="1" ht="11.75" customHeight="1">
      <c r="A116" s="59" t="s">
        <v>213</v>
      </c>
      <c r="B116" s="60"/>
      <c r="C116" s="61" t="s">
        <v>214</v>
      </c>
      <c r="D116" s="57"/>
      <c r="E116" s="57"/>
      <c r="F116" s="57"/>
      <c r="G116" s="57"/>
      <c r="H116" s="57"/>
      <c r="I116" s="57"/>
      <c r="J116" s="62"/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7">
        <v>0</v>
      </c>
      <c r="Q116" s="47">
        <v>0</v>
      </c>
      <c r="R116" s="47">
        <v>0</v>
      </c>
      <c r="S116" s="47">
        <v>0</v>
      </c>
      <c r="T116" s="47">
        <v>0</v>
      </c>
      <c r="U116" s="47">
        <v>0</v>
      </c>
      <c r="V116" s="47">
        <v>0</v>
      </c>
      <c r="W116" s="47">
        <f t="shared" si="14"/>
        <v>0</v>
      </c>
    </row>
    <row r="117" spans="1:23" s="63" customFormat="1" ht="11.75" customHeight="1" thickBot="1">
      <c r="A117" s="59" t="s">
        <v>215</v>
      </c>
      <c r="B117" s="59"/>
      <c r="C117" s="64" t="s">
        <v>191</v>
      </c>
      <c r="D117" s="57"/>
      <c r="E117" s="57"/>
      <c r="F117" s="57"/>
      <c r="G117" s="57"/>
      <c r="H117" s="57"/>
      <c r="I117" s="57"/>
      <c r="J117" s="62"/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f t="shared" si="14"/>
        <v>0</v>
      </c>
    </row>
    <row r="118" spans="1:23" s="8" customFormat="1" ht="11.75" customHeight="1">
      <c r="A118" s="42" t="s">
        <v>216</v>
      </c>
      <c r="B118" s="43" t="s">
        <v>217</v>
      </c>
      <c r="C118" s="44"/>
      <c r="D118" s="44"/>
      <c r="E118" s="44"/>
      <c r="F118" s="44"/>
      <c r="G118" s="44"/>
      <c r="H118" s="44"/>
      <c r="I118" s="44"/>
      <c r="J118" s="45"/>
      <c r="K118" s="46">
        <f>K111+K112-K115</f>
        <v>-66664</v>
      </c>
      <c r="L118" s="46">
        <f t="shared" ref="L118:V118" si="26">L111+L112-L115</f>
        <v>-1661407.1600000001</v>
      </c>
      <c r="M118" s="46">
        <f t="shared" si="26"/>
        <v>9692883</v>
      </c>
      <c r="N118" s="46">
        <f t="shared" si="26"/>
        <v>20985148.5</v>
      </c>
      <c r="O118" s="46">
        <f t="shared" si="26"/>
        <v>23165383</v>
      </c>
      <c r="P118" s="46">
        <f t="shared" si="26"/>
        <v>-2237763.0124999993</v>
      </c>
      <c r="Q118" s="46">
        <f t="shared" si="26"/>
        <v>-12079014</v>
      </c>
      <c r="R118" s="46">
        <f t="shared" si="26"/>
        <v>-583514</v>
      </c>
      <c r="S118" s="46">
        <f t="shared" si="26"/>
        <v>-123514</v>
      </c>
      <c r="T118" s="46">
        <f t="shared" si="26"/>
        <v>-123514</v>
      </c>
      <c r="U118" s="46">
        <f t="shared" si="26"/>
        <v>-123514</v>
      </c>
      <c r="V118" s="46">
        <f t="shared" si="26"/>
        <v>-123519</v>
      </c>
      <c r="W118" s="46">
        <f t="shared" si="14"/>
        <v>36720991.327500001</v>
      </c>
    </row>
  </sheetData>
  <mergeCells count="2">
    <mergeCell ref="A4:A5"/>
    <mergeCell ref="B4:J5"/>
  </mergeCells>
  <phoneticPr fontId="2"/>
  <pageMargins left="0.7" right="0.7" top="0.75" bottom="0.75" header="0.3" footer="0.3"/>
  <pageSetup paperSize="8" scale="5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DC55-AD28-4ECF-94AB-E223ECFE8019}">
  <sheetPr>
    <outlinePr summaryBelow="0"/>
    <pageSetUpPr fitToPage="1"/>
  </sheetPr>
  <dimension ref="A1:BG128"/>
  <sheetViews>
    <sheetView showGridLines="0" tabSelected="1" view="pageBreakPreview" zoomScale="90" zoomScaleNormal="90" zoomScaleSheetLayoutView="90" workbookViewId="0">
      <pane ySplit="6" topLeftCell="A7" activePane="bottomLeft" state="frozen"/>
      <selection pane="bottomLeft" activeCell="AB38" sqref="AB38"/>
    </sheetView>
  </sheetViews>
  <sheetFormatPr baseColWidth="10" defaultColWidth="9" defaultRowHeight="18" outlineLevelRow="2" outlineLevelCol="1"/>
  <cols>
    <col min="1" max="1" width="3.6640625" customWidth="1"/>
    <col min="2" max="2" width="3.83203125" customWidth="1"/>
    <col min="3" max="3" width="9.6640625" customWidth="1"/>
    <col min="4" max="4" width="3.5" customWidth="1"/>
    <col min="5" max="7" width="13.1640625" hidden="1" customWidth="1" outlineLevel="1"/>
    <col min="8" max="8" width="16.1640625" customWidth="1" collapsed="1"/>
    <col min="9" max="11" width="13.1640625" hidden="1" customWidth="1" outlineLevel="1"/>
    <col min="12" max="12" width="16.1640625" customWidth="1" collapsed="1"/>
    <col min="13" max="13" width="16.1640625" customWidth="1"/>
    <col min="14" max="14" width="16.1640625" style="178" customWidth="1"/>
    <col min="15" max="16" width="16.1640625" customWidth="1"/>
    <col min="17" max="17" width="2.83203125" style="1" customWidth="1"/>
    <col min="18" max="19" width="12.83203125" style="1" hidden="1" customWidth="1" outlineLevel="1"/>
    <col min="20" max="20" width="3.6640625" customWidth="1" collapsed="1"/>
    <col min="21" max="21" width="3.83203125" customWidth="1"/>
    <col min="22" max="22" width="9.6640625" customWidth="1"/>
    <col min="23" max="23" width="3.6640625" customWidth="1"/>
    <col min="24" max="27" width="16.1640625" style="1" customWidth="1"/>
    <col min="28" max="29" width="16.1640625" customWidth="1"/>
    <col min="30" max="30" width="69.5" customWidth="1"/>
    <col min="31" max="31" width="2.83203125" style="1" customWidth="1"/>
    <col min="32" max="32" width="3.6640625" customWidth="1"/>
    <col min="33" max="33" width="3.83203125" customWidth="1"/>
    <col min="34" max="34" width="9.6640625" customWidth="1"/>
    <col min="35" max="35" width="2.1640625" customWidth="1"/>
    <col min="36" max="38" width="13" customWidth="1"/>
    <col min="39" max="39" width="13" hidden="1" customWidth="1" outlineLevel="1"/>
    <col min="40" max="40" width="13" hidden="1" customWidth="1" collapsed="1"/>
    <col min="41" max="43" width="13" customWidth="1"/>
    <col min="44" max="45" width="13" hidden="1" customWidth="1" outlineLevel="1"/>
    <col min="46" max="46" width="13" hidden="1" customWidth="1" collapsed="1"/>
    <col min="47" max="47" width="2" style="1" customWidth="1"/>
    <col min="48" max="48" width="13" style="1" customWidth="1"/>
    <col min="49" max="49" width="13.5" style="1" customWidth="1"/>
    <col min="50" max="52" width="9" style="1" customWidth="1"/>
    <col min="53" max="16384" width="9" style="1"/>
  </cols>
  <sheetData>
    <row r="1" spans="1:57" ht="31">
      <c r="A1" s="582" t="s">
        <v>260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82"/>
      <c r="X1" s="582"/>
      <c r="Y1" s="582"/>
      <c r="Z1" s="582"/>
      <c r="AA1" s="582"/>
      <c r="AB1" s="582"/>
      <c r="AC1" s="582"/>
      <c r="AD1" s="582"/>
      <c r="AE1" s="582"/>
      <c r="AF1" s="582"/>
      <c r="AG1" s="582"/>
      <c r="AH1" s="582"/>
      <c r="AI1" s="582"/>
      <c r="AJ1" s="582"/>
      <c r="AK1" s="582"/>
      <c r="AL1" s="582"/>
      <c r="AM1" s="582"/>
      <c r="AN1" s="582"/>
      <c r="AO1" s="582"/>
      <c r="AP1" s="582"/>
      <c r="AQ1" s="582"/>
      <c r="AR1" s="582"/>
      <c r="AS1" s="582"/>
      <c r="AT1" s="582"/>
      <c r="AU1" s="582"/>
    </row>
    <row r="2" spans="1:57" s="69" customFormat="1" ht="30" customHeight="1" thickBot="1">
      <c r="A2" s="212" t="s">
        <v>261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4" t="s">
        <v>262</v>
      </c>
      <c r="Q2" s="215"/>
      <c r="R2" s="215"/>
      <c r="S2" s="215"/>
      <c r="T2" s="216" t="s">
        <v>263</v>
      </c>
      <c r="X2" s="216"/>
      <c r="Y2" s="215"/>
      <c r="Z2" s="215"/>
      <c r="AA2" s="215"/>
      <c r="AB2" s="215"/>
      <c r="AC2" s="215"/>
      <c r="AD2" s="214" t="s">
        <v>262</v>
      </c>
      <c r="AF2" s="217" t="s">
        <v>264</v>
      </c>
      <c r="AJ2" s="213"/>
      <c r="AK2" s="213"/>
      <c r="AL2" s="213"/>
      <c r="AM2" s="213"/>
      <c r="AN2" s="213"/>
      <c r="AO2" s="213"/>
      <c r="AP2" s="213"/>
      <c r="AQ2" s="214" t="s">
        <v>262</v>
      </c>
      <c r="AR2" s="213"/>
      <c r="AS2" s="213"/>
      <c r="AT2" s="214" t="s">
        <v>262</v>
      </c>
      <c r="AU2" s="218"/>
      <c r="AV2" s="218"/>
      <c r="AW2" s="218"/>
      <c r="AX2" s="218"/>
      <c r="AY2" s="218"/>
      <c r="AZ2" s="218"/>
      <c r="BA2" s="218"/>
      <c r="BB2" s="218"/>
      <c r="BC2" s="218"/>
      <c r="BD2" s="218"/>
      <c r="BE2" s="218"/>
    </row>
    <row r="3" spans="1:57" s="69" customFormat="1" ht="33.75" customHeight="1">
      <c r="A3" s="583" t="s">
        <v>265</v>
      </c>
      <c r="B3" s="584"/>
      <c r="C3" s="584"/>
      <c r="D3" s="585"/>
      <c r="E3" s="592" t="s">
        <v>266</v>
      </c>
      <c r="F3" s="592" t="s">
        <v>266</v>
      </c>
      <c r="G3" s="592" t="s">
        <v>266</v>
      </c>
      <c r="H3" s="592" t="s">
        <v>266</v>
      </c>
      <c r="I3" s="594"/>
      <c r="J3" s="594"/>
      <c r="K3" s="594"/>
      <c r="L3" s="595"/>
      <c r="M3" s="592" t="s">
        <v>267</v>
      </c>
      <c r="N3" s="595"/>
      <c r="O3" s="592" t="s">
        <v>268</v>
      </c>
      <c r="P3" s="595"/>
      <c r="Q3" s="219"/>
      <c r="R3" s="600" t="s">
        <v>266</v>
      </c>
      <c r="S3" s="600" t="s">
        <v>266</v>
      </c>
      <c r="T3" s="583" t="s">
        <v>265</v>
      </c>
      <c r="U3" s="584"/>
      <c r="V3" s="584"/>
      <c r="W3" s="585"/>
      <c r="X3" s="592" t="s">
        <v>266</v>
      </c>
      <c r="Y3" s="595"/>
      <c r="Z3" s="592" t="s">
        <v>269</v>
      </c>
      <c r="AA3" s="595"/>
      <c r="AB3" s="592" t="s">
        <v>270</v>
      </c>
      <c r="AC3" s="595"/>
      <c r="AD3" s="626" t="s">
        <v>271</v>
      </c>
      <c r="AF3" s="617" t="s">
        <v>265</v>
      </c>
      <c r="AG3" s="618"/>
      <c r="AH3" s="618"/>
      <c r="AI3" s="619"/>
      <c r="AJ3" s="602" t="s">
        <v>272</v>
      </c>
      <c r="AK3" s="602" t="s">
        <v>273</v>
      </c>
      <c r="AL3" s="602" t="s">
        <v>274</v>
      </c>
      <c r="AM3" s="602" t="s">
        <v>275</v>
      </c>
      <c r="AN3" s="602" t="s">
        <v>276</v>
      </c>
      <c r="AO3" s="602" t="s">
        <v>272</v>
      </c>
      <c r="AP3" s="602" t="s">
        <v>273</v>
      </c>
      <c r="AQ3" s="602" t="s">
        <v>274</v>
      </c>
      <c r="AR3" s="602" t="s">
        <v>275</v>
      </c>
      <c r="AS3" s="602" t="s">
        <v>277</v>
      </c>
      <c r="AT3" s="602" t="s">
        <v>276</v>
      </c>
    </row>
    <row r="4" spans="1:57" s="76" customFormat="1" ht="33.75" customHeight="1" thickBot="1">
      <c r="A4" s="586"/>
      <c r="B4" s="587"/>
      <c r="C4" s="587"/>
      <c r="D4" s="588"/>
      <c r="E4" s="593"/>
      <c r="F4" s="593"/>
      <c r="G4" s="593"/>
      <c r="H4" s="593"/>
      <c r="I4" s="596"/>
      <c r="J4" s="596"/>
      <c r="K4" s="596"/>
      <c r="L4" s="597"/>
      <c r="M4" s="598"/>
      <c r="N4" s="599"/>
      <c r="O4" s="598"/>
      <c r="P4" s="599"/>
      <c r="Q4" s="222"/>
      <c r="R4" s="601"/>
      <c r="S4" s="601"/>
      <c r="T4" s="586"/>
      <c r="U4" s="587"/>
      <c r="V4" s="587"/>
      <c r="W4" s="588"/>
      <c r="X4" s="593"/>
      <c r="Y4" s="597"/>
      <c r="Z4" s="593"/>
      <c r="AA4" s="597"/>
      <c r="AB4" s="598"/>
      <c r="AC4" s="599"/>
      <c r="AD4" s="627"/>
      <c r="AF4" s="620"/>
      <c r="AG4" s="621"/>
      <c r="AH4" s="621"/>
      <c r="AI4" s="622"/>
      <c r="AJ4" s="603"/>
      <c r="AK4" s="603"/>
      <c r="AL4" s="603"/>
      <c r="AM4" s="610"/>
      <c r="AN4" s="603"/>
      <c r="AO4" s="603"/>
      <c r="AP4" s="603"/>
      <c r="AQ4" s="603"/>
      <c r="AR4" s="610"/>
      <c r="AS4" s="610"/>
      <c r="AT4" s="603"/>
    </row>
    <row r="5" spans="1:57" s="81" customFormat="1" ht="33.75" customHeight="1" thickBot="1">
      <c r="A5" s="586"/>
      <c r="B5" s="587"/>
      <c r="C5" s="587"/>
      <c r="D5" s="588"/>
      <c r="E5" s="220" t="s">
        <v>278</v>
      </c>
      <c r="F5" s="223" t="s">
        <v>279</v>
      </c>
      <c r="G5" s="221" t="s">
        <v>280</v>
      </c>
      <c r="H5" s="604" t="s">
        <v>281</v>
      </c>
      <c r="I5" s="605"/>
      <c r="J5" s="605"/>
      <c r="K5" s="605"/>
      <c r="L5" s="606"/>
      <c r="M5" s="604" t="s">
        <v>280</v>
      </c>
      <c r="N5" s="606"/>
      <c r="O5" s="593"/>
      <c r="P5" s="597"/>
      <c r="Q5" s="224"/>
      <c r="R5" s="225" t="s">
        <v>282</v>
      </c>
      <c r="S5" s="221" t="s">
        <v>282</v>
      </c>
      <c r="T5" s="586"/>
      <c r="U5" s="587"/>
      <c r="V5" s="587"/>
      <c r="W5" s="588"/>
      <c r="X5" s="615" t="s">
        <v>282</v>
      </c>
      <c r="Y5" s="616"/>
      <c r="Z5" s="604" t="s">
        <v>282</v>
      </c>
      <c r="AA5" s="606"/>
      <c r="AB5" s="593"/>
      <c r="AC5" s="597"/>
      <c r="AD5" s="627"/>
      <c r="AF5" s="620"/>
      <c r="AG5" s="621"/>
      <c r="AH5" s="621"/>
      <c r="AI5" s="622"/>
      <c r="AJ5" s="612" t="s">
        <v>283</v>
      </c>
      <c r="AK5" s="613"/>
      <c r="AL5" s="614"/>
      <c r="AM5" s="611"/>
      <c r="AN5" s="227" t="s">
        <v>284</v>
      </c>
      <c r="AO5" s="612" t="s">
        <v>285</v>
      </c>
      <c r="AP5" s="613"/>
      <c r="AQ5" s="614"/>
      <c r="AR5" s="611"/>
      <c r="AS5" s="611"/>
      <c r="AT5" s="226" t="s">
        <v>286</v>
      </c>
      <c r="AV5" s="81" t="s">
        <v>287</v>
      </c>
      <c r="AW5" s="81" t="s">
        <v>288</v>
      </c>
    </row>
    <row r="6" spans="1:57" s="69" customFormat="1" ht="33.75" customHeight="1" thickBot="1">
      <c r="A6" s="589"/>
      <c r="B6" s="590"/>
      <c r="C6" s="590"/>
      <c r="D6" s="591"/>
      <c r="E6" s="228" t="s">
        <v>289</v>
      </c>
      <c r="F6" s="228" t="s">
        <v>289</v>
      </c>
      <c r="G6" s="228" t="s">
        <v>289</v>
      </c>
      <c r="H6" s="229" t="s">
        <v>289</v>
      </c>
      <c r="I6" s="230" t="s">
        <v>290</v>
      </c>
      <c r="J6" s="231" t="s">
        <v>290</v>
      </c>
      <c r="K6" s="231" t="s">
        <v>290</v>
      </c>
      <c r="L6" s="232" t="s">
        <v>290</v>
      </c>
      <c r="M6" s="228" t="s">
        <v>289</v>
      </c>
      <c r="N6" s="232" t="s">
        <v>290</v>
      </c>
      <c r="O6" s="233" t="s">
        <v>289</v>
      </c>
      <c r="P6" s="234" t="s">
        <v>290</v>
      </c>
      <c r="Q6" s="235"/>
      <c r="R6" s="236" t="s">
        <v>289</v>
      </c>
      <c r="S6" s="237" t="s">
        <v>290</v>
      </c>
      <c r="T6" s="589"/>
      <c r="U6" s="590"/>
      <c r="V6" s="590"/>
      <c r="W6" s="591"/>
      <c r="X6" s="229" t="s">
        <v>289</v>
      </c>
      <c r="Y6" s="237" t="s">
        <v>290</v>
      </c>
      <c r="Z6" s="229" t="s">
        <v>289</v>
      </c>
      <c r="AA6" s="237" t="s">
        <v>290</v>
      </c>
      <c r="AB6" s="238" t="s">
        <v>289</v>
      </c>
      <c r="AC6" s="237" t="s">
        <v>290</v>
      </c>
      <c r="AD6" s="628"/>
      <c r="AF6" s="623"/>
      <c r="AG6" s="624"/>
      <c r="AH6" s="624"/>
      <c r="AI6" s="625"/>
      <c r="AJ6" s="629" t="s">
        <v>289</v>
      </c>
      <c r="AK6" s="630"/>
      <c r="AL6" s="630"/>
      <c r="AM6" s="630"/>
      <c r="AN6" s="631"/>
      <c r="AO6" s="607" t="s">
        <v>290</v>
      </c>
      <c r="AP6" s="608"/>
      <c r="AQ6" s="608"/>
      <c r="AR6" s="608"/>
      <c r="AS6" s="609"/>
      <c r="AT6" s="239"/>
      <c r="AU6" s="240"/>
    </row>
    <row r="7" spans="1:57" s="88" customFormat="1" ht="33.75" customHeight="1">
      <c r="A7" s="241" t="s">
        <v>4</v>
      </c>
      <c r="B7" s="242"/>
      <c r="C7" s="242"/>
      <c r="D7" s="242"/>
      <c r="E7" s="243">
        <f t="shared" ref="E7:G7" si="0">SUM(E8:E17)</f>
        <v>63692138</v>
      </c>
      <c r="F7" s="244">
        <f t="shared" si="0"/>
        <v>70997697</v>
      </c>
      <c r="G7" s="245">
        <f t="shared" si="0"/>
        <v>66208787</v>
      </c>
      <c r="H7" s="246">
        <f>SUM(H8:H17)</f>
        <v>66966207.333333336</v>
      </c>
      <c r="I7" s="245"/>
      <c r="J7" s="244"/>
      <c r="K7" s="245"/>
      <c r="L7" s="247">
        <f>H7/H$7</f>
        <v>1</v>
      </c>
      <c r="M7" s="245">
        <f t="shared" ref="M7" si="1">SUM(M8:M17)</f>
        <v>42870779</v>
      </c>
      <c r="N7" s="248">
        <f>M7/M$7</f>
        <v>1</v>
      </c>
      <c r="O7" s="245">
        <f>SUM(O8:O17)</f>
        <v>109836986.33333334</v>
      </c>
      <c r="P7" s="248">
        <f>O7/O$8</f>
        <v>1</v>
      </c>
      <c r="Q7" s="217"/>
      <c r="R7" s="249">
        <f>SUM(R8:R17)</f>
        <v>90114248</v>
      </c>
      <c r="S7" s="250">
        <f>R7/R$7</f>
        <v>1</v>
      </c>
      <c r="T7" s="241" t="s">
        <v>4</v>
      </c>
      <c r="U7" s="242"/>
      <c r="V7" s="242"/>
      <c r="W7" s="242"/>
      <c r="X7" s="246">
        <f>SUM(X8:X17)</f>
        <v>75365660</v>
      </c>
      <c r="Y7" s="251">
        <f>X7/X$7</f>
        <v>1</v>
      </c>
      <c r="Z7" s="246">
        <f>SUM(Z8:Z17)</f>
        <v>50302400</v>
      </c>
      <c r="AA7" s="251">
        <f>Z7/Z$7</f>
        <v>1</v>
      </c>
      <c r="AB7" s="252">
        <f>X7+Z7</f>
        <v>125668060</v>
      </c>
      <c r="AC7" s="251">
        <f>AB7/AB$7</f>
        <v>1</v>
      </c>
      <c r="AD7" s="253"/>
      <c r="AF7" s="254" t="s">
        <v>4</v>
      </c>
      <c r="AG7" s="255"/>
      <c r="AH7" s="255"/>
      <c r="AI7" s="255"/>
      <c r="AJ7" s="256">
        <v>157913606</v>
      </c>
      <c r="AK7" s="256">
        <v>97828758</v>
      </c>
      <c r="AL7" s="256">
        <v>132999907</v>
      </c>
      <c r="AM7" s="256">
        <f>AVERAGE(AJ7:AL7)</f>
        <v>129580757</v>
      </c>
      <c r="AN7" s="256">
        <v>46267440</v>
      </c>
      <c r="AO7" s="257">
        <f>AJ7/AJ$7</f>
        <v>1</v>
      </c>
      <c r="AP7" s="257">
        <f>AK7/AK$7</f>
        <v>1</v>
      </c>
      <c r="AQ7" s="257">
        <f>AL7/AL$7</f>
        <v>1</v>
      </c>
      <c r="AR7" s="256"/>
      <c r="AS7" s="256"/>
      <c r="AT7" s="257">
        <f>AN7/AN$7</f>
        <v>1</v>
      </c>
      <c r="AU7" s="177"/>
      <c r="AV7" s="258">
        <f t="shared" ref="AV7:AV70" si="2">G7-F7</f>
        <v>-4788910</v>
      </c>
      <c r="AW7" s="258">
        <f t="shared" ref="AW7:AW70" si="3">R7-AJ7</f>
        <v>-67799358</v>
      </c>
    </row>
    <row r="8" spans="1:57" s="88" customFormat="1" ht="33.75" customHeight="1" collapsed="1">
      <c r="A8" s="259"/>
      <c r="B8" s="260" t="s">
        <v>6</v>
      </c>
      <c r="C8" s="261"/>
      <c r="D8" s="261"/>
      <c r="E8" s="262">
        <f>63692138</f>
        <v>63692138</v>
      </c>
      <c r="F8" s="263">
        <v>70997697</v>
      </c>
      <c r="G8" s="264">
        <v>66208787</v>
      </c>
      <c r="H8" s="265">
        <f>AVERAGE(E8:G8)</f>
        <v>66966207.333333336</v>
      </c>
      <c r="I8" s="264"/>
      <c r="J8" s="263"/>
      <c r="K8" s="264"/>
      <c r="L8" s="266">
        <f>H8/H$7</f>
        <v>1</v>
      </c>
      <c r="M8" s="264">
        <v>42870779</v>
      </c>
      <c r="N8" s="267">
        <f>M8/M$7</f>
        <v>1</v>
      </c>
      <c r="O8" s="264">
        <f t="shared" ref="O8:O18" si="4">H8+M8</f>
        <v>109836986.33333334</v>
      </c>
      <c r="P8" s="267">
        <f>O8/O$7</f>
        <v>1</v>
      </c>
      <c r="Q8" s="217"/>
      <c r="R8" s="268">
        <v>90114248</v>
      </c>
      <c r="S8" s="269">
        <f t="shared" ref="S8:Y71" si="5">R8/R$7</f>
        <v>1</v>
      </c>
      <c r="T8" s="259"/>
      <c r="U8" s="260" t="s">
        <v>6</v>
      </c>
      <c r="V8" s="261"/>
      <c r="W8" s="261"/>
      <c r="X8" s="265">
        <v>75365660</v>
      </c>
      <c r="Y8" s="270">
        <f t="shared" si="5"/>
        <v>1</v>
      </c>
      <c r="Z8" s="265">
        <v>50302400</v>
      </c>
      <c r="AA8" s="270">
        <f t="shared" ref="AA8:AA17" si="6">Z8/Z$7</f>
        <v>1</v>
      </c>
      <c r="AB8" s="265">
        <f t="shared" ref="AB8:AB71" si="7">X8+Z8</f>
        <v>125668060</v>
      </c>
      <c r="AC8" s="270">
        <f t="shared" ref="AC8:AC67" si="8">AB8/AB$7</f>
        <v>1</v>
      </c>
      <c r="AD8" s="271" t="s">
        <v>291</v>
      </c>
      <c r="AF8" s="89"/>
      <c r="AG8" s="90" t="s">
        <v>6</v>
      </c>
      <c r="AH8" s="91"/>
      <c r="AI8" s="91"/>
      <c r="AJ8" s="272">
        <v>157913606</v>
      </c>
      <c r="AK8" s="272">
        <v>97828758</v>
      </c>
      <c r="AL8" s="272">
        <v>132999907</v>
      </c>
      <c r="AM8" s="272">
        <f t="shared" ref="AM8:AM71" si="9">AVERAGE(AJ8:AL8)</f>
        <v>129580757</v>
      </c>
      <c r="AN8" s="272">
        <v>46267440</v>
      </c>
      <c r="AO8" s="273">
        <f t="shared" ref="AO8:AR71" si="10">AJ8/AJ$7</f>
        <v>1</v>
      </c>
      <c r="AP8" s="273">
        <f t="shared" si="10"/>
        <v>1</v>
      </c>
      <c r="AQ8" s="273">
        <f t="shared" si="10"/>
        <v>1</v>
      </c>
      <c r="AR8" s="272"/>
      <c r="AS8" s="272"/>
      <c r="AT8" s="273">
        <f t="shared" ref="AT8:AT71" si="11">AN8/AN$7</f>
        <v>1</v>
      </c>
      <c r="AU8" s="177"/>
      <c r="AV8" s="258">
        <f t="shared" si="2"/>
        <v>-4788910</v>
      </c>
      <c r="AW8" s="258">
        <f t="shared" si="3"/>
        <v>-67799358</v>
      </c>
    </row>
    <row r="9" spans="1:57" s="88" customFormat="1" ht="33.75" hidden="1" customHeight="1" outlineLevel="1">
      <c r="A9" s="259"/>
      <c r="B9" s="274" t="s">
        <v>292</v>
      </c>
      <c r="C9" s="275"/>
      <c r="D9" s="275"/>
      <c r="E9" s="276">
        <v>0</v>
      </c>
      <c r="F9" s="277">
        <v>0</v>
      </c>
      <c r="G9" s="278">
        <v>0</v>
      </c>
      <c r="H9" s="279">
        <f>AVERAGE(E9:G9)</f>
        <v>0</v>
      </c>
      <c r="I9" s="278">
        <v>0</v>
      </c>
      <c r="J9" s="277">
        <v>0</v>
      </c>
      <c r="K9" s="278">
        <v>0</v>
      </c>
      <c r="L9" s="280">
        <f>AVERAGE(I9:K9)</f>
        <v>0</v>
      </c>
      <c r="M9" s="278">
        <v>0</v>
      </c>
      <c r="N9" s="281">
        <v>0</v>
      </c>
      <c r="O9" s="278">
        <f t="shared" si="4"/>
        <v>0</v>
      </c>
      <c r="P9" s="282">
        <v>0</v>
      </c>
      <c r="Q9" s="217"/>
      <c r="R9" s="283">
        <v>0</v>
      </c>
      <c r="S9" s="284">
        <f t="shared" si="5"/>
        <v>0</v>
      </c>
      <c r="T9" s="259"/>
      <c r="U9" s="274" t="s">
        <v>292</v>
      </c>
      <c r="V9" s="275"/>
      <c r="W9" s="275"/>
      <c r="X9" s="279">
        <v>0</v>
      </c>
      <c r="Y9" s="285">
        <f t="shared" si="5"/>
        <v>0</v>
      </c>
      <c r="Z9" s="279">
        <v>0</v>
      </c>
      <c r="AA9" s="285">
        <f t="shared" si="6"/>
        <v>0</v>
      </c>
      <c r="AB9" s="279">
        <f t="shared" si="7"/>
        <v>0</v>
      </c>
      <c r="AC9" s="285">
        <f t="shared" si="8"/>
        <v>0</v>
      </c>
      <c r="AD9" s="286"/>
      <c r="AF9" s="89"/>
      <c r="AG9" s="287" t="s">
        <v>292</v>
      </c>
      <c r="AH9" s="288"/>
      <c r="AI9" s="288"/>
      <c r="AJ9" s="289">
        <v>0</v>
      </c>
      <c r="AK9" s="289">
        <v>0</v>
      </c>
      <c r="AL9" s="289">
        <v>0</v>
      </c>
      <c r="AM9" s="289">
        <f t="shared" si="9"/>
        <v>0</v>
      </c>
      <c r="AN9" s="289">
        <v>0</v>
      </c>
      <c r="AO9" s="289">
        <f t="shared" si="10"/>
        <v>0</v>
      </c>
      <c r="AP9" s="289">
        <f t="shared" si="10"/>
        <v>0</v>
      </c>
      <c r="AQ9" s="289">
        <f t="shared" si="10"/>
        <v>0</v>
      </c>
      <c r="AR9" s="289">
        <v>0</v>
      </c>
      <c r="AS9" s="289">
        <v>0</v>
      </c>
      <c r="AT9" s="289">
        <f t="shared" si="11"/>
        <v>0</v>
      </c>
      <c r="AU9" s="177"/>
      <c r="AV9" s="258">
        <f t="shared" si="2"/>
        <v>0</v>
      </c>
      <c r="AW9" s="258">
        <f t="shared" si="3"/>
        <v>0</v>
      </c>
    </row>
    <row r="10" spans="1:57" s="88" customFormat="1" ht="33.75" hidden="1" customHeight="1" outlineLevel="1">
      <c r="A10" s="259"/>
      <c r="B10" s="290" t="s">
        <v>10</v>
      </c>
      <c r="C10" s="291"/>
      <c r="D10" s="291"/>
      <c r="E10" s="276">
        <v>0</v>
      </c>
      <c r="F10" s="292">
        <v>0</v>
      </c>
      <c r="G10" s="278">
        <v>0</v>
      </c>
      <c r="H10" s="279">
        <f t="shared" ref="H10:H17" si="12">AVERAGE(E10:G10)</f>
        <v>0</v>
      </c>
      <c r="I10" s="278">
        <v>0</v>
      </c>
      <c r="J10" s="292">
        <v>0</v>
      </c>
      <c r="K10" s="278">
        <v>0</v>
      </c>
      <c r="L10" s="280">
        <f t="shared" ref="L10:L17" si="13">AVERAGE(I10:K10)</f>
        <v>0</v>
      </c>
      <c r="M10" s="278">
        <v>0</v>
      </c>
      <c r="N10" s="281">
        <v>0</v>
      </c>
      <c r="O10" s="278">
        <f t="shared" si="4"/>
        <v>0</v>
      </c>
      <c r="P10" s="282">
        <v>0</v>
      </c>
      <c r="Q10" s="217"/>
      <c r="R10" s="283">
        <v>0</v>
      </c>
      <c r="S10" s="284">
        <f t="shared" si="5"/>
        <v>0</v>
      </c>
      <c r="T10" s="259"/>
      <c r="U10" s="290" t="s">
        <v>10</v>
      </c>
      <c r="V10" s="291"/>
      <c r="W10" s="291"/>
      <c r="X10" s="279">
        <v>0</v>
      </c>
      <c r="Y10" s="285">
        <f t="shared" si="5"/>
        <v>0</v>
      </c>
      <c r="Z10" s="279">
        <v>0</v>
      </c>
      <c r="AA10" s="285">
        <f t="shared" si="6"/>
        <v>0</v>
      </c>
      <c r="AB10" s="279">
        <f t="shared" si="7"/>
        <v>0</v>
      </c>
      <c r="AC10" s="285">
        <f t="shared" si="8"/>
        <v>0</v>
      </c>
      <c r="AD10" s="293"/>
      <c r="AF10" s="89"/>
      <c r="AG10" s="98" t="s">
        <v>10</v>
      </c>
      <c r="AH10" s="99"/>
      <c r="AI10" s="99"/>
      <c r="AJ10" s="289">
        <v>0</v>
      </c>
      <c r="AK10" s="289">
        <v>0</v>
      </c>
      <c r="AL10" s="289">
        <v>0</v>
      </c>
      <c r="AM10" s="289">
        <f t="shared" si="9"/>
        <v>0</v>
      </c>
      <c r="AN10" s="289">
        <v>0</v>
      </c>
      <c r="AO10" s="289">
        <f t="shared" si="10"/>
        <v>0</v>
      </c>
      <c r="AP10" s="289">
        <f t="shared" si="10"/>
        <v>0</v>
      </c>
      <c r="AQ10" s="289">
        <f t="shared" si="10"/>
        <v>0</v>
      </c>
      <c r="AR10" s="289">
        <v>0</v>
      </c>
      <c r="AS10" s="289">
        <v>0</v>
      </c>
      <c r="AT10" s="289">
        <f t="shared" si="11"/>
        <v>0</v>
      </c>
      <c r="AU10" s="177"/>
      <c r="AV10" s="258">
        <f t="shared" si="2"/>
        <v>0</v>
      </c>
      <c r="AW10" s="258">
        <f t="shared" si="3"/>
        <v>0</v>
      </c>
    </row>
    <row r="11" spans="1:57" s="88" customFormat="1" ht="33.75" hidden="1" customHeight="1" outlineLevel="1">
      <c r="A11" s="259"/>
      <c r="B11" s="290" t="s">
        <v>12</v>
      </c>
      <c r="C11" s="291"/>
      <c r="D11" s="291"/>
      <c r="E11" s="276">
        <v>0</v>
      </c>
      <c r="F11" s="292">
        <v>0</v>
      </c>
      <c r="G11" s="278">
        <v>0</v>
      </c>
      <c r="H11" s="279">
        <f t="shared" si="12"/>
        <v>0</v>
      </c>
      <c r="I11" s="278">
        <v>0</v>
      </c>
      <c r="J11" s="292">
        <v>0</v>
      </c>
      <c r="K11" s="278">
        <v>0</v>
      </c>
      <c r="L11" s="280">
        <f t="shared" si="13"/>
        <v>0</v>
      </c>
      <c r="M11" s="278">
        <v>0</v>
      </c>
      <c r="N11" s="281">
        <v>0</v>
      </c>
      <c r="O11" s="278">
        <f t="shared" si="4"/>
        <v>0</v>
      </c>
      <c r="P11" s="282">
        <v>0</v>
      </c>
      <c r="Q11" s="217"/>
      <c r="R11" s="283">
        <v>0</v>
      </c>
      <c r="S11" s="284">
        <f t="shared" si="5"/>
        <v>0</v>
      </c>
      <c r="T11" s="259"/>
      <c r="U11" s="290" t="s">
        <v>12</v>
      </c>
      <c r="V11" s="291"/>
      <c r="W11" s="291"/>
      <c r="X11" s="279">
        <v>0</v>
      </c>
      <c r="Y11" s="285">
        <f t="shared" si="5"/>
        <v>0</v>
      </c>
      <c r="Z11" s="279">
        <v>0</v>
      </c>
      <c r="AA11" s="285">
        <f t="shared" si="6"/>
        <v>0</v>
      </c>
      <c r="AB11" s="279">
        <f t="shared" si="7"/>
        <v>0</v>
      </c>
      <c r="AC11" s="285">
        <f t="shared" si="8"/>
        <v>0</v>
      </c>
      <c r="AD11" s="293"/>
      <c r="AF11" s="89"/>
      <c r="AG11" s="98" t="s">
        <v>12</v>
      </c>
      <c r="AH11" s="99"/>
      <c r="AI11" s="99"/>
      <c r="AJ11" s="289">
        <v>0</v>
      </c>
      <c r="AK11" s="289">
        <v>0</v>
      </c>
      <c r="AL11" s="289">
        <v>0</v>
      </c>
      <c r="AM11" s="289">
        <f t="shared" si="9"/>
        <v>0</v>
      </c>
      <c r="AN11" s="289">
        <v>0</v>
      </c>
      <c r="AO11" s="289">
        <f t="shared" si="10"/>
        <v>0</v>
      </c>
      <c r="AP11" s="289">
        <f t="shared" si="10"/>
        <v>0</v>
      </c>
      <c r="AQ11" s="289">
        <f t="shared" si="10"/>
        <v>0</v>
      </c>
      <c r="AR11" s="289">
        <v>0</v>
      </c>
      <c r="AS11" s="289">
        <v>0</v>
      </c>
      <c r="AT11" s="289">
        <f t="shared" si="11"/>
        <v>0</v>
      </c>
      <c r="AU11" s="177"/>
      <c r="AV11" s="258">
        <f t="shared" si="2"/>
        <v>0</v>
      </c>
      <c r="AW11" s="258">
        <f t="shared" si="3"/>
        <v>0</v>
      </c>
    </row>
    <row r="12" spans="1:57" s="88" customFormat="1" ht="33.75" hidden="1" customHeight="1" outlineLevel="1">
      <c r="A12" s="259"/>
      <c r="B12" s="290" t="s">
        <v>14</v>
      </c>
      <c r="C12" s="291"/>
      <c r="D12" s="291"/>
      <c r="E12" s="276">
        <v>0</v>
      </c>
      <c r="F12" s="292">
        <v>0</v>
      </c>
      <c r="G12" s="278">
        <v>0</v>
      </c>
      <c r="H12" s="279">
        <f t="shared" si="12"/>
        <v>0</v>
      </c>
      <c r="I12" s="278">
        <v>0</v>
      </c>
      <c r="J12" s="292">
        <v>0</v>
      </c>
      <c r="K12" s="278">
        <v>0</v>
      </c>
      <c r="L12" s="280">
        <f t="shared" si="13"/>
        <v>0</v>
      </c>
      <c r="M12" s="278">
        <v>0</v>
      </c>
      <c r="N12" s="281">
        <v>0</v>
      </c>
      <c r="O12" s="278">
        <f t="shared" si="4"/>
        <v>0</v>
      </c>
      <c r="P12" s="282">
        <v>0</v>
      </c>
      <c r="Q12" s="217"/>
      <c r="R12" s="283">
        <v>0</v>
      </c>
      <c r="S12" s="284">
        <f t="shared" si="5"/>
        <v>0</v>
      </c>
      <c r="T12" s="259"/>
      <c r="U12" s="290" t="s">
        <v>14</v>
      </c>
      <c r="V12" s="291"/>
      <c r="W12" s="291"/>
      <c r="X12" s="279">
        <v>0</v>
      </c>
      <c r="Y12" s="285">
        <f t="shared" si="5"/>
        <v>0</v>
      </c>
      <c r="Z12" s="279">
        <v>0</v>
      </c>
      <c r="AA12" s="285">
        <f t="shared" si="6"/>
        <v>0</v>
      </c>
      <c r="AB12" s="279">
        <f t="shared" si="7"/>
        <v>0</v>
      </c>
      <c r="AC12" s="285">
        <f t="shared" si="8"/>
        <v>0</v>
      </c>
      <c r="AD12" s="293"/>
      <c r="AF12" s="89"/>
      <c r="AG12" s="98" t="s">
        <v>14</v>
      </c>
      <c r="AH12" s="99"/>
      <c r="AI12" s="99"/>
      <c r="AJ12" s="289">
        <v>0</v>
      </c>
      <c r="AK12" s="289">
        <v>0</v>
      </c>
      <c r="AL12" s="289">
        <v>0</v>
      </c>
      <c r="AM12" s="289">
        <f t="shared" si="9"/>
        <v>0</v>
      </c>
      <c r="AN12" s="289">
        <v>0</v>
      </c>
      <c r="AO12" s="289">
        <f t="shared" si="10"/>
        <v>0</v>
      </c>
      <c r="AP12" s="289">
        <f t="shared" si="10"/>
        <v>0</v>
      </c>
      <c r="AQ12" s="289">
        <f t="shared" si="10"/>
        <v>0</v>
      </c>
      <c r="AR12" s="289">
        <v>0</v>
      </c>
      <c r="AS12" s="289">
        <v>0</v>
      </c>
      <c r="AT12" s="289">
        <f t="shared" si="11"/>
        <v>0</v>
      </c>
      <c r="AU12" s="177"/>
      <c r="AV12" s="258">
        <f t="shared" si="2"/>
        <v>0</v>
      </c>
      <c r="AW12" s="258">
        <f t="shared" si="3"/>
        <v>0</v>
      </c>
    </row>
    <row r="13" spans="1:57" s="88" customFormat="1" ht="33.75" hidden="1" customHeight="1" outlineLevel="1">
      <c r="A13" s="259"/>
      <c r="B13" s="290" t="s">
        <v>16</v>
      </c>
      <c r="C13" s="291"/>
      <c r="D13" s="291"/>
      <c r="E13" s="276">
        <v>0</v>
      </c>
      <c r="F13" s="292">
        <v>0</v>
      </c>
      <c r="G13" s="278">
        <v>0</v>
      </c>
      <c r="H13" s="279">
        <f t="shared" si="12"/>
        <v>0</v>
      </c>
      <c r="I13" s="278">
        <v>0</v>
      </c>
      <c r="J13" s="292">
        <v>0</v>
      </c>
      <c r="K13" s="278">
        <v>0</v>
      </c>
      <c r="L13" s="280">
        <f t="shared" si="13"/>
        <v>0</v>
      </c>
      <c r="M13" s="278">
        <v>0</v>
      </c>
      <c r="N13" s="281">
        <v>0</v>
      </c>
      <c r="O13" s="278">
        <f t="shared" si="4"/>
        <v>0</v>
      </c>
      <c r="P13" s="282">
        <v>0</v>
      </c>
      <c r="Q13" s="217"/>
      <c r="R13" s="283">
        <v>0</v>
      </c>
      <c r="S13" s="284">
        <f t="shared" si="5"/>
        <v>0</v>
      </c>
      <c r="T13" s="259"/>
      <c r="U13" s="290" t="s">
        <v>16</v>
      </c>
      <c r="V13" s="291"/>
      <c r="W13" s="291"/>
      <c r="X13" s="279">
        <v>0</v>
      </c>
      <c r="Y13" s="285">
        <f t="shared" si="5"/>
        <v>0</v>
      </c>
      <c r="Z13" s="279">
        <v>0</v>
      </c>
      <c r="AA13" s="285">
        <f t="shared" si="6"/>
        <v>0</v>
      </c>
      <c r="AB13" s="279">
        <f t="shared" si="7"/>
        <v>0</v>
      </c>
      <c r="AC13" s="285">
        <f t="shared" si="8"/>
        <v>0</v>
      </c>
      <c r="AD13" s="293"/>
      <c r="AF13" s="89"/>
      <c r="AG13" s="98" t="s">
        <v>16</v>
      </c>
      <c r="AH13" s="99"/>
      <c r="AI13" s="99"/>
      <c r="AJ13" s="289">
        <v>0</v>
      </c>
      <c r="AK13" s="289">
        <v>0</v>
      </c>
      <c r="AL13" s="289">
        <v>0</v>
      </c>
      <c r="AM13" s="289">
        <f t="shared" si="9"/>
        <v>0</v>
      </c>
      <c r="AN13" s="289">
        <v>0</v>
      </c>
      <c r="AO13" s="289">
        <f t="shared" si="10"/>
        <v>0</v>
      </c>
      <c r="AP13" s="289">
        <f t="shared" si="10"/>
        <v>0</v>
      </c>
      <c r="AQ13" s="289">
        <f t="shared" si="10"/>
        <v>0</v>
      </c>
      <c r="AR13" s="289">
        <v>0</v>
      </c>
      <c r="AS13" s="289">
        <v>0</v>
      </c>
      <c r="AT13" s="289">
        <f t="shared" si="11"/>
        <v>0</v>
      </c>
      <c r="AU13" s="177"/>
      <c r="AV13" s="258">
        <f t="shared" si="2"/>
        <v>0</v>
      </c>
      <c r="AW13" s="258">
        <f t="shared" si="3"/>
        <v>0</v>
      </c>
    </row>
    <row r="14" spans="1:57" s="88" customFormat="1" ht="33.75" hidden="1" customHeight="1" outlineLevel="1">
      <c r="A14" s="259"/>
      <c r="B14" s="290" t="s">
        <v>18</v>
      </c>
      <c r="C14" s="291"/>
      <c r="D14" s="291"/>
      <c r="E14" s="276">
        <v>0</v>
      </c>
      <c r="F14" s="292">
        <v>0</v>
      </c>
      <c r="G14" s="278">
        <v>0</v>
      </c>
      <c r="H14" s="279">
        <f t="shared" si="12"/>
        <v>0</v>
      </c>
      <c r="I14" s="278">
        <v>0</v>
      </c>
      <c r="J14" s="292">
        <v>0</v>
      </c>
      <c r="K14" s="278">
        <v>0</v>
      </c>
      <c r="L14" s="280">
        <f t="shared" si="13"/>
        <v>0</v>
      </c>
      <c r="M14" s="278">
        <v>0</v>
      </c>
      <c r="N14" s="281">
        <v>0</v>
      </c>
      <c r="O14" s="278">
        <f t="shared" si="4"/>
        <v>0</v>
      </c>
      <c r="P14" s="282">
        <v>0</v>
      </c>
      <c r="Q14" s="217"/>
      <c r="R14" s="283">
        <v>0</v>
      </c>
      <c r="S14" s="284">
        <f t="shared" si="5"/>
        <v>0</v>
      </c>
      <c r="T14" s="259"/>
      <c r="U14" s="290" t="s">
        <v>18</v>
      </c>
      <c r="V14" s="291"/>
      <c r="W14" s="291"/>
      <c r="X14" s="279">
        <v>0</v>
      </c>
      <c r="Y14" s="285">
        <f t="shared" si="5"/>
        <v>0</v>
      </c>
      <c r="Z14" s="279">
        <v>0</v>
      </c>
      <c r="AA14" s="285">
        <f t="shared" si="6"/>
        <v>0</v>
      </c>
      <c r="AB14" s="279">
        <f t="shared" si="7"/>
        <v>0</v>
      </c>
      <c r="AC14" s="285">
        <f t="shared" si="8"/>
        <v>0</v>
      </c>
      <c r="AD14" s="293"/>
      <c r="AF14" s="89"/>
      <c r="AG14" s="98" t="s">
        <v>18</v>
      </c>
      <c r="AH14" s="99"/>
      <c r="AI14" s="99"/>
      <c r="AJ14" s="289">
        <v>0</v>
      </c>
      <c r="AK14" s="289">
        <v>0</v>
      </c>
      <c r="AL14" s="289">
        <v>0</v>
      </c>
      <c r="AM14" s="289">
        <f t="shared" si="9"/>
        <v>0</v>
      </c>
      <c r="AN14" s="289">
        <v>0</v>
      </c>
      <c r="AO14" s="289">
        <f t="shared" si="10"/>
        <v>0</v>
      </c>
      <c r="AP14" s="289">
        <f t="shared" si="10"/>
        <v>0</v>
      </c>
      <c r="AQ14" s="289">
        <f t="shared" si="10"/>
        <v>0</v>
      </c>
      <c r="AR14" s="289">
        <v>0</v>
      </c>
      <c r="AS14" s="289">
        <v>0</v>
      </c>
      <c r="AT14" s="289">
        <f t="shared" si="11"/>
        <v>0</v>
      </c>
      <c r="AU14" s="177"/>
      <c r="AV14" s="258">
        <f t="shared" si="2"/>
        <v>0</v>
      </c>
      <c r="AW14" s="258">
        <f t="shared" si="3"/>
        <v>0</v>
      </c>
    </row>
    <row r="15" spans="1:57" s="88" customFormat="1" ht="33.75" hidden="1" customHeight="1" outlineLevel="1">
      <c r="A15" s="259"/>
      <c r="B15" s="290" t="s">
        <v>20</v>
      </c>
      <c r="C15" s="291"/>
      <c r="D15" s="291"/>
      <c r="E15" s="276">
        <v>0</v>
      </c>
      <c r="F15" s="292">
        <v>0</v>
      </c>
      <c r="G15" s="278">
        <v>0</v>
      </c>
      <c r="H15" s="279">
        <f t="shared" si="12"/>
        <v>0</v>
      </c>
      <c r="I15" s="278">
        <v>0</v>
      </c>
      <c r="J15" s="292">
        <v>0</v>
      </c>
      <c r="K15" s="278">
        <v>0</v>
      </c>
      <c r="L15" s="280">
        <f t="shared" si="13"/>
        <v>0</v>
      </c>
      <c r="M15" s="278">
        <v>0</v>
      </c>
      <c r="N15" s="281">
        <v>0</v>
      </c>
      <c r="O15" s="278">
        <f t="shared" si="4"/>
        <v>0</v>
      </c>
      <c r="P15" s="282">
        <v>0</v>
      </c>
      <c r="Q15" s="217"/>
      <c r="R15" s="283">
        <v>0</v>
      </c>
      <c r="S15" s="284">
        <f t="shared" si="5"/>
        <v>0</v>
      </c>
      <c r="T15" s="259"/>
      <c r="U15" s="290" t="s">
        <v>20</v>
      </c>
      <c r="V15" s="291"/>
      <c r="W15" s="291"/>
      <c r="X15" s="279">
        <v>0</v>
      </c>
      <c r="Y15" s="285">
        <f t="shared" si="5"/>
        <v>0</v>
      </c>
      <c r="Z15" s="279">
        <v>0</v>
      </c>
      <c r="AA15" s="285">
        <f t="shared" si="6"/>
        <v>0</v>
      </c>
      <c r="AB15" s="279">
        <f t="shared" si="7"/>
        <v>0</v>
      </c>
      <c r="AC15" s="285">
        <f t="shared" si="8"/>
        <v>0</v>
      </c>
      <c r="AD15" s="293"/>
      <c r="AF15" s="89"/>
      <c r="AG15" s="98" t="s">
        <v>20</v>
      </c>
      <c r="AH15" s="99"/>
      <c r="AI15" s="99"/>
      <c r="AJ15" s="289">
        <v>0</v>
      </c>
      <c r="AK15" s="289">
        <v>0</v>
      </c>
      <c r="AL15" s="289">
        <v>0</v>
      </c>
      <c r="AM15" s="289">
        <f t="shared" si="9"/>
        <v>0</v>
      </c>
      <c r="AN15" s="289">
        <v>0</v>
      </c>
      <c r="AO15" s="289">
        <f t="shared" si="10"/>
        <v>0</v>
      </c>
      <c r="AP15" s="289">
        <f t="shared" si="10"/>
        <v>0</v>
      </c>
      <c r="AQ15" s="289">
        <f t="shared" si="10"/>
        <v>0</v>
      </c>
      <c r="AR15" s="289">
        <v>0</v>
      </c>
      <c r="AS15" s="289">
        <v>0</v>
      </c>
      <c r="AT15" s="289">
        <f t="shared" si="11"/>
        <v>0</v>
      </c>
      <c r="AU15" s="177"/>
      <c r="AV15" s="258">
        <f t="shared" si="2"/>
        <v>0</v>
      </c>
      <c r="AW15" s="258">
        <f t="shared" si="3"/>
        <v>0</v>
      </c>
    </row>
    <row r="16" spans="1:57" s="88" customFormat="1" ht="33.75" hidden="1" customHeight="1" outlineLevel="1">
      <c r="A16" s="259"/>
      <c r="B16" s="260" t="s">
        <v>22</v>
      </c>
      <c r="C16" s="261"/>
      <c r="D16" s="261"/>
      <c r="E16" s="262">
        <v>0</v>
      </c>
      <c r="F16" s="263">
        <v>0</v>
      </c>
      <c r="G16" s="264">
        <v>0</v>
      </c>
      <c r="H16" s="265">
        <f t="shared" si="12"/>
        <v>0</v>
      </c>
      <c r="I16" s="264">
        <v>0</v>
      </c>
      <c r="J16" s="263">
        <v>0</v>
      </c>
      <c r="K16" s="264">
        <v>0</v>
      </c>
      <c r="L16" s="294">
        <f t="shared" si="13"/>
        <v>0</v>
      </c>
      <c r="M16" s="264">
        <v>0</v>
      </c>
      <c r="N16" s="295">
        <v>0</v>
      </c>
      <c r="O16" s="264">
        <f t="shared" si="4"/>
        <v>0</v>
      </c>
      <c r="P16" s="296">
        <v>0</v>
      </c>
      <c r="Q16" s="217"/>
      <c r="R16" s="268">
        <v>0</v>
      </c>
      <c r="S16" s="269">
        <f t="shared" si="5"/>
        <v>0</v>
      </c>
      <c r="T16" s="259"/>
      <c r="U16" s="260" t="s">
        <v>22</v>
      </c>
      <c r="V16" s="261"/>
      <c r="W16" s="261"/>
      <c r="X16" s="265">
        <v>0</v>
      </c>
      <c r="Y16" s="270">
        <f t="shared" si="5"/>
        <v>0</v>
      </c>
      <c r="Z16" s="265">
        <v>0</v>
      </c>
      <c r="AA16" s="270">
        <f t="shared" si="6"/>
        <v>0</v>
      </c>
      <c r="AB16" s="265">
        <f t="shared" si="7"/>
        <v>0</v>
      </c>
      <c r="AC16" s="270">
        <f t="shared" si="8"/>
        <v>0</v>
      </c>
      <c r="AD16" s="271"/>
      <c r="AF16" s="89"/>
      <c r="AG16" s="90" t="s">
        <v>22</v>
      </c>
      <c r="AH16" s="91"/>
      <c r="AI16" s="91"/>
      <c r="AJ16" s="272">
        <v>0</v>
      </c>
      <c r="AK16" s="272">
        <v>0</v>
      </c>
      <c r="AL16" s="272">
        <v>0</v>
      </c>
      <c r="AM16" s="272">
        <f t="shared" si="9"/>
        <v>0</v>
      </c>
      <c r="AN16" s="272">
        <v>0</v>
      </c>
      <c r="AO16" s="272">
        <f t="shared" si="10"/>
        <v>0</v>
      </c>
      <c r="AP16" s="272">
        <f t="shared" si="10"/>
        <v>0</v>
      </c>
      <c r="AQ16" s="272">
        <f t="shared" si="10"/>
        <v>0</v>
      </c>
      <c r="AR16" s="272">
        <v>0</v>
      </c>
      <c r="AS16" s="272">
        <v>0</v>
      </c>
      <c r="AT16" s="272">
        <f t="shared" si="11"/>
        <v>0</v>
      </c>
      <c r="AU16" s="177"/>
      <c r="AV16" s="258">
        <f t="shared" si="2"/>
        <v>0</v>
      </c>
      <c r="AW16" s="258">
        <f t="shared" si="3"/>
        <v>0</v>
      </c>
    </row>
    <row r="17" spans="1:49" s="88" customFormat="1" ht="33.75" hidden="1" customHeight="1" outlineLevel="1">
      <c r="A17" s="259"/>
      <c r="B17" s="297" t="s">
        <v>293</v>
      </c>
      <c r="C17" s="298"/>
      <c r="D17" s="298"/>
      <c r="E17" s="299">
        <v>0</v>
      </c>
      <c r="F17" s="300">
        <v>0</v>
      </c>
      <c r="G17" s="301">
        <v>0</v>
      </c>
      <c r="H17" s="302">
        <f t="shared" si="12"/>
        <v>0</v>
      </c>
      <c r="I17" s="301">
        <v>0</v>
      </c>
      <c r="J17" s="300">
        <v>0</v>
      </c>
      <c r="K17" s="301">
        <v>0</v>
      </c>
      <c r="L17" s="303">
        <f t="shared" si="13"/>
        <v>0</v>
      </c>
      <c r="M17" s="301">
        <v>0</v>
      </c>
      <c r="N17" s="304">
        <v>0</v>
      </c>
      <c r="O17" s="301">
        <f t="shared" si="4"/>
        <v>0</v>
      </c>
      <c r="P17" s="305">
        <v>0</v>
      </c>
      <c r="Q17" s="217"/>
      <c r="R17" s="306">
        <v>0</v>
      </c>
      <c r="S17" s="307">
        <f t="shared" si="5"/>
        <v>0</v>
      </c>
      <c r="T17" s="259"/>
      <c r="U17" s="297" t="s">
        <v>293</v>
      </c>
      <c r="V17" s="298"/>
      <c r="W17" s="298"/>
      <c r="X17" s="302">
        <v>0</v>
      </c>
      <c r="Y17" s="308">
        <f t="shared" si="5"/>
        <v>0</v>
      </c>
      <c r="Z17" s="302">
        <v>0</v>
      </c>
      <c r="AA17" s="308">
        <f t="shared" si="6"/>
        <v>0</v>
      </c>
      <c r="AB17" s="302">
        <f t="shared" si="7"/>
        <v>0</v>
      </c>
      <c r="AC17" s="308">
        <f t="shared" si="8"/>
        <v>0</v>
      </c>
      <c r="AD17" s="309"/>
      <c r="AF17" s="89"/>
      <c r="AG17" s="310" t="s">
        <v>293</v>
      </c>
      <c r="AH17" s="311"/>
      <c r="AI17" s="311"/>
      <c r="AJ17" s="312">
        <v>0</v>
      </c>
      <c r="AK17" s="312">
        <v>0</v>
      </c>
      <c r="AL17" s="312">
        <v>0</v>
      </c>
      <c r="AM17" s="312">
        <f t="shared" si="9"/>
        <v>0</v>
      </c>
      <c r="AN17" s="312">
        <v>0</v>
      </c>
      <c r="AO17" s="312">
        <f t="shared" si="10"/>
        <v>0</v>
      </c>
      <c r="AP17" s="312">
        <f t="shared" si="10"/>
        <v>0</v>
      </c>
      <c r="AQ17" s="312">
        <f t="shared" si="10"/>
        <v>0</v>
      </c>
      <c r="AR17" s="312">
        <v>0</v>
      </c>
      <c r="AS17" s="312">
        <v>0</v>
      </c>
      <c r="AT17" s="312">
        <f t="shared" si="11"/>
        <v>0</v>
      </c>
      <c r="AU17" s="313"/>
      <c r="AV17" s="258">
        <f t="shared" si="2"/>
        <v>0</v>
      </c>
      <c r="AW17" s="258">
        <f t="shared" si="3"/>
        <v>0</v>
      </c>
    </row>
    <row r="18" spans="1:49" s="88" customFormat="1" ht="33.75" customHeight="1" thickBot="1">
      <c r="A18" s="314" t="s">
        <v>26</v>
      </c>
      <c r="B18" s="315"/>
      <c r="C18" s="315"/>
      <c r="D18" s="315"/>
      <c r="E18" s="316">
        <v>17691306</v>
      </c>
      <c r="F18" s="317">
        <v>22450092</v>
      </c>
      <c r="G18" s="318">
        <v>16770282</v>
      </c>
      <c r="H18" s="319">
        <f>AVERAGE(E18:G18)</f>
        <v>18970560</v>
      </c>
      <c r="I18" s="320">
        <f t="shared" ref="I18:L49" si="14">E18/E$7</f>
        <v>0.2777627907544884</v>
      </c>
      <c r="J18" s="321">
        <f t="shared" si="14"/>
        <v>0.31620873561574819</v>
      </c>
      <c r="K18" s="320">
        <f t="shared" si="14"/>
        <v>0.25329390191063311</v>
      </c>
      <c r="L18" s="322">
        <f t="shared" si="14"/>
        <v>0.28328556678701361</v>
      </c>
      <c r="M18" s="318">
        <v>15007999</v>
      </c>
      <c r="N18" s="323">
        <f t="shared" ref="N18:N81" si="15">M18/M$7</f>
        <v>0.35007525755480207</v>
      </c>
      <c r="O18" s="318">
        <f t="shared" si="4"/>
        <v>33978559</v>
      </c>
      <c r="P18" s="324">
        <f t="shared" ref="P18:P81" si="16">O18/O$7</f>
        <v>0.30935443637247884</v>
      </c>
      <c r="Q18" s="217"/>
      <c r="R18" s="325">
        <f>ROUND(R7*30%,-3)</f>
        <v>27034000</v>
      </c>
      <c r="S18" s="326">
        <f t="shared" si="5"/>
        <v>0.29999695497653156</v>
      </c>
      <c r="T18" s="314" t="s">
        <v>26</v>
      </c>
      <c r="U18" s="315"/>
      <c r="V18" s="315"/>
      <c r="W18" s="315"/>
      <c r="X18" s="319">
        <f>ROUND(X7*28.5%,-3)</f>
        <v>21479000</v>
      </c>
      <c r="Y18" s="327">
        <f t="shared" si="5"/>
        <v>0.28499717245228134</v>
      </c>
      <c r="Z18" s="319">
        <f>Z8*35%</f>
        <v>17605840</v>
      </c>
      <c r="AA18" s="327">
        <f>Z18/Z$7</f>
        <v>0.35</v>
      </c>
      <c r="AB18" s="319">
        <f t="shared" si="7"/>
        <v>39084840</v>
      </c>
      <c r="AC18" s="327">
        <f t="shared" si="8"/>
        <v>0.31101649854386232</v>
      </c>
      <c r="AD18" s="328" t="s">
        <v>294</v>
      </c>
      <c r="AF18" s="106" t="s">
        <v>26</v>
      </c>
      <c r="AG18" s="107"/>
      <c r="AH18" s="107"/>
      <c r="AI18" s="107"/>
      <c r="AJ18" s="329">
        <v>44933766.557999998</v>
      </c>
      <c r="AK18" s="329">
        <v>28320083.310000002</v>
      </c>
      <c r="AL18" s="329">
        <v>42039850.216000006</v>
      </c>
      <c r="AM18" s="329">
        <f t="shared" si="9"/>
        <v>38431233.361333333</v>
      </c>
      <c r="AN18" s="329">
        <v>18395454.600000001</v>
      </c>
      <c r="AO18" s="330">
        <f t="shared" si="10"/>
        <v>0.284546516897347</v>
      </c>
      <c r="AP18" s="330">
        <f t="shared" si="10"/>
        <v>0.28948628081325539</v>
      </c>
      <c r="AQ18" s="330">
        <f t="shared" si="10"/>
        <v>0.31608932039328425</v>
      </c>
      <c r="AR18" s="330">
        <f t="shared" si="10"/>
        <v>0.29658133083242699</v>
      </c>
      <c r="AS18" s="330">
        <f>AR18</f>
        <v>0.29658133083242699</v>
      </c>
      <c r="AT18" s="330">
        <f t="shared" si="11"/>
        <v>0.39758963538937969</v>
      </c>
      <c r="AU18" s="177"/>
      <c r="AV18" s="258">
        <f t="shared" si="2"/>
        <v>-5679810</v>
      </c>
      <c r="AW18" s="258">
        <f t="shared" si="3"/>
        <v>-17899766.557999998</v>
      </c>
    </row>
    <row r="19" spans="1:49" s="88" customFormat="1" ht="33.75" customHeight="1" thickTop="1" thickBot="1">
      <c r="A19" s="331" t="s">
        <v>28</v>
      </c>
      <c r="B19" s="332"/>
      <c r="C19" s="332"/>
      <c r="D19" s="332"/>
      <c r="E19" s="333">
        <f>E7-E18</f>
        <v>46000832</v>
      </c>
      <c r="F19" s="334">
        <f t="shared" ref="F19" si="17">F7-F18</f>
        <v>48547605</v>
      </c>
      <c r="G19" s="335">
        <f>G7-G18</f>
        <v>49438505</v>
      </c>
      <c r="H19" s="336">
        <f>H7-H18</f>
        <v>47995647.333333336</v>
      </c>
      <c r="I19" s="337">
        <f t="shared" si="14"/>
        <v>0.7222372092455116</v>
      </c>
      <c r="J19" s="338">
        <f t="shared" si="14"/>
        <v>0.68379126438425175</v>
      </c>
      <c r="K19" s="337">
        <f t="shared" si="14"/>
        <v>0.74670609808936694</v>
      </c>
      <c r="L19" s="339">
        <f t="shared" si="14"/>
        <v>0.71671443321298645</v>
      </c>
      <c r="M19" s="335">
        <f t="shared" ref="M19" si="18">M7-M18</f>
        <v>27862780</v>
      </c>
      <c r="N19" s="340">
        <f t="shared" si="15"/>
        <v>0.64992474244519793</v>
      </c>
      <c r="O19" s="335">
        <f>O7-O18</f>
        <v>75858427.333333343</v>
      </c>
      <c r="P19" s="341">
        <f t="shared" si="16"/>
        <v>0.69064556362752116</v>
      </c>
      <c r="Q19" s="217"/>
      <c r="R19" s="342">
        <f>R7-R18</f>
        <v>63080248</v>
      </c>
      <c r="S19" s="343">
        <f t="shared" si="5"/>
        <v>0.70000304502346844</v>
      </c>
      <c r="T19" s="331" t="s">
        <v>28</v>
      </c>
      <c r="U19" s="332"/>
      <c r="V19" s="332"/>
      <c r="W19" s="332"/>
      <c r="X19" s="336">
        <f>X7-X18</f>
        <v>53886660</v>
      </c>
      <c r="Y19" s="344">
        <f t="shared" si="5"/>
        <v>0.71500282754771871</v>
      </c>
      <c r="Z19" s="336">
        <f>Z7-Z18</f>
        <v>32696560</v>
      </c>
      <c r="AA19" s="344">
        <f t="shared" ref="AA19:AA82" si="19">Z19/Z$7</f>
        <v>0.65</v>
      </c>
      <c r="AB19" s="336">
        <f t="shared" si="7"/>
        <v>86583220</v>
      </c>
      <c r="AC19" s="344">
        <f t="shared" si="8"/>
        <v>0.68898350145613774</v>
      </c>
      <c r="AD19" s="345"/>
      <c r="AF19" s="112" t="s">
        <v>28</v>
      </c>
      <c r="AG19" s="113"/>
      <c r="AH19" s="113"/>
      <c r="AI19" s="113"/>
      <c r="AJ19" s="346">
        <v>112979839.442</v>
      </c>
      <c r="AK19" s="346">
        <v>69508674.690000013</v>
      </c>
      <c r="AL19" s="346">
        <v>90960056.784000009</v>
      </c>
      <c r="AM19" s="346">
        <f>AVERAGE(AJ19:AL19)</f>
        <v>91149523.638666674</v>
      </c>
      <c r="AN19" s="346">
        <f>AN7-AN18</f>
        <v>27871985.399999999</v>
      </c>
      <c r="AO19" s="347">
        <f t="shared" si="10"/>
        <v>0.715453483102653</v>
      </c>
      <c r="AP19" s="347">
        <f t="shared" si="10"/>
        <v>0.71051371918674477</v>
      </c>
      <c r="AQ19" s="347">
        <f t="shared" si="10"/>
        <v>0.68391067960671592</v>
      </c>
      <c r="AR19" s="347">
        <f t="shared" si="10"/>
        <v>0.70341866916757301</v>
      </c>
      <c r="AS19" s="347">
        <f>AR19</f>
        <v>0.70341866916757301</v>
      </c>
      <c r="AT19" s="347">
        <f t="shared" si="11"/>
        <v>0.60241036461062036</v>
      </c>
      <c r="AU19" s="177"/>
      <c r="AV19" s="258">
        <f t="shared" si="2"/>
        <v>890900</v>
      </c>
      <c r="AW19" s="258">
        <f t="shared" si="3"/>
        <v>-49899591.442000002</v>
      </c>
    </row>
    <row r="20" spans="1:49" s="88" customFormat="1" ht="33.75" customHeight="1">
      <c r="A20" s="348" t="s">
        <v>30</v>
      </c>
      <c r="B20" s="349"/>
      <c r="C20" s="349"/>
      <c r="D20" s="349"/>
      <c r="E20" s="350">
        <f>E21+E22+E23+E27+E30+E31+E32+E36+E37</f>
        <v>25611352</v>
      </c>
      <c r="F20" s="351">
        <f t="shared" ref="F20" si="20">F21+F22+F23+F27+F30+F31+F32+F36+F37</f>
        <v>30236402</v>
      </c>
      <c r="G20" s="352">
        <f>G21+G22+G23+G27+G30+G31+G32+G36+G37</f>
        <v>26369954</v>
      </c>
      <c r="H20" s="353">
        <f>H21+H22+H23+H27+H30+H31+H32+H36+H37</f>
        <v>27405902.666666668</v>
      </c>
      <c r="I20" s="354">
        <f t="shared" si="14"/>
        <v>0.40211167036031981</v>
      </c>
      <c r="J20" s="355">
        <f t="shared" si="14"/>
        <v>0.42587863096460721</v>
      </c>
      <c r="K20" s="354">
        <f t="shared" si="14"/>
        <v>0.39828480772499275</v>
      </c>
      <c r="L20" s="356">
        <f t="shared" si="14"/>
        <v>0.40924973591904479</v>
      </c>
      <c r="M20" s="352">
        <f>M21+M22+M23+M27+M30+M31+M32+M36+M37</f>
        <v>14199656</v>
      </c>
      <c r="N20" s="356">
        <f t="shared" si="15"/>
        <v>0.33121992021651858</v>
      </c>
      <c r="O20" s="352">
        <f>O21+O22+O23+O27+O30+O31+O32+O36+O37</f>
        <v>41605558.666666672</v>
      </c>
      <c r="P20" s="357">
        <f t="shared" si="16"/>
        <v>0.37879370197213991</v>
      </c>
      <c r="Q20" s="217"/>
      <c r="R20" s="358">
        <f>ROUND(R7*43%,-3)</f>
        <v>38749000</v>
      </c>
      <c r="S20" s="359">
        <f t="shared" si="5"/>
        <v>0.4299985946728424</v>
      </c>
      <c r="T20" s="348" t="s">
        <v>30</v>
      </c>
      <c r="U20" s="349"/>
      <c r="V20" s="349"/>
      <c r="W20" s="349"/>
      <c r="X20" s="353">
        <f>ROUND(X7*40%,-3)</f>
        <v>30146000</v>
      </c>
      <c r="Y20" s="360">
        <f t="shared" si="5"/>
        <v>0.39999649707837759</v>
      </c>
      <c r="Z20" s="353">
        <v>16230000</v>
      </c>
      <c r="AA20" s="360">
        <f t="shared" si="19"/>
        <v>0.32264862113934922</v>
      </c>
      <c r="AB20" s="353">
        <f t="shared" si="7"/>
        <v>46376000</v>
      </c>
      <c r="AC20" s="360">
        <f t="shared" si="8"/>
        <v>0.369035696102892</v>
      </c>
      <c r="AD20" s="361" t="s">
        <v>294</v>
      </c>
      <c r="AF20" s="118" t="s">
        <v>30</v>
      </c>
      <c r="AG20" s="119"/>
      <c r="AH20" s="119"/>
      <c r="AI20" s="119"/>
      <c r="AJ20" s="362">
        <v>62736473</v>
      </c>
      <c r="AK20" s="362">
        <v>48828592</v>
      </c>
      <c r="AL20" s="362">
        <v>73290889</v>
      </c>
      <c r="AM20" s="362">
        <f t="shared" si="9"/>
        <v>61618651.333333336</v>
      </c>
      <c r="AN20" s="362">
        <v>17215290</v>
      </c>
      <c r="AO20" s="363">
        <f t="shared" si="10"/>
        <v>0.39728351843222426</v>
      </c>
      <c r="AP20" s="363">
        <f t="shared" si="10"/>
        <v>0.49912309016536832</v>
      </c>
      <c r="AQ20" s="363">
        <f t="shared" si="10"/>
        <v>0.55105970111693381</v>
      </c>
      <c r="AR20" s="363">
        <f t="shared" si="10"/>
        <v>0.47552316223413738</v>
      </c>
      <c r="AS20" s="363">
        <f>AR20</f>
        <v>0.47552316223413738</v>
      </c>
      <c r="AT20" s="363">
        <f t="shared" si="11"/>
        <v>0.37208218133529758</v>
      </c>
      <c r="AU20" s="177"/>
      <c r="AV20" s="258">
        <f t="shared" si="2"/>
        <v>-3866448</v>
      </c>
      <c r="AW20" s="258">
        <f t="shared" si="3"/>
        <v>-23987473</v>
      </c>
    </row>
    <row r="21" spans="1:49" s="88" customFormat="1" ht="33.75" customHeight="1" outlineLevel="2">
      <c r="A21" s="364"/>
      <c r="B21" s="260" t="s">
        <v>32</v>
      </c>
      <c r="C21" s="261"/>
      <c r="D21" s="261"/>
      <c r="E21" s="262">
        <v>0</v>
      </c>
      <c r="F21" s="263">
        <v>0</v>
      </c>
      <c r="G21" s="264">
        <v>0</v>
      </c>
      <c r="H21" s="265">
        <f t="shared" ref="H21" si="21">AVERAGE(E21:G21)</f>
        <v>0</v>
      </c>
      <c r="I21" s="365">
        <f t="shared" si="14"/>
        <v>0</v>
      </c>
      <c r="J21" s="366">
        <f t="shared" si="14"/>
        <v>0</v>
      </c>
      <c r="K21" s="365">
        <f t="shared" si="14"/>
        <v>0</v>
      </c>
      <c r="L21" s="266">
        <f t="shared" si="14"/>
        <v>0</v>
      </c>
      <c r="M21" s="264">
        <v>0</v>
      </c>
      <c r="N21" s="267">
        <f t="shared" si="15"/>
        <v>0</v>
      </c>
      <c r="O21" s="264">
        <f t="shared" ref="O21:O84" si="22">H21+M21</f>
        <v>0</v>
      </c>
      <c r="P21" s="367">
        <f t="shared" si="16"/>
        <v>0</v>
      </c>
      <c r="Q21" s="217"/>
      <c r="R21" s="268">
        <v>0</v>
      </c>
      <c r="S21" s="269">
        <f t="shared" si="5"/>
        <v>0</v>
      </c>
      <c r="T21" s="364"/>
      <c r="U21" s="260" t="s">
        <v>32</v>
      </c>
      <c r="V21" s="261"/>
      <c r="W21" s="261"/>
      <c r="X21" s="265">
        <f>AVERAGE(F21:H21)</f>
        <v>0</v>
      </c>
      <c r="Y21" s="270">
        <f t="shared" si="5"/>
        <v>0</v>
      </c>
      <c r="Z21" s="265">
        <v>0</v>
      </c>
      <c r="AA21" s="270">
        <f t="shared" si="19"/>
        <v>0</v>
      </c>
      <c r="AB21" s="265">
        <f t="shared" si="7"/>
        <v>0</v>
      </c>
      <c r="AC21" s="270">
        <f t="shared" si="8"/>
        <v>0</v>
      </c>
      <c r="AD21" s="271"/>
      <c r="AF21" s="124"/>
      <c r="AG21" s="90" t="s">
        <v>32</v>
      </c>
      <c r="AH21" s="91"/>
      <c r="AI21" s="91"/>
      <c r="AJ21" s="272">
        <v>0</v>
      </c>
      <c r="AK21" s="272">
        <v>0</v>
      </c>
      <c r="AL21" s="272">
        <v>0</v>
      </c>
      <c r="AM21" s="272">
        <f t="shared" si="9"/>
        <v>0</v>
      </c>
      <c r="AN21" s="272">
        <v>0</v>
      </c>
      <c r="AO21" s="273">
        <f t="shared" si="10"/>
        <v>0</v>
      </c>
      <c r="AP21" s="273">
        <f t="shared" si="10"/>
        <v>0</v>
      </c>
      <c r="AQ21" s="273">
        <f t="shared" si="10"/>
        <v>0</v>
      </c>
      <c r="AR21" s="273">
        <f t="shared" si="10"/>
        <v>0</v>
      </c>
      <c r="AS21" s="273">
        <f>AR21</f>
        <v>0</v>
      </c>
      <c r="AT21" s="273">
        <f t="shared" si="11"/>
        <v>0</v>
      </c>
      <c r="AU21" s="177"/>
      <c r="AV21" s="258">
        <f t="shared" si="2"/>
        <v>0</v>
      </c>
      <c r="AW21" s="258">
        <f t="shared" si="3"/>
        <v>0</v>
      </c>
    </row>
    <row r="22" spans="1:49" s="88" customFormat="1" ht="33.75" customHeight="1" outlineLevel="2">
      <c r="A22" s="364"/>
      <c r="B22" s="290" t="s">
        <v>34</v>
      </c>
      <c r="C22" s="291"/>
      <c r="D22" s="291"/>
      <c r="E22" s="276">
        <v>17333639</v>
      </c>
      <c r="F22" s="292">
        <v>24765985</v>
      </c>
      <c r="G22" s="278">
        <v>19397558</v>
      </c>
      <c r="H22" s="279">
        <f>AVERAGE(E22:G22)</f>
        <v>20499060.666666668</v>
      </c>
      <c r="I22" s="368">
        <f t="shared" si="14"/>
        <v>0.27214723110723649</v>
      </c>
      <c r="J22" s="369">
        <f t="shared" si="14"/>
        <v>0.34882800494218846</v>
      </c>
      <c r="K22" s="368">
        <f t="shared" si="14"/>
        <v>0.29297558343728602</v>
      </c>
      <c r="L22" s="370">
        <f t="shared" si="14"/>
        <v>0.30611052175360365</v>
      </c>
      <c r="M22" s="278">
        <v>0</v>
      </c>
      <c r="N22" s="371">
        <f t="shared" si="15"/>
        <v>0</v>
      </c>
      <c r="O22" s="278">
        <f t="shared" si="22"/>
        <v>20499060.666666668</v>
      </c>
      <c r="P22" s="372">
        <f t="shared" si="16"/>
        <v>0.18663167436564682</v>
      </c>
      <c r="Q22" s="217"/>
      <c r="R22" s="283">
        <v>0</v>
      </c>
      <c r="S22" s="284">
        <f t="shared" si="5"/>
        <v>0</v>
      </c>
      <c r="T22" s="364"/>
      <c r="U22" s="290" t="s">
        <v>34</v>
      </c>
      <c r="V22" s="291"/>
      <c r="W22" s="291"/>
      <c r="X22" s="279">
        <v>0</v>
      </c>
      <c r="Y22" s="285">
        <f t="shared" si="5"/>
        <v>0</v>
      </c>
      <c r="Z22" s="279">
        <v>0</v>
      </c>
      <c r="AA22" s="285">
        <f t="shared" si="19"/>
        <v>0</v>
      </c>
      <c r="AB22" s="279">
        <f t="shared" si="7"/>
        <v>0</v>
      </c>
      <c r="AC22" s="285">
        <f t="shared" si="8"/>
        <v>0</v>
      </c>
      <c r="AD22" s="293"/>
      <c r="AF22" s="124"/>
      <c r="AG22" s="98" t="s">
        <v>34</v>
      </c>
      <c r="AH22" s="99"/>
      <c r="AI22" s="99"/>
      <c r="AJ22" s="289">
        <v>13100</v>
      </c>
      <c r="AK22" s="289">
        <v>0</v>
      </c>
      <c r="AL22" s="289">
        <v>0</v>
      </c>
      <c r="AM22" s="289">
        <f t="shared" si="9"/>
        <v>4366.666666666667</v>
      </c>
      <c r="AN22" s="289">
        <v>0</v>
      </c>
      <c r="AO22" s="373">
        <f t="shared" si="10"/>
        <v>8.2956752947557923E-5</v>
      </c>
      <c r="AP22" s="373">
        <f t="shared" si="10"/>
        <v>0</v>
      </c>
      <c r="AQ22" s="373">
        <f t="shared" si="10"/>
        <v>0</v>
      </c>
      <c r="AR22" s="373">
        <f t="shared" si="10"/>
        <v>3.3698419177059343E-5</v>
      </c>
      <c r="AS22" s="373">
        <f t="shared" ref="AS22:AS37" si="23">AR22</f>
        <v>3.3698419177059343E-5</v>
      </c>
      <c r="AT22" s="373">
        <f t="shared" si="11"/>
        <v>0</v>
      </c>
      <c r="AU22" s="177"/>
      <c r="AV22" s="258">
        <f t="shared" si="2"/>
        <v>-5368427</v>
      </c>
      <c r="AW22" s="258">
        <f t="shared" si="3"/>
        <v>-13100</v>
      </c>
    </row>
    <row r="23" spans="1:49" s="88" customFormat="1" ht="33.75" customHeight="1" outlineLevel="2">
      <c r="A23" s="364"/>
      <c r="B23" s="290" t="s">
        <v>36</v>
      </c>
      <c r="C23" s="291"/>
      <c r="D23" s="291"/>
      <c r="E23" s="276">
        <f>SUM(E24:E26)</f>
        <v>5194188</v>
      </c>
      <c r="F23" s="292">
        <f>SUM(F24:F26)</f>
        <v>2224554</v>
      </c>
      <c r="G23" s="278">
        <f t="shared" ref="G23" si="24">SUM(G24:G26)</f>
        <v>3902709</v>
      </c>
      <c r="H23" s="279">
        <f>SUM(H24:H26)</f>
        <v>3773817</v>
      </c>
      <c r="I23" s="368">
        <f t="shared" si="14"/>
        <v>8.1551478143189346E-2</v>
      </c>
      <c r="J23" s="369">
        <f t="shared" si="14"/>
        <v>3.1332762807785158E-2</v>
      </c>
      <c r="K23" s="368">
        <f t="shared" si="14"/>
        <v>5.8945484079024134E-2</v>
      </c>
      <c r="L23" s="370">
        <f t="shared" si="14"/>
        <v>5.6354050054161144E-2</v>
      </c>
      <c r="M23" s="278">
        <f>SUM(M24:M26)</f>
        <v>13797798</v>
      </c>
      <c r="N23" s="371">
        <f t="shared" si="15"/>
        <v>0.32184621604379993</v>
      </c>
      <c r="O23" s="278">
        <f t="shared" si="22"/>
        <v>17571615</v>
      </c>
      <c r="P23" s="372">
        <f t="shared" si="16"/>
        <v>0.15997903426331866</v>
      </c>
      <c r="Q23" s="217"/>
      <c r="R23" s="283">
        <f>SUM(R24:R26)</f>
        <v>0</v>
      </c>
      <c r="S23" s="284">
        <f t="shared" si="5"/>
        <v>0</v>
      </c>
      <c r="T23" s="364"/>
      <c r="U23" s="290" t="s">
        <v>36</v>
      </c>
      <c r="V23" s="291"/>
      <c r="W23" s="291"/>
      <c r="X23" s="279">
        <f>SUM(X24:X26)</f>
        <v>0</v>
      </c>
      <c r="Y23" s="285">
        <f t="shared" si="5"/>
        <v>0</v>
      </c>
      <c r="Z23" s="279">
        <v>0</v>
      </c>
      <c r="AA23" s="285">
        <f t="shared" si="19"/>
        <v>0</v>
      </c>
      <c r="AB23" s="279">
        <f t="shared" si="7"/>
        <v>0</v>
      </c>
      <c r="AC23" s="285">
        <f t="shared" si="8"/>
        <v>0</v>
      </c>
      <c r="AD23" s="293" t="s">
        <v>295</v>
      </c>
      <c r="AF23" s="124"/>
      <c r="AG23" s="98" t="s">
        <v>36</v>
      </c>
      <c r="AH23" s="99"/>
      <c r="AI23" s="99"/>
      <c r="AJ23" s="289">
        <v>54840871</v>
      </c>
      <c r="AK23" s="289">
        <v>42277075</v>
      </c>
      <c r="AL23" s="289">
        <v>63385295</v>
      </c>
      <c r="AM23" s="289">
        <f t="shared" si="9"/>
        <v>53501080.333333336</v>
      </c>
      <c r="AN23" s="289">
        <v>63385295</v>
      </c>
      <c r="AO23" s="373">
        <f t="shared" si="10"/>
        <v>0.34728401427296895</v>
      </c>
      <c r="AP23" s="373">
        <f t="shared" si="10"/>
        <v>0.43215385602667061</v>
      </c>
      <c r="AQ23" s="373">
        <f t="shared" si="10"/>
        <v>0.47658149866225097</v>
      </c>
      <c r="AR23" s="373">
        <f t="shared" si="10"/>
        <v>0.41287828202248683</v>
      </c>
      <c r="AS23" s="373">
        <f t="shared" si="23"/>
        <v>0.41287828202248683</v>
      </c>
      <c r="AT23" s="373">
        <f t="shared" si="11"/>
        <v>1.3699762727308882</v>
      </c>
      <c r="AU23" s="177"/>
      <c r="AV23" s="258">
        <f t="shared" si="2"/>
        <v>1678155</v>
      </c>
      <c r="AW23" s="258">
        <f t="shared" si="3"/>
        <v>-54840871</v>
      </c>
    </row>
    <row r="24" spans="1:49" s="88" customFormat="1" ht="33.75" customHeight="1" outlineLevel="2">
      <c r="A24" s="364"/>
      <c r="B24" s="374"/>
      <c r="C24" s="291" t="s">
        <v>38</v>
      </c>
      <c r="D24" s="291"/>
      <c r="E24" s="276">
        <v>0</v>
      </c>
      <c r="F24" s="292">
        <v>0</v>
      </c>
      <c r="G24" s="278">
        <v>0</v>
      </c>
      <c r="H24" s="279">
        <f t="shared" ref="H24:H26" si="25">AVERAGE(E24:G24)</f>
        <v>0</v>
      </c>
      <c r="I24" s="368">
        <f t="shared" si="14"/>
        <v>0</v>
      </c>
      <c r="J24" s="369">
        <f t="shared" si="14"/>
        <v>0</v>
      </c>
      <c r="K24" s="368">
        <f t="shared" si="14"/>
        <v>0</v>
      </c>
      <c r="L24" s="370">
        <f t="shared" si="14"/>
        <v>0</v>
      </c>
      <c r="M24" s="278">
        <v>0</v>
      </c>
      <c r="N24" s="371">
        <f t="shared" si="15"/>
        <v>0</v>
      </c>
      <c r="O24" s="278">
        <f t="shared" si="22"/>
        <v>0</v>
      </c>
      <c r="P24" s="372">
        <f t="shared" si="16"/>
        <v>0</v>
      </c>
      <c r="Q24" s="217"/>
      <c r="R24" s="283">
        <f>AVERAGE(E24:G24)</f>
        <v>0</v>
      </c>
      <c r="S24" s="284">
        <f t="shared" si="5"/>
        <v>0</v>
      </c>
      <c r="T24" s="364"/>
      <c r="U24" s="374"/>
      <c r="V24" s="291" t="s">
        <v>38</v>
      </c>
      <c r="W24" s="291"/>
      <c r="X24" s="279">
        <f>AVERAGE(F24:H24)</f>
        <v>0</v>
      </c>
      <c r="Y24" s="285">
        <f t="shared" si="5"/>
        <v>0</v>
      </c>
      <c r="Z24" s="279">
        <v>0</v>
      </c>
      <c r="AA24" s="285">
        <f t="shared" si="19"/>
        <v>0</v>
      </c>
      <c r="AB24" s="279">
        <f t="shared" si="7"/>
        <v>0</v>
      </c>
      <c r="AC24" s="285">
        <f t="shared" si="8"/>
        <v>0</v>
      </c>
      <c r="AD24" s="293"/>
      <c r="AF24" s="124"/>
      <c r="AG24" s="125"/>
      <c r="AH24" s="99" t="s">
        <v>38</v>
      </c>
      <c r="AI24" s="99"/>
      <c r="AJ24" s="289">
        <v>49109273</v>
      </c>
      <c r="AK24" s="289">
        <v>40839616</v>
      </c>
      <c r="AL24" s="289">
        <v>57063164</v>
      </c>
      <c r="AM24" s="289">
        <f t="shared" si="9"/>
        <v>49004017.666666664</v>
      </c>
      <c r="AN24" s="289">
        <v>57063164</v>
      </c>
      <c r="AO24" s="373">
        <f t="shared" si="10"/>
        <v>0.31098823112176921</v>
      </c>
      <c r="AP24" s="373">
        <f t="shared" si="10"/>
        <v>0.41746023188805076</v>
      </c>
      <c r="AQ24" s="373">
        <f t="shared" si="10"/>
        <v>0.4290466458747223</v>
      </c>
      <c r="AR24" s="373">
        <f t="shared" si="10"/>
        <v>0.37817357145603542</v>
      </c>
      <c r="AS24" s="373">
        <f t="shared" si="23"/>
        <v>0.37817357145603542</v>
      </c>
      <c r="AT24" s="373">
        <f t="shared" si="11"/>
        <v>1.2333330739716744</v>
      </c>
      <c r="AU24" s="177"/>
      <c r="AV24" s="258">
        <f t="shared" si="2"/>
        <v>0</v>
      </c>
      <c r="AW24" s="258">
        <f t="shared" si="3"/>
        <v>-49109273</v>
      </c>
    </row>
    <row r="25" spans="1:49" s="88" customFormat="1" ht="33.75" customHeight="1" outlineLevel="2">
      <c r="A25" s="364"/>
      <c r="B25" s="374"/>
      <c r="C25" s="291" t="s">
        <v>40</v>
      </c>
      <c r="D25" s="291"/>
      <c r="E25" s="276">
        <v>0</v>
      </c>
      <c r="F25" s="292">
        <v>0</v>
      </c>
      <c r="G25" s="278">
        <v>0</v>
      </c>
      <c r="H25" s="279">
        <f t="shared" si="25"/>
        <v>0</v>
      </c>
      <c r="I25" s="368">
        <f t="shared" si="14"/>
        <v>0</v>
      </c>
      <c r="J25" s="369">
        <f t="shared" si="14"/>
        <v>0</v>
      </c>
      <c r="K25" s="368">
        <f t="shared" si="14"/>
        <v>0</v>
      </c>
      <c r="L25" s="370">
        <f t="shared" si="14"/>
        <v>0</v>
      </c>
      <c r="M25" s="278">
        <v>0</v>
      </c>
      <c r="N25" s="371">
        <f t="shared" si="15"/>
        <v>0</v>
      </c>
      <c r="O25" s="278">
        <f t="shared" si="22"/>
        <v>0</v>
      </c>
      <c r="P25" s="372">
        <f t="shared" si="16"/>
        <v>0</v>
      </c>
      <c r="Q25" s="217"/>
      <c r="R25" s="283">
        <f>AVERAGE(E25:G25)</f>
        <v>0</v>
      </c>
      <c r="S25" s="284">
        <f t="shared" si="5"/>
        <v>0</v>
      </c>
      <c r="T25" s="364"/>
      <c r="U25" s="374"/>
      <c r="V25" s="291" t="s">
        <v>40</v>
      </c>
      <c r="W25" s="291"/>
      <c r="X25" s="279">
        <f>AVERAGE(F25:H25)</f>
        <v>0</v>
      </c>
      <c r="Y25" s="285">
        <f t="shared" si="5"/>
        <v>0</v>
      </c>
      <c r="Z25" s="279">
        <v>0</v>
      </c>
      <c r="AA25" s="285">
        <f t="shared" si="19"/>
        <v>0</v>
      </c>
      <c r="AB25" s="279">
        <f t="shared" si="7"/>
        <v>0</v>
      </c>
      <c r="AC25" s="285">
        <f t="shared" si="8"/>
        <v>0</v>
      </c>
      <c r="AD25" s="293"/>
      <c r="AF25" s="124"/>
      <c r="AG25" s="125"/>
      <c r="AH25" s="99" t="s">
        <v>40</v>
      </c>
      <c r="AI25" s="99"/>
      <c r="AJ25" s="289">
        <v>0</v>
      </c>
      <c r="AK25" s="289">
        <v>0</v>
      </c>
      <c r="AL25" s="289">
        <v>0</v>
      </c>
      <c r="AM25" s="289">
        <f t="shared" si="9"/>
        <v>0</v>
      </c>
      <c r="AN25" s="289">
        <v>0</v>
      </c>
      <c r="AO25" s="373">
        <f t="shared" si="10"/>
        <v>0</v>
      </c>
      <c r="AP25" s="373">
        <f t="shared" si="10"/>
        <v>0</v>
      </c>
      <c r="AQ25" s="373">
        <f t="shared" si="10"/>
        <v>0</v>
      </c>
      <c r="AR25" s="373">
        <f t="shared" si="10"/>
        <v>0</v>
      </c>
      <c r="AS25" s="373">
        <f t="shared" si="23"/>
        <v>0</v>
      </c>
      <c r="AT25" s="373">
        <f t="shared" si="11"/>
        <v>0</v>
      </c>
      <c r="AU25" s="177"/>
      <c r="AV25" s="258">
        <f t="shared" si="2"/>
        <v>0</v>
      </c>
      <c r="AW25" s="258">
        <f t="shared" si="3"/>
        <v>0</v>
      </c>
    </row>
    <row r="26" spans="1:49" s="88" customFormat="1" ht="33.75" customHeight="1" outlineLevel="1" collapsed="1">
      <c r="A26" s="364"/>
      <c r="B26" s="374"/>
      <c r="C26" s="291" t="s">
        <v>42</v>
      </c>
      <c r="D26" s="291"/>
      <c r="E26" s="276">
        <v>5194188</v>
      </c>
      <c r="F26" s="292">
        <v>2224554</v>
      </c>
      <c r="G26" s="278">
        <v>3902709</v>
      </c>
      <c r="H26" s="279">
        <f t="shared" si="25"/>
        <v>3773817</v>
      </c>
      <c r="I26" s="368">
        <f t="shared" si="14"/>
        <v>8.1551478143189346E-2</v>
      </c>
      <c r="J26" s="369">
        <f t="shared" si="14"/>
        <v>3.1332762807785158E-2</v>
      </c>
      <c r="K26" s="368">
        <f t="shared" si="14"/>
        <v>5.8945484079024134E-2</v>
      </c>
      <c r="L26" s="370">
        <f t="shared" si="14"/>
        <v>5.6354050054161144E-2</v>
      </c>
      <c r="M26" s="278">
        <v>13797798</v>
      </c>
      <c r="N26" s="371">
        <f t="shared" si="15"/>
        <v>0.32184621604379993</v>
      </c>
      <c r="O26" s="278">
        <f t="shared" si="22"/>
        <v>17571615</v>
      </c>
      <c r="P26" s="372">
        <f t="shared" si="16"/>
        <v>0.15997903426331866</v>
      </c>
      <c r="Q26" s="217"/>
      <c r="R26" s="283">
        <v>0</v>
      </c>
      <c r="S26" s="284">
        <f t="shared" si="5"/>
        <v>0</v>
      </c>
      <c r="T26" s="364"/>
      <c r="U26" s="374"/>
      <c r="V26" s="291" t="s">
        <v>42</v>
      </c>
      <c r="W26" s="291"/>
      <c r="X26" s="279">
        <v>0</v>
      </c>
      <c r="Y26" s="285">
        <f t="shared" si="5"/>
        <v>0</v>
      </c>
      <c r="Z26" s="279">
        <v>0</v>
      </c>
      <c r="AA26" s="285">
        <f t="shared" si="19"/>
        <v>0</v>
      </c>
      <c r="AB26" s="279">
        <f t="shared" si="7"/>
        <v>0</v>
      </c>
      <c r="AC26" s="285">
        <f t="shared" si="8"/>
        <v>0</v>
      </c>
      <c r="AD26" s="293"/>
      <c r="AF26" s="124"/>
      <c r="AG26" s="125"/>
      <c r="AH26" s="99" t="s">
        <v>42</v>
      </c>
      <c r="AI26" s="99"/>
      <c r="AJ26" s="289">
        <v>5731598</v>
      </c>
      <c r="AK26" s="289">
        <v>1437459</v>
      </c>
      <c r="AL26" s="289">
        <v>6322131</v>
      </c>
      <c r="AM26" s="289">
        <f t="shared" si="9"/>
        <v>4497062.666666667</v>
      </c>
      <c r="AN26" s="289">
        <v>6322131</v>
      </c>
      <c r="AO26" s="373">
        <f t="shared" si="10"/>
        <v>3.629578315119978E-2</v>
      </c>
      <c r="AP26" s="373">
        <f t="shared" si="10"/>
        <v>1.4693624138619852E-2</v>
      </c>
      <c r="AQ26" s="373">
        <f t="shared" si="10"/>
        <v>4.7534852787528642E-2</v>
      </c>
      <c r="AR26" s="373">
        <f t="shared" si="10"/>
        <v>3.4704710566451365E-2</v>
      </c>
      <c r="AS26" s="373">
        <f t="shared" si="23"/>
        <v>3.4704710566451365E-2</v>
      </c>
      <c r="AT26" s="373">
        <f t="shared" si="11"/>
        <v>0.13664319875921382</v>
      </c>
      <c r="AU26" s="177"/>
      <c r="AV26" s="258">
        <f t="shared" si="2"/>
        <v>1678155</v>
      </c>
      <c r="AW26" s="258">
        <f t="shared" si="3"/>
        <v>-5731598</v>
      </c>
    </row>
    <row r="27" spans="1:49" s="88" customFormat="1" ht="33.75" hidden="1" customHeight="1" outlineLevel="2">
      <c r="A27" s="364"/>
      <c r="B27" s="290" t="s">
        <v>44</v>
      </c>
      <c r="C27" s="291"/>
      <c r="D27" s="291"/>
      <c r="E27" s="276">
        <f t="shared" ref="E27:H27" si="26">SUM(E28:E29)</f>
        <v>0</v>
      </c>
      <c r="F27" s="292">
        <f t="shared" si="26"/>
        <v>0</v>
      </c>
      <c r="G27" s="278">
        <f t="shared" si="26"/>
        <v>0</v>
      </c>
      <c r="H27" s="279">
        <f t="shared" si="26"/>
        <v>0</v>
      </c>
      <c r="I27" s="368">
        <f t="shared" si="14"/>
        <v>0</v>
      </c>
      <c r="J27" s="369">
        <f t="shared" si="14"/>
        <v>0</v>
      </c>
      <c r="K27" s="368">
        <f t="shared" si="14"/>
        <v>0</v>
      </c>
      <c r="L27" s="370">
        <f t="shared" si="14"/>
        <v>0</v>
      </c>
      <c r="M27" s="278">
        <f t="shared" ref="M27" si="27">SUM(M28:M29)</f>
        <v>0</v>
      </c>
      <c r="N27" s="371">
        <f t="shared" si="15"/>
        <v>0</v>
      </c>
      <c r="O27" s="278">
        <f t="shared" si="22"/>
        <v>0</v>
      </c>
      <c r="P27" s="372">
        <f t="shared" si="16"/>
        <v>0</v>
      </c>
      <c r="Q27" s="217"/>
      <c r="R27" s="283">
        <f>SUM(R28:R29)</f>
        <v>0</v>
      </c>
      <c r="S27" s="284">
        <f t="shared" si="5"/>
        <v>0</v>
      </c>
      <c r="T27" s="364"/>
      <c r="U27" s="290" t="s">
        <v>44</v>
      </c>
      <c r="V27" s="291"/>
      <c r="W27" s="291"/>
      <c r="X27" s="279">
        <f>SUM(X28:X29)</f>
        <v>0</v>
      </c>
      <c r="Y27" s="285">
        <f t="shared" si="5"/>
        <v>0</v>
      </c>
      <c r="Z27" s="279">
        <f>SUM(Z28:Z29)</f>
        <v>0</v>
      </c>
      <c r="AA27" s="285">
        <f t="shared" si="19"/>
        <v>0</v>
      </c>
      <c r="AB27" s="279">
        <f t="shared" si="7"/>
        <v>0</v>
      </c>
      <c r="AC27" s="285">
        <f t="shared" si="8"/>
        <v>0</v>
      </c>
      <c r="AD27" s="293"/>
      <c r="AF27" s="124"/>
      <c r="AG27" s="98" t="s">
        <v>44</v>
      </c>
      <c r="AH27" s="99"/>
      <c r="AI27" s="99"/>
      <c r="AJ27" s="289">
        <v>0</v>
      </c>
      <c r="AK27" s="289">
        <v>0</v>
      </c>
      <c r="AL27" s="289">
        <v>0</v>
      </c>
      <c r="AM27" s="289">
        <f t="shared" si="9"/>
        <v>0</v>
      </c>
      <c r="AN27" s="289">
        <v>0</v>
      </c>
      <c r="AO27" s="373">
        <f t="shared" si="10"/>
        <v>0</v>
      </c>
      <c r="AP27" s="373">
        <f t="shared" si="10"/>
        <v>0</v>
      </c>
      <c r="AQ27" s="373">
        <f t="shared" si="10"/>
        <v>0</v>
      </c>
      <c r="AR27" s="373">
        <f t="shared" si="10"/>
        <v>0</v>
      </c>
      <c r="AS27" s="373">
        <f t="shared" si="23"/>
        <v>0</v>
      </c>
      <c r="AT27" s="373">
        <f t="shared" si="11"/>
        <v>0</v>
      </c>
      <c r="AU27" s="177"/>
      <c r="AV27" s="258">
        <f t="shared" si="2"/>
        <v>0</v>
      </c>
      <c r="AW27" s="258">
        <f t="shared" si="3"/>
        <v>0</v>
      </c>
    </row>
    <row r="28" spans="1:49" s="88" customFormat="1" ht="33.75" hidden="1" customHeight="1" outlineLevel="2">
      <c r="A28" s="364"/>
      <c r="B28" s="374"/>
      <c r="C28" s="291" t="s">
        <v>46</v>
      </c>
      <c r="D28" s="291"/>
      <c r="E28" s="276">
        <v>0</v>
      </c>
      <c r="F28" s="292">
        <v>0</v>
      </c>
      <c r="G28" s="278">
        <v>0</v>
      </c>
      <c r="H28" s="279">
        <f t="shared" ref="H28:H31" si="28">AVERAGE(E28:G28)</f>
        <v>0</v>
      </c>
      <c r="I28" s="368">
        <f t="shared" si="14"/>
        <v>0</v>
      </c>
      <c r="J28" s="369">
        <f t="shared" si="14"/>
        <v>0</v>
      </c>
      <c r="K28" s="368">
        <f t="shared" si="14"/>
        <v>0</v>
      </c>
      <c r="L28" s="370">
        <f t="shared" si="14"/>
        <v>0</v>
      </c>
      <c r="M28" s="278">
        <v>0</v>
      </c>
      <c r="N28" s="371">
        <f t="shared" si="15"/>
        <v>0</v>
      </c>
      <c r="O28" s="278">
        <f t="shared" si="22"/>
        <v>0</v>
      </c>
      <c r="P28" s="372">
        <f t="shared" si="16"/>
        <v>0</v>
      </c>
      <c r="Q28" s="217"/>
      <c r="R28" s="283">
        <f>AVERAGE(E28:G28)</f>
        <v>0</v>
      </c>
      <c r="S28" s="284">
        <f t="shared" si="5"/>
        <v>0</v>
      </c>
      <c r="T28" s="364"/>
      <c r="U28" s="374"/>
      <c r="V28" s="291" t="s">
        <v>46</v>
      </c>
      <c r="W28" s="291"/>
      <c r="X28" s="279">
        <f>AVERAGE(F28:H28)</f>
        <v>0</v>
      </c>
      <c r="Y28" s="285">
        <f t="shared" si="5"/>
        <v>0</v>
      </c>
      <c r="Z28" s="279">
        <v>0</v>
      </c>
      <c r="AA28" s="285">
        <f t="shared" si="19"/>
        <v>0</v>
      </c>
      <c r="AB28" s="279">
        <f t="shared" si="7"/>
        <v>0</v>
      </c>
      <c r="AC28" s="285">
        <f t="shared" si="8"/>
        <v>0</v>
      </c>
      <c r="AD28" s="293"/>
      <c r="AF28" s="124"/>
      <c r="AG28" s="125"/>
      <c r="AH28" s="99" t="s">
        <v>46</v>
      </c>
      <c r="AI28" s="99"/>
      <c r="AJ28" s="289">
        <v>0</v>
      </c>
      <c r="AK28" s="289">
        <v>0</v>
      </c>
      <c r="AL28" s="289">
        <v>0</v>
      </c>
      <c r="AM28" s="289">
        <f t="shared" si="9"/>
        <v>0</v>
      </c>
      <c r="AN28" s="289">
        <v>0</v>
      </c>
      <c r="AO28" s="373">
        <f t="shared" si="10"/>
        <v>0</v>
      </c>
      <c r="AP28" s="373">
        <f t="shared" si="10"/>
        <v>0</v>
      </c>
      <c r="AQ28" s="373">
        <f t="shared" si="10"/>
        <v>0</v>
      </c>
      <c r="AR28" s="373">
        <f t="shared" si="10"/>
        <v>0</v>
      </c>
      <c r="AS28" s="373">
        <f t="shared" si="23"/>
        <v>0</v>
      </c>
      <c r="AT28" s="373">
        <f t="shared" si="11"/>
        <v>0</v>
      </c>
      <c r="AU28" s="177"/>
      <c r="AV28" s="258">
        <f t="shared" si="2"/>
        <v>0</v>
      </c>
      <c r="AW28" s="258">
        <f t="shared" si="3"/>
        <v>0</v>
      </c>
    </row>
    <row r="29" spans="1:49" s="88" customFormat="1" ht="33.75" hidden="1" customHeight="1" outlineLevel="2">
      <c r="A29" s="364"/>
      <c r="B29" s="374"/>
      <c r="C29" s="291" t="s">
        <v>48</v>
      </c>
      <c r="D29" s="291"/>
      <c r="E29" s="276">
        <v>0</v>
      </c>
      <c r="F29" s="292">
        <v>0</v>
      </c>
      <c r="G29" s="278">
        <v>0</v>
      </c>
      <c r="H29" s="279">
        <f t="shared" si="28"/>
        <v>0</v>
      </c>
      <c r="I29" s="368">
        <f t="shared" si="14"/>
        <v>0</v>
      </c>
      <c r="J29" s="369">
        <f t="shared" si="14"/>
        <v>0</v>
      </c>
      <c r="K29" s="368">
        <f t="shared" si="14"/>
        <v>0</v>
      </c>
      <c r="L29" s="370">
        <f t="shared" si="14"/>
        <v>0</v>
      </c>
      <c r="M29" s="278">
        <v>0</v>
      </c>
      <c r="N29" s="371">
        <f t="shared" si="15"/>
        <v>0</v>
      </c>
      <c r="O29" s="278">
        <f t="shared" si="22"/>
        <v>0</v>
      </c>
      <c r="P29" s="372">
        <f t="shared" si="16"/>
        <v>0</v>
      </c>
      <c r="Q29" s="217"/>
      <c r="R29" s="283">
        <f>AVERAGE(E29:G29)</f>
        <v>0</v>
      </c>
      <c r="S29" s="284">
        <f t="shared" si="5"/>
        <v>0</v>
      </c>
      <c r="T29" s="364"/>
      <c r="U29" s="374"/>
      <c r="V29" s="291" t="s">
        <v>48</v>
      </c>
      <c r="W29" s="291"/>
      <c r="X29" s="279">
        <f>AVERAGE(F29:H29)</f>
        <v>0</v>
      </c>
      <c r="Y29" s="285">
        <f t="shared" si="5"/>
        <v>0</v>
      </c>
      <c r="Z29" s="279">
        <v>0</v>
      </c>
      <c r="AA29" s="285">
        <f t="shared" si="19"/>
        <v>0</v>
      </c>
      <c r="AB29" s="279">
        <f t="shared" si="7"/>
        <v>0</v>
      </c>
      <c r="AC29" s="285">
        <f t="shared" si="8"/>
        <v>0</v>
      </c>
      <c r="AD29" s="293"/>
      <c r="AF29" s="124"/>
      <c r="AG29" s="125"/>
      <c r="AH29" s="99" t="s">
        <v>48</v>
      </c>
      <c r="AI29" s="99"/>
      <c r="AJ29" s="289">
        <v>0</v>
      </c>
      <c r="AK29" s="289">
        <v>0</v>
      </c>
      <c r="AL29" s="289">
        <v>0</v>
      </c>
      <c r="AM29" s="289">
        <f t="shared" si="9"/>
        <v>0</v>
      </c>
      <c r="AN29" s="289">
        <v>0</v>
      </c>
      <c r="AO29" s="373">
        <f t="shared" si="10"/>
        <v>0</v>
      </c>
      <c r="AP29" s="373">
        <f t="shared" si="10"/>
        <v>0</v>
      </c>
      <c r="AQ29" s="373">
        <f t="shared" si="10"/>
        <v>0</v>
      </c>
      <c r="AR29" s="373">
        <f t="shared" si="10"/>
        <v>0</v>
      </c>
      <c r="AS29" s="373">
        <f t="shared" si="23"/>
        <v>0</v>
      </c>
      <c r="AT29" s="373">
        <f t="shared" si="11"/>
        <v>0</v>
      </c>
      <c r="AU29" s="177"/>
      <c r="AV29" s="258">
        <f t="shared" si="2"/>
        <v>0</v>
      </c>
      <c r="AW29" s="258">
        <f t="shared" si="3"/>
        <v>0</v>
      </c>
    </row>
    <row r="30" spans="1:49" s="88" customFormat="1" ht="33.75" customHeight="1" outlineLevel="1" collapsed="1">
      <c r="A30" s="364"/>
      <c r="B30" s="290" t="s">
        <v>50</v>
      </c>
      <c r="C30" s="291"/>
      <c r="D30" s="291"/>
      <c r="E30" s="276">
        <v>3023025</v>
      </c>
      <c r="F30" s="292">
        <v>3165863</v>
      </c>
      <c r="G30" s="278">
        <v>2533687</v>
      </c>
      <c r="H30" s="279">
        <f t="shared" si="28"/>
        <v>2907525</v>
      </c>
      <c r="I30" s="368">
        <f t="shared" si="14"/>
        <v>4.7463079352117209E-2</v>
      </c>
      <c r="J30" s="369">
        <f t="shared" si="14"/>
        <v>4.4591066101763839E-2</v>
      </c>
      <c r="K30" s="368">
        <f t="shared" si="14"/>
        <v>3.8268138034306537E-2</v>
      </c>
      <c r="L30" s="370">
        <f t="shared" si="14"/>
        <v>4.3417794075262493E-2</v>
      </c>
      <c r="M30" s="278">
        <v>398878</v>
      </c>
      <c r="N30" s="371">
        <f t="shared" si="15"/>
        <v>9.3041929562324953E-3</v>
      </c>
      <c r="O30" s="278">
        <f t="shared" si="22"/>
        <v>3306403</v>
      </c>
      <c r="P30" s="372">
        <f t="shared" si="16"/>
        <v>3.0102819736566026E-2</v>
      </c>
      <c r="Q30" s="217"/>
      <c r="R30" s="283">
        <v>0</v>
      </c>
      <c r="S30" s="284">
        <f t="shared" si="5"/>
        <v>0</v>
      </c>
      <c r="T30" s="364"/>
      <c r="U30" s="290" t="s">
        <v>50</v>
      </c>
      <c r="V30" s="291"/>
      <c r="W30" s="291"/>
      <c r="X30" s="279">
        <v>0</v>
      </c>
      <c r="Y30" s="285">
        <f t="shared" si="5"/>
        <v>0</v>
      </c>
      <c r="Z30" s="279">
        <v>0</v>
      </c>
      <c r="AA30" s="285">
        <f t="shared" si="19"/>
        <v>0</v>
      </c>
      <c r="AB30" s="279">
        <f t="shared" si="7"/>
        <v>0</v>
      </c>
      <c r="AC30" s="285">
        <f t="shared" si="8"/>
        <v>0</v>
      </c>
      <c r="AD30" s="293"/>
      <c r="AF30" s="124"/>
      <c r="AG30" s="98" t="s">
        <v>50</v>
      </c>
      <c r="AH30" s="99"/>
      <c r="AI30" s="99"/>
      <c r="AJ30" s="289">
        <v>6180345</v>
      </c>
      <c r="AK30" s="289">
        <v>4990657</v>
      </c>
      <c r="AL30" s="289">
        <v>7218576</v>
      </c>
      <c r="AM30" s="289">
        <f t="shared" si="9"/>
        <v>6129859.333333333</v>
      </c>
      <c r="AN30" s="289">
        <v>7218576</v>
      </c>
      <c r="AO30" s="373">
        <f t="shared" si="10"/>
        <v>3.9137507885166019E-2</v>
      </c>
      <c r="AP30" s="373">
        <f t="shared" si="10"/>
        <v>5.1014211996844527E-2</v>
      </c>
      <c r="AQ30" s="373">
        <f t="shared" si="10"/>
        <v>5.4275045470520519E-2</v>
      </c>
      <c r="AR30" s="373">
        <f t="shared" si="10"/>
        <v>4.7305321216276987E-2</v>
      </c>
      <c r="AS30" s="373">
        <f t="shared" si="23"/>
        <v>4.7305321216276987E-2</v>
      </c>
      <c r="AT30" s="373">
        <f t="shared" si="11"/>
        <v>0.15601848729905957</v>
      </c>
      <c r="AU30" s="177"/>
      <c r="AV30" s="258">
        <f t="shared" si="2"/>
        <v>-632176</v>
      </c>
      <c r="AW30" s="258">
        <f t="shared" si="3"/>
        <v>-6180345</v>
      </c>
    </row>
    <row r="31" spans="1:49" s="88" customFormat="1" ht="33.75" hidden="1" customHeight="1" outlineLevel="2">
      <c r="A31" s="364"/>
      <c r="B31" s="290" t="s">
        <v>52</v>
      </c>
      <c r="C31" s="291"/>
      <c r="D31" s="291"/>
      <c r="E31" s="276">
        <v>0</v>
      </c>
      <c r="F31" s="292">
        <v>0</v>
      </c>
      <c r="G31" s="278">
        <v>0</v>
      </c>
      <c r="H31" s="279">
        <f t="shared" si="28"/>
        <v>0</v>
      </c>
      <c r="I31" s="368">
        <f t="shared" si="14"/>
        <v>0</v>
      </c>
      <c r="J31" s="369">
        <f t="shared" si="14"/>
        <v>0</v>
      </c>
      <c r="K31" s="368">
        <f t="shared" si="14"/>
        <v>0</v>
      </c>
      <c r="L31" s="370">
        <f t="shared" si="14"/>
        <v>0</v>
      </c>
      <c r="M31" s="278">
        <v>0</v>
      </c>
      <c r="N31" s="371">
        <f t="shared" si="15"/>
        <v>0</v>
      </c>
      <c r="O31" s="278">
        <f t="shared" si="22"/>
        <v>0</v>
      </c>
      <c r="P31" s="372">
        <f t="shared" si="16"/>
        <v>0</v>
      </c>
      <c r="Q31" s="217"/>
      <c r="R31" s="283">
        <f>AVERAGE(E31:G31)</f>
        <v>0</v>
      </c>
      <c r="S31" s="284">
        <f t="shared" si="5"/>
        <v>0</v>
      </c>
      <c r="T31" s="364"/>
      <c r="U31" s="290" t="s">
        <v>52</v>
      </c>
      <c r="V31" s="291"/>
      <c r="W31" s="291"/>
      <c r="X31" s="279">
        <f>AVERAGE(F31:H31)</f>
        <v>0</v>
      </c>
      <c r="Y31" s="285">
        <f t="shared" si="5"/>
        <v>0</v>
      </c>
      <c r="Z31" s="279">
        <v>0</v>
      </c>
      <c r="AA31" s="285">
        <f t="shared" si="19"/>
        <v>0</v>
      </c>
      <c r="AB31" s="279">
        <f t="shared" si="7"/>
        <v>0</v>
      </c>
      <c r="AC31" s="285">
        <f t="shared" si="8"/>
        <v>0</v>
      </c>
      <c r="AD31" s="293"/>
      <c r="AF31" s="124"/>
      <c r="AG31" s="98" t="s">
        <v>52</v>
      </c>
      <c r="AH31" s="99"/>
      <c r="AI31" s="99"/>
      <c r="AJ31" s="289">
        <v>35600</v>
      </c>
      <c r="AK31" s="289">
        <v>29200</v>
      </c>
      <c r="AL31" s="289">
        <v>44000</v>
      </c>
      <c r="AM31" s="289">
        <f t="shared" si="9"/>
        <v>36266.666666666664</v>
      </c>
      <c r="AN31" s="289">
        <v>44000</v>
      </c>
      <c r="AO31" s="373">
        <f t="shared" si="10"/>
        <v>2.2543972556740932E-4</v>
      </c>
      <c r="AP31" s="373">
        <f t="shared" si="10"/>
        <v>2.9848073917078659E-4</v>
      </c>
      <c r="AQ31" s="373">
        <f t="shared" si="10"/>
        <v>3.3082729899953993E-4</v>
      </c>
      <c r="AR31" s="373">
        <f t="shared" si="10"/>
        <v>2.7987694705832491E-4</v>
      </c>
      <c r="AS31" s="373">
        <f t="shared" si="23"/>
        <v>2.7987694705832491E-4</v>
      </c>
      <c r="AT31" s="373">
        <f t="shared" si="11"/>
        <v>9.5099274997708977E-4</v>
      </c>
      <c r="AU31" s="177"/>
      <c r="AV31" s="258">
        <f t="shared" si="2"/>
        <v>0</v>
      </c>
      <c r="AW31" s="258">
        <f t="shared" si="3"/>
        <v>-35600</v>
      </c>
    </row>
    <row r="32" spans="1:49" s="88" customFormat="1" ht="33.75" hidden="1" customHeight="1" outlineLevel="2">
      <c r="A32" s="364"/>
      <c r="B32" s="290" t="s">
        <v>54</v>
      </c>
      <c r="C32" s="291"/>
      <c r="D32" s="291"/>
      <c r="E32" s="276">
        <f t="shared" ref="E32:H32" si="29">SUM(E33:E35)</f>
        <v>60500</v>
      </c>
      <c r="F32" s="292">
        <f t="shared" si="29"/>
        <v>80000</v>
      </c>
      <c r="G32" s="278">
        <f t="shared" si="29"/>
        <v>536000</v>
      </c>
      <c r="H32" s="279">
        <f t="shared" si="29"/>
        <v>225500</v>
      </c>
      <c r="I32" s="368">
        <f t="shared" si="14"/>
        <v>9.4988175777676047E-4</v>
      </c>
      <c r="J32" s="369">
        <f t="shared" si="14"/>
        <v>1.1267971128697315E-3</v>
      </c>
      <c r="K32" s="368">
        <f t="shared" si="14"/>
        <v>8.0956021743760383E-3</v>
      </c>
      <c r="L32" s="370">
        <f t="shared" si="14"/>
        <v>3.3673700360174696E-3</v>
      </c>
      <c r="M32" s="278">
        <f t="shared" ref="M32" si="30">SUM(M33:M35)</f>
        <v>2980</v>
      </c>
      <c r="N32" s="371">
        <f t="shared" si="15"/>
        <v>6.9511216486175821E-5</v>
      </c>
      <c r="O32" s="278">
        <f t="shared" si="22"/>
        <v>228480</v>
      </c>
      <c r="P32" s="372">
        <f t="shared" si="16"/>
        <v>2.0801736066083311E-3</v>
      </c>
      <c r="Q32" s="217"/>
      <c r="R32" s="283">
        <f>SUM(R33:R35)</f>
        <v>0</v>
      </c>
      <c r="S32" s="284">
        <f t="shared" si="5"/>
        <v>0</v>
      </c>
      <c r="T32" s="364"/>
      <c r="U32" s="290" t="s">
        <v>54</v>
      </c>
      <c r="V32" s="291"/>
      <c r="W32" s="291"/>
      <c r="X32" s="279">
        <f>SUM(X33:X35)</f>
        <v>0</v>
      </c>
      <c r="Y32" s="285">
        <f t="shared" si="5"/>
        <v>0</v>
      </c>
      <c r="Z32" s="279">
        <v>0</v>
      </c>
      <c r="AA32" s="285">
        <f t="shared" si="19"/>
        <v>0</v>
      </c>
      <c r="AB32" s="279">
        <f t="shared" si="7"/>
        <v>0</v>
      </c>
      <c r="AC32" s="285">
        <f t="shared" si="8"/>
        <v>0</v>
      </c>
      <c r="AD32" s="293"/>
      <c r="AF32" s="124"/>
      <c r="AG32" s="98" t="s">
        <v>54</v>
      </c>
      <c r="AH32" s="99"/>
      <c r="AI32" s="99"/>
      <c r="AJ32" s="289">
        <v>496454</v>
      </c>
      <c r="AK32" s="289">
        <v>473414</v>
      </c>
      <c r="AL32" s="289">
        <v>576383</v>
      </c>
      <c r="AM32" s="289">
        <f t="shared" si="9"/>
        <v>515417</v>
      </c>
      <c r="AN32" s="289">
        <v>576383</v>
      </c>
      <c r="AO32" s="373">
        <f t="shared" si="10"/>
        <v>3.1438329639562534E-3</v>
      </c>
      <c r="AP32" s="373">
        <f t="shared" si="10"/>
        <v>4.839210981294478E-3</v>
      </c>
      <c r="AQ32" s="373">
        <f t="shared" si="10"/>
        <v>4.3337097972557231E-3</v>
      </c>
      <c r="AR32" s="373">
        <f t="shared" si="10"/>
        <v>3.9775736145761208E-3</v>
      </c>
      <c r="AS32" s="373">
        <f t="shared" si="23"/>
        <v>3.9775736145761208E-3</v>
      </c>
      <c r="AT32" s="373">
        <f t="shared" si="11"/>
        <v>1.2457637595682839E-2</v>
      </c>
      <c r="AU32" s="177"/>
      <c r="AV32" s="258">
        <f t="shared" si="2"/>
        <v>456000</v>
      </c>
      <c r="AW32" s="258">
        <f t="shared" si="3"/>
        <v>-496454</v>
      </c>
    </row>
    <row r="33" spans="1:59" s="88" customFormat="1" ht="33.75" hidden="1" customHeight="1" outlineLevel="2">
      <c r="A33" s="364"/>
      <c r="B33" s="374"/>
      <c r="C33" s="291" t="s">
        <v>54</v>
      </c>
      <c r="D33" s="291"/>
      <c r="E33" s="276">
        <v>0</v>
      </c>
      <c r="F33" s="292">
        <v>0</v>
      </c>
      <c r="G33" s="278">
        <v>0</v>
      </c>
      <c r="H33" s="279">
        <f t="shared" ref="H33:H37" si="31">AVERAGE(E33:G33)</f>
        <v>0</v>
      </c>
      <c r="I33" s="368">
        <f t="shared" si="14"/>
        <v>0</v>
      </c>
      <c r="J33" s="369">
        <f t="shared" si="14"/>
        <v>0</v>
      </c>
      <c r="K33" s="368">
        <f t="shared" si="14"/>
        <v>0</v>
      </c>
      <c r="L33" s="370">
        <f t="shared" si="14"/>
        <v>0</v>
      </c>
      <c r="M33" s="278">
        <v>2980</v>
      </c>
      <c r="N33" s="371">
        <f t="shared" si="15"/>
        <v>6.9511216486175821E-5</v>
      </c>
      <c r="O33" s="278">
        <f t="shared" si="22"/>
        <v>2980</v>
      </c>
      <c r="P33" s="372">
        <f t="shared" si="16"/>
        <v>2.7131115842493114E-5</v>
      </c>
      <c r="Q33" s="217"/>
      <c r="R33" s="283">
        <f>AVERAGE(E33:G33)</f>
        <v>0</v>
      </c>
      <c r="S33" s="284">
        <f t="shared" si="5"/>
        <v>0</v>
      </c>
      <c r="T33" s="364"/>
      <c r="U33" s="374"/>
      <c r="V33" s="291" t="s">
        <v>54</v>
      </c>
      <c r="W33" s="291"/>
      <c r="X33" s="279">
        <f>AVERAGE(F33:H33)</f>
        <v>0</v>
      </c>
      <c r="Y33" s="285">
        <f t="shared" si="5"/>
        <v>0</v>
      </c>
      <c r="Z33" s="279">
        <v>0</v>
      </c>
      <c r="AA33" s="285">
        <f t="shared" si="19"/>
        <v>0</v>
      </c>
      <c r="AB33" s="279">
        <f t="shared" si="7"/>
        <v>0</v>
      </c>
      <c r="AC33" s="285">
        <f t="shared" si="8"/>
        <v>0</v>
      </c>
      <c r="AD33" s="293"/>
      <c r="AF33" s="124"/>
      <c r="AG33" s="125"/>
      <c r="AH33" s="99" t="s">
        <v>54</v>
      </c>
      <c r="AI33" s="99"/>
      <c r="AJ33" s="289">
        <v>47400</v>
      </c>
      <c r="AK33" s="289">
        <v>37800</v>
      </c>
      <c r="AL33" s="289">
        <v>54000</v>
      </c>
      <c r="AM33" s="289">
        <f t="shared" si="9"/>
        <v>46400</v>
      </c>
      <c r="AN33" s="289">
        <v>54000</v>
      </c>
      <c r="AO33" s="373">
        <f t="shared" si="10"/>
        <v>3.0016412898582024E-4</v>
      </c>
      <c r="AP33" s="373">
        <f t="shared" si="10"/>
        <v>3.8638945002245659E-4</v>
      </c>
      <c r="AQ33" s="373">
        <f t="shared" si="10"/>
        <v>4.0601532149943533E-4</v>
      </c>
      <c r="AR33" s="373">
        <f t="shared" si="10"/>
        <v>3.580778587363863E-4</v>
      </c>
      <c r="AS33" s="373">
        <f t="shared" si="23"/>
        <v>3.580778587363863E-4</v>
      </c>
      <c r="AT33" s="373">
        <f t="shared" si="11"/>
        <v>1.1671274658809738E-3</v>
      </c>
      <c r="AU33" s="177"/>
      <c r="AV33" s="258">
        <f t="shared" si="2"/>
        <v>0</v>
      </c>
      <c r="AW33" s="258">
        <f t="shared" si="3"/>
        <v>-47400</v>
      </c>
    </row>
    <row r="34" spans="1:59" s="88" customFormat="1" ht="33.75" hidden="1" customHeight="1" outlineLevel="2">
      <c r="A34" s="364"/>
      <c r="B34" s="374"/>
      <c r="C34" s="291" t="s">
        <v>57</v>
      </c>
      <c r="D34" s="291"/>
      <c r="E34" s="276">
        <v>0</v>
      </c>
      <c r="F34" s="292">
        <v>0</v>
      </c>
      <c r="G34" s="278">
        <v>0</v>
      </c>
      <c r="H34" s="279">
        <f t="shared" si="31"/>
        <v>0</v>
      </c>
      <c r="I34" s="368">
        <f t="shared" si="14"/>
        <v>0</v>
      </c>
      <c r="J34" s="369">
        <f t="shared" si="14"/>
        <v>0</v>
      </c>
      <c r="K34" s="368">
        <f t="shared" si="14"/>
        <v>0</v>
      </c>
      <c r="L34" s="370">
        <f t="shared" si="14"/>
        <v>0</v>
      </c>
      <c r="M34" s="278">
        <v>0</v>
      </c>
      <c r="N34" s="371">
        <f t="shared" si="15"/>
        <v>0</v>
      </c>
      <c r="O34" s="278">
        <f t="shared" si="22"/>
        <v>0</v>
      </c>
      <c r="P34" s="372">
        <f t="shared" si="16"/>
        <v>0</v>
      </c>
      <c r="Q34" s="217"/>
      <c r="R34" s="283">
        <f>AVERAGE(E34:G34)</f>
        <v>0</v>
      </c>
      <c r="S34" s="284">
        <f t="shared" si="5"/>
        <v>0</v>
      </c>
      <c r="T34" s="364"/>
      <c r="U34" s="374"/>
      <c r="V34" s="291" t="s">
        <v>57</v>
      </c>
      <c r="W34" s="291"/>
      <c r="X34" s="279">
        <f>AVERAGE(F34:H34)</f>
        <v>0</v>
      </c>
      <c r="Y34" s="285">
        <f t="shared" si="5"/>
        <v>0</v>
      </c>
      <c r="Z34" s="279">
        <v>0</v>
      </c>
      <c r="AA34" s="285">
        <f t="shared" si="19"/>
        <v>0</v>
      </c>
      <c r="AB34" s="279">
        <f t="shared" si="7"/>
        <v>0</v>
      </c>
      <c r="AC34" s="285">
        <f t="shared" si="8"/>
        <v>0</v>
      </c>
      <c r="AD34" s="293"/>
      <c r="AF34" s="124"/>
      <c r="AG34" s="125"/>
      <c r="AH34" s="99" t="s">
        <v>57</v>
      </c>
      <c r="AI34" s="99"/>
      <c r="AJ34" s="289">
        <v>241780</v>
      </c>
      <c r="AK34" s="289">
        <v>228340</v>
      </c>
      <c r="AL34" s="289">
        <v>316928</v>
      </c>
      <c r="AM34" s="289">
        <f t="shared" si="9"/>
        <v>262349.33333333331</v>
      </c>
      <c r="AN34" s="289">
        <v>316928</v>
      </c>
      <c r="AO34" s="373">
        <f t="shared" si="10"/>
        <v>1.5310903608901187E-3</v>
      </c>
      <c r="AP34" s="373">
        <f t="shared" si="10"/>
        <v>2.3340784925430617E-3</v>
      </c>
      <c r="AQ34" s="373">
        <f t="shared" si="10"/>
        <v>2.3829189594846861E-3</v>
      </c>
      <c r="AR34" s="373">
        <f t="shared" si="10"/>
        <v>2.0246010241577253E-3</v>
      </c>
      <c r="AS34" s="373">
        <f t="shared" si="23"/>
        <v>2.0246010241577253E-3</v>
      </c>
      <c r="AT34" s="373">
        <f t="shared" si="11"/>
        <v>6.8499143241986154E-3</v>
      </c>
      <c r="AU34" s="177"/>
      <c r="AV34" s="258">
        <f t="shared" si="2"/>
        <v>0</v>
      </c>
      <c r="AW34" s="258">
        <f t="shared" si="3"/>
        <v>-241780</v>
      </c>
    </row>
    <row r="35" spans="1:59" s="88" customFormat="1" ht="33.75" hidden="1" customHeight="1" outlineLevel="2">
      <c r="A35" s="364"/>
      <c r="B35" s="374"/>
      <c r="C35" s="291" t="s">
        <v>59</v>
      </c>
      <c r="D35" s="291"/>
      <c r="E35" s="276">
        <v>60500</v>
      </c>
      <c r="F35" s="292">
        <v>80000</v>
      </c>
      <c r="G35" s="278">
        <v>536000</v>
      </c>
      <c r="H35" s="279">
        <f t="shared" si="31"/>
        <v>225500</v>
      </c>
      <c r="I35" s="368">
        <f t="shared" si="14"/>
        <v>9.4988175777676047E-4</v>
      </c>
      <c r="J35" s="369">
        <f t="shared" si="14"/>
        <v>1.1267971128697315E-3</v>
      </c>
      <c r="K35" s="368">
        <f t="shared" si="14"/>
        <v>8.0956021743760383E-3</v>
      </c>
      <c r="L35" s="370">
        <f t="shared" si="14"/>
        <v>3.3673700360174696E-3</v>
      </c>
      <c r="M35" s="278">
        <v>0</v>
      </c>
      <c r="N35" s="371">
        <f t="shared" si="15"/>
        <v>0</v>
      </c>
      <c r="O35" s="278">
        <f t="shared" si="22"/>
        <v>225500</v>
      </c>
      <c r="P35" s="372">
        <f t="shared" si="16"/>
        <v>2.0530424907658378E-3</v>
      </c>
      <c r="Q35" s="217"/>
      <c r="R35" s="283">
        <v>0</v>
      </c>
      <c r="S35" s="284">
        <f t="shared" si="5"/>
        <v>0</v>
      </c>
      <c r="T35" s="364"/>
      <c r="U35" s="374"/>
      <c r="V35" s="291" t="s">
        <v>59</v>
      </c>
      <c r="W35" s="291"/>
      <c r="X35" s="279">
        <v>0</v>
      </c>
      <c r="Y35" s="285">
        <f t="shared" si="5"/>
        <v>0</v>
      </c>
      <c r="Z35" s="279">
        <v>0</v>
      </c>
      <c r="AA35" s="285">
        <f t="shared" si="19"/>
        <v>0</v>
      </c>
      <c r="AB35" s="279">
        <f t="shared" si="7"/>
        <v>0</v>
      </c>
      <c r="AC35" s="285">
        <f t="shared" si="8"/>
        <v>0</v>
      </c>
      <c r="AD35" s="293"/>
      <c r="AF35" s="124"/>
      <c r="AG35" s="125"/>
      <c r="AH35" s="99" t="s">
        <v>59</v>
      </c>
      <c r="AI35" s="99"/>
      <c r="AJ35" s="289">
        <v>207274</v>
      </c>
      <c r="AK35" s="289">
        <v>207274</v>
      </c>
      <c r="AL35" s="289">
        <v>205455</v>
      </c>
      <c r="AM35" s="289">
        <f t="shared" si="9"/>
        <v>206667.66666666666</v>
      </c>
      <c r="AN35" s="289">
        <v>205455</v>
      </c>
      <c r="AO35" s="373">
        <f t="shared" si="10"/>
        <v>1.3125784740803145E-3</v>
      </c>
      <c r="AP35" s="373">
        <f t="shared" si="10"/>
        <v>2.1187430387289595E-3</v>
      </c>
      <c r="AQ35" s="373">
        <f t="shared" si="10"/>
        <v>1.5447755162716016E-3</v>
      </c>
      <c r="AR35" s="373">
        <f t="shared" si="10"/>
        <v>1.5948947316820094E-3</v>
      </c>
      <c r="AS35" s="373">
        <f t="shared" si="23"/>
        <v>1.5948947316820094E-3</v>
      </c>
      <c r="AT35" s="373">
        <f t="shared" si="11"/>
        <v>4.4405958056032493E-3</v>
      </c>
      <c r="AU35" s="177"/>
      <c r="AV35" s="258">
        <f t="shared" si="2"/>
        <v>456000</v>
      </c>
      <c r="AW35" s="258">
        <f t="shared" si="3"/>
        <v>-207274</v>
      </c>
    </row>
    <row r="36" spans="1:59" s="88" customFormat="1" ht="33.75" customHeight="1" outlineLevel="1" collapsed="1">
      <c r="A36" s="364"/>
      <c r="B36" s="290" t="s">
        <v>61</v>
      </c>
      <c r="C36" s="291"/>
      <c r="D36" s="291"/>
      <c r="E36" s="276">
        <v>0</v>
      </c>
      <c r="F36" s="292">
        <v>0</v>
      </c>
      <c r="G36" s="278">
        <v>0</v>
      </c>
      <c r="H36" s="279">
        <f t="shared" si="31"/>
        <v>0</v>
      </c>
      <c r="I36" s="368">
        <f t="shared" si="14"/>
        <v>0</v>
      </c>
      <c r="J36" s="369">
        <f t="shared" si="14"/>
        <v>0</v>
      </c>
      <c r="K36" s="368">
        <f t="shared" si="14"/>
        <v>0</v>
      </c>
      <c r="L36" s="370">
        <f t="shared" si="14"/>
        <v>0</v>
      </c>
      <c r="M36" s="278">
        <v>0</v>
      </c>
      <c r="N36" s="371">
        <f t="shared" si="15"/>
        <v>0</v>
      </c>
      <c r="O36" s="278">
        <f t="shared" si="22"/>
        <v>0</v>
      </c>
      <c r="P36" s="372">
        <f t="shared" si="16"/>
        <v>0</v>
      </c>
      <c r="Q36" s="217"/>
      <c r="R36" s="283">
        <f>AVERAGE(E36:G36)</f>
        <v>0</v>
      </c>
      <c r="S36" s="284">
        <f t="shared" si="5"/>
        <v>0</v>
      </c>
      <c r="T36" s="364"/>
      <c r="U36" s="290" t="s">
        <v>61</v>
      </c>
      <c r="V36" s="291"/>
      <c r="W36" s="291"/>
      <c r="X36" s="279">
        <f>AVERAGE(F36:H36)</f>
        <v>0</v>
      </c>
      <c r="Y36" s="285">
        <f t="shared" si="5"/>
        <v>0</v>
      </c>
      <c r="Z36" s="279">
        <v>0</v>
      </c>
      <c r="AA36" s="285">
        <f t="shared" si="19"/>
        <v>0</v>
      </c>
      <c r="AB36" s="279">
        <f t="shared" si="7"/>
        <v>0</v>
      </c>
      <c r="AC36" s="285">
        <f t="shared" si="8"/>
        <v>0</v>
      </c>
      <c r="AD36" s="293"/>
      <c r="AF36" s="124"/>
      <c r="AG36" s="98" t="s">
        <v>61</v>
      </c>
      <c r="AH36" s="99"/>
      <c r="AI36" s="99"/>
      <c r="AJ36" s="289">
        <v>1170103</v>
      </c>
      <c r="AK36" s="289">
        <v>1058246</v>
      </c>
      <c r="AL36" s="289">
        <v>2066635</v>
      </c>
      <c r="AM36" s="289">
        <f t="shared" si="9"/>
        <v>1431661.3333333333</v>
      </c>
      <c r="AN36" s="289">
        <v>2066635</v>
      </c>
      <c r="AO36" s="373">
        <f t="shared" si="10"/>
        <v>7.4097668316180434E-3</v>
      </c>
      <c r="AP36" s="373">
        <f t="shared" si="10"/>
        <v>1.0817330421387952E-2</v>
      </c>
      <c r="AQ36" s="373">
        <f t="shared" si="10"/>
        <v>1.553861988790714E-2</v>
      </c>
      <c r="AR36" s="373">
        <f t="shared" si="10"/>
        <v>1.1048410014562063E-2</v>
      </c>
      <c r="AS36" s="373">
        <f t="shared" si="23"/>
        <v>1.1048410014562063E-2</v>
      </c>
      <c r="AT36" s="373">
        <f t="shared" si="11"/>
        <v>4.4667156860202339E-2</v>
      </c>
      <c r="AU36" s="177"/>
      <c r="AV36" s="258">
        <f t="shared" si="2"/>
        <v>0</v>
      </c>
      <c r="AW36" s="258">
        <f t="shared" si="3"/>
        <v>-1170103</v>
      </c>
    </row>
    <row r="37" spans="1:59" s="88" customFormat="1" ht="33.75" hidden="1" customHeight="1" outlineLevel="2">
      <c r="A37" s="364"/>
      <c r="B37" s="260" t="s">
        <v>63</v>
      </c>
      <c r="C37" s="261"/>
      <c r="D37" s="261"/>
      <c r="E37" s="262">
        <v>0</v>
      </c>
      <c r="F37" s="263">
        <v>0</v>
      </c>
      <c r="G37" s="264">
        <v>0</v>
      </c>
      <c r="H37" s="265">
        <f t="shared" si="31"/>
        <v>0</v>
      </c>
      <c r="I37" s="365">
        <f t="shared" si="14"/>
        <v>0</v>
      </c>
      <c r="J37" s="366">
        <f t="shared" si="14"/>
        <v>0</v>
      </c>
      <c r="K37" s="365">
        <f t="shared" si="14"/>
        <v>0</v>
      </c>
      <c r="L37" s="266">
        <f t="shared" si="14"/>
        <v>0</v>
      </c>
      <c r="M37" s="264">
        <v>0</v>
      </c>
      <c r="N37" s="267">
        <f t="shared" si="15"/>
        <v>0</v>
      </c>
      <c r="O37" s="264">
        <f t="shared" si="22"/>
        <v>0</v>
      </c>
      <c r="P37" s="367">
        <f t="shared" si="16"/>
        <v>0</v>
      </c>
      <c r="Q37" s="217"/>
      <c r="R37" s="268">
        <f>AVERAGE(E37:G37)</f>
        <v>0</v>
      </c>
      <c r="S37" s="269">
        <f t="shared" si="5"/>
        <v>0</v>
      </c>
      <c r="T37" s="364"/>
      <c r="U37" s="260" t="s">
        <v>63</v>
      </c>
      <c r="V37" s="261"/>
      <c r="W37" s="261"/>
      <c r="X37" s="265">
        <f>AVERAGE(F37:H37)</f>
        <v>0</v>
      </c>
      <c r="Y37" s="270">
        <f t="shared" si="5"/>
        <v>0</v>
      </c>
      <c r="Z37" s="265">
        <v>0</v>
      </c>
      <c r="AA37" s="270">
        <f t="shared" si="19"/>
        <v>0</v>
      </c>
      <c r="AB37" s="265">
        <f t="shared" si="7"/>
        <v>0</v>
      </c>
      <c r="AC37" s="270">
        <f t="shared" si="8"/>
        <v>0</v>
      </c>
      <c r="AD37" s="271"/>
      <c r="AF37" s="124"/>
      <c r="AG37" s="90" t="s">
        <v>63</v>
      </c>
      <c r="AH37" s="91"/>
      <c r="AI37" s="91"/>
      <c r="AJ37" s="272">
        <v>0</v>
      </c>
      <c r="AK37" s="272">
        <v>0</v>
      </c>
      <c r="AL37" s="272">
        <v>0</v>
      </c>
      <c r="AM37" s="272">
        <f t="shared" si="9"/>
        <v>0</v>
      </c>
      <c r="AN37" s="272">
        <v>0</v>
      </c>
      <c r="AO37" s="273">
        <f t="shared" si="10"/>
        <v>0</v>
      </c>
      <c r="AP37" s="273">
        <f t="shared" si="10"/>
        <v>0</v>
      </c>
      <c r="AQ37" s="273">
        <f t="shared" si="10"/>
        <v>0</v>
      </c>
      <c r="AR37" s="273">
        <f t="shared" si="10"/>
        <v>0</v>
      </c>
      <c r="AS37" s="273">
        <f t="shared" si="23"/>
        <v>0</v>
      </c>
      <c r="AT37" s="273">
        <f t="shared" si="11"/>
        <v>0</v>
      </c>
      <c r="AU37" s="177"/>
      <c r="AV37" s="258">
        <f t="shared" si="2"/>
        <v>0</v>
      </c>
      <c r="AW37" s="258">
        <f t="shared" si="3"/>
        <v>0</v>
      </c>
    </row>
    <row r="38" spans="1:59" s="88" customFormat="1" ht="33.75" customHeight="1">
      <c r="A38" s="375" t="s">
        <v>65</v>
      </c>
      <c r="B38" s="376"/>
      <c r="C38" s="376"/>
      <c r="D38" s="376"/>
      <c r="E38" s="377">
        <f>E39+E40+E41+E42+E47+E51+E58+E59+E62+E63+E64+E65+E66+E67+E68+E71+E72+E73+E79+E80+E81+E84+E85</f>
        <v>22428569</v>
      </c>
      <c r="F38" s="378">
        <f t="shared" ref="F38:G38" si="32">F39+F40+F41+F42+F47+F51+F58+F59+F62+F63+F64+F65+F66+F67+F68+F71+F72+F73+F79+F80+F81+F84+F85</f>
        <v>20472218</v>
      </c>
      <c r="G38" s="379">
        <f t="shared" si="32"/>
        <v>17821592</v>
      </c>
      <c r="H38" s="380">
        <f>H39+H40+H41+H42+H47+H51+H58+H59+H62+H63+H64+H65+H66+H67+H68+H71+H72+H73+H79+H80+H81+H84+H85</f>
        <v>20240793.000000004</v>
      </c>
      <c r="I38" s="381">
        <f t="shared" si="14"/>
        <v>0.35214030654772494</v>
      </c>
      <c r="J38" s="382">
        <f t="shared" si="14"/>
        <v>0.28835045170549689</v>
      </c>
      <c r="K38" s="381">
        <f t="shared" si="14"/>
        <v>0.26917260997396009</v>
      </c>
      <c r="L38" s="383">
        <f t="shared" si="14"/>
        <v>0.3022538352702091</v>
      </c>
      <c r="M38" s="379">
        <f t="shared" ref="M38" si="33">M39+M40+M41+M42+M47+M51+M58+M59+M62+M63+M64+M65+M66+M67+M68+M71+M72+M73+M79+M80+M81+M84+M85</f>
        <v>16137627</v>
      </c>
      <c r="N38" s="383">
        <f t="shared" si="15"/>
        <v>0.37642486039266981</v>
      </c>
      <c r="O38" s="379">
        <f t="shared" si="22"/>
        <v>36378420</v>
      </c>
      <c r="P38" s="384">
        <f t="shared" si="16"/>
        <v>0.33120373395532493</v>
      </c>
      <c r="Q38" s="217"/>
      <c r="R38" s="385">
        <f>R39+R40+R41+R42+R47+R51+R58+R59+R62+R63+R64+R65+R66+R67+R68+R71+R72+R73+R79+R80+R81+R84+R85</f>
        <v>24953483.064411025</v>
      </c>
      <c r="S38" s="386">
        <f t="shared" si="5"/>
        <v>0.2769094079818657</v>
      </c>
      <c r="T38" s="375" t="s">
        <v>65</v>
      </c>
      <c r="U38" s="376"/>
      <c r="V38" s="376"/>
      <c r="W38" s="376"/>
      <c r="X38" s="380">
        <f>X39+X40+X41+X42+X47+X51+X58+X59+X62+X63+X64+X65+X66+X67+X68+X71+X72+X73+X79+X80+X81+X84+X85</f>
        <v>19363931.34402895</v>
      </c>
      <c r="Y38" s="387">
        <f t="shared" si="5"/>
        <v>0.25693308257406555</v>
      </c>
      <c r="Z38" s="380">
        <f>Z39+Z40+Z41+Z42+Z47+Z51+Z58+Z59+Z62+Z63+Z64+Z65+Z66+Z67+Z68+Z71+Z72+Z73+Z79+Z80+Z81+Z84+Z85</f>
        <v>12688171.464049626</v>
      </c>
      <c r="AA38" s="387">
        <f t="shared" si="19"/>
        <v>0.25223789449508627</v>
      </c>
      <c r="AB38" s="380">
        <f t="shared" si="7"/>
        <v>32052102.808078576</v>
      </c>
      <c r="AC38" s="387">
        <f t="shared" si="8"/>
        <v>0.25505369310291393</v>
      </c>
      <c r="AD38" s="388" t="s">
        <v>296</v>
      </c>
      <c r="AF38" s="126" t="s">
        <v>65</v>
      </c>
      <c r="AG38" s="127"/>
      <c r="AH38" s="127"/>
      <c r="AI38" s="127"/>
      <c r="AJ38" s="389">
        <v>26704175</v>
      </c>
      <c r="AK38" s="389">
        <v>25544036</v>
      </c>
      <c r="AL38" s="389">
        <v>33508397</v>
      </c>
      <c r="AM38" s="389">
        <f>AVERAGE(AJ38:AL38)</f>
        <v>28585536</v>
      </c>
      <c r="AN38" s="389">
        <f>AN39+AN40+AN42+AN47+AN51+AN59+AN62+AN64+AN65+AN66+AN68+AN71+AN72+AN73+AN80</f>
        <v>8600465</v>
      </c>
      <c r="AO38" s="390">
        <f t="shared" si="10"/>
        <v>0.16910623268269867</v>
      </c>
      <c r="AP38" s="390">
        <f t="shared" si="10"/>
        <v>0.26110968310565691</v>
      </c>
      <c r="AQ38" s="390">
        <f t="shared" si="10"/>
        <v>0.25194301075714287</v>
      </c>
      <c r="AR38" s="390">
        <f t="shared" si="10"/>
        <v>0.22060016210585959</v>
      </c>
      <c r="AS38" s="390">
        <f>AS39+AS40+AS41+AS390+AS42+AS47+AS51+AS58+AS59+AS62+AS63+AS64+AS65+AS66+AS67+AS68+AS71+AS72+AS73+AS79+AS80+AS81+AS84+AS85</f>
        <v>0.13300998203499614</v>
      </c>
      <c r="AT38" s="390">
        <f t="shared" si="11"/>
        <v>0.18588590594162979</v>
      </c>
      <c r="AU38" s="177"/>
      <c r="AV38" s="258">
        <f t="shared" si="2"/>
        <v>-2650626</v>
      </c>
      <c r="AW38" s="258">
        <f t="shared" si="3"/>
        <v>-1750691.9355889745</v>
      </c>
      <c r="BB38" s="391">
        <f t="shared" ref="BB38:BB101" si="34">AA38-AO38</f>
        <v>8.3131661812387597E-2</v>
      </c>
      <c r="BC38" s="391">
        <f t="shared" ref="BC38:BC101" si="35">AA38-AP38</f>
        <v>-8.8717886105706412E-3</v>
      </c>
      <c r="BD38" s="391">
        <f t="shared" ref="BD38:BD101" si="36">AA38-AQ38</f>
        <v>2.9488373794339662E-4</v>
      </c>
      <c r="BE38" s="391" t="e">
        <f>#REF!-AO38</f>
        <v>#REF!</v>
      </c>
      <c r="BF38" s="391" t="e">
        <f>#REF!-AP38</f>
        <v>#REF!</v>
      </c>
      <c r="BG38" s="391" t="e">
        <f>#REF!-AQ38</f>
        <v>#REF!</v>
      </c>
    </row>
    <row r="39" spans="1:59" s="88" customFormat="1" ht="33.75" customHeight="1">
      <c r="A39" s="392"/>
      <c r="B39" s="260" t="s">
        <v>67</v>
      </c>
      <c r="C39" s="261"/>
      <c r="D39" s="261"/>
      <c r="E39" s="262">
        <v>3269507</v>
      </c>
      <c r="F39" s="263">
        <v>1289549</v>
      </c>
      <c r="G39" s="264">
        <v>1118042</v>
      </c>
      <c r="H39" s="265">
        <f>AVERAGE(E39:G39)</f>
        <v>1892366</v>
      </c>
      <c r="I39" s="365">
        <f t="shared" si="14"/>
        <v>5.1332976135924344E-2</v>
      </c>
      <c r="J39" s="366">
        <f t="shared" si="14"/>
        <v>1.8163251126300618E-2</v>
      </c>
      <c r="K39" s="365">
        <f t="shared" si="14"/>
        <v>1.6886610534036818E-2</v>
      </c>
      <c r="L39" s="266">
        <f t="shared" si="14"/>
        <v>2.8258521355114124E-2</v>
      </c>
      <c r="M39" s="264">
        <v>1294646</v>
      </c>
      <c r="N39" s="267">
        <f t="shared" si="15"/>
        <v>3.0198798113745495E-2</v>
      </c>
      <c r="O39" s="264">
        <f t="shared" si="22"/>
        <v>3187012</v>
      </c>
      <c r="P39" s="367">
        <f t="shared" si="16"/>
        <v>2.9015836162220022E-2</v>
      </c>
      <c r="Q39" s="217"/>
      <c r="R39" s="268">
        <f>R$8*AR39</f>
        <v>2279693.3303391435</v>
      </c>
      <c r="S39" s="269">
        <f t="shared" si="5"/>
        <v>2.5297812287565707E-2</v>
      </c>
      <c r="T39" s="392"/>
      <c r="U39" s="260" t="s">
        <v>67</v>
      </c>
      <c r="V39" s="261"/>
      <c r="W39" s="261"/>
      <c r="X39" s="265">
        <f>X$8*AQ39</f>
        <v>1840890.2649673282</v>
      </c>
      <c r="Y39" s="270">
        <f>X39/X$7</f>
        <v>2.4426114824275778E-2</v>
      </c>
      <c r="Z39" s="265">
        <f>Z$8*AO39-100000</f>
        <v>1186504.434532386</v>
      </c>
      <c r="AA39" s="270">
        <f t="shared" si="19"/>
        <v>2.3587431902501392E-2</v>
      </c>
      <c r="AB39" s="265">
        <f t="shared" si="7"/>
        <v>3027394.6994997142</v>
      </c>
      <c r="AC39" s="270">
        <f t="shared" si="8"/>
        <v>2.4090406898138749E-2</v>
      </c>
      <c r="AD39" s="271" t="s">
        <v>297</v>
      </c>
      <c r="AF39" s="132"/>
      <c r="AG39" s="90" t="s">
        <v>67</v>
      </c>
      <c r="AH39" s="91"/>
      <c r="AI39" s="91"/>
      <c r="AJ39" s="272">
        <f>5192905-'[1]JW、NP分析'!E123</f>
        <v>4038705</v>
      </c>
      <c r="AK39" s="272">
        <v>2546953</v>
      </c>
      <c r="AL39" s="272">
        <v>3248671</v>
      </c>
      <c r="AM39" s="272">
        <f t="shared" si="9"/>
        <v>3278109.6666666665</v>
      </c>
      <c r="AN39" s="272">
        <v>1429064</v>
      </c>
      <c r="AO39" s="273">
        <f t="shared" si="10"/>
        <v>2.5575408619318084E-2</v>
      </c>
      <c r="AP39" s="273">
        <f t="shared" si="10"/>
        <v>2.6034808701138779E-2</v>
      </c>
      <c r="AQ39" s="393">
        <f>AL39/AL$7</f>
        <v>2.4426114824275778E-2</v>
      </c>
      <c r="AR39" s="273">
        <f t="shared" si="10"/>
        <v>2.529781228756571E-2</v>
      </c>
      <c r="AS39" s="273">
        <f>MIN(AO39:AQ39)</f>
        <v>2.4426114824275778E-2</v>
      </c>
      <c r="AT39" s="393">
        <f t="shared" si="11"/>
        <v>3.0887034164846814E-2</v>
      </c>
      <c r="AU39" s="177"/>
      <c r="AV39" s="258">
        <f t="shared" si="2"/>
        <v>-171507</v>
      </c>
      <c r="AW39" s="258">
        <f t="shared" si="3"/>
        <v>-1759011.6696608565</v>
      </c>
      <c r="BB39" s="391">
        <f t="shared" si="34"/>
        <v>-1.9879767168166917E-3</v>
      </c>
      <c r="BC39" s="391">
        <f t="shared" si="35"/>
        <v>-2.4473767986373865E-3</v>
      </c>
      <c r="BD39" s="391">
        <f t="shared" si="36"/>
        <v>-8.386829217743863E-4</v>
      </c>
      <c r="BE39" s="391" t="e">
        <f>#REF!-AO39</f>
        <v>#REF!</v>
      </c>
      <c r="BF39" s="391" t="e">
        <f>#REF!-AP39</f>
        <v>#REF!</v>
      </c>
      <c r="BG39" s="391" t="e">
        <f>#REF!-AQ39</f>
        <v>#REF!</v>
      </c>
    </row>
    <row r="40" spans="1:59" s="88" customFormat="1" ht="33.75" customHeight="1" collapsed="1">
      <c r="A40" s="392"/>
      <c r="B40" s="290" t="s">
        <v>69</v>
      </c>
      <c r="C40" s="291"/>
      <c r="D40" s="291"/>
      <c r="E40" s="276">
        <v>0</v>
      </c>
      <c r="F40" s="292">
        <v>0</v>
      </c>
      <c r="G40" s="278">
        <v>0</v>
      </c>
      <c r="H40" s="279">
        <f t="shared" ref="H40:H41" si="37">AVERAGE(E40:G40)</f>
        <v>0</v>
      </c>
      <c r="I40" s="368">
        <f t="shared" si="14"/>
        <v>0</v>
      </c>
      <c r="J40" s="369">
        <f t="shared" si="14"/>
        <v>0</v>
      </c>
      <c r="K40" s="368">
        <f t="shared" si="14"/>
        <v>0</v>
      </c>
      <c r="L40" s="370">
        <f t="shared" si="14"/>
        <v>0</v>
      </c>
      <c r="M40" s="278">
        <v>0</v>
      </c>
      <c r="N40" s="371">
        <f t="shared" si="15"/>
        <v>0</v>
      </c>
      <c r="O40" s="278">
        <f t="shared" si="22"/>
        <v>0</v>
      </c>
      <c r="P40" s="372">
        <f t="shared" si="16"/>
        <v>0</v>
      </c>
      <c r="Q40" s="217"/>
      <c r="R40" s="283">
        <f>R$8*AR40</f>
        <v>197213.07061817317</v>
      </c>
      <c r="S40" s="284">
        <f t="shared" si="5"/>
        <v>2.1884782372946525E-3</v>
      </c>
      <c r="T40" s="392"/>
      <c r="U40" s="290" t="s">
        <v>69</v>
      </c>
      <c r="V40" s="291"/>
      <c r="W40" s="291"/>
      <c r="X40" s="279">
        <f>X$8*AQ40</f>
        <v>204962.43895102874</v>
      </c>
      <c r="Y40" s="285">
        <f t="shared" si="5"/>
        <v>2.7195733302279677E-3</v>
      </c>
      <c r="Z40" s="279">
        <v>0</v>
      </c>
      <c r="AA40" s="285">
        <f t="shared" si="19"/>
        <v>0</v>
      </c>
      <c r="AB40" s="279">
        <f t="shared" si="7"/>
        <v>204962.43895102874</v>
      </c>
      <c r="AC40" s="285">
        <f t="shared" si="8"/>
        <v>1.63098275688372E-3</v>
      </c>
      <c r="AD40" s="293" t="s">
        <v>298</v>
      </c>
      <c r="AF40" s="132"/>
      <c r="AG40" s="98" t="s">
        <v>69</v>
      </c>
      <c r="AH40" s="99"/>
      <c r="AI40" s="99"/>
      <c r="AJ40" s="289">
        <v>211303</v>
      </c>
      <c r="AK40" s="289">
        <v>277748</v>
      </c>
      <c r="AL40" s="289">
        <v>361703</v>
      </c>
      <c r="AM40" s="289">
        <f t="shared" si="9"/>
        <v>283584.66666666669</v>
      </c>
      <c r="AN40" s="289">
        <v>74305</v>
      </c>
      <c r="AO40" s="373">
        <f t="shared" si="10"/>
        <v>1.3380924250441092E-3</v>
      </c>
      <c r="AP40" s="373">
        <f t="shared" si="10"/>
        <v>2.8391242583290285E-3</v>
      </c>
      <c r="AQ40" s="394">
        <f t="shared" si="10"/>
        <v>2.7195733302279677E-3</v>
      </c>
      <c r="AR40" s="373">
        <f t="shared" si="10"/>
        <v>2.1884782372946525E-3</v>
      </c>
      <c r="AS40" s="373">
        <f>MIN(AO40:AQ40)</f>
        <v>1.3380924250441092E-3</v>
      </c>
      <c r="AT40" s="394">
        <f t="shared" si="11"/>
        <v>1.6059890065238103E-3</v>
      </c>
      <c r="AU40" s="177"/>
      <c r="AV40" s="258">
        <f t="shared" si="2"/>
        <v>0</v>
      </c>
      <c r="AW40" s="258">
        <f t="shared" si="3"/>
        <v>-14089.929381826834</v>
      </c>
      <c r="BB40" s="391">
        <f t="shared" si="34"/>
        <v>-1.3380924250441092E-3</v>
      </c>
      <c r="BC40" s="391">
        <f t="shared" si="35"/>
        <v>-2.8391242583290285E-3</v>
      </c>
      <c r="BD40" s="391">
        <f t="shared" si="36"/>
        <v>-2.7195733302279677E-3</v>
      </c>
      <c r="BE40" s="391" t="e">
        <f>#REF!-AO40</f>
        <v>#REF!</v>
      </c>
      <c r="BF40" s="391" t="e">
        <f>#REF!-AP40</f>
        <v>#REF!</v>
      </c>
      <c r="BG40" s="391" t="e">
        <f>#REF!-AQ40</f>
        <v>#REF!</v>
      </c>
    </row>
    <row r="41" spans="1:59" s="88" customFormat="1" ht="33.75" hidden="1" customHeight="1" outlineLevel="1">
      <c r="A41" s="392"/>
      <c r="B41" s="290" t="s">
        <v>71</v>
      </c>
      <c r="C41" s="291"/>
      <c r="D41" s="291"/>
      <c r="E41" s="276">
        <v>0</v>
      </c>
      <c r="F41" s="292">
        <v>0</v>
      </c>
      <c r="G41" s="278">
        <v>0</v>
      </c>
      <c r="H41" s="279">
        <f t="shared" si="37"/>
        <v>0</v>
      </c>
      <c r="I41" s="368">
        <f t="shared" si="14"/>
        <v>0</v>
      </c>
      <c r="J41" s="369">
        <f t="shared" si="14"/>
        <v>0</v>
      </c>
      <c r="K41" s="368">
        <f t="shared" si="14"/>
        <v>0</v>
      </c>
      <c r="L41" s="370">
        <f t="shared" si="14"/>
        <v>0</v>
      </c>
      <c r="M41" s="278">
        <v>0</v>
      </c>
      <c r="N41" s="371">
        <f t="shared" si="15"/>
        <v>0</v>
      </c>
      <c r="O41" s="278">
        <f t="shared" si="22"/>
        <v>0</v>
      </c>
      <c r="P41" s="372">
        <f t="shared" si="16"/>
        <v>0</v>
      </c>
      <c r="Q41" s="217"/>
      <c r="R41" s="283">
        <f>R$8*AR41</f>
        <v>0</v>
      </c>
      <c r="S41" s="284">
        <f t="shared" si="5"/>
        <v>0</v>
      </c>
      <c r="T41" s="392"/>
      <c r="U41" s="290" t="s">
        <v>71</v>
      </c>
      <c r="V41" s="291"/>
      <c r="W41" s="291"/>
      <c r="X41" s="279">
        <f>X$8*AS41</f>
        <v>0</v>
      </c>
      <c r="Y41" s="285">
        <f t="shared" si="5"/>
        <v>0</v>
      </c>
      <c r="Z41" s="279">
        <f>Z$8*AO41</f>
        <v>0</v>
      </c>
      <c r="AA41" s="285">
        <f t="shared" si="19"/>
        <v>0</v>
      </c>
      <c r="AB41" s="279">
        <f t="shared" si="7"/>
        <v>0</v>
      </c>
      <c r="AC41" s="285">
        <f t="shared" si="8"/>
        <v>0</v>
      </c>
      <c r="AD41" s="293"/>
      <c r="AF41" s="132"/>
      <c r="AG41" s="98" t="s">
        <v>71</v>
      </c>
      <c r="AH41" s="99"/>
      <c r="AI41" s="99"/>
      <c r="AJ41" s="289">
        <v>0</v>
      </c>
      <c r="AK41" s="289">
        <v>0</v>
      </c>
      <c r="AL41" s="289">
        <v>0</v>
      </c>
      <c r="AM41" s="289">
        <f t="shared" si="9"/>
        <v>0</v>
      </c>
      <c r="AN41" s="289">
        <v>0</v>
      </c>
      <c r="AO41" s="373">
        <f t="shared" si="10"/>
        <v>0</v>
      </c>
      <c r="AP41" s="373">
        <f t="shared" si="10"/>
        <v>0</v>
      </c>
      <c r="AQ41" s="394">
        <f t="shared" si="10"/>
        <v>0</v>
      </c>
      <c r="AR41" s="373">
        <f t="shared" si="10"/>
        <v>0</v>
      </c>
      <c r="AS41" s="373">
        <f t="shared" ref="AS41:AS84" si="38">MIN(AO41:AQ41)</f>
        <v>0</v>
      </c>
      <c r="AT41" s="394">
        <f t="shared" si="11"/>
        <v>0</v>
      </c>
      <c r="AU41" s="177"/>
      <c r="AV41" s="258">
        <f t="shared" si="2"/>
        <v>0</v>
      </c>
      <c r="AW41" s="258">
        <f t="shared" si="3"/>
        <v>0</v>
      </c>
      <c r="BB41" s="391">
        <f t="shared" si="34"/>
        <v>0</v>
      </c>
      <c r="BC41" s="391">
        <f t="shared" si="35"/>
        <v>0</v>
      </c>
      <c r="BD41" s="391">
        <f t="shared" si="36"/>
        <v>0</v>
      </c>
      <c r="BE41" s="391" t="e">
        <f>#REF!-AO41</f>
        <v>#REF!</v>
      </c>
      <c r="BF41" s="391" t="e">
        <f>#REF!-AP41</f>
        <v>#REF!</v>
      </c>
      <c r="BG41" s="391" t="e">
        <f>#REF!-AQ41</f>
        <v>#REF!</v>
      </c>
    </row>
    <row r="42" spans="1:59" s="88" customFormat="1" ht="33.75" customHeight="1" collapsed="1">
      <c r="A42" s="392"/>
      <c r="B42" s="290" t="s">
        <v>73</v>
      </c>
      <c r="C42" s="291"/>
      <c r="D42" s="291"/>
      <c r="E42" s="276">
        <f>SUM(E43:E46)</f>
        <v>6039626</v>
      </c>
      <c r="F42" s="292">
        <f t="shared" ref="F42:H42" si="39">SUM(F43:F46)</f>
        <v>8181375</v>
      </c>
      <c r="G42" s="278">
        <f t="shared" si="39"/>
        <v>8141209</v>
      </c>
      <c r="H42" s="279">
        <f t="shared" si="39"/>
        <v>7454070</v>
      </c>
      <c r="I42" s="368">
        <f t="shared" si="14"/>
        <v>9.4825298532135949E-2</v>
      </c>
      <c r="J42" s="369">
        <f t="shared" si="14"/>
        <v>0.11523437161630749</v>
      </c>
      <c r="K42" s="368">
        <f t="shared" si="14"/>
        <v>0.12296266657173466</v>
      </c>
      <c r="L42" s="371">
        <f t="shared" si="14"/>
        <v>0.11131091780211413</v>
      </c>
      <c r="M42" s="278">
        <f t="shared" ref="M42" si="40">SUM(M43:M46)</f>
        <v>6241630</v>
      </c>
      <c r="N42" s="371">
        <f t="shared" si="15"/>
        <v>0.1455917094485267</v>
      </c>
      <c r="O42" s="278">
        <f t="shared" si="22"/>
        <v>13695700</v>
      </c>
      <c r="P42" s="372">
        <f t="shared" si="16"/>
        <v>0.12469114873960838</v>
      </c>
      <c r="Q42" s="217"/>
      <c r="R42" s="283">
        <f>SUM(R43:R46)</f>
        <v>10560440.217191102</v>
      </c>
      <c r="S42" s="284">
        <f t="shared" si="5"/>
        <v>0.11718946172852823</v>
      </c>
      <c r="T42" s="392"/>
      <c r="U42" s="290" t="s">
        <v>73</v>
      </c>
      <c r="V42" s="291"/>
      <c r="W42" s="291"/>
      <c r="X42" s="279">
        <f>SUM(X43:X46)</f>
        <v>8999713.9624478556</v>
      </c>
      <c r="Y42" s="285">
        <f t="shared" si="5"/>
        <v>0.11941398725159251</v>
      </c>
      <c r="Z42" s="279">
        <f>SUM(Z43:Z46)</f>
        <v>6634798.5299751312</v>
      </c>
      <c r="AA42" s="285">
        <f t="shared" si="19"/>
        <v>0.13189824998360181</v>
      </c>
      <c r="AB42" s="279">
        <f t="shared" si="7"/>
        <v>15634512.492422987</v>
      </c>
      <c r="AC42" s="285">
        <f t="shared" si="8"/>
        <v>0.12441118683954369</v>
      </c>
      <c r="AD42" s="293"/>
      <c r="AF42" s="132"/>
      <c r="AG42" s="98" t="s">
        <v>73</v>
      </c>
      <c r="AH42" s="99"/>
      <c r="AI42" s="99"/>
      <c r="AJ42" s="289">
        <v>599519</v>
      </c>
      <c r="AK42" s="289">
        <v>433729</v>
      </c>
      <c r="AL42" s="289">
        <v>12237548</v>
      </c>
      <c r="AM42" s="289">
        <f t="shared" si="9"/>
        <v>4423598.666666667</v>
      </c>
      <c r="AN42" s="289">
        <v>2177338</v>
      </c>
      <c r="AO42" s="373">
        <f t="shared" si="10"/>
        <v>3.7964999672035859E-3</v>
      </c>
      <c r="AP42" s="373">
        <f t="shared" si="10"/>
        <v>4.4335531684865101E-3</v>
      </c>
      <c r="AQ42" s="394">
        <f t="shared" si="10"/>
        <v>9.2011703436755035E-2</v>
      </c>
      <c r="AR42" s="373">
        <f t="shared" si="10"/>
        <v>3.4137774535972706E-2</v>
      </c>
      <c r="AS42" s="373">
        <f>SUM(AS43:AS46)</f>
        <v>3.7964999672035859E-3</v>
      </c>
      <c r="AT42" s="394">
        <f t="shared" si="11"/>
        <v>4.7059833005673103E-2</v>
      </c>
      <c r="AU42" s="177"/>
      <c r="AV42" s="258">
        <f t="shared" si="2"/>
        <v>-40166</v>
      </c>
      <c r="AW42" s="258">
        <f t="shared" si="3"/>
        <v>9960921.217191102</v>
      </c>
      <c r="BB42" s="391">
        <f t="shared" si="34"/>
        <v>0.12810175001639823</v>
      </c>
      <c r="BC42" s="391">
        <f t="shared" si="35"/>
        <v>0.1274646968151153</v>
      </c>
      <c r="BD42" s="391">
        <f t="shared" si="36"/>
        <v>3.9886546546846771E-2</v>
      </c>
      <c r="BE42" s="391" t="e">
        <f>#REF!-AO42</f>
        <v>#REF!</v>
      </c>
      <c r="BF42" s="391" t="e">
        <f>#REF!-AP42</f>
        <v>#REF!</v>
      </c>
      <c r="BG42" s="391" t="e">
        <f>#REF!-AQ42</f>
        <v>#REF!</v>
      </c>
    </row>
    <row r="43" spans="1:59" s="88" customFormat="1" ht="33.75" hidden="1" customHeight="1" outlineLevel="1">
      <c r="A43" s="392"/>
      <c r="B43" s="374"/>
      <c r="C43" s="291" t="s">
        <v>75</v>
      </c>
      <c r="D43" s="291"/>
      <c r="E43" s="276">
        <v>0</v>
      </c>
      <c r="F43" s="292">
        <v>0</v>
      </c>
      <c r="G43" s="278">
        <v>0</v>
      </c>
      <c r="H43" s="279">
        <f t="shared" ref="H43:H46" si="41">AVERAGE(E43:G43)</f>
        <v>0</v>
      </c>
      <c r="I43" s="368">
        <f t="shared" si="14"/>
        <v>0</v>
      </c>
      <c r="J43" s="369">
        <f t="shared" si="14"/>
        <v>0</v>
      </c>
      <c r="K43" s="368">
        <f t="shared" si="14"/>
        <v>0</v>
      </c>
      <c r="L43" s="371">
        <f t="shared" si="14"/>
        <v>0</v>
      </c>
      <c r="M43" s="278">
        <v>0</v>
      </c>
      <c r="N43" s="371">
        <f t="shared" si="15"/>
        <v>0</v>
      </c>
      <c r="O43" s="278">
        <f t="shared" si="22"/>
        <v>0</v>
      </c>
      <c r="P43" s="372">
        <f t="shared" si="16"/>
        <v>0</v>
      </c>
      <c r="Q43" s="217"/>
      <c r="R43" s="283">
        <f>R$8*AR43</f>
        <v>0</v>
      </c>
      <c r="S43" s="284">
        <f t="shared" si="5"/>
        <v>0</v>
      </c>
      <c r="T43" s="392"/>
      <c r="U43" s="374"/>
      <c r="V43" s="291" t="s">
        <v>75</v>
      </c>
      <c r="W43" s="291"/>
      <c r="X43" s="279">
        <f>X$8*AS43</f>
        <v>0</v>
      </c>
      <c r="Y43" s="285">
        <f t="shared" si="5"/>
        <v>0</v>
      </c>
      <c r="Z43" s="279">
        <v>0</v>
      </c>
      <c r="AA43" s="285">
        <f t="shared" si="19"/>
        <v>0</v>
      </c>
      <c r="AB43" s="279">
        <f t="shared" si="7"/>
        <v>0</v>
      </c>
      <c r="AC43" s="285">
        <f t="shared" si="8"/>
        <v>0</v>
      </c>
      <c r="AD43" s="293"/>
      <c r="AF43" s="132"/>
      <c r="AG43" s="125"/>
      <c r="AH43" s="99" t="s">
        <v>75</v>
      </c>
      <c r="AI43" s="99"/>
      <c r="AJ43" s="289">
        <v>0</v>
      </c>
      <c r="AK43" s="289">
        <v>0</v>
      </c>
      <c r="AL43" s="289">
        <v>0</v>
      </c>
      <c r="AM43" s="289">
        <f t="shared" si="9"/>
        <v>0</v>
      </c>
      <c r="AN43" s="289">
        <v>0</v>
      </c>
      <c r="AO43" s="373">
        <f t="shared" si="10"/>
        <v>0</v>
      </c>
      <c r="AP43" s="373">
        <f t="shared" si="10"/>
        <v>0</v>
      </c>
      <c r="AQ43" s="394">
        <f t="shared" si="10"/>
        <v>0</v>
      </c>
      <c r="AR43" s="373">
        <f t="shared" si="10"/>
        <v>0</v>
      </c>
      <c r="AS43" s="373">
        <f t="shared" si="38"/>
        <v>0</v>
      </c>
      <c r="AT43" s="394">
        <f t="shared" si="11"/>
        <v>0</v>
      </c>
      <c r="AU43" s="177"/>
      <c r="AV43" s="258">
        <f t="shared" si="2"/>
        <v>0</v>
      </c>
      <c r="AW43" s="258">
        <f t="shared" si="3"/>
        <v>0</v>
      </c>
      <c r="BB43" s="391">
        <f t="shared" si="34"/>
        <v>0</v>
      </c>
      <c r="BC43" s="391">
        <f t="shared" si="35"/>
        <v>0</v>
      </c>
      <c r="BD43" s="391">
        <f t="shared" si="36"/>
        <v>0</v>
      </c>
      <c r="BE43" s="391" t="e">
        <f>#REF!-AO43</f>
        <v>#REF!</v>
      </c>
      <c r="BF43" s="391" t="e">
        <f>#REF!-AP43</f>
        <v>#REF!</v>
      </c>
      <c r="BG43" s="391" t="e">
        <f>#REF!-AQ43</f>
        <v>#REF!</v>
      </c>
    </row>
    <row r="44" spans="1:59" s="88" customFormat="1" ht="33.75" customHeight="1">
      <c r="A44" s="392"/>
      <c r="B44" s="374"/>
      <c r="C44" s="291" t="s">
        <v>77</v>
      </c>
      <c r="D44" s="291"/>
      <c r="E44" s="276">
        <v>6039626</v>
      </c>
      <c r="F44" s="292">
        <v>8181375</v>
      </c>
      <c r="G44" s="278">
        <v>8141209</v>
      </c>
      <c r="H44" s="279">
        <f t="shared" si="41"/>
        <v>7454070</v>
      </c>
      <c r="I44" s="368">
        <f t="shared" si="14"/>
        <v>9.4825298532135949E-2</v>
      </c>
      <c r="J44" s="369">
        <f t="shared" si="14"/>
        <v>0.11523437161630749</v>
      </c>
      <c r="K44" s="368">
        <f t="shared" si="14"/>
        <v>0.12296266657173466</v>
      </c>
      <c r="L44" s="371">
        <f t="shared" si="14"/>
        <v>0.11131091780211413</v>
      </c>
      <c r="M44" s="278">
        <v>6127966</v>
      </c>
      <c r="N44" s="371">
        <f t="shared" si="15"/>
        <v>0.14294039303554526</v>
      </c>
      <c r="O44" s="278">
        <f t="shared" si="22"/>
        <v>13582036</v>
      </c>
      <c r="P44" s="372">
        <f t="shared" si="16"/>
        <v>0.12365630607144691</v>
      </c>
      <c r="Q44" s="217"/>
      <c r="R44" s="283">
        <f>R$8*10.5%</f>
        <v>9461996.0399999991</v>
      </c>
      <c r="S44" s="284">
        <f t="shared" si="5"/>
        <v>0.105</v>
      </c>
      <c r="T44" s="392"/>
      <c r="U44" s="374"/>
      <c r="V44" s="291" t="s">
        <v>77</v>
      </c>
      <c r="W44" s="291"/>
      <c r="X44" s="279">
        <f>X$8*10.5%</f>
        <v>7913394.2999999998</v>
      </c>
      <c r="Y44" s="285">
        <f t="shared" si="5"/>
        <v>0.105</v>
      </c>
      <c r="Z44" s="279">
        <f>Z$8*13%</f>
        <v>6539312</v>
      </c>
      <c r="AA44" s="285">
        <f t="shared" si="19"/>
        <v>0.13</v>
      </c>
      <c r="AB44" s="279">
        <f t="shared" si="7"/>
        <v>14452706.300000001</v>
      </c>
      <c r="AC44" s="285">
        <f t="shared" si="8"/>
        <v>0.11500699780039575</v>
      </c>
      <c r="AD44" s="293" t="s">
        <v>299</v>
      </c>
      <c r="AF44" s="132"/>
      <c r="AG44" s="125"/>
      <c r="AH44" s="99" t="s">
        <v>77</v>
      </c>
      <c r="AI44" s="99"/>
      <c r="AJ44" s="289">
        <v>0</v>
      </c>
      <c r="AK44" s="289">
        <v>0</v>
      </c>
      <c r="AL44" s="289">
        <v>11558460</v>
      </c>
      <c r="AM44" s="289">
        <f t="shared" si="9"/>
        <v>3852820</v>
      </c>
      <c r="AN44" s="289">
        <v>0</v>
      </c>
      <c r="AO44" s="373">
        <f t="shared" si="10"/>
        <v>0</v>
      </c>
      <c r="AP44" s="373">
        <f t="shared" si="10"/>
        <v>0</v>
      </c>
      <c r="AQ44" s="394">
        <f t="shared" si="10"/>
        <v>8.6905775054414131E-2</v>
      </c>
      <c r="AR44" s="373">
        <f t="shared" si="10"/>
        <v>2.9732964131394909E-2</v>
      </c>
      <c r="AS44" s="373">
        <f t="shared" si="38"/>
        <v>0</v>
      </c>
      <c r="AT44" s="394">
        <f t="shared" si="11"/>
        <v>0</v>
      </c>
      <c r="AU44" s="177"/>
      <c r="AV44" s="258">
        <f t="shared" si="2"/>
        <v>-40166</v>
      </c>
      <c r="AW44" s="258">
        <f t="shared" si="3"/>
        <v>9461996.0399999991</v>
      </c>
      <c r="BB44" s="391">
        <f t="shared" si="34"/>
        <v>0.13</v>
      </c>
      <c r="BC44" s="391">
        <f t="shared" si="35"/>
        <v>0.13</v>
      </c>
      <c r="BD44" s="391">
        <f t="shared" si="36"/>
        <v>4.3094224945585874E-2</v>
      </c>
      <c r="BE44" s="391" t="e">
        <f>#REF!-AO44</f>
        <v>#REF!</v>
      </c>
      <c r="BF44" s="391" t="e">
        <f>#REF!-AP44</f>
        <v>#REF!</v>
      </c>
      <c r="BG44" s="391" t="e">
        <f>#REF!-AQ44</f>
        <v>#REF!</v>
      </c>
    </row>
    <row r="45" spans="1:59" s="88" customFormat="1" ht="33.75" customHeight="1">
      <c r="A45" s="392"/>
      <c r="B45" s="374"/>
      <c r="C45" s="291" t="s">
        <v>79</v>
      </c>
      <c r="D45" s="291"/>
      <c r="E45" s="276">
        <v>0</v>
      </c>
      <c r="F45" s="292">
        <v>0</v>
      </c>
      <c r="G45" s="278">
        <v>0</v>
      </c>
      <c r="H45" s="279">
        <f t="shared" si="41"/>
        <v>0</v>
      </c>
      <c r="I45" s="368">
        <f t="shared" si="14"/>
        <v>0</v>
      </c>
      <c r="J45" s="369">
        <f t="shared" si="14"/>
        <v>0</v>
      </c>
      <c r="K45" s="368">
        <f t="shared" si="14"/>
        <v>0</v>
      </c>
      <c r="L45" s="370">
        <f t="shared" si="14"/>
        <v>0</v>
      </c>
      <c r="M45" s="278">
        <v>0</v>
      </c>
      <c r="N45" s="371">
        <f t="shared" si="15"/>
        <v>0</v>
      </c>
      <c r="O45" s="278">
        <f t="shared" si="22"/>
        <v>0</v>
      </c>
      <c r="P45" s="372">
        <f t="shared" si="16"/>
        <v>0</v>
      </c>
      <c r="Q45" s="217"/>
      <c r="R45" s="283">
        <f>(10000+18371+3000+1262+7424+402+9000+5000+3000+1000)*12</f>
        <v>701508</v>
      </c>
      <c r="S45" s="284">
        <f t="shared" si="5"/>
        <v>7.7846513239504594E-3</v>
      </c>
      <c r="T45" s="392"/>
      <c r="U45" s="374"/>
      <c r="V45" s="291" t="s">
        <v>79</v>
      </c>
      <c r="W45" s="291"/>
      <c r="X45" s="279">
        <v>701508</v>
      </c>
      <c r="Y45" s="285">
        <f t="shared" si="5"/>
        <v>9.3080588692515936E-3</v>
      </c>
      <c r="Z45" s="279">
        <v>0</v>
      </c>
      <c r="AA45" s="285">
        <f t="shared" si="19"/>
        <v>0</v>
      </c>
      <c r="AB45" s="279">
        <f t="shared" si="7"/>
        <v>701508</v>
      </c>
      <c r="AC45" s="285">
        <f t="shared" si="8"/>
        <v>5.5822298840294028E-3</v>
      </c>
      <c r="AD45" s="293" t="s">
        <v>300</v>
      </c>
      <c r="AF45" s="132"/>
      <c r="AG45" s="125"/>
      <c r="AH45" s="99" t="s">
        <v>79</v>
      </c>
      <c r="AI45" s="99"/>
      <c r="AJ45" s="289">
        <v>0</v>
      </c>
      <c r="AK45" s="289">
        <v>0</v>
      </c>
      <c r="AL45" s="289">
        <v>0</v>
      </c>
      <c r="AM45" s="289">
        <f t="shared" si="9"/>
        <v>0</v>
      </c>
      <c r="AN45" s="289">
        <v>0</v>
      </c>
      <c r="AO45" s="373">
        <f t="shared" si="10"/>
        <v>0</v>
      </c>
      <c r="AP45" s="373">
        <f t="shared" si="10"/>
        <v>0</v>
      </c>
      <c r="AQ45" s="394">
        <f t="shared" si="10"/>
        <v>0</v>
      </c>
      <c r="AR45" s="373">
        <f t="shared" si="10"/>
        <v>0</v>
      </c>
      <c r="AS45" s="373">
        <f t="shared" si="38"/>
        <v>0</v>
      </c>
      <c r="AT45" s="394">
        <f t="shared" si="11"/>
        <v>0</v>
      </c>
      <c r="AU45" s="177"/>
      <c r="AV45" s="258">
        <f t="shared" si="2"/>
        <v>0</v>
      </c>
      <c r="AW45" s="258">
        <f t="shared" si="3"/>
        <v>701508</v>
      </c>
      <c r="BB45" s="391">
        <f t="shared" si="34"/>
        <v>0</v>
      </c>
      <c r="BC45" s="391">
        <f t="shared" si="35"/>
        <v>0</v>
      </c>
      <c r="BD45" s="391">
        <f t="shared" si="36"/>
        <v>0</v>
      </c>
      <c r="BE45" s="391" t="e">
        <f>#REF!-AO45</f>
        <v>#REF!</v>
      </c>
      <c r="BF45" s="391" t="e">
        <f>#REF!-AP45</f>
        <v>#REF!</v>
      </c>
      <c r="BG45" s="391" t="e">
        <f>#REF!-AQ45</f>
        <v>#REF!</v>
      </c>
    </row>
    <row r="46" spans="1:59" s="88" customFormat="1" ht="33.75" customHeight="1">
      <c r="A46" s="392"/>
      <c r="B46" s="374"/>
      <c r="C46" s="291" t="s">
        <v>81</v>
      </c>
      <c r="D46" s="291"/>
      <c r="E46" s="276">
        <v>0</v>
      </c>
      <c r="F46" s="292">
        <v>0</v>
      </c>
      <c r="G46" s="278">
        <v>0</v>
      </c>
      <c r="H46" s="279">
        <f t="shared" si="41"/>
        <v>0</v>
      </c>
      <c r="I46" s="368">
        <f t="shared" si="14"/>
        <v>0</v>
      </c>
      <c r="J46" s="369">
        <f t="shared" si="14"/>
        <v>0</v>
      </c>
      <c r="K46" s="368">
        <f t="shared" si="14"/>
        <v>0</v>
      </c>
      <c r="L46" s="370">
        <f t="shared" si="14"/>
        <v>0</v>
      </c>
      <c r="M46" s="278">
        <v>113664</v>
      </c>
      <c r="N46" s="371">
        <f t="shared" si="15"/>
        <v>2.6513164129814389E-3</v>
      </c>
      <c r="O46" s="278">
        <f t="shared" si="22"/>
        <v>113664</v>
      </c>
      <c r="P46" s="372">
        <f t="shared" si="16"/>
        <v>1.0348426681614554E-3</v>
      </c>
      <c r="Q46" s="217"/>
      <c r="R46" s="283">
        <f>R$8*AR46</f>
        <v>396936.17719110352</v>
      </c>
      <c r="S46" s="284">
        <f t="shared" si="5"/>
        <v>4.4048104045777926E-3</v>
      </c>
      <c r="T46" s="392"/>
      <c r="U46" s="374"/>
      <c r="V46" s="291" t="s">
        <v>81</v>
      </c>
      <c r="W46" s="291"/>
      <c r="X46" s="279">
        <f>X$8*AQ46</f>
        <v>384811.66244785418</v>
      </c>
      <c r="Y46" s="285">
        <f t="shared" si="5"/>
        <v>5.1059283823408986E-3</v>
      </c>
      <c r="Z46" s="279">
        <f>Z$8*AO46*50%</f>
        <v>95486.529975130834</v>
      </c>
      <c r="AA46" s="285">
        <f t="shared" si="19"/>
        <v>1.898249983601793E-3</v>
      </c>
      <c r="AB46" s="279">
        <f t="shared" si="7"/>
        <v>480298.19242298498</v>
      </c>
      <c r="AC46" s="285">
        <f t="shared" si="8"/>
        <v>3.8219591551185319E-3</v>
      </c>
      <c r="AD46" s="293" t="s">
        <v>301</v>
      </c>
      <c r="AF46" s="132"/>
      <c r="AG46" s="125"/>
      <c r="AH46" s="99" t="s">
        <v>81</v>
      </c>
      <c r="AI46" s="99"/>
      <c r="AJ46" s="289">
        <v>599519</v>
      </c>
      <c r="AK46" s="289">
        <v>433729</v>
      </c>
      <c r="AL46" s="289">
        <v>679088</v>
      </c>
      <c r="AM46" s="289">
        <f t="shared" si="9"/>
        <v>570778.66666666663</v>
      </c>
      <c r="AN46" s="289">
        <v>0</v>
      </c>
      <c r="AO46" s="373">
        <f t="shared" si="10"/>
        <v>3.7964999672035859E-3</v>
      </c>
      <c r="AP46" s="373">
        <f t="shared" si="10"/>
        <v>4.4335531684865101E-3</v>
      </c>
      <c r="AQ46" s="394">
        <f t="shared" si="10"/>
        <v>5.1059283823408986E-3</v>
      </c>
      <c r="AR46" s="373">
        <f t="shared" si="10"/>
        <v>4.4048104045777926E-3</v>
      </c>
      <c r="AS46" s="373">
        <f t="shared" si="38"/>
        <v>3.7964999672035859E-3</v>
      </c>
      <c r="AT46" s="394">
        <f t="shared" si="11"/>
        <v>0</v>
      </c>
      <c r="AU46" s="177"/>
      <c r="AV46" s="258">
        <f t="shared" si="2"/>
        <v>0</v>
      </c>
      <c r="AW46" s="258">
        <f t="shared" si="3"/>
        <v>-202582.82280889648</v>
      </c>
      <c r="BB46" s="391">
        <f t="shared" si="34"/>
        <v>-1.898249983601793E-3</v>
      </c>
      <c r="BC46" s="391">
        <f t="shared" si="35"/>
        <v>-2.5353031848847169E-3</v>
      </c>
      <c r="BD46" s="391">
        <f t="shared" si="36"/>
        <v>-3.2076783987391054E-3</v>
      </c>
      <c r="BE46" s="391" t="e">
        <f>#REF!-AO46</f>
        <v>#REF!</v>
      </c>
      <c r="BF46" s="391" t="e">
        <f>#REF!-AP46</f>
        <v>#REF!</v>
      </c>
      <c r="BG46" s="391" t="e">
        <f>#REF!-AQ46</f>
        <v>#REF!</v>
      </c>
    </row>
    <row r="47" spans="1:59" s="88" customFormat="1" ht="33.75" customHeight="1" collapsed="1">
      <c r="A47" s="392"/>
      <c r="B47" s="290" t="s">
        <v>83</v>
      </c>
      <c r="C47" s="291"/>
      <c r="D47" s="291"/>
      <c r="E47" s="276">
        <f>SUM(E48:E50)</f>
        <v>0</v>
      </c>
      <c r="F47" s="292">
        <f t="shared" ref="F47:H47" si="42">SUM(F48:F50)</f>
        <v>0</v>
      </c>
      <c r="G47" s="278">
        <f t="shared" si="42"/>
        <v>0</v>
      </c>
      <c r="H47" s="279">
        <f t="shared" si="42"/>
        <v>0</v>
      </c>
      <c r="I47" s="368">
        <f t="shared" si="14"/>
        <v>0</v>
      </c>
      <c r="J47" s="369">
        <f t="shared" si="14"/>
        <v>0</v>
      </c>
      <c r="K47" s="368">
        <f t="shared" si="14"/>
        <v>0</v>
      </c>
      <c r="L47" s="370">
        <f t="shared" si="14"/>
        <v>0</v>
      </c>
      <c r="M47" s="278">
        <f>SUM(M48:M50)</f>
        <v>0</v>
      </c>
      <c r="N47" s="371">
        <f t="shared" si="15"/>
        <v>0</v>
      </c>
      <c r="O47" s="278">
        <f t="shared" si="22"/>
        <v>0</v>
      </c>
      <c r="P47" s="372">
        <f t="shared" si="16"/>
        <v>0</v>
      </c>
      <c r="Q47" s="217"/>
      <c r="R47" s="283">
        <f>SUM(R48:R50)</f>
        <v>16712</v>
      </c>
      <c r="S47" s="284">
        <f t="shared" si="5"/>
        <v>1.854534701327142E-4</v>
      </c>
      <c r="T47" s="392"/>
      <c r="U47" s="290" t="s">
        <v>83</v>
      </c>
      <c r="V47" s="291"/>
      <c r="W47" s="291"/>
      <c r="X47" s="279">
        <f>SUM(X48:X50)</f>
        <v>16712</v>
      </c>
      <c r="Y47" s="285">
        <f t="shared" si="5"/>
        <v>2.21745553611552E-4</v>
      </c>
      <c r="Z47" s="279">
        <f>SUM(Z48:Z50)</f>
        <v>16712</v>
      </c>
      <c r="AA47" s="285">
        <f t="shared" si="19"/>
        <v>3.3223066891440567E-4</v>
      </c>
      <c r="AB47" s="279">
        <f t="shared" si="7"/>
        <v>33424</v>
      </c>
      <c r="AC47" s="285">
        <f t="shared" si="8"/>
        <v>2.6597052584403707E-4</v>
      </c>
      <c r="AD47" s="293"/>
      <c r="AF47" s="132"/>
      <c r="AG47" s="98" t="s">
        <v>83</v>
      </c>
      <c r="AH47" s="99"/>
      <c r="AI47" s="99"/>
      <c r="AJ47" s="289">
        <v>7718</v>
      </c>
      <c r="AK47" s="289">
        <v>38210</v>
      </c>
      <c r="AL47" s="289">
        <v>4210</v>
      </c>
      <c r="AM47" s="289">
        <f t="shared" si="9"/>
        <v>16712.666666666668</v>
      </c>
      <c r="AN47" s="289">
        <v>67962</v>
      </c>
      <c r="AO47" s="373">
        <f t="shared" si="10"/>
        <v>4.8874825896889466E-5</v>
      </c>
      <c r="AP47" s="373">
        <f t="shared" si="10"/>
        <v>3.9058044670259437E-4</v>
      </c>
      <c r="AQ47" s="394">
        <f t="shared" si="10"/>
        <v>3.1654157472455979E-5</v>
      </c>
      <c r="AR47" s="373">
        <f t="shared" si="10"/>
        <v>1.289749115037711E-4</v>
      </c>
      <c r="AS47" s="373">
        <f>SUM(AS48:AS50)</f>
        <v>2.6660147321314414E-5</v>
      </c>
      <c r="AT47" s="394">
        <f t="shared" si="11"/>
        <v>1.4688947562259767E-3</v>
      </c>
      <c r="AU47" s="177"/>
      <c r="AV47" s="258">
        <f t="shared" si="2"/>
        <v>0</v>
      </c>
      <c r="AW47" s="258">
        <f t="shared" si="3"/>
        <v>8994</v>
      </c>
      <c r="BB47" s="391">
        <f t="shared" si="34"/>
        <v>2.833558430175162E-4</v>
      </c>
      <c r="BC47" s="391">
        <f t="shared" si="35"/>
        <v>-5.8349777788188693E-5</v>
      </c>
      <c r="BD47" s="391">
        <f t="shared" si="36"/>
        <v>3.0057651144194971E-4</v>
      </c>
      <c r="BE47" s="391" t="e">
        <f>#REF!-AO47</f>
        <v>#REF!</v>
      </c>
      <c r="BF47" s="391" t="e">
        <f>#REF!-AP47</f>
        <v>#REF!</v>
      </c>
      <c r="BG47" s="391" t="e">
        <f>#REF!-AQ47</f>
        <v>#REF!</v>
      </c>
    </row>
    <row r="48" spans="1:59" s="88" customFormat="1" ht="33.75" hidden="1" customHeight="1" outlineLevel="1">
      <c r="A48" s="392"/>
      <c r="B48" s="374"/>
      <c r="C48" s="291" t="s">
        <v>85</v>
      </c>
      <c r="D48" s="291"/>
      <c r="E48" s="276">
        <v>0</v>
      </c>
      <c r="F48" s="292">
        <v>0</v>
      </c>
      <c r="G48" s="278">
        <v>0</v>
      </c>
      <c r="H48" s="279">
        <f>AVERAGE(E48:G48)</f>
        <v>0</v>
      </c>
      <c r="I48" s="368">
        <f t="shared" si="14"/>
        <v>0</v>
      </c>
      <c r="J48" s="369">
        <f t="shared" si="14"/>
        <v>0</v>
      </c>
      <c r="K48" s="368">
        <f t="shared" si="14"/>
        <v>0</v>
      </c>
      <c r="L48" s="370">
        <f t="shared" si="14"/>
        <v>0</v>
      </c>
      <c r="M48" s="278">
        <v>0</v>
      </c>
      <c r="N48" s="371">
        <f t="shared" si="15"/>
        <v>0</v>
      </c>
      <c r="O48" s="278">
        <f t="shared" si="22"/>
        <v>0</v>
      </c>
      <c r="P48" s="372">
        <f t="shared" si="16"/>
        <v>0</v>
      </c>
      <c r="Q48" s="217"/>
      <c r="R48" s="283">
        <v>1169</v>
      </c>
      <c r="S48" s="284">
        <f t="shared" si="5"/>
        <v>1.2972421408876429E-5</v>
      </c>
      <c r="T48" s="392"/>
      <c r="U48" s="374"/>
      <c r="V48" s="291" t="s">
        <v>85</v>
      </c>
      <c r="W48" s="291"/>
      <c r="X48" s="279">
        <v>1169</v>
      </c>
      <c r="Y48" s="285">
        <f t="shared" si="5"/>
        <v>1.5511043093101022E-5</v>
      </c>
      <c r="Z48" s="279">
        <v>1169</v>
      </c>
      <c r="AA48" s="285">
        <f t="shared" si="19"/>
        <v>2.3239447819587137E-5</v>
      </c>
      <c r="AB48" s="279">
        <f t="shared" si="7"/>
        <v>2338</v>
      </c>
      <c r="AC48" s="285">
        <f t="shared" si="8"/>
        <v>1.8604568257041605E-5</v>
      </c>
      <c r="AD48" s="293"/>
      <c r="AF48" s="132"/>
      <c r="AG48" s="125"/>
      <c r="AH48" s="99" t="s">
        <v>85</v>
      </c>
      <c r="AI48" s="99"/>
      <c r="AJ48" s="289">
        <v>3508</v>
      </c>
      <c r="AK48" s="289">
        <v>0</v>
      </c>
      <c r="AL48" s="289">
        <v>0</v>
      </c>
      <c r="AM48" s="289">
        <f t="shared" si="9"/>
        <v>1169.3333333333333</v>
      </c>
      <c r="AN48" s="289">
        <v>0</v>
      </c>
      <c r="AO48" s="373">
        <f t="shared" si="10"/>
        <v>2.2214678575575052E-5</v>
      </c>
      <c r="AP48" s="373">
        <f t="shared" si="10"/>
        <v>0</v>
      </c>
      <c r="AQ48" s="394">
        <f t="shared" si="10"/>
        <v>0</v>
      </c>
      <c r="AR48" s="373">
        <f t="shared" si="10"/>
        <v>9.0239736239026085E-6</v>
      </c>
      <c r="AS48" s="373">
        <f t="shared" si="38"/>
        <v>0</v>
      </c>
      <c r="AT48" s="394">
        <f t="shared" si="11"/>
        <v>0</v>
      </c>
      <c r="AU48" s="177"/>
      <c r="AV48" s="258">
        <f t="shared" si="2"/>
        <v>0</v>
      </c>
      <c r="AW48" s="258">
        <f t="shared" si="3"/>
        <v>-2339</v>
      </c>
      <c r="BB48" s="391">
        <f t="shared" si="34"/>
        <v>1.0247692440120852E-6</v>
      </c>
      <c r="BC48" s="391">
        <f t="shared" si="35"/>
        <v>2.3239447819587137E-5</v>
      </c>
      <c r="BD48" s="391">
        <f t="shared" si="36"/>
        <v>2.3239447819587137E-5</v>
      </c>
      <c r="BE48" s="391" t="e">
        <f>#REF!-AO48</f>
        <v>#REF!</v>
      </c>
      <c r="BF48" s="391" t="e">
        <f>#REF!-AP48</f>
        <v>#REF!</v>
      </c>
      <c r="BG48" s="391" t="e">
        <f>#REF!-AQ48</f>
        <v>#REF!</v>
      </c>
    </row>
    <row r="49" spans="1:59" s="88" customFormat="1" ht="33.75" hidden="1" customHeight="1" outlineLevel="1">
      <c r="A49" s="392"/>
      <c r="B49" s="374"/>
      <c r="C49" s="291" t="s">
        <v>87</v>
      </c>
      <c r="D49" s="291"/>
      <c r="E49" s="276">
        <v>0</v>
      </c>
      <c r="F49" s="292">
        <v>0</v>
      </c>
      <c r="G49" s="278">
        <v>0</v>
      </c>
      <c r="H49" s="279">
        <f t="shared" ref="H49:H50" si="43">AVERAGE(E49:G49)</f>
        <v>0</v>
      </c>
      <c r="I49" s="368">
        <f t="shared" si="14"/>
        <v>0</v>
      </c>
      <c r="J49" s="369">
        <f t="shared" si="14"/>
        <v>0</v>
      </c>
      <c r="K49" s="368">
        <f t="shared" si="14"/>
        <v>0</v>
      </c>
      <c r="L49" s="370">
        <f t="shared" si="14"/>
        <v>0</v>
      </c>
      <c r="M49" s="278">
        <v>0</v>
      </c>
      <c r="N49" s="371">
        <f t="shared" si="15"/>
        <v>0</v>
      </c>
      <c r="O49" s="278">
        <f t="shared" si="22"/>
        <v>0</v>
      </c>
      <c r="P49" s="372">
        <f t="shared" si="16"/>
        <v>0</v>
      </c>
      <c r="Q49" s="217"/>
      <c r="R49" s="283">
        <v>11333</v>
      </c>
      <c r="S49" s="284">
        <f t="shared" si="5"/>
        <v>1.2576257641299965E-4</v>
      </c>
      <c r="T49" s="392"/>
      <c r="U49" s="374"/>
      <c r="V49" s="291" t="s">
        <v>87</v>
      </c>
      <c r="W49" s="291"/>
      <c r="X49" s="279">
        <v>11333</v>
      </c>
      <c r="Y49" s="285">
        <f t="shared" si="5"/>
        <v>1.5037352555527278E-4</v>
      </c>
      <c r="Z49" s="279">
        <v>11333</v>
      </c>
      <c r="AA49" s="285">
        <f t="shared" si="19"/>
        <v>2.2529740131683578E-4</v>
      </c>
      <c r="AB49" s="279">
        <f t="shared" si="7"/>
        <v>22666</v>
      </c>
      <c r="AC49" s="285">
        <f t="shared" si="8"/>
        <v>1.8036404795299617E-4</v>
      </c>
      <c r="AD49" s="293"/>
      <c r="AF49" s="132"/>
      <c r="AG49" s="125"/>
      <c r="AH49" s="99" t="s">
        <v>87</v>
      </c>
      <c r="AI49" s="99"/>
      <c r="AJ49" s="289">
        <v>0</v>
      </c>
      <c r="AK49" s="289">
        <v>34000</v>
      </c>
      <c r="AL49" s="289">
        <v>0</v>
      </c>
      <c r="AM49" s="289">
        <f t="shared" si="9"/>
        <v>11333.333333333334</v>
      </c>
      <c r="AN49" s="289">
        <v>0</v>
      </c>
      <c r="AO49" s="373">
        <f t="shared" si="10"/>
        <v>0</v>
      </c>
      <c r="AP49" s="373">
        <f t="shared" si="10"/>
        <v>3.475460661577652E-4</v>
      </c>
      <c r="AQ49" s="394">
        <f t="shared" si="10"/>
        <v>0</v>
      </c>
      <c r="AR49" s="373">
        <f t="shared" si="10"/>
        <v>8.7461545955726545E-5</v>
      </c>
      <c r="AS49" s="373">
        <f t="shared" si="38"/>
        <v>0</v>
      </c>
      <c r="AT49" s="394">
        <f t="shared" si="11"/>
        <v>0</v>
      </c>
      <c r="AU49" s="177"/>
      <c r="AV49" s="258">
        <f t="shared" si="2"/>
        <v>0</v>
      </c>
      <c r="AW49" s="258">
        <f t="shared" si="3"/>
        <v>11333</v>
      </c>
      <c r="BB49" s="391">
        <f t="shared" si="34"/>
        <v>2.2529740131683578E-4</v>
      </c>
      <c r="BC49" s="391">
        <f t="shared" si="35"/>
        <v>-1.2224866484092942E-4</v>
      </c>
      <c r="BD49" s="391">
        <f t="shared" si="36"/>
        <v>2.2529740131683578E-4</v>
      </c>
      <c r="BE49" s="391" t="e">
        <f>#REF!-AO49</f>
        <v>#REF!</v>
      </c>
      <c r="BF49" s="391" t="e">
        <f>#REF!-AP49</f>
        <v>#REF!</v>
      </c>
      <c r="BG49" s="391" t="e">
        <f>#REF!-AQ49</f>
        <v>#REF!</v>
      </c>
    </row>
    <row r="50" spans="1:59" s="88" customFormat="1" ht="33.75" hidden="1" customHeight="1" outlineLevel="1">
      <c r="A50" s="392"/>
      <c r="B50" s="374"/>
      <c r="C50" s="291" t="s">
        <v>89</v>
      </c>
      <c r="D50" s="291"/>
      <c r="E50" s="276">
        <v>0</v>
      </c>
      <c r="F50" s="292">
        <v>0</v>
      </c>
      <c r="G50" s="278">
        <v>0</v>
      </c>
      <c r="H50" s="279">
        <f t="shared" si="43"/>
        <v>0</v>
      </c>
      <c r="I50" s="368">
        <f t="shared" ref="I50:L81" si="44">E50/E$7</f>
        <v>0</v>
      </c>
      <c r="J50" s="369">
        <f t="shared" si="44"/>
        <v>0</v>
      </c>
      <c r="K50" s="368">
        <f t="shared" si="44"/>
        <v>0</v>
      </c>
      <c r="L50" s="370">
        <f t="shared" si="44"/>
        <v>0</v>
      </c>
      <c r="M50" s="278">
        <v>0</v>
      </c>
      <c r="N50" s="371">
        <f t="shared" si="15"/>
        <v>0</v>
      </c>
      <c r="O50" s="278">
        <f t="shared" si="22"/>
        <v>0</v>
      </c>
      <c r="P50" s="372">
        <f t="shared" si="16"/>
        <v>0</v>
      </c>
      <c r="Q50" s="217"/>
      <c r="R50" s="283">
        <v>4210</v>
      </c>
      <c r="S50" s="284">
        <f t="shared" si="5"/>
        <v>4.6718472310838127E-5</v>
      </c>
      <c r="T50" s="392"/>
      <c r="U50" s="374"/>
      <c r="V50" s="291" t="s">
        <v>89</v>
      </c>
      <c r="W50" s="291"/>
      <c r="X50" s="279">
        <v>4210</v>
      </c>
      <c r="Y50" s="285">
        <f t="shared" si="5"/>
        <v>5.5860984963178189E-5</v>
      </c>
      <c r="Z50" s="279">
        <v>4210</v>
      </c>
      <c r="AA50" s="285">
        <f t="shared" si="19"/>
        <v>8.3693819777982761E-5</v>
      </c>
      <c r="AB50" s="279">
        <f t="shared" si="7"/>
        <v>8420</v>
      </c>
      <c r="AC50" s="285">
        <f t="shared" si="8"/>
        <v>6.7001909633999286E-5</v>
      </c>
      <c r="AD50" s="293"/>
      <c r="AF50" s="132"/>
      <c r="AG50" s="125"/>
      <c r="AH50" s="99" t="s">
        <v>89</v>
      </c>
      <c r="AI50" s="99"/>
      <c r="AJ50" s="289">
        <v>4210</v>
      </c>
      <c r="AK50" s="289">
        <v>4210</v>
      </c>
      <c r="AL50" s="289">
        <v>4210</v>
      </c>
      <c r="AM50" s="289">
        <f t="shared" si="9"/>
        <v>4210</v>
      </c>
      <c r="AN50" s="289">
        <v>4210</v>
      </c>
      <c r="AO50" s="373">
        <f t="shared" si="10"/>
        <v>2.6660147321314414E-5</v>
      </c>
      <c r="AP50" s="373">
        <f t="shared" si="10"/>
        <v>4.3034380544829157E-5</v>
      </c>
      <c r="AQ50" s="394">
        <f t="shared" si="10"/>
        <v>3.1654157472455979E-5</v>
      </c>
      <c r="AR50" s="373">
        <f t="shared" si="10"/>
        <v>3.2489391924141944E-5</v>
      </c>
      <c r="AS50" s="373">
        <f t="shared" si="38"/>
        <v>2.6660147321314414E-5</v>
      </c>
      <c r="AT50" s="394">
        <f t="shared" si="11"/>
        <v>9.0992715395535182E-5</v>
      </c>
      <c r="AU50" s="177"/>
      <c r="AV50" s="258">
        <f t="shared" si="2"/>
        <v>0</v>
      </c>
      <c r="AW50" s="258">
        <f t="shared" si="3"/>
        <v>0</v>
      </c>
      <c r="BB50" s="391">
        <f t="shared" si="34"/>
        <v>5.7033672456668346E-5</v>
      </c>
      <c r="BC50" s="391">
        <f t="shared" si="35"/>
        <v>4.0659439233153604E-5</v>
      </c>
      <c r="BD50" s="391">
        <f t="shared" si="36"/>
        <v>5.2039662305526782E-5</v>
      </c>
      <c r="BE50" s="391" t="e">
        <f>#REF!-AO50</f>
        <v>#REF!</v>
      </c>
      <c r="BF50" s="391" t="e">
        <f>#REF!-AP50</f>
        <v>#REF!</v>
      </c>
      <c r="BG50" s="391" t="e">
        <f>#REF!-AQ50</f>
        <v>#REF!</v>
      </c>
    </row>
    <row r="51" spans="1:59" s="88" customFormat="1" ht="33.75" customHeight="1" collapsed="1">
      <c r="A51" s="392"/>
      <c r="B51" s="290" t="s">
        <v>91</v>
      </c>
      <c r="C51" s="291"/>
      <c r="D51" s="291"/>
      <c r="E51" s="276">
        <f>SUM(E52:E57)</f>
        <v>0</v>
      </c>
      <c r="F51" s="292">
        <v>45000</v>
      </c>
      <c r="G51" s="278">
        <v>85000</v>
      </c>
      <c r="H51" s="279">
        <f>AVERAGE(E51:G51)</f>
        <v>43333.333333333336</v>
      </c>
      <c r="I51" s="368">
        <f t="shared" si="44"/>
        <v>0</v>
      </c>
      <c r="J51" s="369">
        <f t="shared" si="44"/>
        <v>6.3382337598922396E-4</v>
      </c>
      <c r="K51" s="368">
        <f t="shared" si="44"/>
        <v>1.2838175089962003E-3</v>
      </c>
      <c r="L51" s="370">
        <f t="shared" si="44"/>
        <v>6.4709254202848638E-4</v>
      </c>
      <c r="M51" s="278">
        <v>30000</v>
      </c>
      <c r="N51" s="371">
        <f t="shared" si="15"/>
        <v>6.9977734717626664E-4</v>
      </c>
      <c r="O51" s="278">
        <f t="shared" si="22"/>
        <v>73333.333333333343</v>
      </c>
      <c r="P51" s="372">
        <f t="shared" si="16"/>
        <v>6.6765609455799618E-4</v>
      </c>
      <c r="Q51" s="217"/>
      <c r="R51" s="283">
        <f t="shared" ref="R51:R58" si="45">R$8*AR51</f>
        <v>402254.82005644811</v>
      </c>
      <c r="S51" s="284">
        <f t="shared" si="5"/>
        <v>4.4638315137074452E-3</v>
      </c>
      <c r="T51" s="392"/>
      <c r="U51" s="290" t="s">
        <v>91</v>
      </c>
      <c r="V51" s="291"/>
      <c r="W51" s="291"/>
      <c r="X51" s="279">
        <v>0</v>
      </c>
      <c r="Y51" s="285">
        <f t="shared" si="5"/>
        <v>0</v>
      </c>
      <c r="Z51" s="279">
        <v>0</v>
      </c>
      <c r="AA51" s="285">
        <f t="shared" si="19"/>
        <v>0</v>
      </c>
      <c r="AB51" s="279">
        <f t="shared" si="7"/>
        <v>0</v>
      </c>
      <c r="AC51" s="285">
        <f t="shared" si="8"/>
        <v>0</v>
      </c>
      <c r="AD51" s="293" t="s">
        <v>302</v>
      </c>
      <c r="AF51" s="132"/>
      <c r="AG51" s="98" t="s">
        <v>91</v>
      </c>
      <c r="AH51" s="99"/>
      <c r="AI51" s="99"/>
      <c r="AJ51" s="289">
        <v>848030</v>
      </c>
      <c r="AK51" s="289">
        <v>450000</v>
      </c>
      <c r="AL51" s="289">
        <v>437250</v>
      </c>
      <c r="AM51" s="289">
        <f t="shared" si="9"/>
        <v>578426.66666666663</v>
      </c>
      <c r="AN51" s="289">
        <v>191584</v>
      </c>
      <c r="AO51" s="373">
        <f t="shared" si="10"/>
        <v>5.3702149009250029E-3</v>
      </c>
      <c r="AP51" s="373">
        <f t="shared" si="10"/>
        <v>4.5998744050292448E-3</v>
      </c>
      <c r="AQ51" s="394">
        <f t="shared" si="10"/>
        <v>3.2875962838079279E-3</v>
      </c>
      <c r="AR51" s="373">
        <f t="shared" si="10"/>
        <v>4.4638315137074452E-3</v>
      </c>
      <c r="AS51" s="373">
        <f>SUM(AS52:AS57)</f>
        <v>3.2875962838079279E-3</v>
      </c>
      <c r="AT51" s="394">
        <f t="shared" si="11"/>
        <v>4.1407953411729719E-3</v>
      </c>
      <c r="AU51" s="177"/>
      <c r="AV51" s="258">
        <f t="shared" si="2"/>
        <v>40000</v>
      </c>
      <c r="AW51" s="258">
        <f t="shared" si="3"/>
        <v>-445775.17994355189</v>
      </c>
      <c r="BB51" s="391">
        <f t="shared" si="34"/>
        <v>-5.3702149009250029E-3</v>
      </c>
      <c r="BC51" s="391">
        <f t="shared" si="35"/>
        <v>-4.5998744050292448E-3</v>
      </c>
      <c r="BD51" s="391">
        <f t="shared" si="36"/>
        <v>-3.2875962838079279E-3</v>
      </c>
      <c r="BE51" s="391" t="e">
        <f>#REF!-AO51</f>
        <v>#REF!</v>
      </c>
      <c r="BF51" s="391" t="e">
        <f>#REF!-AP51</f>
        <v>#REF!</v>
      </c>
      <c r="BG51" s="391" t="e">
        <f>#REF!-AQ51</f>
        <v>#REF!</v>
      </c>
    </row>
    <row r="52" spans="1:59" s="88" customFormat="1" ht="33.75" hidden="1" customHeight="1" outlineLevel="1">
      <c r="A52" s="392"/>
      <c r="B52" s="374"/>
      <c r="C52" s="291" t="s">
        <v>93</v>
      </c>
      <c r="D52" s="291"/>
      <c r="E52" s="276">
        <v>0</v>
      </c>
      <c r="F52" s="292">
        <v>0</v>
      </c>
      <c r="G52" s="278">
        <v>0</v>
      </c>
      <c r="H52" s="279">
        <f t="shared" ref="H52:H57" si="46">AVERAGE(E52:G52)</f>
        <v>0</v>
      </c>
      <c r="I52" s="368">
        <f t="shared" si="44"/>
        <v>0</v>
      </c>
      <c r="J52" s="369">
        <f t="shared" si="44"/>
        <v>0</v>
      </c>
      <c r="K52" s="368">
        <f t="shared" si="44"/>
        <v>0</v>
      </c>
      <c r="L52" s="370">
        <f t="shared" si="44"/>
        <v>0</v>
      </c>
      <c r="M52" s="278">
        <v>0</v>
      </c>
      <c r="N52" s="371">
        <f t="shared" si="15"/>
        <v>0</v>
      </c>
      <c r="O52" s="278">
        <f t="shared" si="22"/>
        <v>0</v>
      </c>
      <c r="P52" s="372">
        <f t="shared" si="16"/>
        <v>0</v>
      </c>
      <c r="Q52" s="217"/>
      <c r="R52" s="283">
        <f t="shared" si="45"/>
        <v>0</v>
      </c>
      <c r="S52" s="284">
        <f t="shared" si="5"/>
        <v>0</v>
      </c>
      <c r="T52" s="392"/>
      <c r="U52" s="374"/>
      <c r="V52" s="291" t="s">
        <v>93</v>
      </c>
      <c r="W52" s="291"/>
      <c r="X52" s="279">
        <f>X$8*AS52</f>
        <v>0</v>
      </c>
      <c r="Y52" s="285">
        <f t="shared" si="5"/>
        <v>0</v>
      </c>
      <c r="Z52" s="279">
        <v>0</v>
      </c>
      <c r="AA52" s="285">
        <f t="shared" si="19"/>
        <v>0</v>
      </c>
      <c r="AB52" s="279">
        <f t="shared" si="7"/>
        <v>0</v>
      </c>
      <c r="AC52" s="285">
        <f t="shared" si="8"/>
        <v>0</v>
      </c>
      <c r="AD52" s="293"/>
      <c r="AF52" s="132"/>
      <c r="AG52" s="125"/>
      <c r="AH52" s="99" t="s">
        <v>93</v>
      </c>
      <c r="AI52" s="99"/>
      <c r="AJ52" s="289">
        <v>0</v>
      </c>
      <c r="AK52" s="289">
        <v>0</v>
      </c>
      <c r="AL52" s="289">
        <v>0</v>
      </c>
      <c r="AM52" s="289">
        <f t="shared" si="9"/>
        <v>0</v>
      </c>
      <c r="AN52" s="289">
        <v>0</v>
      </c>
      <c r="AO52" s="373">
        <f t="shared" si="10"/>
        <v>0</v>
      </c>
      <c r="AP52" s="373">
        <f t="shared" si="10"/>
        <v>0</v>
      </c>
      <c r="AQ52" s="394">
        <f t="shared" si="10"/>
        <v>0</v>
      </c>
      <c r="AR52" s="373">
        <f t="shared" si="10"/>
        <v>0</v>
      </c>
      <c r="AS52" s="373">
        <f t="shared" si="38"/>
        <v>0</v>
      </c>
      <c r="AT52" s="394">
        <f t="shared" si="11"/>
        <v>0</v>
      </c>
      <c r="AU52" s="177"/>
      <c r="AV52" s="258">
        <f t="shared" si="2"/>
        <v>0</v>
      </c>
      <c r="AW52" s="258">
        <f t="shared" si="3"/>
        <v>0</v>
      </c>
      <c r="BB52" s="391">
        <f t="shared" si="34"/>
        <v>0</v>
      </c>
      <c r="BC52" s="391">
        <f t="shared" si="35"/>
        <v>0</v>
      </c>
      <c r="BD52" s="391">
        <f t="shared" si="36"/>
        <v>0</v>
      </c>
      <c r="BE52" s="391" t="e">
        <f>#REF!-AO52</f>
        <v>#REF!</v>
      </c>
      <c r="BF52" s="391" t="e">
        <f>#REF!-AP52</f>
        <v>#REF!</v>
      </c>
      <c r="BG52" s="391" t="e">
        <f>#REF!-AQ52</f>
        <v>#REF!</v>
      </c>
    </row>
    <row r="53" spans="1:59" s="88" customFormat="1" ht="33.75" hidden="1" customHeight="1" outlineLevel="1">
      <c r="A53" s="392"/>
      <c r="B53" s="374"/>
      <c r="C53" s="291" t="s">
        <v>95</v>
      </c>
      <c r="D53" s="291"/>
      <c r="E53" s="276">
        <v>0</v>
      </c>
      <c r="F53" s="292">
        <v>0</v>
      </c>
      <c r="G53" s="278">
        <v>0</v>
      </c>
      <c r="H53" s="279">
        <f t="shared" si="46"/>
        <v>0</v>
      </c>
      <c r="I53" s="368">
        <f t="shared" si="44"/>
        <v>0</v>
      </c>
      <c r="J53" s="369">
        <f t="shared" si="44"/>
        <v>0</v>
      </c>
      <c r="K53" s="368">
        <f t="shared" si="44"/>
        <v>0</v>
      </c>
      <c r="L53" s="370">
        <f t="shared" si="44"/>
        <v>0</v>
      </c>
      <c r="M53" s="278">
        <v>0</v>
      </c>
      <c r="N53" s="371">
        <f t="shared" si="15"/>
        <v>0</v>
      </c>
      <c r="O53" s="278">
        <f t="shared" si="22"/>
        <v>0</v>
      </c>
      <c r="P53" s="372">
        <f t="shared" si="16"/>
        <v>0</v>
      </c>
      <c r="Q53" s="217"/>
      <c r="R53" s="283">
        <f t="shared" si="45"/>
        <v>57952.437078806892</v>
      </c>
      <c r="S53" s="284">
        <f t="shared" si="5"/>
        <v>6.4309960261563627E-4</v>
      </c>
      <c r="T53" s="392"/>
      <c r="U53" s="374"/>
      <c r="V53" s="291" t="s">
        <v>95</v>
      </c>
      <c r="W53" s="291"/>
      <c r="X53" s="279">
        <f>X$8*AS53</f>
        <v>0</v>
      </c>
      <c r="Y53" s="285">
        <f t="shared" si="5"/>
        <v>0</v>
      </c>
      <c r="Z53" s="279">
        <v>0</v>
      </c>
      <c r="AA53" s="285">
        <f t="shared" si="19"/>
        <v>0</v>
      </c>
      <c r="AB53" s="279">
        <f t="shared" si="7"/>
        <v>0</v>
      </c>
      <c r="AC53" s="285">
        <f t="shared" si="8"/>
        <v>0</v>
      </c>
      <c r="AD53" s="293"/>
      <c r="AF53" s="132"/>
      <c r="AG53" s="125"/>
      <c r="AH53" s="99" t="s">
        <v>95</v>
      </c>
      <c r="AI53" s="99"/>
      <c r="AJ53" s="289">
        <v>250000</v>
      </c>
      <c r="AK53" s="289">
        <v>0</v>
      </c>
      <c r="AL53" s="289">
        <v>0</v>
      </c>
      <c r="AM53" s="289">
        <f t="shared" si="9"/>
        <v>83333.333333333328</v>
      </c>
      <c r="AN53" s="289">
        <v>0</v>
      </c>
      <c r="AO53" s="373">
        <f t="shared" si="10"/>
        <v>1.5831441402205709E-3</v>
      </c>
      <c r="AP53" s="373">
        <f t="shared" si="10"/>
        <v>0</v>
      </c>
      <c r="AQ53" s="394">
        <f t="shared" si="10"/>
        <v>0</v>
      </c>
      <c r="AR53" s="373">
        <f t="shared" si="10"/>
        <v>6.4309960261563627E-4</v>
      </c>
      <c r="AS53" s="373">
        <f t="shared" si="38"/>
        <v>0</v>
      </c>
      <c r="AT53" s="394">
        <f t="shared" si="11"/>
        <v>0</v>
      </c>
      <c r="AU53" s="177"/>
      <c r="AV53" s="258">
        <f t="shared" si="2"/>
        <v>0</v>
      </c>
      <c r="AW53" s="258">
        <f t="shared" si="3"/>
        <v>-192047.56292119311</v>
      </c>
      <c r="BB53" s="391">
        <f t="shared" si="34"/>
        <v>-1.5831441402205709E-3</v>
      </c>
      <c r="BC53" s="391">
        <f t="shared" si="35"/>
        <v>0</v>
      </c>
      <c r="BD53" s="391">
        <f t="shared" si="36"/>
        <v>0</v>
      </c>
      <c r="BE53" s="391" t="e">
        <f>#REF!-AO53</f>
        <v>#REF!</v>
      </c>
      <c r="BF53" s="391" t="e">
        <f>#REF!-AP53</f>
        <v>#REF!</v>
      </c>
      <c r="BG53" s="391" t="e">
        <f>#REF!-AQ53</f>
        <v>#REF!</v>
      </c>
    </row>
    <row r="54" spans="1:59" s="88" customFormat="1" ht="33.75" hidden="1" customHeight="1" outlineLevel="1">
      <c r="A54" s="392"/>
      <c r="B54" s="374"/>
      <c r="C54" s="291" t="s">
        <v>97</v>
      </c>
      <c r="D54" s="291"/>
      <c r="E54" s="276">
        <v>0</v>
      </c>
      <c r="F54" s="292">
        <v>0</v>
      </c>
      <c r="G54" s="278">
        <v>0</v>
      </c>
      <c r="H54" s="279">
        <f t="shared" si="46"/>
        <v>0</v>
      </c>
      <c r="I54" s="368">
        <f t="shared" si="44"/>
        <v>0</v>
      </c>
      <c r="J54" s="369">
        <f t="shared" si="44"/>
        <v>0</v>
      </c>
      <c r="K54" s="368">
        <f t="shared" si="44"/>
        <v>0</v>
      </c>
      <c r="L54" s="370">
        <f t="shared" si="44"/>
        <v>0</v>
      </c>
      <c r="M54" s="278">
        <v>0</v>
      </c>
      <c r="N54" s="371">
        <f t="shared" si="15"/>
        <v>0</v>
      </c>
      <c r="O54" s="278">
        <f t="shared" si="22"/>
        <v>0</v>
      </c>
      <c r="P54" s="372">
        <f t="shared" si="16"/>
        <v>0</v>
      </c>
      <c r="Q54" s="217"/>
      <c r="R54" s="283">
        <f t="shared" si="45"/>
        <v>0</v>
      </c>
      <c r="S54" s="284">
        <f t="shared" si="5"/>
        <v>0</v>
      </c>
      <c r="T54" s="392"/>
      <c r="U54" s="374"/>
      <c r="V54" s="291" t="s">
        <v>97</v>
      </c>
      <c r="W54" s="291"/>
      <c r="X54" s="279">
        <f>X$8*AS54</f>
        <v>0</v>
      </c>
      <c r="Y54" s="285">
        <f t="shared" si="5"/>
        <v>0</v>
      </c>
      <c r="Z54" s="279">
        <v>0</v>
      </c>
      <c r="AA54" s="285">
        <f t="shared" si="19"/>
        <v>0</v>
      </c>
      <c r="AB54" s="279">
        <f t="shared" si="7"/>
        <v>0</v>
      </c>
      <c r="AC54" s="285">
        <f t="shared" si="8"/>
        <v>0</v>
      </c>
      <c r="AD54" s="293"/>
      <c r="AF54" s="132"/>
      <c r="AG54" s="125"/>
      <c r="AH54" s="99" t="s">
        <v>97</v>
      </c>
      <c r="AI54" s="99"/>
      <c r="AJ54" s="289">
        <v>0</v>
      </c>
      <c r="AK54" s="289">
        <v>0</v>
      </c>
      <c r="AL54" s="289">
        <v>0</v>
      </c>
      <c r="AM54" s="289">
        <f t="shared" si="9"/>
        <v>0</v>
      </c>
      <c r="AN54" s="289">
        <v>0</v>
      </c>
      <c r="AO54" s="373">
        <f t="shared" si="10"/>
        <v>0</v>
      </c>
      <c r="AP54" s="373">
        <f t="shared" si="10"/>
        <v>0</v>
      </c>
      <c r="AQ54" s="394">
        <f t="shared" si="10"/>
        <v>0</v>
      </c>
      <c r="AR54" s="373">
        <f t="shared" si="10"/>
        <v>0</v>
      </c>
      <c r="AS54" s="373">
        <f t="shared" si="38"/>
        <v>0</v>
      </c>
      <c r="AT54" s="394">
        <f t="shared" si="11"/>
        <v>0</v>
      </c>
      <c r="AU54" s="177"/>
      <c r="AV54" s="258">
        <f t="shared" si="2"/>
        <v>0</v>
      </c>
      <c r="AW54" s="258">
        <f t="shared" si="3"/>
        <v>0</v>
      </c>
      <c r="BB54" s="391">
        <f t="shared" si="34"/>
        <v>0</v>
      </c>
      <c r="BC54" s="391">
        <f t="shared" si="35"/>
        <v>0</v>
      </c>
      <c r="BD54" s="391">
        <f t="shared" si="36"/>
        <v>0</v>
      </c>
      <c r="BE54" s="391" t="e">
        <f>#REF!-AO54</f>
        <v>#REF!</v>
      </c>
      <c r="BF54" s="391" t="e">
        <f>#REF!-AP54</f>
        <v>#REF!</v>
      </c>
      <c r="BG54" s="391" t="e">
        <f>#REF!-AQ54</f>
        <v>#REF!</v>
      </c>
    </row>
    <row r="55" spans="1:59" s="88" customFormat="1" ht="33.75" hidden="1" customHeight="1" outlineLevel="1">
      <c r="A55" s="392"/>
      <c r="B55" s="374"/>
      <c r="C55" s="291" t="s">
        <v>99</v>
      </c>
      <c r="D55" s="291"/>
      <c r="E55" s="276">
        <v>0</v>
      </c>
      <c r="F55" s="292">
        <v>0</v>
      </c>
      <c r="G55" s="278">
        <v>0</v>
      </c>
      <c r="H55" s="279">
        <f t="shared" si="46"/>
        <v>0</v>
      </c>
      <c r="I55" s="368">
        <f t="shared" si="44"/>
        <v>0</v>
      </c>
      <c r="J55" s="369">
        <f t="shared" si="44"/>
        <v>0</v>
      </c>
      <c r="K55" s="368">
        <f t="shared" si="44"/>
        <v>0</v>
      </c>
      <c r="L55" s="370">
        <f t="shared" si="44"/>
        <v>0</v>
      </c>
      <c r="M55" s="278">
        <v>0</v>
      </c>
      <c r="N55" s="371">
        <f t="shared" si="15"/>
        <v>0</v>
      </c>
      <c r="O55" s="278">
        <f t="shared" si="22"/>
        <v>0</v>
      </c>
      <c r="P55" s="372">
        <f t="shared" si="16"/>
        <v>0</v>
      </c>
      <c r="Q55" s="217"/>
      <c r="R55" s="283">
        <f t="shared" si="45"/>
        <v>0</v>
      </c>
      <c r="S55" s="284">
        <f t="shared" si="5"/>
        <v>0</v>
      </c>
      <c r="T55" s="392"/>
      <c r="U55" s="374"/>
      <c r="V55" s="291" t="s">
        <v>99</v>
      </c>
      <c r="W55" s="291"/>
      <c r="X55" s="279">
        <f>X$8*AS55</f>
        <v>0</v>
      </c>
      <c r="Y55" s="285">
        <f t="shared" si="5"/>
        <v>0</v>
      </c>
      <c r="Z55" s="279">
        <v>0</v>
      </c>
      <c r="AA55" s="285">
        <f t="shared" si="19"/>
        <v>0</v>
      </c>
      <c r="AB55" s="279">
        <f t="shared" si="7"/>
        <v>0</v>
      </c>
      <c r="AC55" s="285">
        <f t="shared" si="8"/>
        <v>0</v>
      </c>
      <c r="AD55" s="293"/>
      <c r="AF55" s="132"/>
      <c r="AG55" s="125"/>
      <c r="AH55" s="99" t="s">
        <v>99</v>
      </c>
      <c r="AI55" s="99"/>
      <c r="AJ55" s="289">
        <v>0</v>
      </c>
      <c r="AK55" s="289">
        <v>0</v>
      </c>
      <c r="AL55" s="289">
        <v>0</v>
      </c>
      <c r="AM55" s="289">
        <f t="shared" si="9"/>
        <v>0</v>
      </c>
      <c r="AN55" s="289">
        <v>0</v>
      </c>
      <c r="AO55" s="373">
        <f t="shared" si="10"/>
        <v>0</v>
      </c>
      <c r="AP55" s="373">
        <f t="shared" si="10"/>
        <v>0</v>
      </c>
      <c r="AQ55" s="394">
        <f t="shared" si="10"/>
        <v>0</v>
      </c>
      <c r="AR55" s="373">
        <f t="shared" si="10"/>
        <v>0</v>
      </c>
      <c r="AS55" s="373">
        <f t="shared" si="38"/>
        <v>0</v>
      </c>
      <c r="AT55" s="394">
        <f t="shared" si="11"/>
        <v>0</v>
      </c>
      <c r="AU55" s="177"/>
      <c r="AV55" s="258">
        <f t="shared" si="2"/>
        <v>0</v>
      </c>
      <c r="AW55" s="258">
        <f t="shared" si="3"/>
        <v>0</v>
      </c>
      <c r="BB55" s="391">
        <f t="shared" si="34"/>
        <v>0</v>
      </c>
      <c r="BC55" s="391">
        <f t="shared" si="35"/>
        <v>0</v>
      </c>
      <c r="BD55" s="391">
        <f t="shared" si="36"/>
        <v>0</v>
      </c>
      <c r="BE55" s="391" t="e">
        <f>#REF!-AO55</f>
        <v>#REF!</v>
      </c>
      <c r="BF55" s="391" t="e">
        <f>#REF!-AP55</f>
        <v>#REF!</v>
      </c>
      <c r="BG55" s="391" t="e">
        <f>#REF!-AQ55</f>
        <v>#REF!</v>
      </c>
    </row>
    <row r="56" spans="1:59" s="88" customFormat="1" ht="33.75" hidden="1" customHeight="1" outlineLevel="1">
      <c r="A56" s="392"/>
      <c r="B56" s="374"/>
      <c r="C56" s="291" t="s">
        <v>101</v>
      </c>
      <c r="D56" s="291"/>
      <c r="E56" s="276">
        <v>0</v>
      </c>
      <c r="F56" s="292">
        <v>0</v>
      </c>
      <c r="G56" s="278">
        <v>0</v>
      </c>
      <c r="H56" s="279">
        <f t="shared" si="46"/>
        <v>0</v>
      </c>
      <c r="I56" s="368">
        <f t="shared" si="44"/>
        <v>0</v>
      </c>
      <c r="J56" s="369">
        <f t="shared" si="44"/>
        <v>0</v>
      </c>
      <c r="K56" s="368">
        <f t="shared" si="44"/>
        <v>0</v>
      </c>
      <c r="L56" s="370">
        <f t="shared" si="44"/>
        <v>0</v>
      </c>
      <c r="M56" s="278">
        <v>0</v>
      </c>
      <c r="N56" s="371">
        <f t="shared" si="15"/>
        <v>0</v>
      </c>
      <c r="O56" s="278">
        <f t="shared" si="22"/>
        <v>0</v>
      </c>
      <c r="P56" s="372">
        <f t="shared" si="16"/>
        <v>0</v>
      </c>
      <c r="Q56" s="217"/>
      <c r="R56" s="283">
        <f t="shared" si="45"/>
        <v>344302.38297764125</v>
      </c>
      <c r="S56" s="284">
        <f t="shared" si="5"/>
        <v>3.8207319110918092E-3</v>
      </c>
      <c r="T56" s="392"/>
      <c r="U56" s="374"/>
      <c r="V56" s="291" t="s">
        <v>101</v>
      </c>
      <c r="W56" s="291"/>
      <c r="X56" s="279">
        <v>0</v>
      </c>
      <c r="Y56" s="285">
        <f t="shared" si="5"/>
        <v>0</v>
      </c>
      <c r="Z56" s="279">
        <v>0</v>
      </c>
      <c r="AA56" s="285">
        <f t="shared" si="19"/>
        <v>0</v>
      </c>
      <c r="AB56" s="279">
        <f t="shared" si="7"/>
        <v>0</v>
      </c>
      <c r="AC56" s="285">
        <f t="shared" si="8"/>
        <v>0</v>
      </c>
      <c r="AD56" s="293"/>
      <c r="AF56" s="132"/>
      <c r="AG56" s="125"/>
      <c r="AH56" s="99" t="s">
        <v>101</v>
      </c>
      <c r="AI56" s="99"/>
      <c r="AJ56" s="289">
        <v>598030</v>
      </c>
      <c r="AK56" s="289">
        <v>450000</v>
      </c>
      <c r="AL56" s="289">
        <v>437250</v>
      </c>
      <c r="AM56" s="289">
        <f t="shared" si="9"/>
        <v>495093.33333333331</v>
      </c>
      <c r="AN56" s="289">
        <v>437250</v>
      </c>
      <c r="AO56" s="373">
        <f t="shared" si="10"/>
        <v>3.7870707607044322E-3</v>
      </c>
      <c r="AP56" s="373">
        <f t="shared" si="10"/>
        <v>4.5998744050292448E-3</v>
      </c>
      <c r="AQ56" s="394">
        <f t="shared" si="10"/>
        <v>3.2875962838079279E-3</v>
      </c>
      <c r="AR56" s="373">
        <f t="shared" si="10"/>
        <v>3.8207319110918092E-3</v>
      </c>
      <c r="AS56" s="373">
        <f t="shared" si="38"/>
        <v>3.2875962838079279E-3</v>
      </c>
      <c r="AT56" s="394">
        <f t="shared" si="11"/>
        <v>9.4504904528973296E-3</v>
      </c>
      <c r="AU56" s="177"/>
      <c r="AV56" s="258">
        <f t="shared" si="2"/>
        <v>0</v>
      </c>
      <c r="AW56" s="258">
        <f t="shared" si="3"/>
        <v>-253727.61702235875</v>
      </c>
      <c r="BB56" s="391">
        <f t="shared" si="34"/>
        <v>-3.7870707607044322E-3</v>
      </c>
      <c r="BC56" s="391">
        <f t="shared" si="35"/>
        <v>-4.5998744050292448E-3</v>
      </c>
      <c r="BD56" s="391">
        <f t="shared" si="36"/>
        <v>-3.2875962838079279E-3</v>
      </c>
      <c r="BE56" s="391" t="e">
        <f>#REF!-AO56</f>
        <v>#REF!</v>
      </c>
      <c r="BF56" s="391" t="e">
        <f>#REF!-AP56</f>
        <v>#REF!</v>
      </c>
      <c r="BG56" s="391" t="e">
        <f>#REF!-AQ56</f>
        <v>#REF!</v>
      </c>
    </row>
    <row r="57" spans="1:59" s="88" customFormat="1" ht="33.75" hidden="1" customHeight="1" outlineLevel="1">
      <c r="A57" s="392"/>
      <c r="B57" s="374"/>
      <c r="C57" s="291" t="s">
        <v>103</v>
      </c>
      <c r="D57" s="291"/>
      <c r="E57" s="276">
        <v>0</v>
      </c>
      <c r="F57" s="292">
        <v>0</v>
      </c>
      <c r="G57" s="278">
        <v>0</v>
      </c>
      <c r="H57" s="279">
        <f t="shared" si="46"/>
        <v>0</v>
      </c>
      <c r="I57" s="368">
        <f t="shared" si="44"/>
        <v>0</v>
      </c>
      <c r="J57" s="369">
        <f t="shared" si="44"/>
        <v>0</v>
      </c>
      <c r="K57" s="368">
        <f t="shared" si="44"/>
        <v>0</v>
      </c>
      <c r="L57" s="370">
        <f t="shared" si="44"/>
        <v>0</v>
      </c>
      <c r="M57" s="278">
        <v>0</v>
      </c>
      <c r="N57" s="371">
        <f t="shared" si="15"/>
        <v>0</v>
      </c>
      <c r="O57" s="278">
        <f t="shared" si="22"/>
        <v>0</v>
      </c>
      <c r="P57" s="372">
        <f t="shared" si="16"/>
        <v>0</v>
      </c>
      <c r="Q57" s="217"/>
      <c r="R57" s="283">
        <f t="shared" si="45"/>
        <v>0</v>
      </c>
      <c r="S57" s="284">
        <f t="shared" si="5"/>
        <v>0</v>
      </c>
      <c r="T57" s="392"/>
      <c r="U57" s="374"/>
      <c r="V57" s="291" t="s">
        <v>103</v>
      </c>
      <c r="W57" s="291"/>
      <c r="X57" s="279">
        <f>X$8*AS57</f>
        <v>0</v>
      </c>
      <c r="Y57" s="285">
        <f t="shared" si="5"/>
        <v>0</v>
      </c>
      <c r="Z57" s="279">
        <v>0</v>
      </c>
      <c r="AA57" s="285">
        <f t="shared" si="19"/>
        <v>0</v>
      </c>
      <c r="AB57" s="279">
        <f t="shared" si="7"/>
        <v>0</v>
      </c>
      <c r="AC57" s="285">
        <f t="shared" si="8"/>
        <v>0</v>
      </c>
      <c r="AD57" s="293"/>
      <c r="AF57" s="132"/>
      <c r="AG57" s="125"/>
      <c r="AH57" s="99" t="s">
        <v>103</v>
      </c>
      <c r="AI57" s="99"/>
      <c r="AJ57" s="289">
        <v>0</v>
      </c>
      <c r="AK57" s="289">
        <v>0</v>
      </c>
      <c r="AL57" s="289">
        <v>0</v>
      </c>
      <c r="AM57" s="289">
        <f t="shared" si="9"/>
        <v>0</v>
      </c>
      <c r="AN57" s="289">
        <v>0</v>
      </c>
      <c r="AO57" s="373">
        <f t="shared" si="10"/>
        <v>0</v>
      </c>
      <c r="AP57" s="373">
        <f t="shared" si="10"/>
        <v>0</v>
      </c>
      <c r="AQ57" s="394">
        <f t="shared" si="10"/>
        <v>0</v>
      </c>
      <c r="AR57" s="373">
        <f t="shared" si="10"/>
        <v>0</v>
      </c>
      <c r="AS57" s="373">
        <f t="shared" si="38"/>
        <v>0</v>
      </c>
      <c r="AT57" s="394">
        <f t="shared" si="11"/>
        <v>0</v>
      </c>
      <c r="AU57" s="177"/>
      <c r="AV57" s="258">
        <f t="shared" si="2"/>
        <v>0</v>
      </c>
      <c r="AW57" s="258">
        <f t="shared" si="3"/>
        <v>0</v>
      </c>
      <c r="BB57" s="391">
        <f t="shared" si="34"/>
        <v>0</v>
      </c>
      <c r="BC57" s="391">
        <f t="shared" si="35"/>
        <v>0</v>
      </c>
      <c r="BD57" s="391">
        <f t="shared" si="36"/>
        <v>0</v>
      </c>
      <c r="BE57" s="391" t="e">
        <f>#REF!-AO57</f>
        <v>#REF!</v>
      </c>
      <c r="BF57" s="391" t="e">
        <f>#REF!-AP57</f>
        <v>#REF!</v>
      </c>
      <c r="BG57" s="391" t="e">
        <f>#REF!-AQ57</f>
        <v>#REF!</v>
      </c>
    </row>
    <row r="58" spans="1:59" s="88" customFormat="1" ht="33.75" hidden="1" customHeight="1" outlineLevel="1">
      <c r="A58" s="392"/>
      <c r="B58" s="290" t="s">
        <v>105</v>
      </c>
      <c r="C58" s="291"/>
      <c r="D58" s="291"/>
      <c r="E58" s="276">
        <v>0</v>
      </c>
      <c r="F58" s="292">
        <v>0</v>
      </c>
      <c r="G58" s="278">
        <v>0</v>
      </c>
      <c r="H58" s="279">
        <f>AVERAGE(E58:G58)</f>
        <v>0</v>
      </c>
      <c r="I58" s="368">
        <f t="shared" si="44"/>
        <v>0</v>
      </c>
      <c r="J58" s="369">
        <f t="shared" si="44"/>
        <v>0</v>
      </c>
      <c r="K58" s="368">
        <f t="shared" si="44"/>
        <v>0</v>
      </c>
      <c r="L58" s="370">
        <f t="shared" si="44"/>
        <v>0</v>
      </c>
      <c r="M58" s="278">
        <v>0</v>
      </c>
      <c r="N58" s="371">
        <f t="shared" si="15"/>
        <v>0</v>
      </c>
      <c r="O58" s="278">
        <f t="shared" si="22"/>
        <v>0</v>
      </c>
      <c r="P58" s="372">
        <f t="shared" si="16"/>
        <v>0</v>
      </c>
      <c r="Q58" s="217"/>
      <c r="R58" s="283">
        <f t="shared" si="45"/>
        <v>0</v>
      </c>
      <c r="S58" s="284">
        <f t="shared" si="5"/>
        <v>0</v>
      </c>
      <c r="T58" s="392"/>
      <c r="U58" s="290" t="s">
        <v>105</v>
      </c>
      <c r="V58" s="291"/>
      <c r="W58" s="291"/>
      <c r="X58" s="279">
        <f>X$8*AS58</f>
        <v>0</v>
      </c>
      <c r="Y58" s="285">
        <f t="shared" si="5"/>
        <v>0</v>
      </c>
      <c r="Z58" s="279">
        <f>Z$8*AO58</f>
        <v>0</v>
      </c>
      <c r="AA58" s="285">
        <f t="shared" si="19"/>
        <v>0</v>
      </c>
      <c r="AB58" s="279">
        <f t="shared" si="7"/>
        <v>0</v>
      </c>
      <c r="AC58" s="285">
        <f t="shared" si="8"/>
        <v>0</v>
      </c>
      <c r="AD58" s="293"/>
      <c r="AF58" s="132"/>
      <c r="AG58" s="98" t="s">
        <v>105</v>
      </c>
      <c r="AH58" s="99"/>
      <c r="AI58" s="99"/>
      <c r="AJ58" s="289">
        <v>0</v>
      </c>
      <c r="AK58" s="289">
        <v>0</v>
      </c>
      <c r="AL58" s="289">
        <v>0</v>
      </c>
      <c r="AM58" s="289">
        <f t="shared" si="9"/>
        <v>0</v>
      </c>
      <c r="AN58" s="289">
        <v>0</v>
      </c>
      <c r="AO58" s="373">
        <f t="shared" si="10"/>
        <v>0</v>
      </c>
      <c r="AP58" s="373">
        <f t="shared" si="10"/>
        <v>0</v>
      </c>
      <c r="AQ58" s="394">
        <f t="shared" si="10"/>
        <v>0</v>
      </c>
      <c r="AR58" s="373">
        <f t="shared" si="10"/>
        <v>0</v>
      </c>
      <c r="AS58" s="373">
        <f t="shared" si="38"/>
        <v>0</v>
      </c>
      <c r="AT58" s="394">
        <f t="shared" si="11"/>
        <v>0</v>
      </c>
      <c r="AU58" s="177"/>
      <c r="AV58" s="258">
        <f t="shared" si="2"/>
        <v>0</v>
      </c>
      <c r="AW58" s="258">
        <f t="shared" si="3"/>
        <v>0</v>
      </c>
      <c r="BB58" s="391">
        <f t="shared" si="34"/>
        <v>0</v>
      </c>
      <c r="BC58" s="391">
        <f t="shared" si="35"/>
        <v>0</v>
      </c>
      <c r="BD58" s="391">
        <f t="shared" si="36"/>
        <v>0</v>
      </c>
      <c r="BE58" s="391" t="e">
        <f>#REF!-AO58</f>
        <v>#REF!</v>
      </c>
      <c r="BF58" s="391" t="e">
        <f>#REF!-AP58</f>
        <v>#REF!</v>
      </c>
      <c r="BG58" s="391" t="e">
        <f>#REF!-AQ58</f>
        <v>#REF!</v>
      </c>
    </row>
    <row r="59" spans="1:59" s="88" customFormat="1" ht="33.75" customHeight="1" collapsed="1">
      <c r="A59" s="392"/>
      <c r="B59" s="290" t="s">
        <v>107</v>
      </c>
      <c r="C59" s="291"/>
      <c r="D59" s="291"/>
      <c r="E59" s="276">
        <f>SUM(E60:E61)</f>
        <v>0</v>
      </c>
      <c r="F59" s="292">
        <f t="shared" ref="F59:H59" si="47">SUM(F60:F61)</f>
        <v>0</v>
      </c>
      <c r="G59" s="278">
        <f t="shared" si="47"/>
        <v>0</v>
      </c>
      <c r="H59" s="279">
        <f t="shared" si="47"/>
        <v>0</v>
      </c>
      <c r="I59" s="368">
        <f t="shared" si="44"/>
        <v>0</v>
      </c>
      <c r="J59" s="369">
        <f t="shared" si="44"/>
        <v>0</v>
      </c>
      <c r="K59" s="368">
        <f t="shared" si="44"/>
        <v>0</v>
      </c>
      <c r="L59" s="370">
        <f t="shared" si="44"/>
        <v>0</v>
      </c>
      <c r="M59" s="278">
        <f t="shared" ref="M59" si="48">SUM(M60:M61)</f>
        <v>0</v>
      </c>
      <c r="N59" s="371">
        <f t="shared" si="15"/>
        <v>0</v>
      </c>
      <c r="O59" s="278">
        <f t="shared" si="22"/>
        <v>0</v>
      </c>
      <c r="P59" s="372">
        <f t="shared" si="16"/>
        <v>0</v>
      </c>
      <c r="Q59" s="217"/>
      <c r="R59" s="283">
        <f>SUM(R60:R61)</f>
        <v>140755.34279650281</v>
      </c>
      <c r="S59" s="284">
        <f t="shared" si="5"/>
        <v>1.5619654596296783E-3</v>
      </c>
      <c r="T59" s="392"/>
      <c r="U59" s="290" t="s">
        <v>107</v>
      </c>
      <c r="V59" s="291"/>
      <c r="W59" s="291"/>
      <c r="X59" s="279">
        <f>SUM(X60:X61)</f>
        <v>109856.57611941037</v>
      </c>
      <c r="Y59" s="285">
        <f t="shared" si="5"/>
        <v>1.4576476357987228E-3</v>
      </c>
      <c r="Z59" s="279">
        <v>0</v>
      </c>
      <c r="AA59" s="285">
        <f t="shared" si="19"/>
        <v>0</v>
      </c>
      <c r="AB59" s="279">
        <f t="shared" si="7"/>
        <v>109856.57611941037</v>
      </c>
      <c r="AC59" s="285">
        <f t="shared" si="8"/>
        <v>8.741805683911279E-4</v>
      </c>
      <c r="AD59" s="293" t="s">
        <v>303</v>
      </c>
      <c r="AF59" s="132"/>
      <c r="AG59" s="98" t="s">
        <v>107</v>
      </c>
      <c r="AH59" s="99"/>
      <c r="AI59" s="99"/>
      <c r="AJ59" s="289">
        <v>259267</v>
      </c>
      <c r="AK59" s="289">
        <v>154068</v>
      </c>
      <c r="AL59" s="289">
        <v>193867</v>
      </c>
      <c r="AM59" s="289">
        <f t="shared" si="9"/>
        <v>202400.66666666666</v>
      </c>
      <c r="AN59" s="289">
        <v>900</v>
      </c>
      <c r="AO59" s="373">
        <f t="shared" si="10"/>
        <v>1.6418281272102672E-3</v>
      </c>
      <c r="AP59" s="373">
        <f t="shared" si="10"/>
        <v>1.5748743329645461E-3</v>
      </c>
      <c r="AQ59" s="394">
        <f t="shared" si="10"/>
        <v>1.4576476357987228E-3</v>
      </c>
      <c r="AR59" s="373">
        <f t="shared" si="10"/>
        <v>1.5619654596296783E-3</v>
      </c>
      <c r="AS59" s="373">
        <f>SUM(AS60:AS61)</f>
        <v>1.4576476357987228E-3</v>
      </c>
      <c r="AT59" s="394">
        <f t="shared" si="11"/>
        <v>1.9452124431349562E-5</v>
      </c>
      <c r="AU59" s="177"/>
      <c r="AV59" s="258">
        <f t="shared" si="2"/>
        <v>0</v>
      </c>
      <c r="AW59" s="258">
        <f t="shared" si="3"/>
        <v>-118511.65720349719</v>
      </c>
      <c r="BB59" s="391">
        <f t="shared" si="34"/>
        <v>-1.6418281272102672E-3</v>
      </c>
      <c r="BC59" s="391">
        <f t="shared" si="35"/>
        <v>-1.5748743329645461E-3</v>
      </c>
      <c r="BD59" s="391">
        <f t="shared" si="36"/>
        <v>-1.4576476357987228E-3</v>
      </c>
      <c r="BE59" s="391" t="e">
        <f>#REF!-AO59</f>
        <v>#REF!</v>
      </c>
      <c r="BF59" s="391" t="e">
        <f>#REF!-AP59</f>
        <v>#REF!</v>
      </c>
      <c r="BG59" s="391" t="e">
        <f>#REF!-AQ59</f>
        <v>#REF!</v>
      </c>
    </row>
    <row r="60" spans="1:59" s="88" customFormat="1" ht="33.75" hidden="1" customHeight="1" outlineLevel="1">
      <c r="A60" s="392"/>
      <c r="B60" s="374"/>
      <c r="C60" s="291" t="s">
        <v>107</v>
      </c>
      <c r="D60" s="291"/>
      <c r="E60" s="276">
        <v>0</v>
      </c>
      <c r="F60" s="292">
        <v>0</v>
      </c>
      <c r="G60" s="278">
        <v>0</v>
      </c>
      <c r="H60" s="279">
        <f t="shared" ref="H60:H67" si="49">AVERAGE(E60:G60)</f>
        <v>0</v>
      </c>
      <c r="I60" s="368">
        <f t="shared" si="44"/>
        <v>0</v>
      </c>
      <c r="J60" s="369">
        <f t="shared" si="44"/>
        <v>0</v>
      </c>
      <c r="K60" s="368">
        <f t="shared" si="44"/>
        <v>0</v>
      </c>
      <c r="L60" s="370">
        <f t="shared" si="44"/>
        <v>0</v>
      </c>
      <c r="M60" s="278">
        <v>0</v>
      </c>
      <c r="N60" s="371">
        <f t="shared" si="15"/>
        <v>0</v>
      </c>
      <c r="O60" s="278">
        <f t="shared" si="22"/>
        <v>0</v>
      </c>
      <c r="P60" s="372">
        <f t="shared" si="16"/>
        <v>0</v>
      </c>
      <c r="Q60" s="217"/>
      <c r="R60" s="283">
        <f t="shared" ref="R60:R67" si="50">R$8*AR60</f>
        <v>140755.34279650281</v>
      </c>
      <c r="S60" s="284">
        <f t="shared" si="5"/>
        <v>1.5619654596296783E-3</v>
      </c>
      <c r="T60" s="392"/>
      <c r="U60" s="374"/>
      <c r="V60" s="291" t="s">
        <v>107</v>
      </c>
      <c r="W60" s="291"/>
      <c r="X60" s="279">
        <f>X$8*AQ60</f>
        <v>109856.57611941037</v>
      </c>
      <c r="Y60" s="285">
        <f t="shared" si="5"/>
        <v>1.4576476357987228E-3</v>
      </c>
      <c r="Z60" s="279">
        <f>Z$8*AO60</f>
        <v>82587.895186181748</v>
      </c>
      <c r="AA60" s="285">
        <f t="shared" si="19"/>
        <v>1.6418281272102672E-3</v>
      </c>
      <c r="AB60" s="279">
        <f t="shared" si="7"/>
        <v>192444.4713055921</v>
      </c>
      <c r="AC60" s="285">
        <f t="shared" si="8"/>
        <v>1.5313713866959679E-3</v>
      </c>
      <c r="AD60" s="293"/>
      <c r="AF60" s="132"/>
      <c r="AG60" s="125"/>
      <c r="AH60" s="99" t="s">
        <v>107</v>
      </c>
      <c r="AI60" s="99"/>
      <c r="AJ60" s="289">
        <v>259267</v>
      </c>
      <c r="AK60" s="289">
        <v>154068</v>
      </c>
      <c r="AL60" s="289">
        <v>193867</v>
      </c>
      <c r="AM60" s="289">
        <f t="shared" si="9"/>
        <v>202400.66666666666</v>
      </c>
      <c r="AN60" s="289">
        <v>193867</v>
      </c>
      <c r="AO60" s="373">
        <f t="shared" si="10"/>
        <v>1.6418281272102672E-3</v>
      </c>
      <c r="AP60" s="373">
        <f t="shared" si="10"/>
        <v>1.5748743329645461E-3</v>
      </c>
      <c r="AQ60" s="394">
        <f t="shared" si="10"/>
        <v>1.4576476357987228E-3</v>
      </c>
      <c r="AR60" s="373">
        <f t="shared" si="10"/>
        <v>1.5619654596296783E-3</v>
      </c>
      <c r="AS60" s="373">
        <f t="shared" si="38"/>
        <v>1.4576476357987228E-3</v>
      </c>
      <c r="AT60" s="394">
        <f t="shared" si="11"/>
        <v>4.1901388968138284E-3</v>
      </c>
      <c r="AU60" s="177"/>
      <c r="AV60" s="258">
        <f t="shared" si="2"/>
        <v>0</v>
      </c>
      <c r="AW60" s="258">
        <f t="shared" si="3"/>
        <v>-118511.65720349719</v>
      </c>
      <c r="BB60" s="391">
        <f t="shared" si="34"/>
        <v>0</v>
      </c>
      <c r="BC60" s="391">
        <f t="shared" si="35"/>
        <v>6.6953794245721079E-5</v>
      </c>
      <c r="BD60" s="391">
        <f t="shared" si="36"/>
        <v>1.8418049141154442E-4</v>
      </c>
      <c r="BE60" s="391" t="e">
        <f>#REF!-AO60</f>
        <v>#REF!</v>
      </c>
      <c r="BF60" s="391" t="e">
        <f>#REF!-AP60</f>
        <v>#REF!</v>
      </c>
      <c r="BG60" s="391" t="e">
        <f>#REF!-AQ60</f>
        <v>#REF!</v>
      </c>
    </row>
    <row r="61" spans="1:59" s="88" customFormat="1" ht="33.75" hidden="1" customHeight="1" outlineLevel="1">
      <c r="A61" s="392"/>
      <c r="B61" s="374"/>
      <c r="C61" s="291" t="s">
        <v>110</v>
      </c>
      <c r="D61" s="291"/>
      <c r="E61" s="276">
        <v>0</v>
      </c>
      <c r="F61" s="292">
        <v>0</v>
      </c>
      <c r="G61" s="278">
        <v>0</v>
      </c>
      <c r="H61" s="279">
        <f t="shared" si="49"/>
        <v>0</v>
      </c>
      <c r="I61" s="368">
        <f t="shared" si="44"/>
        <v>0</v>
      </c>
      <c r="J61" s="369">
        <f t="shared" si="44"/>
        <v>0</v>
      </c>
      <c r="K61" s="368">
        <f t="shared" si="44"/>
        <v>0</v>
      </c>
      <c r="L61" s="370">
        <f t="shared" si="44"/>
        <v>0</v>
      </c>
      <c r="M61" s="278">
        <v>0</v>
      </c>
      <c r="N61" s="371">
        <f t="shared" si="15"/>
        <v>0</v>
      </c>
      <c r="O61" s="278">
        <f t="shared" si="22"/>
        <v>0</v>
      </c>
      <c r="P61" s="372">
        <f t="shared" si="16"/>
        <v>0</v>
      </c>
      <c r="Q61" s="217"/>
      <c r="R61" s="283">
        <f t="shared" si="50"/>
        <v>0</v>
      </c>
      <c r="S61" s="284">
        <f t="shared" si="5"/>
        <v>0</v>
      </c>
      <c r="T61" s="392"/>
      <c r="U61" s="374"/>
      <c r="V61" s="291" t="s">
        <v>110</v>
      </c>
      <c r="W61" s="291"/>
      <c r="X61" s="279">
        <f>X$8*AS61</f>
        <v>0</v>
      </c>
      <c r="Y61" s="285">
        <f t="shared" si="5"/>
        <v>0</v>
      </c>
      <c r="Z61" s="279">
        <f>Z$8*AO61</f>
        <v>0</v>
      </c>
      <c r="AA61" s="285">
        <f t="shared" si="19"/>
        <v>0</v>
      </c>
      <c r="AB61" s="279">
        <f t="shared" si="7"/>
        <v>0</v>
      </c>
      <c r="AC61" s="285">
        <f t="shared" si="8"/>
        <v>0</v>
      </c>
      <c r="AD61" s="293"/>
      <c r="AF61" s="132"/>
      <c r="AG61" s="125"/>
      <c r="AH61" s="99" t="s">
        <v>110</v>
      </c>
      <c r="AI61" s="99"/>
      <c r="AJ61" s="289">
        <v>0</v>
      </c>
      <c r="AK61" s="289">
        <v>0</v>
      </c>
      <c r="AL61" s="289">
        <v>0</v>
      </c>
      <c r="AM61" s="289">
        <f t="shared" si="9"/>
        <v>0</v>
      </c>
      <c r="AN61" s="289">
        <v>0</v>
      </c>
      <c r="AO61" s="373">
        <f t="shared" si="10"/>
        <v>0</v>
      </c>
      <c r="AP61" s="373">
        <f t="shared" si="10"/>
        <v>0</v>
      </c>
      <c r="AQ61" s="394">
        <f t="shared" si="10"/>
        <v>0</v>
      </c>
      <c r="AR61" s="373">
        <f t="shared" si="10"/>
        <v>0</v>
      </c>
      <c r="AS61" s="373">
        <f t="shared" si="38"/>
        <v>0</v>
      </c>
      <c r="AT61" s="394">
        <f t="shared" si="11"/>
        <v>0</v>
      </c>
      <c r="AU61" s="177"/>
      <c r="AV61" s="258">
        <f t="shared" si="2"/>
        <v>0</v>
      </c>
      <c r="AW61" s="258">
        <f t="shared" si="3"/>
        <v>0</v>
      </c>
      <c r="BB61" s="391">
        <f t="shared" si="34"/>
        <v>0</v>
      </c>
      <c r="BC61" s="391">
        <f t="shared" si="35"/>
        <v>0</v>
      </c>
      <c r="BD61" s="391">
        <f t="shared" si="36"/>
        <v>0</v>
      </c>
      <c r="BE61" s="391" t="e">
        <f>#REF!-AO61</f>
        <v>#REF!</v>
      </c>
      <c r="BF61" s="391" t="e">
        <f>#REF!-AP61</f>
        <v>#REF!</v>
      </c>
      <c r="BG61" s="391" t="e">
        <f>#REF!-AQ61</f>
        <v>#REF!</v>
      </c>
    </row>
    <row r="62" spans="1:59" s="88" customFormat="1" ht="33.75" customHeight="1" collapsed="1">
      <c r="A62" s="392"/>
      <c r="B62" s="290" t="s">
        <v>112</v>
      </c>
      <c r="C62" s="291"/>
      <c r="D62" s="291"/>
      <c r="E62" s="395">
        <v>1964608</v>
      </c>
      <c r="F62" s="277">
        <v>2376414</v>
      </c>
      <c r="G62" s="396">
        <v>2110376</v>
      </c>
      <c r="H62" s="397">
        <f t="shared" si="49"/>
        <v>2150466</v>
      </c>
      <c r="I62" s="398">
        <f t="shared" si="44"/>
        <v>3.0845376865822907E-2</v>
      </c>
      <c r="J62" s="399">
        <f t="shared" si="44"/>
        <v>3.3471705427290124E-2</v>
      </c>
      <c r="K62" s="398">
        <f t="shared" si="44"/>
        <v>3.1874560698416057E-2</v>
      </c>
      <c r="L62" s="371">
        <f t="shared" si="44"/>
        <v>3.2112704088134561E-2</v>
      </c>
      <c r="M62" s="278">
        <v>1317157</v>
      </c>
      <c r="N62" s="371">
        <f t="shared" si="15"/>
        <v>3.0723887709154993E-2</v>
      </c>
      <c r="O62" s="278">
        <f t="shared" si="22"/>
        <v>3467623</v>
      </c>
      <c r="P62" s="372">
        <f t="shared" si="16"/>
        <v>3.1570631312447486E-2</v>
      </c>
      <c r="Q62" s="217"/>
      <c r="R62" s="400">
        <f t="shared" si="50"/>
        <v>503110.14173394069</v>
      </c>
      <c r="S62" s="401">
        <f t="shared" si="5"/>
        <v>5.5830254693346685E-3</v>
      </c>
      <c r="T62" s="392"/>
      <c r="U62" s="290" t="s">
        <v>112</v>
      </c>
      <c r="V62" s="291"/>
      <c r="W62" s="291"/>
      <c r="X62" s="397">
        <f>X$8*AQ62</f>
        <v>237485.86060800779</v>
      </c>
      <c r="Y62" s="402">
        <f t="shared" si="5"/>
        <v>3.1511149853661177E-3</v>
      </c>
      <c r="Z62" s="279">
        <f>Z$8*AO62*50%</f>
        <v>123057.92924265184</v>
      </c>
      <c r="AA62" s="402">
        <f t="shared" si="19"/>
        <v>2.4463629815406787E-3</v>
      </c>
      <c r="AB62" s="279">
        <f t="shared" si="7"/>
        <v>360543.78985065961</v>
      </c>
      <c r="AC62" s="402">
        <f t="shared" si="8"/>
        <v>2.8690169152818909E-3</v>
      </c>
      <c r="AD62" s="293" t="s">
        <v>304</v>
      </c>
      <c r="AF62" s="132"/>
      <c r="AG62" s="98" t="s">
        <v>112</v>
      </c>
      <c r="AH62" s="99"/>
      <c r="AI62" s="99"/>
      <c r="AJ62" s="289">
        <v>772628</v>
      </c>
      <c r="AK62" s="289">
        <v>978632</v>
      </c>
      <c r="AL62" s="289">
        <v>419098</v>
      </c>
      <c r="AM62" s="289">
        <f t="shared" si="9"/>
        <v>723452.66666666663</v>
      </c>
      <c r="AN62" s="289">
        <v>86974</v>
      </c>
      <c r="AO62" s="373">
        <f t="shared" si="10"/>
        <v>4.8927259630813574E-3</v>
      </c>
      <c r="AP62" s="373">
        <f t="shared" si="10"/>
        <v>1.0003520641650178E-2</v>
      </c>
      <c r="AQ62" s="394">
        <f t="shared" si="10"/>
        <v>3.1511149853661177E-3</v>
      </c>
      <c r="AR62" s="373">
        <f t="shared" si="10"/>
        <v>5.5830254693346685E-3</v>
      </c>
      <c r="AS62" s="373">
        <f t="shared" si="38"/>
        <v>3.1511149853661177E-3</v>
      </c>
      <c r="AT62" s="394">
        <f t="shared" si="11"/>
        <v>1.879810078102441E-3</v>
      </c>
      <c r="AU62" s="177"/>
      <c r="AV62" s="258">
        <f t="shared" si="2"/>
        <v>-266038</v>
      </c>
      <c r="AW62" s="258">
        <f t="shared" si="3"/>
        <v>-269517.85826605931</v>
      </c>
      <c r="BB62" s="391">
        <f t="shared" si="34"/>
        <v>-2.4463629815406787E-3</v>
      </c>
      <c r="BC62" s="391">
        <f t="shared" si="35"/>
        <v>-7.5571576601094984E-3</v>
      </c>
      <c r="BD62" s="391">
        <f t="shared" si="36"/>
        <v>-7.0475200382543899E-4</v>
      </c>
      <c r="BE62" s="391" t="e">
        <f>#REF!-AO62</f>
        <v>#REF!</v>
      </c>
      <c r="BF62" s="391" t="e">
        <f>#REF!-AP62</f>
        <v>#REF!</v>
      </c>
      <c r="BG62" s="391" t="e">
        <f>#REF!-AQ62</f>
        <v>#REF!</v>
      </c>
    </row>
    <row r="63" spans="1:59" s="88" customFormat="1" ht="33.75" hidden="1" customHeight="1" outlineLevel="1">
      <c r="A63" s="392"/>
      <c r="B63" s="290" t="s">
        <v>114</v>
      </c>
      <c r="C63" s="291"/>
      <c r="D63" s="291"/>
      <c r="E63" s="276">
        <v>0</v>
      </c>
      <c r="F63" s="292">
        <v>0</v>
      </c>
      <c r="G63" s="278">
        <v>0</v>
      </c>
      <c r="H63" s="279">
        <f t="shared" si="49"/>
        <v>0</v>
      </c>
      <c r="I63" s="368">
        <f t="shared" si="44"/>
        <v>0</v>
      </c>
      <c r="J63" s="369">
        <f t="shared" si="44"/>
        <v>0</v>
      </c>
      <c r="K63" s="368">
        <f t="shared" si="44"/>
        <v>0</v>
      </c>
      <c r="L63" s="370">
        <f t="shared" si="44"/>
        <v>0</v>
      </c>
      <c r="M63" s="278">
        <v>0</v>
      </c>
      <c r="N63" s="371">
        <f t="shared" si="15"/>
        <v>0</v>
      </c>
      <c r="O63" s="278">
        <f t="shared" si="22"/>
        <v>0</v>
      </c>
      <c r="P63" s="372">
        <f t="shared" si="16"/>
        <v>0</v>
      </c>
      <c r="Q63" s="217"/>
      <c r="R63" s="283">
        <f t="shared" si="50"/>
        <v>0</v>
      </c>
      <c r="S63" s="284">
        <f t="shared" si="5"/>
        <v>0</v>
      </c>
      <c r="T63" s="392"/>
      <c r="U63" s="290" t="s">
        <v>114</v>
      </c>
      <c r="V63" s="291"/>
      <c r="W63" s="291"/>
      <c r="X63" s="279">
        <f>X$8*AS63</f>
        <v>0</v>
      </c>
      <c r="Y63" s="285">
        <f t="shared" si="5"/>
        <v>0</v>
      </c>
      <c r="Z63" s="279">
        <f>Z$8*AO63</f>
        <v>0</v>
      </c>
      <c r="AA63" s="285">
        <f t="shared" si="19"/>
        <v>0</v>
      </c>
      <c r="AB63" s="279">
        <f t="shared" si="7"/>
        <v>0</v>
      </c>
      <c r="AC63" s="285">
        <f t="shared" si="8"/>
        <v>0</v>
      </c>
      <c r="AD63" s="293"/>
      <c r="AF63" s="132"/>
      <c r="AG63" s="98" t="s">
        <v>114</v>
      </c>
      <c r="AH63" s="99"/>
      <c r="AI63" s="99"/>
      <c r="AJ63" s="289">
        <v>0</v>
      </c>
      <c r="AK63" s="289">
        <v>0</v>
      </c>
      <c r="AL63" s="289">
        <v>0</v>
      </c>
      <c r="AM63" s="289">
        <f t="shared" si="9"/>
        <v>0</v>
      </c>
      <c r="AN63" s="289">
        <v>0</v>
      </c>
      <c r="AO63" s="373">
        <f t="shared" si="10"/>
        <v>0</v>
      </c>
      <c r="AP63" s="373">
        <f t="shared" si="10"/>
        <v>0</v>
      </c>
      <c r="AQ63" s="394">
        <f t="shared" si="10"/>
        <v>0</v>
      </c>
      <c r="AR63" s="373">
        <f t="shared" si="10"/>
        <v>0</v>
      </c>
      <c r="AS63" s="373">
        <f t="shared" si="38"/>
        <v>0</v>
      </c>
      <c r="AT63" s="394">
        <f t="shared" si="11"/>
        <v>0</v>
      </c>
      <c r="AU63" s="177"/>
      <c r="AV63" s="258">
        <f t="shared" si="2"/>
        <v>0</v>
      </c>
      <c r="AW63" s="258">
        <f t="shared" si="3"/>
        <v>0</v>
      </c>
      <c r="BB63" s="391">
        <f t="shared" si="34"/>
        <v>0</v>
      </c>
      <c r="BC63" s="391">
        <f t="shared" si="35"/>
        <v>0</v>
      </c>
      <c r="BD63" s="391">
        <f t="shared" si="36"/>
        <v>0</v>
      </c>
      <c r="BE63" s="391" t="e">
        <f>#REF!-AO63</f>
        <v>#REF!</v>
      </c>
      <c r="BF63" s="391" t="e">
        <f>#REF!-AP63</f>
        <v>#REF!</v>
      </c>
      <c r="BG63" s="391" t="e">
        <f>#REF!-AQ63</f>
        <v>#REF!</v>
      </c>
    </row>
    <row r="64" spans="1:59" s="88" customFormat="1" ht="33.75" customHeight="1">
      <c r="A64" s="392"/>
      <c r="B64" s="290" t="s">
        <v>116</v>
      </c>
      <c r="C64" s="291"/>
      <c r="D64" s="291"/>
      <c r="E64" s="276">
        <v>18700</v>
      </c>
      <c r="F64" s="292">
        <v>790500</v>
      </c>
      <c r="G64" s="278">
        <v>0</v>
      </c>
      <c r="H64" s="279">
        <f>AVERAGE(E64:G64)</f>
        <v>269733.33333333331</v>
      </c>
      <c r="I64" s="368">
        <f t="shared" si="44"/>
        <v>2.9359981604008958E-4</v>
      </c>
      <c r="J64" s="369">
        <f t="shared" si="44"/>
        <v>1.1134163971544035E-2</v>
      </c>
      <c r="K64" s="368">
        <f t="shared" si="44"/>
        <v>0</v>
      </c>
      <c r="L64" s="370">
        <f t="shared" si="44"/>
        <v>4.0279021923803936E-3</v>
      </c>
      <c r="M64" s="278">
        <v>0</v>
      </c>
      <c r="N64" s="371">
        <f t="shared" si="15"/>
        <v>0</v>
      </c>
      <c r="O64" s="278">
        <f t="shared" si="22"/>
        <v>269733.33333333331</v>
      </c>
      <c r="P64" s="372">
        <f t="shared" si="16"/>
        <v>2.4557605078015018E-3</v>
      </c>
      <c r="Q64" s="217"/>
      <c r="R64" s="400">
        <f t="shared" si="50"/>
        <v>116322.1317045812</v>
      </c>
      <c r="S64" s="284">
        <f t="shared" si="5"/>
        <v>1.2908295223701051E-3</v>
      </c>
      <c r="T64" s="392"/>
      <c r="U64" s="290" t="s">
        <v>116</v>
      </c>
      <c r="V64" s="291"/>
      <c r="W64" s="291"/>
      <c r="X64" s="397">
        <f>(20000000+3000000+10000000)*70%*1.4%</f>
        <v>323399.99999999994</v>
      </c>
      <c r="Y64" s="285">
        <f t="shared" si="5"/>
        <v>4.2910789874327374E-3</v>
      </c>
      <c r="Z64" s="279">
        <f>(3000000+3000000)*70%*1.4%</f>
        <v>58799.999999999993</v>
      </c>
      <c r="AA64" s="285">
        <f t="shared" si="19"/>
        <v>1.1689303094882151E-3</v>
      </c>
      <c r="AB64" s="279">
        <f t="shared" si="7"/>
        <v>382199.99999999994</v>
      </c>
      <c r="AC64" s="285">
        <f t="shared" si="8"/>
        <v>3.0413455893247652E-3</v>
      </c>
      <c r="AD64" s="293" t="s">
        <v>305</v>
      </c>
      <c r="AF64" s="132"/>
      <c r="AG64" s="98" t="s">
        <v>116</v>
      </c>
      <c r="AH64" s="99"/>
      <c r="AI64" s="99"/>
      <c r="AJ64" s="289">
        <v>76300</v>
      </c>
      <c r="AK64" s="289">
        <v>149500</v>
      </c>
      <c r="AL64" s="289">
        <v>276000</v>
      </c>
      <c r="AM64" s="289">
        <f t="shared" si="9"/>
        <v>167266.66666666666</v>
      </c>
      <c r="AN64" s="289">
        <v>4520</v>
      </c>
      <c r="AO64" s="373">
        <f t="shared" si="10"/>
        <v>4.8317559159531827E-4</v>
      </c>
      <c r="AP64" s="373">
        <f t="shared" si="10"/>
        <v>1.5281804967819381E-3</v>
      </c>
      <c r="AQ64" s="394">
        <f t="shared" si="10"/>
        <v>2.0751894209971138E-3</v>
      </c>
      <c r="AR64" s="373">
        <f t="shared" si="10"/>
        <v>1.2908295223701051E-3</v>
      </c>
      <c r="AS64" s="373">
        <f t="shared" si="38"/>
        <v>4.8317559159531827E-4</v>
      </c>
      <c r="AT64" s="394">
        <f t="shared" si="11"/>
        <v>9.7692891588555575E-5</v>
      </c>
      <c r="AU64" s="177"/>
      <c r="AV64" s="258">
        <f t="shared" si="2"/>
        <v>-790500</v>
      </c>
      <c r="AW64" s="258">
        <f t="shared" si="3"/>
        <v>40022.131704581203</v>
      </c>
      <c r="BB64" s="391">
        <f t="shared" si="34"/>
        <v>6.8575471789289683E-4</v>
      </c>
      <c r="BC64" s="391">
        <f t="shared" si="35"/>
        <v>-3.5925018729372304E-4</v>
      </c>
      <c r="BD64" s="391">
        <f t="shared" si="36"/>
        <v>-9.0625911150889866E-4</v>
      </c>
      <c r="BE64" s="391" t="e">
        <f>#REF!-AO64</f>
        <v>#REF!</v>
      </c>
      <c r="BF64" s="391" t="e">
        <f>#REF!-AP64</f>
        <v>#REF!</v>
      </c>
      <c r="BG64" s="391" t="e">
        <f>#REF!-AQ64</f>
        <v>#REF!</v>
      </c>
    </row>
    <row r="65" spans="1:59" s="88" customFormat="1" ht="33.75" customHeight="1">
      <c r="A65" s="392"/>
      <c r="B65" s="290" t="s">
        <v>118</v>
      </c>
      <c r="C65" s="291"/>
      <c r="D65" s="291"/>
      <c r="E65" s="276">
        <v>56773</v>
      </c>
      <c r="F65" s="292">
        <v>0</v>
      </c>
      <c r="G65" s="278">
        <v>0</v>
      </c>
      <c r="H65" s="279">
        <f t="shared" si="49"/>
        <v>18924.333333333332</v>
      </c>
      <c r="I65" s="368">
        <f t="shared" si="44"/>
        <v>8.9136590139272758E-4</v>
      </c>
      <c r="J65" s="369">
        <f t="shared" si="44"/>
        <v>0</v>
      </c>
      <c r="K65" s="368">
        <f t="shared" si="44"/>
        <v>0</v>
      </c>
      <c r="L65" s="370">
        <f t="shared" si="44"/>
        <v>2.8259526837371736E-4</v>
      </c>
      <c r="M65" s="278">
        <v>0</v>
      </c>
      <c r="N65" s="371">
        <f t="shared" si="15"/>
        <v>0</v>
      </c>
      <c r="O65" s="278">
        <f t="shared" si="22"/>
        <v>18924.333333333332</v>
      </c>
      <c r="P65" s="372">
        <f t="shared" si="16"/>
        <v>1.7229472480155051E-4</v>
      </c>
      <c r="Q65" s="217"/>
      <c r="R65" s="400">
        <f t="shared" si="50"/>
        <v>75859.740136158231</v>
      </c>
      <c r="S65" s="284">
        <f t="shared" si="5"/>
        <v>8.4181737982386791E-4</v>
      </c>
      <c r="T65" s="392"/>
      <c r="U65" s="290" t="s">
        <v>118</v>
      </c>
      <c r="V65" s="291"/>
      <c r="W65" s="291"/>
      <c r="X65" s="397">
        <v>0</v>
      </c>
      <c r="Y65" s="285">
        <f t="shared" si="5"/>
        <v>0</v>
      </c>
      <c r="Z65" s="279">
        <v>0</v>
      </c>
      <c r="AA65" s="285">
        <f t="shared" si="19"/>
        <v>0</v>
      </c>
      <c r="AB65" s="279">
        <f t="shared" si="7"/>
        <v>0</v>
      </c>
      <c r="AC65" s="285">
        <f t="shared" si="8"/>
        <v>0</v>
      </c>
      <c r="AD65" s="293"/>
      <c r="AF65" s="132"/>
      <c r="AG65" s="98" t="s">
        <v>118</v>
      </c>
      <c r="AH65" s="99"/>
      <c r="AI65" s="99"/>
      <c r="AJ65" s="289">
        <v>47000</v>
      </c>
      <c r="AK65" s="289">
        <v>84000</v>
      </c>
      <c r="AL65" s="289">
        <v>196250</v>
      </c>
      <c r="AM65" s="289">
        <f t="shared" si="9"/>
        <v>109083.33333333333</v>
      </c>
      <c r="AN65" s="289">
        <v>3300</v>
      </c>
      <c r="AO65" s="373">
        <f t="shared" si="10"/>
        <v>2.9763109836146732E-4</v>
      </c>
      <c r="AP65" s="373">
        <f t="shared" si="10"/>
        <v>8.586432222721257E-4</v>
      </c>
      <c r="AQ65" s="394">
        <f t="shared" si="10"/>
        <v>1.4755649415604478E-3</v>
      </c>
      <c r="AR65" s="373">
        <f t="shared" si="10"/>
        <v>8.4181737982386791E-4</v>
      </c>
      <c r="AS65" s="373">
        <f t="shared" si="38"/>
        <v>2.9763109836146732E-4</v>
      </c>
      <c r="AT65" s="394">
        <f t="shared" si="11"/>
        <v>7.1324456248281733E-5</v>
      </c>
      <c r="AU65" s="177"/>
      <c r="AV65" s="258">
        <f t="shared" si="2"/>
        <v>0</v>
      </c>
      <c r="AW65" s="258">
        <f t="shared" si="3"/>
        <v>28859.740136158231</v>
      </c>
      <c r="BB65" s="391">
        <f t="shared" si="34"/>
        <v>-2.9763109836146732E-4</v>
      </c>
      <c r="BC65" s="391">
        <f t="shared" si="35"/>
        <v>-8.586432222721257E-4</v>
      </c>
      <c r="BD65" s="391">
        <f t="shared" si="36"/>
        <v>-1.4755649415604478E-3</v>
      </c>
      <c r="BE65" s="391" t="e">
        <f>#REF!-AO65</f>
        <v>#REF!</v>
      </c>
      <c r="BF65" s="391" t="e">
        <f>#REF!-AP65</f>
        <v>#REF!</v>
      </c>
      <c r="BG65" s="391" t="e">
        <f>#REF!-AQ65</f>
        <v>#REF!</v>
      </c>
    </row>
    <row r="66" spans="1:59" s="88" customFormat="1" ht="33.75" customHeight="1" collapsed="1">
      <c r="A66" s="392"/>
      <c r="B66" s="290" t="s">
        <v>120</v>
      </c>
      <c r="C66" s="291"/>
      <c r="D66" s="291"/>
      <c r="E66" s="276">
        <f>3019936</f>
        <v>3019936</v>
      </c>
      <c r="F66" s="277">
        <f>2142343</f>
        <v>2142343</v>
      </c>
      <c r="G66" s="396">
        <f>1598893</f>
        <v>1598893</v>
      </c>
      <c r="H66" s="279">
        <f t="shared" si="49"/>
        <v>2253724</v>
      </c>
      <c r="I66" s="368">
        <f t="shared" si="44"/>
        <v>4.7414580430633367E-2</v>
      </c>
      <c r="J66" s="399">
        <f t="shared" si="44"/>
        <v>3.017482383970849E-2</v>
      </c>
      <c r="K66" s="398">
        <f t="shared" si="44"/>
        <v>2.4149256804840723E-2</v>
      </c>
      <c r="L66" s="370">
        <f t="shared" si="44"/>
        <v>3.3654645973629424E-2</v>
      </c>
      <c r="M66" s="278">
        <v>712528</v>
      </c>
      <c r="N66" s="371">
        <f t="shared" si="15"/>
        <v>1.6620365120960365E-2</v>
      </c>
      <c r="O66" s="278">
        <f t="shared" si="22"/>
        <v>2966252</v>
      </c>
      <c r="P66" s="372">
        <f t="shared" si="16"/>
        <v>2.7005948533566068E-2</v>
      </c>
      <c r="Q66" s="217"/>
      <c r="R66" s="400">
        <f t="shared" si="50"/>
        <v>2440751.266322339</v>
      </c>
      <c r="S66" s="284">
        <f t="shared" si="5"/>
        <v>2.7085076117178929E-2</v>
      </c>
      <c r="T66" s="392"/>
      <c r="U66" s="290" t="s">
        <v>120</v>
      </c>
      <c r="V66" s="291"/>
      <c r="W66" s="291"/>
      <c r="X66" s="397">
        <f>X$8*AQ66</f>
        <v>2114064.9071656871</v>
      </c>
      <c r="Y66" s="285">
        <f t="shared" si="5"/>
        <v>2.8050771494148488E-2</v>
      </c>
      <c r="Z66" s="279">
        <f>Z$8*AO66</f>
        <v>1206034.2185232602</v>
      </c>
      <c r="AA66" s="285">
        <f t="shared" si="19"/>
        <v>2.3975679461084566E-2</v>
      </c>
      <c r="AB66" s="279">
        <f t="shared" si="7"/>
        <v>3320099.1256889473</v>
      </c>
      <c r="AC66" s="285">
        <f t="shared" si="8"/>
        <v>2.6419594013697253E-2</v>
      </c>
      <c r="AD66" s="403" t="s">
        <v>306</v>
      </c>
      <c r="AF66" s="132"/>
      <c r="AG66" s="98" t="s">
        <v>120</v>
      </c>
      <c r="AH66" s="99"/>
      <c r="AI66" s="99"/>
      <c r="AJ66" s="289">
        <v>3786086</v>
      </c>
      <c r="AK66" s="289">
        <v>3012278</v>
      </c>
      <c r="AL66" s="289">
        <f>4937143-[1]Sheet1!C12</f>
        <v>3730750</v>
      </c>
      <c r="AM66" s="289">
        <f t="shared" si="9"/>
        <v>3509704.6666666665</v>
      </c>
      <c r="AN66" s="289">
        <v>1204490</v>
      </c>
      <c r="AO66" s="373">
        <f t="shared" si="10"/>
        <v>2.3975679461084563E-2</v>
      </c>
      <c r="AP66" s="373">
        <f t="shared" si="10"/>
        <v>3.0791334384517078E-2</v>
      </c>
      <c r="AQ66" s="394">
        <f t="shared" si="10"/>
        <v>2.8050771494148488E-2</v>
      </c>
      <c r="AR66" s="373">
        <f t="shared" si="10"/>
        <v>2.7085076117178929E-2</v>
      </c>
      <c r="AS66" s="373">
        <f t="shared" si="38"/>
        <v>2.3975679461084563E-2</v>
      </c>
      <c r="AT66" s="394">
        <f t="shared" si="11"/>
        <v>2.6033210395906926E-2</v>
      </c>
      <c r="AU66" s="177"/>
      <c r="AV66" s="258">
        <f t="shared" si="2"/>
        <v>-543450</v>
      </c>
      <c r="AW66" s="258">
        <f t="shared" si="3"/>
        <v>-1345334.733677661</v>
      </c>
      <c r="BB66" s="391">
        <f t="shared" si="34"/>
        <v>0</v>
      </c>
      <c r="BC66" s="391">
        <f t="shared" si="35"/>
        <v>-6.8156549234325119E-3</v>
      </c>
      <c r="BD66" s="391">
        <f t="shared" si="36"/>
        <v>-4.075092033063922E-3</v>
      </c>
      <c r="BE66" s="391" t="e">
        <f>#REF!-AO66</f>
        <v>#REF!</v>
      </c>
      <c r="BF66" s="391" t="e">
        <f>#REF!-AP66</f>
        <v>#REF!</v>
      </c>
      <c r="BG66" s="391" t="e">
        <f>#REF!-AQ66</f>
        <v>#REF!</v>
      </c>
    </row>
    <row r="67" spans="1:59" s="88" customFormat="1" ht="33.75" hidden="1" customHeight="1" outlineLevel="1">
      <c r="A67" s="392"/>
      <c r="B67" s="290" t="s">
        <v>122</v>
      </c>
      <c r="C67" s="291"/>
      <c r="D67" s="291"/>
      <c r="E67" s="276">
        <v>0</v>
      </c>
      <c r="F67" s="292">
        <v>0</v>
      </c>
      <c r="G67" s="278">
        <v>0</v>
      </c>
      <c r="H67" s="279">
        <f t="shared" si="49"/>
        <v>0</v>
      </c>
      <c r="I67" s="368">
        <f t="shared" si="44"/>
        <v>0</v>
      </c>
      <c r="J67" s="369">
        <f t="shared" si="44"/>
        <v>0</v>
      </c>
      <c r="K67" s="368">
        <f t="shared" si="44"/>
        <v>0</v>
      </c>
      <c r="L67" s="370">
        <f t="shared" si="44"/>
        <v>0</v>
      </c>
      <c r="M67" s="278">
        <v>0</v>
      </c>
      <c r="N67" s="371">
        <f t="shared" si="15"/>
        <v>0</v>
      </c>
      <c r="O67" s="278">
        <f t="shared" si="22"/>
        <v>0</v>
      </c>
      <c r="P67" s="372">
        <f t="shared" si="16"/>
        <v>0</v>
      </c>
      <c r="Q67" s="217"/>
      <c r="R67" s="283">
        <f t="shared" si="50"/>
        <v>0</v>
      </c>
      <c r="S67" s="284">
        <f t="shared" si="5"/>
        <v>0</v>
      </c>
      <c r="T67" s="392"/>
      <c r="U67" s="290" t="s">
        <v>122</v>
      </c>
      <c r="V67" s="291"/>
      <c r="W67" s="291"/>
      <c r="X67" s="279">
        <f>X$8*AS67</f>
        <v>0</v>
      </c>
      <c r="Y67" s="285">
        <f t="shared" si="5"/>
        <v>0</v>
      </c>
      <c r="Z67" s="279">
        <f>Z$8*AO67</f>
        <v>0</v>
      </c>
      <c r="AA67" s="285">
        <f t="shared" si="19"/>
        <v>0</v>
      </c>
      <c r="AB67" s="279">
        <f t="shared" si="7"/>
        <v>0</v>
      </c>
      <c r="AC67" s="285">
        <f t="shared" si="8"/>
        <v>0</v>
      </c>
      <c r="AD67" s="293"/>
      <c r="AF67" s="132"/>
      <c r="AG67" s="98" t="s">
        <v>122</v>
      </c>
      <c r="AH67" s="99"/>
      <c r="AI67" s="99"/>
      <c r="AJ67" s="289">
        <v>0</v>
      </c>
      <c r="AK67" s="289">
        <v>0</v>
      </c>
      <c r="AL67" s="289">
        <v>0</v>
      </c>
      <c r="AM67" s="289">
        <f t="shared" si="9"/>
        <v>0</v>
      </c>
      <c r="AN67" s="289">
        <v>0</v>
      </c>
      <c r="AO67" s="373">
        <f t="shared" si="10"/>
        <v>0</v>
      </c>
      <c r="AP67" s="373">
        <f t="shared" si="10"/>
        <v>0</v>
      </c>
      <c r="AQ67" s="394">
        <f t="shared" si="10"/>
        <v>0</v>
      </c>
      <c r="AR67" s="373">
        <f t="shared" si="10"/>
        <v>0</v>
      </c>
      <c r="AS67" s="373">
        <f t="shared" si="38"/>
        <v>0</v>
      </c>
      <c r="AT67" s="394">
        <f t="shared" si="11"/>
        <v>0</v>
      </c>
      <c r="AU67" s="177"/>
      <c r="AV67" s="258">
        <f t="shared" si="2"/>
        <v>0</v>
      </c>
      <c r="AW67" s="258">
        <f t="shared" si="3"/>
        <v>0</v>
      </c>
      <c r="BB67" s="391">
        <f t="shared" si="34"/>
        <v>0</v>
      </c>
      <c r="BC67" s="391">
        <f t="shared" si="35"/>
        <v>0</v>
      </c>
      <c r="BD67" s="391">
        <f t="shared" si="36"/>
        <v>0</v>
      </c>
      <c r="BE67" s="391" t="e">
        <f>#REF!-AO67</f>
        <v>#REF!</v>
      </c>
      <c r="BF67" s="391" t="e">
        <f>#REF!-AP67</f>
        <v>#REF!</v>
      </c>
      <c r="BG67" s="391" t="e">
        <f>#REF!-AQ67</f>
        <v>#REF!</v>
      </c>
    </row>
    <row r="68" spans="1:59" s="88" customFormat="1" ht="33.75" customHeight="1" collapsed="1">
      <c r="A68" s="392"/>
      <c r="B68" s="290" t="s">
        <v>124</v>
      </c>
      <c r="C68" s="291"/>
      <c r="D68" s="291"/>
      <c r="E68" s="276">
        <f>SUM(E69:E70)</f>
        <v>2985860</v>
      </c>
      <c r="F68" s="292">
        <f t="shared" ref="F68:H68" si="51">SUM(F69:F70)</f>
        <v>769521</v>
      </c>
      <c r="G68" s="278">
        <f t="shared" si="51"/>
        <v>607322</v>
      </c>
      <c r="H68" s="279">
        <f t="shared" si="51"/>
        <v>1454234.3333333333</v>
      </c>
      <c r="I68" s="368">
        <f t="shared" si="44"/>
        <v>4.6879569343393684E-2</v>
      </c>
      <c r="J68" s="369">
        <f t="shared" si="44"/>
        <v>1.0838675513657858E-2</v>
      </c>
      <c r="K68" s="368">
        <f t="shared" si="44"/>
        <v>9.1728307905716497E-3</v>
      </c>
      <c r="L68" s="370">
        <f t="shared" si="44"/>
        <v>2.171594287988695E-2</v>
      </c>
      <c r="M68" s="278">
        <f t="shared" ref="M68" si="52">SUM(M69:M70)</f>
        <v>649322</v>
      </c>
      <c r="N68" s="371">
        <f t="shared" si="15"/>
        <v>1.514602755410626E-2</v>
      </c>
      <c r="O68" s="278">
        <f t="shared" si="22"/>
        <v>2103556.333333333</v>
      </c>
      <c r="P68" s="372">
        <f t="shared" si="16"/>
        <v>1.915162099358279E-2</v>
      </c>
      <c r="Q68" s="217"/>
      <c r="R68" s="283">
        <f>SUM(R69:R70)</f>
        <v>3373745.4824971324</v>
      </c>
      <c r="S68" s="284">
        <f t="shared" si="5"/>
        <v>3.7438535607567103E-2</v>
      </c>
      <c r="T68" s="392"/>
      <c r="U68" s="290" t="s">
        <v>124</v>
      </c>
      <c r="V68" s="291"/>
      <c r="W68" s="291"/>
      <c r="X68" s="279">
        <f>SUM(X69:X70)</f>
        <v>2334082.7988070296</v>
      </c>
      <c r="Y68" s="285">
        <f t="shared" si="5"/>
        <v>3.0970110243936425E-2</v>
      </c>
      <c r="Z68" s="279">
        <f>SUM(Z69:Z70)</f>
        <v>1808503.1234627876</v>
      </c>
      <c r="AA68" s="285">
        <f t="shared" si="19"/>
        <v>3.595262101734286E-2</v>
      </c>
      <c r="AB68" s="279">
        <f>X68+Z68</f>
        <v>4142585.9222698174</v>
      </c>
      <c r="AC68" s="285">
        <f>AB68/AB$7</f>
        <v>3.296450921793348E-2</v>
      </c>
      <c r="AD68" s="293" t="s">
        <v>307</v>
      </c>
      <c r="AF68" s="132"/>
      <c r="AG68" s="98" t="s">
        <v>124</v>
      </c>
      <c r="AH68" s="99"/>
      <c r="AI68" s="99"/>
      <c r="AJ68" s="289">
        <v>4887840</v>
      </c>
      <c r="AK68" s="289">
        <v>4398504</v>
      </c>
      <c r="AL68" s="289">
        <v>3323886</v>
      </c>
      <c r="AM68" s="289">
        <f t="shared" si="9"/>
        <v>4203410</v>
      </c>
      <c r="AN68" s="289">
        <v>129155</v>
      </c>
      <c r="AO68" s="373">
        <f t="shared" si="10"/>
        <v>3.0952621017342863E-2</v>
      </c>
      <c r="AP68" s="373">
        <f t="shared" si="10"/>
        <v>4.4961257711152787E-2</v>
      </c>
      <c r="AQ68" s="394">
        <f t="shared" si="10"/>
        <v>2.4991641535508743E-2</v>
      </c>
      <c r="AR68" s="373">
        <f t="shared" si="10"/>
        <v>3.2438535607567105E-2</v>
      </c>
      <c r="AS68" s="373">
        <f>SUM(AS69:AS70)</f>
        <v>2.4991641535508743E-2</v>
      </c>
      <c r="AT68" s="394">
        <f t="shared" si="11"/>
        <v>2.791487923256614E-3</v>
      </c>
      <c r="AU68" s="177"/>
      <c r="AV68" s="258">
        <f t="shared" si="2"/>
        <v>-162199</v>
      </c>
      <c r="AW68" s="258">
        <f t="shared" si="3"/>
        <v>-1514094.5175028676</v>
      </c>
      <c r="BB68" s="391">
        <f t="shared" si="34"/>
        <v>4.9999999999999975E-3</v>
      </c>
      <c r="BC68" s="391">
        <f t="shared" si="35"/>
        <v>-9.0086366938099266E-3</v>
      </c>
      <c r="BD68" s="391">
        <f t="shared" si="36"/>
        <v>1.0960979481834117E-2</v>
      </c>
      <c r="BE68" s="391" t="e">
        <f>#REF!-AO68</f>
        <v>#REF!</v>
      </c>
      <c r="BF68" s="391" t="e">
        <f>#REF!-AP68</f>
        <v>#REF!</v>
      </c>
      <c r="BG68" s="391" t="e">
        <f>#REF!-AQ68</f>
        <v>#REF!</v>
      </c>
    </row>
    <row r="69" spans="1:59" s="88" customFormat="1" ht="33.75" hidden="1" customHeight="1" outlineLevel="1">
      <c r="A69" s="392"/>
      <c r="B69" s="374"/>
      <c r="C69" s="291" t="s">
        <v>124</v>
      </c>
      <c r="D69" s="291"/>
      <c r="E69" s="276">
        <v>2985860</v>
      </c>
      <c r="F69" s="292">
        <v>769521</v>
      </c>
      <c r="G69" s="278">
        <v>607322</v>
      </c>
      <c r="H69" s="279">
        <f t="shared" ref="H69:H72" si="53">AVERAGE(E69:G69)</f>
        <v>1454234.3333333333</v>
      </c>
      <c r="I69" s="368">
        <f t="shared" si="44"/>
        <v>4.6879569343393684E-2</v>
      </c>
      <c r="J69" s="369">
        <f t="shared" si="44"/>
        <v>1.0838675513657858E-2</v>
      </c>
      <c r="K69" s="368">
        <f t="shared" si="44"/>
        <v>9.1728307905716497E-3</v>
      </c>
      <c r="L69" s="370">
        <f t="shared" si="44"/>
        <v>2.171594287988695E-2</v>
      </c>
      <c r="M69" s="278">
        <v>649322</v>
      </c>
      <c r="N69" s="371">
        <f t="shared" si="15"/>
        <v>1.514602755410626E-2</v>
      </c>
      <c r="O69" s="278">
        <f t="shared" si="22"/>
        <v>2103556.333333333</v>
      </c>
      <c r="P69" s="372">
        <f t="shared" si="16"/>
        <v>1.915162099358279E-2</v>
      </c>
      <c r="Q69" s="217"/>
      <c r="R69" s="400">
        <f>R$8*AR69+R$8*0.5%</f>
        <v>3373745.4824971324</v>
      </c>
      <c r="S69" s="284">
        <f t="shared" si="5"/>
        <v>3.7438535607567103E-2</v>
      </c>
      <c r="T69" s="392"/>
      <c r="U69" s="374"/>
      <c r="V69" s="291" t="s">
        <v>124</v>
      </c>
      <c r="W69" s="291"/>
      <c r="X69" s="397">
        <f>X$8*AQ69+R$8*0.5%</f>
        <v>2334082.7988070296</v>
      </c>
      <c r="Y69" s="285">
        <f t="shared" si="5"/>
        <v>3.0970110243936425E-2</v>
      </c>
      <c r="Z69" s="279">
        <f>Z$8*AO69+Z$8*0.5%</f>
        <v>1808503.1234627876</v>
      </c>
      <c r="AA69" s="285">
        <f t="shared" si="19"/>
        <v>3.595262101734286E-2</v>
      </c>
      <c r="AB69" s="279">
        <f t="shared" si="7"/>
        <v>4142585.9222698174</v>
      </c>
      <c r="AC69" s="285">
        <f t="shared" ref="AC69:AC111" si="54">AB69/AB$7</f>
        <v>3.296450921793348E-2</v>
      </c>
      <c r="AD69" s="293" t="s">
        <v>308</v>
      </c>
      <c r="AF69" s="132"/>
      <c r="AG69" s="125"/>
      <c r="AH69" s="99" t="s">
        <v>124</v>
      </c>
      <c r="AI69" s="99"/>
      <c r="AJ69" s="289">
        <v>4887840</v>
      </c>
      <c r="AK69" s="289">
        <v>4398504</v>
      </c>
      <c r="AL69" s="289">
        <v>3323886</v>
      </c>
      <c r="AM69" s="289">
        <f t="shared" si="9"/>
        <v>4203410</v>
      </c>
      <c r="AN69" s="289">
        <v>3323886</v>
      </c>
      <c r="AO69" s="373">
        <f t="shared" si="10"/>
        <v>3.0952621017342863E-2</v>
      </c>
      <c r="AP69" s="373">
        <f t="shared" si="10"/>
        <v>4.4961257711152787E-2</v>
      </c>
      <c r="AQ69" s="394">
        <f t="shared" si="10"/>
        <v>2.4991641535508743E-2</v>
      </c>
      <c r="AR69" s="373">
        <f t="shared" si="10"/>
        <v>3.2438535607567105E-2</v>
      </c>
      <c r="AS69" s="373">
        <f t="shared" si="38"/>
        <v>2.4991641535508743E-2</v>
      </c>
      <c r="AT69" s="394">
        <f t="shared" si="11"/>
        <v>7.184071563068975E-2</v>
      </c>
      <c r="AU69" s="177"/>
      <c r="AV69" s="258">
        <f t="shared" si="2"/>
        <v>-162199</v>
      </c>
      <c r="AW69" s="258">
        <f t="shared" si="3"/>
        <v>-1514094.5175028676</v>
      </c>
      <c r="BB69" s="391">
        <f t="shared" si="34"/>
        <v>4.9999999999999975E-3</v>
      </c>
      <c r="BC69" s="391">
        <f t="shared" si="35"/>
        <v>-9.0086366938099266E-3</v>
      </c>
      <c r="BD69" s="391">
        <f t="shared" si="36"/>
        <v>1.0960979481834117E-2</v>
      </c>
      <c r="BE69" s="391" t="e">
        <f>#REF!-AO69</f>
        <v>#REF!</v>
      </c>
      <c r="BF69" s="391" t="e">
        <f>#REF!-AP69</f>
        <v>#REF!</v>
      </c>
      <c r="BG69" s="391" t="e">
        <f>#REF!-AQ69</f>
        <v>#REF!</v>
      </c>
    </row>
    <row r="70" spans="1:59" s="88" customFormat="1" ht="33.75" hidden="1" customHeight="1" outlineLevel="1">
      <c r="A70" s="392"/>
      <c r="B70" s="374"/>
      <c r="C70" s="291" t="s">
        <v>127</v>
      </c>
      <c r="D70" s="291"/>
      <c r="E70" s="276">
        <v>0</v>
      </c>
      <c r="F70" s="292">
        <v>0</v>
      </c>
      <c r="G70" s="278">
        <v>0</v>
      </c>
      <c r="H70" s="279">
        <f t="shared" si="53"/>
        <v>0</v>
      </c>
      <c r="I70" s="368">
        <f t="shared" si="44"/>
        <v>0</v>
      </c>
      <c r="J70" s="369">
        <f t="shared" si="44"/>
        <v>0</v>
      </c>
      <c r="K70" s="368">
        <f t="shared" si="44"/>
        <v>0</v>
      </c>
      <c r="L70" s="370">
        <f t="shared" si="44"/>
        <v>0</v>
      </c>
      <c r="M70" s="278">
        <v>0</v>
      </c>
      <c r="N70" s="371">
        <f t="shared" si="15"/>
        <v>0</v>
      </c>
      <c r="O70" s="278">
        <f t="shared" si="22"/>
        <v>0</v>
      </c>
      <c r="P70" s="372">
        <f t="shared" si="16"/>
        <v>0</v>
      </c>
      <c r="Q70" s="217"/>
      <c r="R70" s="283">
        <f>R$8*AR70</f>
        <v>0</v>
      </c>
      <c r="S70" s="284">
        <f t="shared" si="5"/>
        <v>0</v>
      </c>
      <c r="T70" s="392"/>
      <c r="U70" s="374"/>
      <c r="V70" s="291" t="s">
        <v>127</v>
      </c>
      <c r="W70" s="291"/>
      <c r="X70" s="279">
        <f>X$8*AS70</f>
        <v>0</v>
      </c>
      <c r="Y70" s="285">
        <f t="shared" si="5"/>
        <v>0</v>
      </c>
      <c r="Z70" s="279">
        <f>Z$8*AO70</f>
        <v>0</v>
      </c>
      <c r="AA70" s="285">
        <f t="shared" si="19"/>
        <v>0</v>
      </c>
      <c r="AB70" s="279">
        <f t="shared" si="7"/>
        <v>0</v>
      </c>
      <c r="AC70" s="285">
        <f t="shared" si="54"/>
        <v>0</v>
      </c>
      <c r="AD70" s="293"/>
      <c r="AF70" s="132"/>
      <c r="AG70" s="125"/>
      <c r="AH70" s="99" t="s">
        <v>127</v>
      </c>
      <c r="AI70" s="99"/>
      <c r="AJ70" s="289">
        <v>0</v>
      </c>
      <c r="AK70" s="289">
        <v>0</v>
      </c>
      <c r="AL70" s="289">
        <v>0</v>
      </c>
      <c r="AM70" s="289">
        <f t="shared" si="9"/>
        <v>0</v>
      </c>
      <c r="AN70" s="289">
        <v>0</v>
      </c>
      <c r="AO70" s="373">
        <f t="shared" si="10"/>
        <v>0</v>
      </c>
      <c r="AP70" s="373">
        <f t="shared" si="10"/>
        <v>0</v>
      </c>
      <c r="AQ70" s="394">
        <f t="shared" si="10"/>
        <v>0</v>
      </c>
      <c r="AR70" s="373">
        <f t="shared" si="10"/>
        <v>0</v>
      </c>
      <c r="AS70" s="373">
        <f t="shared" si="38"/>
        <v>0</v>
      </c>
      <c r="AT70" s="394">
        <f t="shared" si="11"/>
        <v>0</v>
      </c>
      <c r="AU70" s="177"/>
      <c r="AV70" s="258">
        <f t="shared" si="2"/>
        <v>0</v>
      </c>
      <c r="AW70" s="258">
        <f t="shared" si="3"/>
        <v>0</v>
      </c>
      <c r="BB70" s="391">
        <f t="shared" si="34"/>
        <v>0</v>
      </c>
      <c r="BC70" s="391">
        <f t="shared" si="35"/>
        <v>0</v>
      </c>
      <c r="BD70" s="391">
        <f t="shared" si="36"/>
        <v>0</v>
      </c>
      <c r="BE70" s="391" t="e">
        <f>#REF!-AO70</f>
        <v>#REF!</v>
      </c>
      <c r="BF70" s="391" t="e">
        <f>#REF!-AP70</f>
        <v>#REF!</v>
      </c>
      <c r="BG70" s="391" t="e">
        <f>#REF!-AQ70</f>
        <v>#REF!</v>
      </c>
    </row>
    <row r="71" spans="1:59" s="88" customFormat="1" ht="33.75" customHeight="1">
      <c r="A71" s="392"/>
      <c r="B71" s="290" t="s">
        <v>129</v>
      </c>
      <c r="C71" s="291"/>
      <c r="D71" s="291"/>
      <c r="E71" s="276">
        <v>0</v>
      </c>
      <c r="F71" s="292">
        <v>0</v>
      </c>
      <c r="G71" s="278">
        <v>0</v>
      </c>
      <c r="H71" s="279">
        <f>AVERAGE(E71:G71)</f>
        <v>0</v>
      </c>
      <c r="I71" s="368">
        <f t="shared" si="44"/>
        <v>0</v>
      </c>
      <c r="J71" s="369">
        <f t="shared" si="44"/>
        <v>0</v>
      </c>
      <c r="K71" s="368">
        <f t="shared" si="44"/>
        <v>0</v>
      </c>
      <c r="L71" s="370">
        <f t="shared" si="44"/>
        <v>0</v>
      </c>
      <c r="M71" s="278">
        <v>0</v>
      </c>
      <c r="N71" s="371">
        <f t="shared" si="15"/>
        <v>0</v>
      </c>
      <c r="O71" s="278">
        <f t="shared" si="22"/>
        <v>0</v>
      </c>
      <c r="P71" s="372">
        <f t="shared" si="16"/>
        <v>0</v>
      </c>
      <c r="Q71" s="217"/>
      <c r="R71" s="400">
        <f>R$8*AR71</f>
        <v>105980.86702249061</v>
      </c>
      <c r="S71" s="284">
        <f t="shared" si="5"/>
        <v>1.1760722568809607E-3</v>
      </c>
      <c r="T71" s="392"/>
      <c r="U71" s="290" t="s">
        <v>129</v>
      </c>
      <c r="V71" s="291"/>
      <c r="W71" s="291"/>
      <c r="X71" s="397">
        <v>0</v>
      </c>
      <c r="Y71" s="285">
        <f t="shared" si="5"/>
        <v>0</v>
      </c>
      <c r="Z71" s="279">
        <v>0</v>
      </c>
      <c r="AA71" s="285">
        <f t="shared" si="19"/>
        <v>0</v>
      </c>
      <c r="AB71" s="279">
        <f t="shared" si="7"/>
        <v>0</v>
      </c>
      <c r="AC71" s="285">
        <f t="shared" si="54"/>
        <v>0</v>
      </c>
      <c r="AD71" s="293" t="s">
        <v>302</v>
      </c>
      <c r="AF71" s="132"/>
      <c r="AG71" s="98" t="s">
        <v>129</v>
      </c>
      <c r="AH71" s="99"/>
      <c r="AI71" s="99"/>
      <c r="AJ71" s="289">
        <v>97238</v>
      </c>
      <c r="AK71" s="289">
        <v>80721</v>
      </c>
      <c r="AL71" s="289">
        <v>279230</v>
      </c>
      <c r="AM71" s="289">
        <f t="shared" si="9"/>
        <v>152396.33333333334</v>
      </c>
      <c r="AN71" s="289">
        <v>276</v>
      </c>
      <c r="AO71" s="373">
        <f t="shared" si="10"/>
        <v>6.1576707962707157E-4</v>
      </c>
      <c r="AP71" s="373">
        <f t="shared" si="10"/>
        <v>8.2512547077414602E-4</v>
      </c>
      <c r="AQ71" s="394">
        <f t="shared" si="10"/>
        <v>2.0994751522645802E-3</v>
      </c>
      <c r="AR71" s="373">
        <f t="shared" si="10"/>
        <v>1.1760722568809607E-3</v>
      </c>
      <c r="AS71" s="373">
        <f t="shared" si="38"/>
        <v>6.1576707962707157E-4</v>
      </c>
      <c r="AT71" s="394">
        <f t="shared" si="11"/>
        <v>5.9653181589471991E-6</v>
      </c>
      <c r="AU71" s="177"/>
      <c r="AV71" s="258">
        <f t="shared" ref="AV71:AV112" si="55">G71-F71</f>
        <v>0</v>
      </c>
      <c r="AW71" s="258">
        <f t="shared" ref="AW71:AW112" si="56">R71-AJ71</f>
        <v>8742.8670224906091</v>
      </c>
      <c r="BB71" s="391">
        <f t="shared" si="34"/>
        <v>-6.1576707962707157E-4</v>
      </c>
      <c r="BC71" s="391">
        <f t="shared" si="35"/>
        <v>-8.2512547077414602E-4</v>
      </c>
      <c r="BD71" s="391">
        <f t="shared" si="36"/>
        <v>-2.0994751522645802E-3</v>
      </c>
      <c r="BE71" s="391" t="e">
        <f>#REF!-AO71</f>
        <v>#REF!</v>
      </c>
      <c r="BF71" s="391" t="e">
        <f>#REF!-AP71</f>
        <v>#REF!</v>
      </c>
      <c r="BG71" s="391" t="e">
        <f>#REF!-AQ71</f>
        <v>#REF!</v>
      </c>
    </row>
    <row r="72" spans="1:59" s="88" customFormat="1" ht="33.75" customHeight="1">
      <c r="A72" s="392"/>
      <c r="B72" s="290" t="s">
        <v>131</v>
      </c>
      <c r="C72" s="291"/>
      <c r="D72" s="291"/>
      <c r="E72" s="276">
        <f>214085+831954</f>
        <v>1046039</v>
      </c>
      <c r="F72" s="292">
        <f>108850+911337</f>
        <v>1020187</v>
      </c>
      <c r="G72" s="278">
        <f>111480+890757</f>
        <v>1002237</v>
      </c>
      <c r="H72" s="279">
        <f t="shared" si="53"/>
        <v>1022821</v>
      </c>
      <c r="I72" s="368">
        <f t="shared" si="44"/>
        <v>1.6423361388810658E-2</v>
      </c>
      <c r="J72" s="369">
        <f t="shared" si="44"/>
        <v>1.436929707734041E-2</v>
      </c>
      <c r="K72" s="368">
        <f t="shared" si="44"/>
        <v>1.5137522456044996E-2</v>
      </c>
      <c r="L72" s="370">
        <f t="shared" si="44"/>
        <v>1.5273688636848887E-2</v>
      </c>
      <c r="M72" s="278">
        <v>639260</v>
      </c>
      <c r="N72" s="371">
        <f t="shared" si="15"/>
        <v>1.491132223186334E-2</v>
      </c>
      <c r="O72" s="278">
        <f t="shared" si="22"/>
        <v>1662081</v>
      </c>
      <c r="P72" s="372">
        <f t="shared" si="16"/>
        <v>1.5132252399532482E-2</v>
      </c>
      <c r="Q72" s="217"/>
      <c r="R72" s="400">
        <f>R$8*AR72</f>
        <v>551142.97606284241</v>
      </c>
      <c r="S72" s="284">
        <f t="shared" ref="S72:Y119" si="57">R72/R$7</f>
        <v>6.116046999169792E-3</v>
      </c>
      <c r="T72" s="392"/>
      <c r="U72" s="290" t="s">
        <v>131</v>
      </c>
      <c r="V72" s="291"/>
      <c r="W72" s="291"/>
      <c r="X72" s="397">
        <f>X$8*AQ72</f>
        <v>461890.9534569825</v>
      </c>
      <c r="Y72" s="285">
        <f t="shared" si="57"/>
        <v>6.128665939593477E-3</v>
      </c>
      <c r="Z72" s="279">
        <f>Z$8*AO72*50%</f>
        <v>196501.22831341083</v>
      </c>
      <c r="AA72" s="285">
        <f t="shared" si="19"/>
        <v>3.9063986671294178E-3</v>
      </c>
      <c r="AB72" s="279">
        <f t="shared" ref="AB72:AB119" si="58">X72+Z72</f>
        <v>658392.18177039339</v>
      </c>
      <c r="AC72" s="285">
        <f t="shared" si="54"/>
        <v>5.2391369912959057E-3</v>
      </c>
      <c r="AD72" s="293" t="s">
        <v>309</v>
      </c>
      <c r="AF72" s="132"/>
      <c r="AG72" s="98" t="s">
        <v>131</v>
      </c>
      <c r="AH72" s="99"/>
      <c r="AI72" s="99"/>
      <c r="AJ72" s="289">
        <v>1233747</v>
      </c>
      <c r="AK72" s="289">
        <v>328707</v>
      </c>
      <c r="AL72" s="289">
        <v>815112</v>
      </c>
      <c r="AM72" s="289">
        <f t="shared" ref="AM72:AM118" si="59">AVERAGE(AJ72:AL72)</f>
        <v>792522</v>
      </c>
      <c r="AN72" s="289">
        <v>1055031</v>
      </c>
      <c r="AO72" s="373">
        <f t="shared" ref="AO72:AR119" si="60">AJ72/AJ$7</f>
        <v>7.8127973342588357E-3</v>
      </c>
      <c r="AP72" s="373">
        <f t="shared" si="60"/>
        <v>3.3600242578976625E-3</v>
      </c>
      <c r="AQ72" s="394">
        <f t="shared" si="60"/>
        <v>6.128665939593477E-3</v>
      </c>
      <c r="AR72" s="373">
        <f t="shared" si="60"/>
        <v>6.116046999169792E-3</v>
      </c>
      <c r="AS72" s="373">
        <f t="shared" si="38"/>
        <v>3.3600242578976625E-3</v>
      </c>
      <c r="AT72" s="394">
        <f t="shared" ref="AT72:AT98" si="61">AN72/AN$7</f>
        <v>2.2802882545479068E-2</v>
      </c>
      <c r="AU72" s="177"/>
      <c r="AV72" s="258">
        <f t="shared" si="55"/>
        <v>-17950</v>
      </c>
      <c r="AW72" s="258">
        <f t="shared" si="56"/>
        <v>-682604.02393715759</v>
      </c>
      <c r="BB72" s="391">
        <f t="shared" si="34"/>
        <v>-3.9063986671294178E-3</v>
      </c>
      <c r="BC72" s="391">
        <f t="shared" si="35"/>
        <v>5.4637440923175533E-4</v>
      </c>
      <c r="BD72" s="391">
        <f t="shared" si="36"/>
        <v>-2.2222672724640591E-3</v>
      </c>
      <c r="BE72" s="391" t="e">
        <f>#REF!-AO72</f>
        <v>#REF!</v>
      </c>
      <c r="BF72" s="391" t="e">
        <f>#REF!-AP72</f>
        <v>#REF!</v>
      </c>
      <c r="BG72" s="391" t="e">
        <f>#REF!-AQ72</f>
        <v>#REF!</v>
      </c>
    </row>
    <row r="73" spans="1:59" s="88" customFormat="1" ht="33.75" customHeight="1" collapsed="1">
      <c r="A73" s="392"/>
      <c r="B73" s="290" t="s">
        <v>133</v>
      </c>
      <c r="C73" s="291"/>
      <c r="D73" s="291"/>
      <c r="E73" s="276">
        <v>2866346</v>
      </c>
      <c r="F73" s="292">
        <v>2901622</v>
      </c>
      <c r="G73" s="278">
        <v>2342862</v>
      </c>
      <c r="H73" s="279">
        <f>AVERAGE(E73:G73)</f>
        <v>2703610</v>
      </c>
      <c r="I73" s="368">
        <f t="shared" si="44"/>
        <v>4.5003136807874156E-2</v>
      </c>
      <c r="J73" s="369">
        <f t="shared" si="44"/>
        <v>4.0869241152991204E-2</v>
      </c>
      <c r="K73" s="368">
        <f t="shared" si="44"/>
        <v>3.5385967726610068E-2</v>
      </c>
      <c r="L73" s="370">
        <f t="shared" si="44"/>
        <v>4.0372750789699291E-2</v>
      </c>
      <c r="M73" s="278">
        <v>1457260</v>
      </c>
      <c r="N73" s="371">
        <f t="shared" si="15"/>
        <v>3.3991917898202877E-2</v>
      </c>
      <c r="O73" s="278">
        <f t="shared" si="22"/>
        <v>4160870</v>
      </c>
      <c r="P73" s="372">
        <f t="shared" si="16"/>
        <v>3.7882230193139035E-2</v>
      </c>
      <c r="Q73" s="217"/>
      <c r="R73" s="283">
        <f>AVERAGE(E73:G73)</f>
        <v>2703610</v>
      </c>
      <c r="S73" s="284">
        <f t="shared" si="57"/>
        <v>3.0002025872756549E-2</v>
      </c>
      <c r="T73" s="392"/>
      <c r="U73" s="290" t="s">
        <v>133</v>
      </c>
      <c r="V73" s="291"/>
      <c r="W73" s="291"/>
      <c r="X73" s="279">
        <f>AVERAGE(E73:G73)</f>
        <v>2703610</v>
      </c>
      <c r="Y73" s="285">
        <f t="shared" si="57"/>
        <v>3.5873234573942564E-2</v>
      </c>
      <c r="Z73" s="279">
        <v>1457260</v>
      </c>
      <c r="AA73" s="285">
        <f t="shared" si="19"/>
        <v>2.8969989503482934E-2</v>
      </c>
      <c r="AB73" s="279">
        <f t="shared" si="58"/>
        <v>4160870</v>
      </c>
      <c r="AC73" s="285">
        <f t="shared" si="54"/>
        <v>3.3110004244515275E-2</v>
      </c>
      <c r="AD73" s="293" t="s">
        <v>310</v>
      </c>
      <c r="AF73" s="132"/>
      <c r="AG73" s="98" t="s">
        <v>133</v>
      </c>
      <c r="AH73" s="99"/>
      <c r="AI73" s="99"/>
      <c r="AJ73" s="289">
        <v>4587879</v>
      </c>
      <c r="AK73" s="289">
        <v>8738934</v>
      </c>
      <c r="AL73" s="289">
        <v>5003900</v>
      </c>
      <c r="AM73" s="289">
        <f t="shared" si="59"/>
        <v>6110237.666666667</v>
      </c>
      <c r="AN73" s="289">
        <v>2084666</v>
      </c>
      <c r="AO73" s="373">
        <f t="shared" si="60"/>
        <v>2.9053095019564053E-2</v>
      </c>
      <c r="AP73" s="373">
        <f t="shared" si="60"/>
        <v>8.9328886297421875E-2</v>
      </c>
      <c r="AQ73" s="394">
        <f t="shared" si="60"/>
        <v>3.7623334578722675E-2</v>
      </c>
      <c r="AR73" s="373">
        <f t="shared" si="60"/>
        <v>4.7153896983845117E-2</v>
      </c>
      <c r="AS73" s="373">
        <f>SUM(AS74:AS78)</f>
        <v>2.8555544811891286E-2</v>
      </c>
      <c r="AT73" s="394">
        <f t="shared" si="61"/>
        <v>4.5056869366448628E-2</v>
      </c>
      <c r="AU73" s="177"/>
      <c r="AV73" s="258">
        <f t="shared" si="55"/>
        <v>-558760</v>
      </c>
      <c r="AW73" s="258">
        <f t="shared" si="56"/>
        <v>-1884269</v>
      </c>
      <c r="BB73" s="391">
        <f t="shared" si="34"/>
        <v>-8.3105516081118797E-5</v>
      </c>
      <c r="BC73" s="391">
        <f t="shared" si="35"/>
        <v>-6.0358896793938938E-2</v>
      </c>
      <c r="BD73" s="391">
        <f t="shared" si="36"/>
        <v>-8.6533450752397413E-3</v>
      </c>
      <c r="BE73" s="391" t="e">
        <f>#REF!-AO73</f>
        <v>#REF!</v>
      </c>
      <c r="BF73" s="391" t="e">
        <f>#REF!-AP73</f>
        <v>#REF!</v>
      </c>
      <c r="BG73" s="391" t="e">
        <f>#REF!-AQ73</f>
        <v>#REF!</v>
      </c>
    </row>
    <row r="74" spans="1:59" s="88" customFormat="1" ht="33.75" hidden="1" customHeight="1" outlineLevel="1">
      <c r="A74" s="392"/>
      <c r="B74" s="374"/>
      <c r="C74" s="291" t="s">
        <v>135</v>
      </c>
      <c r="D74" s="291"/>
      <c r="E74" s="276">
        <v>0</v>
      </c>
      <c r="F74" s="292">
        <v>0</v>
      </c>
      <c r="G74" s="278">
        <v>0</v>
      </c>
      <c r="H74" s="279">
        <f t="shared" ref="H74:H80" si="62">AVERAGE(E74:G74)</f>
        <v>0</v>
      </c>
      <c r="I74" s="368">
        <f t="shared" si="44"/>
        <v>0</v>
      </c>
      <c r="J74" s="369">
        <f t="shared" si="44"/>
        <v>0</v>
      </c>
      <c r="K74" s="368">
        <f t="shared" si="44"/>
        <v>0</v>
      </c>
      <c r="L74" s="370">
        <f t="shared" si="44"/>
        <v>0</v>
      </c>
      <c r="M74" s="278">
        <v>0</v>
      </c>
      <c r="N74" s="371">
        <f t="shared" si="15"/>
        <v>0</v>
      </c>
      <c r="O74" s="278">
        <f t="shared" si="22"/>
        <v>0</v>
      </c>
      <c r="P74" s="372">
        <f t="shared" si="16"/>
        <v>0</v>
      </c>
      <c r="Q74" s="217"/>
      <c r="R74" s="283">
        <v>0</v>
      </c>
      <c r="S74" s="284">
        <f t="shared" si="57"/>
        <v>0</v>
      </c>
      <c r="T74" s="392"/>
      <c r="U74" s="374"/>
      <c r="V74" s="291" t="s">
        <v>135</v>
      </c>
      <c r="W74" s="291"/>
      <c r="X74" s="279">
        <v>0</v>
      </c>
      <c r="Y74" s="285">
        <f t="shared" si="57"/>
        <v>0</v>
      </c>
      <c r="Z74" s="279">
        <v>0</v>
      </c>
      <c r="AA74" s="285">
        <f t="shared" si="19"/>
        <v>0</v>
      </c>
      <c r="AB74" s="279">
        <f t="shared" si="58"/>
        <v>0</v>
      </c>
      <c r="AC74" s="285">
        <f t="shared" si="54"/>
        <v>0</v>
      </c>
      <c r="AD74" s="293"/>
      <c r="AF74" s="132"/>
      <c r="AG74" s="125"/>
      <c r="AH74" s="99" t="s">
        <v>135</v>
      </c>
      <c r="AI74" s="99"/>
      <c r="AJ74" s="289">
        <v>4109295</v>
      </c>
      <c r="AK74" s="289">
        <v>4698583</v>
      </c>
      <c r="AL74" s="289">
        <v>3394806</v>
      </c>
      <c r="AM74" s="289">
        <f t="shared" si="59"/>
        <v>4067561.3333333335</v>
      </c>
      <c r="AN74" s="289">
        <v>0</v>
      </c>
      <c r="AO74" s="373">
        <f t="shared" si="60"/>
        <v>2.6022425198750764E-2</v>
      </c>
      <c r="AP74" s="373">
        <f t="shared" si="60"/>
        <v>4.8028648181345612E-2</v>
      </c>
      <c r="AQ74" s="394">
        <f t="shared" si="60"/>
        <v>2.5524874991078E-2</v>
      </c>
      <c r="AR74" s="373">
        <f t="shared" si="60"/>
        <v>3.1390164924976732E-2</v>
      </c>
      <c r="AS74" s="373">
        <f t="shared" si="38"/>
        <v>2.5524874991078E-2</v>
      </c>
      <c r="AT74" s="394">
        <f t="shared" si="61"/>
        <v>0</v>
      </c>
      <c r="AU74" s="177"/>
      <c r="AV74" s="258">
        <f t="shared" si="55"/>
        <v>0</v>
      </c>
      <c r="AW74" s="258">
        <f t="shared" si="56"/>
        <v>-4109295</v>
      </c>
      <c r="BB74" s="391">
        <f t="shared" si="34"/>
        <v>-2.6022425198750764E-2</v>
      </c>
      <c r="BC74" s="391">
        <f t="shared" si="35"/>
        <v>-4.8028648181345612E-2</v>
      </c>
      <c r="BD74" s="391">
        <f t="shared" si="36"/>
        <v>-2.5524874991078E-2</v>
      </c>
      <c r="BE74" s="391" t="e">
        <f>#REF!-AO74</f>
        <v>#REF!</v>
      </c>
      <c r="BF74" s="391" t="e">
        <f>#REF!-AP74</f>
        <v>#REF!</v>
      </c>
      <c r="BG74" s="391" t="e">
        <f>#REF!-AQ74</f>
        <v>#REF!</v>
      </c>
    </row>
    <row r="75" spans="1:59" s="88" customFormat="1" ht="33.75" hidden="1" customHeight="1" outlineLevel="1">
      <c r="A75" s="392"/>
      <c r="B75" s="374"/>
      <c r="C75" s="291" t="s">
        <v>137</v>
      </c>
      <c r="D75" s="291"/>
      <c r="E75" s="276">
        <v>0</v>
      </c>
      <c r="F75" s="292">
        <v>0</v>
      </c>
      <c r="G75" s="278">
        <v>0</v>
      </c>
      <c r="H75" s="279">
        <f t="shared" si="62"/>
        <v>0</v>
      </c>
      <c r="I75" s="368">
        <f t="shared" si="44"/>
        <v>0</v>
      </c>
      <c r="J75" s="369">
        <f t="shared" si="44"/>
        <v>0</v>
      </c>
      <c r="K75" s="368">
        <f t="shared" si="44"/>
        <v>0</v>
      </c>
      <c r="L75" s="370">
        <f t="shared" si="44"/>
        <v>0</v>
      </c>
      <c r="M75" s="278">
        <v>0</v>
      </c>
      <c r="N75" s="371">
        <f t="shared" si="15"/>
        <v>0</v>
      </c>
      <c r="O75" s="278">
        <f t="shared" si="22"/>
        <v>0</v>
      </c>
      <c r="P75" s="372">
        <f t="shared" si="16"/>
        <v>0</v>
      </c>
      <c r="Q75" s="217"/>
      <c r="R75" s="283">
        <v>0</v>
      </c>
      <c r="S75" s="284">
        <f t="shared" si="57"/>
        <v>0</v>
      </c>
      <c r="T75" s="392"/>
      <c r="U75" s="374"/>
      <c r="V75" s="291" t="s">
        <v>137</v>
      </c>
      <c r="W75" s="291"/>
      <c r="X75" s="279">
        <v>0</v>
      </c>
      <c r="Y75" s="285">
        <f t="shared" si="57"/>
        <v>0</v>
      </c>
      <c r="Z75" s="279">
        <v>0</v>
      </c>
      <c r="AA75" s="285">
        <f t="shared" si="19"/>
        <v>0</v>
      </c>
      <c r="AB75" s="279">
        <f t="shared" si="58"/>
        <v>0</v>
      </c>
      <c r="AC75" s="285">
        <f t="shared" si="54"/>
        <v>0</v>
      </c>
      <c r="AD75" s="293"/>
      <c r="AF75" s="132"/>
      <c r="AG75" s="125"/>
      <c r="AH75" s="99" t="s">
        <v>137</v>
      </c>
      <c r="AI75" s="99"/>
      <c r="AJ75" s="289">
        <v>478584</v>
      </c>
      <c r="AK75" s="289">
        <v>613869</v>
      </c>
      <c r="AL75" s="289">
        <v>619570</v>
      </c>
      <c r="AM75" s="289">
        <f t="shared" si="59"/>
        <v>570674.33333333337</v>
      </c>
      <c r="AN75" s="289">
        <v>0</v>
      </c>
      <c r="AO75" s="373">
        <f t="shared" si="60"/>
        <v>3.0306698208132869E-3</v>
      </c>
      <c r="AP75" s="373">
        <f t="shared" si="60"/>
        <v>6.2749340025353281E-3</v>
      </c>
      <c r="AQ75" s="373">
        <f t="shared" si="60"/>
        <v>4.6584243100260209E-3</v>
      </c>
      <c r="AR75" s="373">
        <f t="shared" si="60"/>
        <v>4.4040052438753183E-3</v>
      </c>
      <c r="AS75" s="373">
        <f t="shared" si="38"/>
        <v>3.0306698208132869E-3</v>
      </c>
      <c r="AT75" s="373">
        <f t="shared" si="61"/>
        <v>0</v>
      </c>
      <c r="AU75" s="177"/>
      <c r="AV75" s="258">
        <f t="shared" si="55"/>
        <v>0</v>
      </c>
      <c r="AW75" s="258">
        <f t="shared" si="56"/>
        <v>-478584</v>
      </c>
      <c r="BB75" s="391">
        <f t="shared" si="34"/>
        <v>-3.0306698208132869E-3</v>
      </c>
      <c r="BC75" s="391">
        <f t="shared" si="35"/>
        <v>-6.2749340025353281E-3</v>
      </c>
      <c r="BD75" s="391">
        <f t="shared" si="36"/>
        <v>-4.6584243100260209E-3</v>
      </c>
      <c r="BE75" s="391" t="e">
        <f>#REF!-AO75</f>
        <v>#REF!</v>
      </c>
      <c r="BF75" s="391" t="e">
        <f>#REF!-AP75</f>
        <v>#REF!</v>
      </c>
      <c r="BG75" s="391" t="e">
        <f>#REF!-AQ75</f>
        <v>#REF!</v>
      </c>
    </row>
    <row r="76" spans="1:59" s="88" customFormat="1" ht="33.75" hidden="1" customHeight="1" outlineLevel="1" collapsed="1">
      <c r="A76" s="392"/>
      <c r="B76" s="374"/>
      <c r="C76" s="291" t="s">
        <v>139</v>
      </c>
      <c r="D76" s="291"/>
      <c r="E76" s="276">
        <v>0</v>
      </c>
      <c r="F76" s="292">
        <v>0</v>
      </c>
      <c r="G76" s="278">
        <v>0</v>
      </c>
      <c r="H76" s="279">
        <f t="shared" si="62"/>
        <v>0</v>
      </c>
      <c r="I76" s="368">
        <f t="shared" si="44"/>
        <v>0</v>
      </c>
      <c r="J76" s="369">
        <f t="shared" si="44"/>
        <v>0</v>
      </c>
      <c r="K76" s="368">
        <f t="shared" si="44"/>
        <v>0</v>
      </c>
      <c r="L76" s="370">
        <f t="shared" si="44"/>
        <v>0</v>
      </c>
      <c r="M76" s="278">
        <v>0</v>
      </c>
      <c r="N76" s="371">
        <f t="shared" si="15"/>
        <v>0</v>
      </c>
      <c r="O76" s="278">
        <f t="shared" si="22"/>
        <v>0</v>
      </c>
      <c r="P76" s="372">
        <f t="shared" si="16"/>
        <v>0</v>
      </c>
      <c r="Q76" s="217"/>
      <c r="R76" s="283">
        <v>0</v>
      </c>
      <c r="S76" s="284">
        <f t="shared" si="57"/>
        <v>0</v>
      </c>
      <c r="T76" s="392"/>
      <c r="U76" s="374"/>
      <c r="V76" s="291" t="s">
        <v>139</v>
      </c>
      <c r="W76" s="291"/>
      <c r="X76" s="279">
        <v>0</v>
      </c>
      <c r="Y76" s="285">
        <f t="shared" si="57"/>
        <v>0</v>
      </c>
      <c r="Z76" s="279">
        <v>0</v>
      </c>
      <c r="AA76" s="285">
        <f t="shared" si="19"/>
        <v>0</v>
      </c>
      <c r="AB76" s="279">
        <f t="shared" si="58"/>
        <v>0</v>
      </c>
      <c r="AC76" s="285">
        <f t="shared" si="54"/>
        <v>0</v>
      </c>
      <c r="AD76" s="293"/>
      <c r="AF76" s="132"/>
      <c r="AG76" s="125"/>
      <c r="AH76" s="99" t="s">
        <v>139</v>
      </c>
      <c r="AI76" s="99"/>
      <c r="AJ76" s="289">
        <v>0</v>
      </c>
      <c r="AK76" s="289">
        <v>3426482</v>
      </c>
      <c r="AL76" s="289">
        <v>989524</v>
      </c>
      <c r="AM76" s="289">
        <f t="shared" si="59"/>
        <v>1472002</v>
      </c>
      <c r="AN76" s="289">
        <v>0</v>
      </c>
      <c r="AO76" s="373">
        <f t="shared" si="60"/>
        <v>0</v>
      </c>
      <c r="AP76" s="373">
        <f t="shared" si="60"/>
        <v>3.5025304113540927E-2</v>
      </c>
      <c r="AQ76" s="373">
        <f t="shared" si="60"/>
        <v>7.4400352776186531E-3</v>
      </c>
      <c r="AR76" s="373">
        <f t="shared" si="60"/>
        <v>1.1359726814993063E-2</v>
      </c>
      <c r="AS76" s="373">
        <f t="shared" si="38"/>
        <v>0</v>
      </c>
      <c r="AT76" s="373">
        <f t="shared" si="61"/>
        <v>0</v>
      </c>
      <c r="AU76" s="177"/>
      <c r="AV76" s="258">
        <f t="shared" si="55"/>
        <v>0</v>
      </c>
      <c r="AW76" s="258">
        <f t="shared" si="56"/>
        <v>0</v>
      </c>
      <c r="BB76" s="391">
        <f t="shared" si="34"/>
        <v>0</v>
      </c>
      <c r="BC76" s="391">
        <f t="shared" si="35"/>
        <v>-3.5025304113540927E-2</v>
      </c>
      <c r="BD76" s="391">
        <f t="shared" si="36"/>
        <v>-7.4400352776186531E-3</v>
      </c>
      <c r="BE76" s="391" t="e">
        <f>#REF!-AO76</f>
        <v>#REF!</v>
      </c>
      <c r="BF76" s="391" t="e">
        <f>#REF!-AP76</f>
        <v>#REF!</v>
      </c>
      <c r="BG76" s="391" t="e">
        <f>#REF!-AQ76</f>
        <v>#REF!</v>
      </c>
    </row>
    <row r="77" spans="1:59" s="88" customFormat="1" ht="33.75" hidden="1" customHeight="1" outlineLevel="1">
      <c r="A77" s="392"/>
      <c r="B77" s="374"/>
      <c r="C77" s="291" t="s">
        <v>141</v>
      </c>
      <c r="D77" s="291"/>
      <c r="E77" s="276">
        <v>0</v>
      </c>
      <c r="F77" s="292">
        <v>0</v>
      </c>
      <c r="G77" s="278">
        <v>0</v>
      </c>
      <c r="H77" s="279">
        <f t="shared" si="62"/>
        <v>0</v>
      </c>
      <c r="I77" s="368">
        <f t="shared" si="44"/>
        <v>0</v>
      </c>
      <c r="J77" s="369">
        <f t="shared" si="44"/>
        <v>0</v>
      </c>
      <c r="K77" s="368">
        <f t="shared" si="44"/>
        <v>0</v>
      </c>
      <c r="L77" s="370">
        <f t="shared" si="44"/>
        <v>0</v>
      </c>
      <c r="M77" s="278">
        <v>0</v>
      </c>
      <c r="N77" s="371">
        <f t="shared" si="15"/>
        <v>0</v>
      </c>
      <c r="O77" s="278">
        <f t="shared" si="22"/>
        <v>0</v>
      </c>
      <c r="P77" s="372">
        <f t="shared" si="16"/>
        <v>0</v>
      </c>
      <c r="Q77" s="217"/>
      <c r="R77" s="283">
        <v>0</v>
      </c>
      <c r="S77" s="284">
        <f t="shared" si="57"/>
        <v>0</v>
      </c>
      <c r="T77" s="392"/>
      <c r="U77" s="374"/>
      <c r="V77" s="291" t="s">
        <v>141</v>
      </c>
      <c r="W77" s="291"/>
      <c r="X77" s="279">
        <v>0</v>
      </c>
      <c r="Y77" s="285">
        <f t="shared" si="57"/>
        <v>0</v>
      </c>
      <c r="Z77" s="279">
        <v>0</v>
      </c>
      <c r="AA77" s="285">
        <f t="shared" si="19"/>
        <v>0</v>
      </c>
      <c r="AB77" s="279">
        <f t="shared" si="58"/>
        <v>0</v>
      </c>
      <c r="AC77" s="285">
        <f t="shared" si="54"/>
        <v>0</v>
      </c>
      <c r="AD77" s="293"/>
      <c r="AF77" s="132"/>
      <c r="AG77" s="125"/>
      <c r="AH77" s="99" t="s">
        <v>141</v>
      </c>
      <c r="AI77" s="99"/>
      <c r="AJ77" s="289">
        <v>0</v>
      </c>
      <c r="AK77" s="289">
        <v>0</v>
      </c>
      <c r="AL77" s="289">
        <v>0</v>
      </c>
      <c r="AM77" s="289">
        <f t="shared" si="59"/>
        <v>0</v>
      </c>
      <c r="AN77" s="289">
        <v>0</v>
      </c>
      <c r="AO77" s="373">
        <f t="shared" si="60"/>
        <v>0</v>
      </c>
      <c r="AP77" s="373">
        <f t="shared" si="60"/>
        <v>0</v>
      </c>
      <c r="AQ77" s="373">
        <f t="shared" si="60"/>
        <v>0</v>
      </c>
      <c r="AR77" s="373">
        <f t="shared" si="60"/>
        <v>0</v>
      </c>
      <c r="AS77" s="373">
        <f>MIN(AO77:AQ77)</f>
        <v>0</v>
      </c>
      <c r="AT77" s="373">
        <f t="shared" si="61"/>
        <v>0</v>
      </c>
      <c r="AU77" s="177"/>
      <c r="AV77" s="258">
        <f t="shared" si="55"/>
        <v>0</v>
      </c>
      <c r="AW77" s="258">
        <f t="shared" si="56"/>
        <v>0</v>
      </c>
      <c r="BB77" s="391">
        <f t="shared" si="34"/>
        <v>0</v>
      </c>
      <c r="BC77" s="391">
        <f t="shared" si="35"/>
        <v>0</v>
      </c>
      <c r="BD77" s="391">
        <f t="shared" si="36"/>
        <v>0</v>
      </c>
      <c r="BE77" s="391" t="e">
        <f>#REF!-AO77</f>
        <v>#REF!</v>
      </c>
      <c r="BF77" s="391" t="e">
        <f>#REF!-AP77</f>
        <v>#REF!</v>
      </c>
      <c r="BG77" s="391" t="e">
        <f>#REF!-AQ77</f>
        <v>#REF!</v>
      </c>
    </row>
    <row r="78" spans="1:59" s="88" customFormat="1" ht="33.75" hidden="1" customHeight="1" outlineLevel="1">
      <c r="A78" s="392"/>
      <c r="B78" s="374"/>
      <c r="C78" s="291" t="s">
        <v>143</v>
      </c>
      <c r="D78" s="291"/>
      <c r="E78" s="276">
        <v>0</v>
      </c>
      <c r="F78" s="292">
        <v>0</v>
      </c>
      <c r="G78" s="278">
        <v>0</v>
      </c>
      <c r="H78" s="279">
        <f t="shared" si="62"/>
        <v>0</v>
      </c>
      <c r="I78" s="368">
        <f t="shared" si="44"/>
        <v>0</v>
      </c>
      <c r="J78" s="369">
        <f t="shared" si="44"/>
        <v>0</v>
      </c>
      <c r="K78" s="368">
        <f t="shared" si="44"/>
        <v>0</v>
      </c>
      <c r="L78" s="370">
        <f t="shared" si="44"/>
        <v>0</v>
      </c>
      <c r="M78" s="278">
        <v>0</v>
      </c>
      <c r="N78" s="371">
        <f t="shared" si="15"/>
        <v>0</v>
      </c>
      <c r="O78" s="278">
        <f t="shared" si="22"/>
        <v>0</v>
      </c>
      <c r="P78" s="372">
        <f t="shared" si="16"/>
        <v>0</v>
      </c>
      <c r="Q78" s="217"/>
      <c r="R78" s="283">
        <v>0</v>
      </c>
      <c r="S78" s="284">
        <f t="shared" si="57"/>
        <v>0</v>
      </c>
      <c r="T78" s="392"/>
      <c r="U78" s="374"/>
      <c r="V78" s="291" t="s">
        <v>143</v>
      </c>
      <c r="W78" s="291"/>
      <c r="X78" s="279">
        <v>0</v>
      </c>
      <c r="Y78" s="285">
        <f t="shared" si="57"/>
        <v>0</v>
      </c>
      <c r="Z78" s="279">
        <v>0</v>
      </c>
      <c r="AA78" s="285">
        <f t="shared" si="19"/>
        <v>0</v>
      </c>
      <c r="AB78" s="279">
        <f t="shared" si="58"/>
        <v>0</v>
      </c>
      <c r="AC78" s="285">
        <f t="shared" si="54"/>
        <v>0</v>
      </c>
      <c r="AD78" s="293"/>
      <c r="AF78" s="132"/>
      <c r="AG78" s="125"/>
      <c r="AH78" s="99" t="s">
        <v>143</v>
      </c>
      <c r="AI78" s="99"/>
      <c r="AJ78" s="289">
        <v>0</v>
      </c>
      <c r="AK78" s="289">
        <v>0</v>
      </c>
      <c r="AL78" s="289">
        <v>0</v>
      </c>
      <c r="AM78" s="289">
        <f t="shared" si="59"/>
        <v>0</v>
      </c>
      <c r="AN78" s="289">
        <v>0</v>
      </c>
      <c r="AO78" s="373">
        <f t="shared" si="60"/>
        <v>0</v>
      </c>
      <c r="AP78" s="373">
        <f t="shared" si="60"/>
        <v>0</v>
      </c>
      <c r="AQ78" s="373">
        <f t="shared" si="60"/>
        <v>0</v>
      </c>
      <c r="AR78" s="373">
        <f t="shared" si="60"/>
        <v>0</v>
      </c>
      <c r="AS78" s="373">
        <f t="shared" si="38"/>
        <v>0</v>
      </c>
      <c r="AT78" s="373">
        <f t="shared" si="61"/>
        <v>0</v>
      </c>
      <c r="AU78" s="177"/>
      <c r="AV78" s="258">
        <f t="shared" si="55"/>
        <v>0</v>
      </c>
      <c r="AW78" s="258">
        <f t="shared" si="56"/>
        <v>0</v>
      </c>
      <c r="BB78" s="391">
        <f t="shared" si="34"/>
        <v>0</v>
      </c>
      <c r="BC78" s="391">
        <f t="shared" si="35"/>
        <v>0</v>
      </c>
      <c r="BD78" s="391">
        <f t="shared" si="36"/>
        <v>0</v>
      </c>
      <c r="BE78" s="391" t="e">
        <f>#REF!-AO78</f>
        <v>#REF!</v>
      </c>
      <c r="BF78" s="391" t="e">
        <f>#REF!-AP78</f>
        <v>#REF!</v>
      </c>
      <c r="BG78" s="391" t="e">
        <f>#REF!-AQ78</f>
        <v>#REF!</v>
      </c>
    </row>
    <row r="79" spans="1:59" s="88" customFormat="1" ht="33.75" customHeight="1">
      <c r="A79" s="392"/>
      <c r="B79" s="290" t="s">
        <v>145</v>
      </c>
      <c r="C79" s="291"/>
      <c r="D79" s="291"/>
      <c r="E79" s="276">
        <v>935622</v>
      </c>
      <c r="F79" s="292">
        <v>832670</v>
      </c>
      <c r="G79" s="278">
        <v>792651</v>
      </c>
      <c r="H79" s="279">
        <f>AVERAGE(E79:G79)</f>
        <v>853647.66666666663</v>
      </c>
      <c r="I79" s="368">
        <f t="shared" si="44"/>
        <v>1.468975652850592E-2</v>
      </c>
      <c r="J79" s="369">
        <f t="shared" si="44"/>
        <v>1.1728126899665492E-2</v>
      </c>
      <c r="K79" s="368">
        <f t="shared" si="44"/>
        <v>1.1971990968509965E-2</v>
      </c>
      <c r="L79" s="370">
        <f t="shared" si="44"/>
        <v>1.2747439352769676E-2</v>
      </c>
      <c r="M79" s="278">
        <v>3795824</v>
      </c>
      <c r="N79" s="371">
        <f t="shared" si="15"/>
        <v>8.8541054968933497E-2</v>
      </c>
      <c r="O79" s="278">
        <f t="shared" si="22"/>
        <v>4649471.666666667</v>
      </c>
      <c r="P79" s="372">
        <f t="shared" si="16"/>
        <v>4.2330655837155326E-2</v>
      </c>
      <c r="Q79" s="217"/>
      <c r="R79" s="283">
        <f>R$8*AR79</f>
        <v>18141.199093401396</v>
      </c>
      <c r="S79" s="284">
        <f t="shared" si="57"/>
        <v>2.0131332720438831E-4</v>
      </c>
      <c r="T79" s="392"/>
      <c r="U79" s="290" t="s">
        <v>145</v>
      </c>
      <c r="V79" s="291"/>
      <c r="W79" s="291"/>
      <c r="X79" s="279">
        <f>X$8*AQ79</f>
        <v>17261.581505617141</v>
      </c>
      <c r="Y79" s="285">
        <f t="shared" si="57"/>
        <v>2.2903775413918144E-4</v>
      </c>
      <c r="Z79" s="279">
        <v>0</v>
      </c>
      <c r="AA79" s="285">
        <f t="shared" si="19"/>
        <v>0</v>
      </c>
      <c r="AB79" s="279">
        <f t="shared" si="58"/>
        <v>17261.581505617141</v>
      </c>
      <c r="AC79" s="285">
        <f t="shared" si="54"/>
        <v>1.3735854206404667E-4</v>
      </c>
      <c r="AD79" s="293" t="s">
        <v>311</v>
      </c>
      <c r="AF79" s="132"/>
      <c r="AG79" s="98" t="s">
        <v>145</v>
      </c>
      <c r="AH79" s="99"/>
      <c r="AI79" s="99"/>
      <c r="AJ79" s="289">
        <v>21081</v>
      </c>
      <c r="AK79" s="289">
        <v>26716</v>
      </c>
      <c r="AL79" s="289">
        <v>30462</v>
      </c>
      <c r="AM79" s="289">
        <f t="shared" si="59"/>
        <v>26086.333333333332</v>
      </c>
      <c r="AN79" s="289">
        <v>0</v>
      </c>
      <c r="AO79" s="373">
        <f t="shared" si="60"/>
        <v>1.3349704647995942E-4</v>
      </c>
      <c r="AP79" s="373">
        <f t="shared" si="60"/>
        <v>2.7308943245502515E-4</v>
      </c>
      <c r="AQ79" s="373">
        <f t="shared" si="60"/>
        <v>2.2903775413918146E-4</v>
      </c>
      <c r="AR79" s="373">
        <f t="shared" si="60"/>
        <v>2.0131332720438831E-4</v>
      </c>
      <c r="AS79" s="373">
        <f>MIN(AO79:AQ79)</f>
        <v>1.3349704647995942E-4</v>
      </c>
      <c r="AT79" s="373">
        <f t="shared" si="61"/>
        <v>0</v>
      </c>
      <c r="AU79" s="177"/>
      <c r="AV79" s="258">
        <f t="shared" si="55"/>
        <v>-40019</v>
      </c>
      <c r="AW79" s="258">
        <f t="shared" si="56"/>
        <v>-2939.8009065986043</v>
      </c>
      <c r="BB79" s="391">
        <f t="shared" si="34"/>
        <v>-1.3349704647995942E-4</v>
      </c>
      <c r="BC79" s="391">
        <f t="shared" si="35"/>
        <v>-2.7308943245502515E-4</v>
      </c>
      <c r="BD79" s="391">
        <f t="shared" si="36"/>
        <v>-2.2903775413918146E-4</v>
      </c>
      <c r="BE79" s="391" t="e">
        <f>#REF!-AO79</f>
        <v>#REF!</v>
      </c>
      <c r="BF79" s="391" t="e">
        <f>#REF!-AP79</f>
        <v>#REF!</v>
      </c>
      <c r="BG79" s="391" t="e">
        <f>#REF!-AQ79</f>
        <v>#REF!</v>
      </c>
    </row>
    <row r="80" spans="1:59" s="88" customFormat="1" ht="33.75" customHeight="1">
      <c r="A80" s="392"/>
      <c r="B80" s="290" t="s">
        <v>147</v>
      </c>
      <c r="C80" s="291"/>
      <c r="D80" s="291"/>
      <c r="E80" s="276">
        <v>0</v>
      </c>
      <c r="F80" s="292">
        <v>0</v>
      </c>
      <c r="G80" s="278">
        <v>0</v>
      </c>
      <c r="H80" s="279">
        <f t="shared" si="62"/>
        <v>0</v>
      </c>
      <c r="I80" s="368">
        <f t="shared" si="44"/>
        <v>0</v>
      </c>
      <c r="J80" s="369">
        <f t="shared" si="44"/>
        <v>0</v>
      </c>
      <c r="K80" s="368">
        <f t="shared" si="44"/>
        <v>0</v>
      </c>
      <c r="L80" s="370">
        <f t="shared" si="44"/>
        <v>0</v>
      </c>
      <c r="M80" s="278">
        <v>0</v>
      </c>
      <c r="N80" s="371">
        <f t="shared" si="15"/>
        <v>0</v>
      </c>
      <c r="O80" s="278">
        <f t="shared" si="22"/>
        <v>0</v>
      </c>
      <c r="P80" s="372">
        <f t="shared" si="16"/>
        <v>0</v>
      </c>
      <c r="Q80" s="217"/>
      <c r="R80" s="283">
        <f>R$8*AR80</f>
        <v>1467750.4788367713</v>
      </c>
      <c r="S80" s="284">
        <f t="shared" si="57"/>
        <v>1.6287662732720927E-2</v>
      </c>
      <c r="T80" s="392"/>
      <c r="U80" s="290" t="s">
        <v>147</v>
      </c>
      <c r="V80" s="291"/>
      <c r="W80" s="291"/>
      <c r="X80" s="279">
        <v>0</v>
      </c>
      <c r="Y80" s="285">
        <f t="shared" si="57"/>
        <v>0</v>
      </c>
      <c r="Z80" s="279">
        <v>0</v>
      </c>
      <c r="AA80" s="285">
        <f t="shared" si="19"/>
        <v>0</v>
      </c>
      <c r="AB80" s="279">
        <f t="shared" si="58"/>
        <v>0</v>
      </c>
      <c r="AC80" s="285">
        <f t="shared" si="54"/>
        <v>0</v>
      </c>
      <c r="AD80" s="293" t="s">
        <v>312</v>
      </c>
      <c r="AF80" s="132"/>
      <c r="AG80" s="98" t="s">
        <v>147</v>
      </c>
      <c r="AH80" s="99"/>
      <c r="AI80" s="99"/>
      <c r="AJ80" s="289">
        <f>4075634-'[1]JW、NP分析'!E128</f>
        <v>2408967</v>
      </c>
      <c r="AK80" s="289">
        <f>3845336-'[1]JW、NP分析'!E128</f>
        <v>2178669</v>
      </c>
      <c r="AL80" s="289">
        <v>1744067</v>
      </c>
      <c r="AM80" s="289">
        <f t="shared" si="59"/>
        <v>2110567.6666666665</v>
      </c>
      <c r="AN80" s="289">
        <v>90900</v>
      </c>
      <c r="AO80" s="373">
        <f t="shared" si="60"/>
        <v>1.5254967960138912E-2</v>
      </c>
      <c r="AP80" s="373">
        <f t="shared" si="60"/>
        <v>2.2270230600290358E-2</v>
      </c>
      <c r="AQ80" s="373">
        <f t="shared" si="60"/>
        <v>1.3113294883732514E-2</v>
      </c>
      <c r="AR80" s="373">
        <f t="shared" si="60"/>
        <v>1.6287662732720927E-2</v>
      </c>
      <c r="AS80" s="373">
        <f t="shared" si="38"/>
        <v>1.3113294883732514E-2</v>
      </c>
      <c r="AT80" s="373">
        <f t="shared" si="61"/>
        <v>1.9646645675663057E-3</v>
      </c>
      <c r="AU80" s="177"/>
      <c r="AV80" s="258">
        <f t="shared" si="55"/>
        <v>0</v>
      </c>
      <c r="AW80" s="258">
        <f t="shared" si="56"/>
        <v>-941216.52116322867</v>
      </c>
      <c r="BB80" s="391">
        <f t="shared" si="34"/>
        <v>-1.5254967960138912E-2</v>
      </c>
      <c r="BC80" s="391">
        <f t="shared" si="35"/>
        <v>-2.2270230600290358E-2</v>
      </c>
      <c r="BD80" s="391">
        <f t="shared" si="36"/>
        <v>-1.3113294883732514E-2</v>
      </c>
      <c r="BE80" s="391" t="e">
        <f>#REF!-AO80</f>
        <v>#REF!</v>
      </c>
      <c r="BF80" s="391" t="e">
        <f>#REF!-AP80</f>
        <v>#REF!</v>
      </c>
      <c r="BG80" s="391" t="e">
        <f>#REF!-AQ80</f>
        <v>#REF!</v>
      </c>
    </row>
    <row r="81" spans="1:59" s="88" customFormat="1" ht="33.75" customHeight="1" collapsed="1">
      <c r="A81" s="392"/>
      <c r="B81" s="290" t="s">
        <v>149</v>
      </c>
      <c r="C81" s="291"/>
      <c r="D81" s="291"/>
      <c r="E81" s="276">
        <f>SUM(E82:E83)</f>
        <v>93737</v>
      </c>
      <c r="F81" s="292">
        <f t="shared" ref="F81:G81" si="63">SUM(F82:F83)</f>
        <v>123037</v>
      </c>
      <c r="G81" s="278">
        <f t="shared" si="63"/>
        <v>23000</v>
      </c>
      <c r="H81" s="279">
        <f>SUM(H82:H83)</f>
        <v>79924.666666666672</v>
      </c>
      <c r="I81" s="368">
        <f t="shared" si="44"/>
        <v>1.4717201046069454E-3</v>
      </c>
      <c r="J81" s="369">
        <f t="shared" si="44"/>
        <v>1.7329717047019145E-3</v>
      </c>
      <c r="K81" s="368">
        <f t="shared" si="44"/>
        <v>3.4738591419897181E-4</v>
      </c>
      <c r="L81" s="370">
        <f t="shared" si="44"/>
        <v>1.1935074397872176E-3</v>
      </c>
      <c r="M81" s="278">
        <f t="shared" ref="M81" si="64">SUM(M82:M83)</f>
        <v>0</v>
      </c>
      <c r="N81" s="371">
        <f t="shared" si="15"/>
        <v>0</v>
      </c>
      <c r="O81" s="278">
        <f t="shared" si="22"/>
        <v>79924.666666666672</v>
      </c>
      <c r="P81" s="372">
        <f t="shared" si="16"/>
        <v>7.276662382570408E-4</v>
      </c>
      <c r="Q81" s="217"/>
      <c r="R81" s="283">
        <f>SUM(R82:R83)</f>
        <v>0</v>
      </c>
      <c r="S81" s="284">
        <f t="shared" si="57"/>
        <v>0</v>
      </c>
      <c r="T81" s="392"/>
      <c r="U81" s="290" t="s">
        <v>149</v>
      </c>
      <c r="V81" s="291"/>
      <c r="W81" s="291"/>
      <c r="X81" s="279">
        <f>SUM(X82:X83)</f>
        <v>0</v>
      </c>
      <c r="Y81" s="285">
        <f t="shared" si="57"/>
        <v>0</v>
      </c>
      <c r="Z81" s="279">
        <f>SUM(Z82:Z83)</f>
        <v>0</v>
      </c>
      <c r="AA81" s="285">
        <f t="shared" si="19"/>
        <v>0</v>
      </c>
      <c r="AB81" s="279">
        <f t="shared" si="58"/>
        <v>0</v>
      </c>
      <c r="AC81" s="285">
        <f t="shared" si="54"/>
        <v>0</v>
      </c>
      <c r="AD81" s="293"/>
      <c r="AF81" s="132"/>
      <c r="AG81" s="98" t="s">
        <v>149</v>
      </c>
      <c r="AH81" s="99"/>
      <c r="AI81" s="99"/>
      <c r="AJ81" s="289">
        <v>0</v>
      </c>
      <c r="AK81" s="289">
        <v>0</v>
      </c>
      <c r="AL81" s="289">
        <v>0</v>
      </c>
      <c r="AM81" s="289">
        <f t="shared" si="59"/>
        <v>0</v>
      </c>
      <c r="AN81" s="289">
        <v>0</v>
      </c>
      <c r="AO81" s="373">
        <f t="shared" si="60"/>
        <v>0</v>
      </c>
      <c r="AP81" s="373">
        <f t="shared" si="60"/>
        <v>0</v>
      </c>
      <c r="AQ81" s="373">
        <f t="shared" si="60"/>
        <v>0</v>
      </c>
      <c r="AR81" s="373">
        <f t="shared" si="60"/>
        <v>0</v>
      </c>
      <c r="AS81" s="373">
        <f>SUM(AS82:AS83)</f>
        <v>0</v>
      </c>
      <c r="AT81" s="373">
        <f t="shared" si="61"/>
        <v>0</v>
      </c>
      <c r="AU81" s="177"/>
      <c r="AV81" s="258">
        <f t="shared" si="55"/>
        <v>-100037</v>
      </c>
      <c r="AW81" s="258">
        <f t="shared" si="56"/>
        <v>0</v>
      </c>
      <c r="BB81" s="391">
        <f t="shared" si="34"/>
        <v>0</v>
      </c>
      <c r="BC81" s="391">
        <f t="shared" si="35"/>
        <v>0</v>
      </c>
      <c r="BD81" s="391">
        <f t="shared" si="36"/>
        <v>0</v>
      </c>
      <c r="BE81" s="391" t="e">
        <f>#REF!-AO81</f>
        <v>#REF!</v>
      </c>
      <c r="BF81" s="391" t="e">
        <f>#REF!-AP81</f>
        <v>#REF!</v>
      </c>
      <c r="BG81" s="391" t="e">
        <f>#REF!-AQ81</f>
        <v>#REF!</v>
      </c>
    </row>
    <row r="82" spans="1:59" s="88" customFormat="1" ht="33.75" hidden="1" customHeight="1" outlineLevel="1">
      <c r="A82" s="392"/>
      <c r="B82" s="374"/>
      <c r="C82" s="291" t="s">
        <v>151</v>
      </c>
      <c r="D82" s="291"/>
      <c r="E82" s="276">
        <v>93737</v>
      </c>
      <c r="F82" s="292">
        <v>123037</v>
      </c>
      <c r="G82" s="278">
        <v>23000</v>
      </c>
      <c r="H82" s="279">
        <f t="shared" ref="H82:H96" si="65">AVERAGE(E82:G82)</f>
        <v>79924.666666666672</v>
      </c>
      <c r="I82" s="368">
        <f t="shared" ref="I82:L113" si="66">E82/E$7</f>
        <v>1.4717201046069454E-3</v>
      </c>
      <c r="J82" s="369">
        <f t="shared" si="66"/>
        <v>1.7329717047019145E-3</v>
      </c>
      <c r="K82" s="368">
        <f t="shared" si="66"/>
        <v>3.4738591419897181E-4</v>
      </c>
      <c r="L82" s="370">
        <f t="shared" si="66"/>
        <v>1.1935074397872176E-3</v>
      </c>
      <c r="M82" s="278">
        <v>0</v>
      </c>
      <c r="N82" s="371">
        <f t="shared" ref="N82:N119" si="67">M82/M$7</f>
        <v>0</v>
      </c>
      <c r="O82" s="278">
        <f t="shared" si="22"/>
        <v>79924.666666666672</v>
      </c>
      <c r="P82" s="372">
        <f t="shared" ref="P82:P119" si="68">O82/O$7</f>
        <v>7.276662382570408E-4</v>
      </c>
      <c r="Q82" s="217"/>
      <c r="R82" s="283">
        <f>R$8*AR82</f>
        <v>0</v>
      </c>
      <c r="S82" s="284">
        <f t="shared" si="57"/>
        <v>0</v>
      </c>
      <c r="T82" s="392"/>
      <c r="U82" s="374"/>
      <c r="V82" s="291" t="s">
        <v>151</v>
      </c>
      <c r="W82" s="291"/>
      <c r="X82" s="279">
        <f>X$8*AS82</f>
        <v>0</v>
      </c>
      <c r="Y82" s="285">
        <f t="shared" si="57"/>
        <v>0</v>
      </c>
      <c r="Z82" s="279">
        <f>Z$8*AO82</f>
        <v>0</v>
      </c>
      <c r="AA82" s="285">
        <f t="shared" si="19"/>
        <v>0</v>
      </c>
      <c r="AB82" s="279">
        <f t="shared" si="58"/>
        <v>0</v>
      </c>
      <c r="AC82" s="285">
        <f t="shared" si="54"/>
        <v>0</v>
      </c>
      <c r="AD82" s="293"/>
      <c r="AF82" s="132"/>
      <c r="AG82" s="125"/>
      <c r="AH82" s="99" t="s">
        <v>151</v>
      </c>
      <c r="AI82" s="99"/>
      <c r="AJ82" s="289">
        <v>0</v>
      </c>
      <c r="AK82" s="289">
        <v>0</v>
      </c>
      <c r="AL82" s="289">
        <v>0</v>
      </c>
      <c r="AM82" s="289">
        <f t="shared" si="59"/>
        <v>0</v>
      </c>
      <c r="AN82" s="289">
        <v>0</v>
      </c>
      <c r="AO82" s="373">
        <f t="shared" si="60"/>
        <v>0</v>
      </c>
      <c r="AP82" s="373">
        <f t="shared" si="60"/>
        <v>0</v>
      </c>
      <c r="AQ82" s="373">
        <f t="shared" si="60"/>
        <v>0</v>
      </c>
      <c r="AR82" s="373">
        <f t="shared" si="60"/>
        <v>0</v>
      </c>
      <c r="AS82" s="373">
        <f t="shared" si="38"/>
        <v>0</v>
      </c>
      <c r="AT82" s="373">
        <f t="shared" si="61"/>
        <v>0</v>
      </c>
      <c r="AU82" s="177"/>
      <c r="AV82" s="258">
        <f t="shared" si="55"/>
        <v>-100037</v>
      </c>
      <c r="AW82" s="258">
        <f t="shared" si="56"/>
        <v>0</v>
      </c>
      <c r="BB82" s="391">
        <f t="shared" si="34"/>
        <v>0</v>
      </c>
      <c r="BC82" s="391">
        <f t="shared" si="35"/>
        <v>0</v>
      </c>
      <c r="BD82" s="391">
        <f t="shared" si="36"/>
        <v>0</v>
      </c>
      <c r="BE82" s="391" t="e">
        <f>#REF!-AO82</f>
        <v>#REF!</v>
      </c>
      <c r="BF82" s="391" t="e">
        <f>#REF!-AP82</f>
        <v>#REF!</v>
      </c>
      <c r="BG82" s="391" t="e">
        <f>#REF!-AQ82</f>
        <v>#REF!</v>
      </c>
    </row>
    <row r="83" spans="1:59" s="88" customFormat="1" ht="33.75" hidden="1" customHeight="1" outlineLevel="1">
      <c r="A83" s="392"/>
      <c r="B83" s="374"/>
      <c r="C83" s="291" t="s">
        <v>153</v>
      </c>
      <c r="D83" s="291"/>
      <c r="E83" s="276">
        <v>0</v>
      </c>
      <c r="F83" s="292">
        <v>0</v>
      </c>
      <c r="G83" s="278">
        <v>0</v>
      </c>
      <c r="H83" s="279">
        <f t="shared" si="65"/>
        <v>0</v>
      </c>
      <c r="I83" s="368">
        <f t="shared" si="66"/>
        <v>0</v>
      </c>
      <c r="J83" s="369">
        <f t="shared" si="66"/>
        <v>0</v>
      </c>
      <c r="K83" s="368">
        <f t="shared" si="66"/>
        <v>0</v>
      </c>
      <c r="L83" s="370">
        <f t="shared" si="66"/>
        <v>0</v>
      </c>
      <c r="M83" s="278">
        <v>0</v>
      </c>
      <c r="N83" s="371">
        <f t="shared" si="67"/>
        <v>0</v>
      </c>
      <c r="O83" s="278">
        <f t="shared" si="22"/>
        <v>0</v>
      </c>
      <c r="P83" s="372">
        <f t="shared" si="68"/>
        <v>0</v>
      </c>
      <c r="Q83" s="217"/>
      <c r="R83" s="283">
        <f>R$8*AR83</f>
        <v>0</v>
      </c>
      <c r="S83" s="284">
        <f t="shared" si="57"/>
        <v>0</v>
      </c>
      <c r="T83" s="392"/>
      <c r="U83" s="374"/>
      <c r="V83" s="291" t="s">
        <v>153</v>
      </c>
      <c r="W83" s="291"/>
      <c r="X83" s="279">
        <f>X$8*AS83</f>
        <v>0</v>
      </c>
      <c r="Y83" s="285">
        <f t="shared" si="57"/>
        <v>0</v>
      </c>
      <c r="Z83" s="279">
        <f>Z$8*AO83</f>
        <v>0</v>
      </c>
      <c r="AA83" s="285">
        <f t="shared" ref="AA83:AA111" si="69">Z83/Z$7</f>
        <v>0</v>
      </c>
      <c r="AB83" s="279">
        <f t="shared" si="58"/>
        <v>0</v>
      </c>
      <c r="AC83" s="285">
        <f t="shared" si="54"/>
        <v>0</v>
      </c>
      <c r="AD83" s="293"/>
      <c r="AF83" s="132"/>
      <c r="AG83" s="125"/>
      <c r="AH83" s="99" t="s">
        <v>153</v>
      </c>
      <c r="AI83" s="99"/>
      <c r="AJ83" s="289">
        <v>0</v>
      </c>
      <c r="AK83" s="289">
        <v>0</v>
      </c>
      <c r="AL83" s="289">
        <v>0</v>
      </c>
      <c r="AM83" s="289">
        <f t="shared" si="59"/>
        <v>0</v>
      </c>
      <c r="AN83" s="289">
        <v>0</v>
      </c>
      <c r="AO83" s="373">
        <f t="shared" si="60"/>
        <v>0</v>
      </c>
      <c r="AP83" s="373">
        <f t="shared" si="60"/>
        <v>0</v>
      </c>
      <c r="AQ83" s="373">
        <f t="shared" si="60"/>
        <v>0</v>
      </c>
      <c r="AR83" s="373">
        <f t="shared" si="60"/>
        <v>0</v>
      </c>
      <c r="AS83" s="373">
        <f t="shared" si="38"/>
        <v>0</v>
      </c>
      <c r="AT83" s="373">
        <f t="shared" si="61"/>
        <v>0</v>
      </c>
      <c r="AU83" s="177"/>
      <c r="AV83" s="258">
        <f t="shared" si="55"/>
        <v>0</v>
      </c>
      <c r="AW83" s="258">
        <f t="shared" si="56"/>
        <v>0</v>
      </c>
      <c r="BB83" s="391">
        <f t="shared" si="34"/>
        <v>0</v>
      </c>
      <c r="BC83" s="391">
        <f t="shared" si="35"/>
        <v>0</v>
      </c>
      <c r="BD83" s="391">
        <f t="shared" si="36"/>
        <v>0</v>
      </c>
      <c r="BE83" s="391" t="e">
        <f>#REF!-AO83</f>
        <v>#REF!</v>
      </c>
      <c r="BF83" s="391" t="e">
        <f>#REF!-AP83</f>
        <v>#REF!</v>
      </c>
      <c r="BG83" s="391" t="e">
        <f>#REF!-AQ83</f>
        <v>#REF!</v>
      </c>
    </row>
    <row r="84" spans="1:59" s="88" customFormat="1" ht="33.75" hidden="1" customHeight="1" outlineLevel="1">
      <c r="A84" s="392"/>
      <c r="B84" s="290" t="s">
        <v>155</v>
      </c>
      <c r="C84" s="291"/>
      <c r="D84" s="291"/>
      <c r="E84" s="276">
        <v>0</v>
      </c>
      <c r="F84" s="292">
        <v>0</v>
      </c>
      <c r="G84" s="278">
        <v>0</v>
      </c>
      <c r="H84" s="279">
        <f t="shared" si="65"/>
        <v>0</v>
      </c>
      <c r="I84" s="368">
        <f t="shared" si="66"/>
        <v>0</v>
      </c>
      <c r="J84" s="369">
        <f t="shared" si="66"/>
        <v>0</v>
      </c>
      <c r="K84" s="368">
        <f t="shared" si="66"/>
        <v>0</v>
      </c>
      <c r="L84" s="370">
        <f t="shared" si="66"/>
        <v>0</v>
      </c>
      <c r="M84" s="278">
        <v>0</v>
      </c>
      <c r="N84" s="371">
        <f t="shared" si="67"/>
        <v>0</v>
      </c>
      <c r="O84" s="278">
        <f t="shared" si="22"/>
        <v>0</v>
      </c>
      <c r="P84" s="372">
        <f t="shared" si="68"/>
        <v>0</v>
      </c>
      <c r="Q84" s="217"/>
      <c r="R84" s="283">
        <f>R$8*AR84</f>
        <v>0</v>
      </c>
      <c r="S84" s="284">
        <f t="shared" si="57"/>
        <v>0</v>
      </c>
      <c r="T84" s="392"/>
      <c r="U84" s="290" t="s">
        <v>155</v>
      </c>
      <c r="V84" s="291"/>
      <c r="W84" s="291"/>
      <c r="X84" s="279">
        <f>X$8*AS84</f>
        <v>0</v>
      </c>
      <c r="Y84" s="285">
        <f t="shared" si="57"/>
        <v>0</v>
      </c>
      <c r="Z84" s="279">
        <f>Z$8*AO84</f>
        <v>0</v>
      </c>
      <c r="AA84" s="285">
        <f t="shared" si="69"/>
        <v>0</v>
      </c>
      <c r="AB84" s="279">
        <f t="shared" si="58"/>
        <v>0</v>
      </c>
      <c r="AC84" s="285">
        <f t="shared" si="54"/>
        <v>0</v>
      </c>
      <c r="AD84" s="293"/>
      <c r="AF84" s="132"/>
      <c r="AG84" s="98" t="s">
        <v>155</v>
      </c>
      <c r="AH84" s="99"/>
      <c r="AI84" s="99"/>
      <c r="AJ84" s="289">
        <v>0</v>
      </c>
      <c r="AK84" s="289">
        <v>0</v>
      </c>
      <c r="AL84" s="289">
        <v>0</v>
      </c>
      <c r="AM84" s="289">
        <f t="shared" si="59"/>
        <v>0</v>
      </c>
      <c r="AN84" s="289">
        <v>0</v>
      </c>
      <c r="AO84" s="373">
        <f t="shared" si="60"/>
        <v>0</v>
      </c>
      <c r="AP84" s="373">
        <f t="shared" si="60"/>
        <v>0</v>
      </c>
      <c r="AQ84" s="373">
        <f t="shared" si="60"/>
        <v>0</v>
      </c>
      <c r="AR84" s="373">
        <f t="shared" si="60"/>
        <v>0</v>
      </c>
      <c r="AS84" s="373">
        <f t="shared" si="38"/>
        <v>0</v>
      </c>
      <c r="AT84" s="373">
        <f t="shared" si="61"/>
        <v>0</v>
      </c>
      <c r="AU84" s="177"/>
      <c r="AV84" s="258">
        <f t="shared" si="55"/>
        <v>0</v>
      </c>
      <c r="AW84" s="258">
        <f t="shared" si="56"/>
        <v>0</v>
      </c>
      <c r="BB84" s="391">
        <f t="shared" si="34"/>
        <v>0</v>
      </c>
      <c r="BC84" s="391">
        <f t="shared" si="35"/>
        <v>0</v>
      </c>
      <c r="BD84" s="391">
        <f t="shared" si="36"/>
        <v>0</v>
      </c>
      <c r="BE84" s="391" t="e">
        <f>#REF!-AO84</f>
        <v>#REF!</v>
      </c>
      <c r="BF84" s="391" t="e">
        <f>#REF!-AP84</f>
        <v>#REF!</v>
      </c>
      <c r="BG84" s="391" t="e">
        <f>#REF!-AQ84</f>
        <v>#REF!</v>
      </c>
    </row>
    <row r="85" spans="1:59" s="88" customFormat="1" ht="33.75" customHeight="1">
      <c r="A85" s="392"/>
      <c r="B85" s="260" t="s">
        <v>157</v>
      </c>
      <c r="C85" s="261"/>
      <c r="D85" s="261"/>
      <c r="E85" s="262">
        <v>131815</v>
      </c>
      <c r="F85" s="263">
        <v>0</v>
      </c>
      <c r="G85" s="264">
        <v>0</v>
      </c>
      <c r="H85" s="265">
        <f t="shared" si="65"/>
        <v>43938.333333333336</v>
      </c>
      <c r="I85" s="365">
        <f t="shared" si="66"/>
        <v>2.069564692584193E-3</v>
      </c>
      <c r="J85" s="366">
        <f t="shared" si="66"/>
        <v>0</v>
      </c>
      <c r="K85" s="365">
        <f t="shared" si="66"/>
        <v>0</v>
      </c>
      <c r="L85" s="266">
        <f t="shared" si="66"/>
        <v>6.5612694944219179E-4</v>
      </c>
      <c r="M85" s="264">
        <v>0</v>
      </c>
      <c r="N85" s="267">
        <f t="shared" si="67"/>
        <v>0</v>
      </c>
      <c r="O85" s="264">
        <f t="shared" ref="O85:O97" si="70">H85+M85</f>
        <v>43938.333333333336</v>
      </c>
      <c r="P85" s="367">
        <f t="shared" si="68"/>
        <v>4.0003221865528299E-4</v>
      </c>
      <c r="Q85" s="217"/>
      <c r="R85" s="268">
        <f>R$8*AR85</f>
        <v>0</v>
      </c>
      <c r="S85" s="269">
        <f t="shared" si="57"/>
        <v>0</v>
      </c>
      <c r="T85" s="392"/>
      <c r="U85" s="260" t="s">
        <v>157</v>
      </c>
      <c r="V85" s="261"/>
      <c r="W85" s="261"/>
      <c r="X85" s="265">
        <f>X$8*AS85</f>
        <v>0</v>
      </c>
      <c r="Y85" s="270">
        <f t="shared" si="57"/>
        <v>0</v>
      </c>
      <c r="Z85" s="265">
        <f>Z$8*AO85</f>
        <v>0</v>
      </c>
      <c r="AA85" s="270">
        <f t="shared" si="69"/>
        <v>0</v>
      </c>
      <c r="AB85" s="265">
        <f t="shared" si="58"/>
        <v>0</v>
      </c>
      <c r="AC85" s="270">
        <f t="shared" si="54"/>
        <v>0</v>
      </c>
      <c r="AD85" s="271"/>
      <c r="AF85" s="132"/>
      <c r="AG85" s="90" t="s">
        <v>157</v>
      </c>
      <c r="AH85" s="91"/>
      <c r="AI85" s="91"/>
      <c r="AJ85" s="272">
        <v>0</v>
      </c>
      <c r="AK85" s="272">
        <v>0</v>
      </c>
      <c r="AL85" s="272">
        <v>0</v>
      </c>
      <c r="AM85" s="272">
        <f t="shared" si="59"/>
        <v>0</v>
      </c>
      <c r="AN85" s="272">
        <v>0</v>
      </c>
      <c r="AO85" s="273">
        <f t="shared" si="60"/>
        <v>0</v>
      </c>
      <c r="AP85" s="273">
        <f t="shared" si="60"/>
        <v>0</v>
      </c>
      <c r="AQ85" s="273">
        <f t="shared" si="60"/>
        <v>0</v>
      </c>
      <c r="AR85" s="273">
        <f t="shared" si="60"/>
        <v>0</v>
      </c>
      <c r="AS85" s="273">
        <f>MIN(AO85:AQ85)</f>
        <v>0</v>
      </c>
      <c r="AT85" s="273">
        <f t="shared" si="61"/>
        <v>0</v>
      </c>
      <c r="AU85" s="177"/>
      <c r="AV85" s="258">
        <f t="shared" si="55"/>
        <v>0</v>
      </c>
      <c r="AW85" s="258">
        <f t="shared" si="56"/>
        <v>0</v>
      </c>
      <c r="BB85" s="391">
        <f t="shared" si="34"/>
        <v>0</v>
      </c>
      <c r="BC85" s="391">
        <f t="shared" si="35"/>
        <v>0</v>
      </c>
      <c r="BD85" s="391">
        <f t="shared" si="36"/>
        <v>0</v>
      </c>
      <c r="BE85" s="391" t="e">
        <f>#REF!-AO85</f>
        <v>#REF!</v>
      </c>
      <c r="BF85" s="391" t="e">
        <f>#REF!-AP85</f>
        <v>#REF!</v>
      </c>
      <c r="BG85" s="391" t="e">
        <f>#REF!-AQ85</f>
        <v>#REF!</v>
      </c>
    </row>
    <row r="86" spans="1:59" s="88" customFormat="1" ht="33.75" customHeight="1">
      <c r="A86" s="314" t="s">
        <v>159</v>
      </c>
      <c r="B86" s="404"/>
      <c r="C86" s="404"/>
      <c r="D86" s="404"/>
      <c r="E86" s="405">
        <v>4857475</v>
      </c>
      <c r="F86" s="406">
        <v>5855917</v>
      </c>
      <c r="G86" s="407">
        <v>5788488</v>
      </c>
      <c r="H86" s="408">
        <f>AVERAGE(E86:G86)</f>
        <v>5500626.666666667</v>
      </c>
      <c r="I86" s="409">
        <f t="shared" si="66"/>
        <v>7.6264907295151563E-2</v>
      </c>
      <c r="J86" s="410">
        <f t="shared" si="66"/>
        <v>8.2480379610059745E-2</v>
      </c>
      <c r="K86" s="409">
        <f t="shared" si="66"/>
        <v>8.7427791117816428E-2</v>
      </c>
      <c r="L86" s="411">
        <f t="shared" si="66"/>
        <v>8.214033444191568E-2</v>
      </c>
      <c r="M86" s="407">
        <v>62460</v>
      </c>
      <c r="N86" s="412">
        <f t="shared" si="67"/>
        <v>1.4569364368209872E-3</v>
      </c>
      <c r="O86" s="407">
        <f t="shared" si="70"/>
        <v>5563086.666666667</v>
      </c>
      <c r="P86" s="413">
        <f t="shared" si="68"/>
        <v>5.0648573421195379E-2</v>
      </c>
      <c r="Q86" s="217"/>
      <c r="R86" s="414">
        <f>SUM(R87:R97)</f>
        <v>3219721</v>
      </c>
      <c r="S86" s="415">
        <f t="shared" si="57"/>
        <v>3.5729322182214737E-2</v>
      </c>
      <c r="T86" s="314" t="s">
        <v>159</v>
      </c>
      <c r="U86" s="404"/>
      <c r="V86" s="404"/>
      <c r="W86" s="404"/>
      <c r="X86" s="408">
        <f>SUM(X87:X97)</f>
        <v>2476131.2564102565</v>
      </c>
      <c r="Y86" s="416">
        <f t="shared" si="57"/>
        <v>3.2854900446838212E-2</v>
      </c>
      <c r="Z86" s="408">
        <f>SUM(Z87:Z97)</f>
        <v>488461.5384615385</v>
      </c>
      <c r="AA86" s="416">
        <f t="shared" si="69"/>
        <v>9.7105016552199996E-3</v>
      </c>
      <c r="AB86" s="408">
        <f t="shared" si="58"/>
        <v>2964592.794871795</v>
      </c>
      <c r="AC86" s="416">
        <f t="shared" si="54"/>
        <v>2.3590662534869997E-2</v>
      </c>
      <c r="AD86" s="417"/>
      <c r="AF86" s="106" t="s">
        <v>159</v>
      </c>
      <c r="AG86" s="133"/>
      <c r="AH86" s="133"/>
      <c r="AI86" s="133"/>
      <c r="AJ86" s="418">
        <v>3325659</v>
      </c>
      <c r="AK86" s="418">
        <v>7349530</v>
      </c>
      <c r="AL86" s="418">
        <v>11819724</v>
      </c>
      <c r="AM86" s="418">
        <f t="shared" si="59"/>
        <v>7498304.333333333</v>
      </c>
      <c r="AN86" s="418">
        <v>472722</v>
      </c>
      <c r="AO86" s="419">
        <f t="shared" si="60"/>
        <v>2.1059990232887217E-2</v>
      </c>
      <c r="AP86" s="419">
        <f t="shared" si="60"/>
        <v>7.5126477635543532E-2</v>
      </c>
      <c r="AQ86" s="419">
        <f t="shared" si="60"/>
        <v>8.8870167405455405E-2</v>
      </c>
      <c r="AR86" s="419">
        <f t="shared" si="60"/>
        <v>5.7865878444693243E-2</v>
      </c>
      <c r="AS86" s="419">
        <f>AR86</f>
        <v>5.7865878444693243E-2</v>
      </c>
      <c r="AT86" s="419">
        <f t="shared" si="61"/>
        <v>1.0217163517151587E-2</v>
      </c>
      <c r="AU86" s="177"/>
      <c r="AV86" s="258">
        <f t="shared" si="55"/>
        <v>-67429</v>
      </c>
      <c r="AW86" s="258">
        <f t="shared" si="56"/>
        <v>-105938</v>
      </c>
      <c r="BB86" s="391">
        <f t="shared" si="34"/>
        <v>-1.1349488577667217E-2</v>
      </c>
      <c r="BC86" s="391">
        <f t="shared" si="35"/>
        <v>-6.5415975980323532E-2</v>
      </c>
      <c r="BD86" s="391">
        <f t="shared" si="36"/>
        <v>-7.9159665750235406E-2</v>
      </c>
      <c r="BE86" s="391" t="e">
        <f>#REF!-AO86</f>
        <v>#REF!</v>
      </c>
      <c r="BF86" s="391" t="e">
        <f>#REF!-AP86</f>
        <v>#REF!</v>
      </c>
      <c r="BG86" s="391" t="e">
        <f>#REF!-AQ86</f>
        <v>#REF!</v>
      </c>
    </row>
    <row r="87" spans="1:59" s="88" customFormat="1" ht="33.75" customHeight="1">
      <c r="A87" s="420"/>
      <c r="B87" s="421" t="s">
        <v>93</v>
      </c>
      <c r="C87" s="261"/>
      <c r="D87" s="261"/>
      <c r="E87" s="262">
        <v>0</v>
      </c>
      <c r="F87" s="263">
        <v>0</v>
      </c>
      <c r="G87" s="264">
        <v>0</v>
      </c>
      <c r="H87" s="265">
        <f t="shared" si="65"/>
        <v>0</v>
      </c>
      <c r="I87" s="365">
        <f t="shared" si="66"/>
        <v>0</v>
      </c>
      <c r="J87" s="366">
        <f t="shared" si="66"/>
        <v>0</v>
      </c>
      <c r="K87" s="365">
        <f t="shared" si="66"/>
        <v>0</v>
      </c>
      <c r="L87" s="266">
        <f t="shared" si="66"/>
        <v>0</v>
      </c>
      <c r="M87" s="264">
        <v>0</v>
      </c>
      <c r="N87" s="267">
        <f t="shared" si="67"/>
        <v>0</v>
      </c>
      <c r="O87" s="264">
        <f t="shared" si="70"/>
        <v>0</v>
      </c>
      <c r="P87" s="367">
        <f t="shared" si="68"/>
        <v>0</v>
      </c>
      <c r="Q87" s="217"/>
      <c r="R87" s="268">
        <f>AVERAGE(E87:G87)</f>
        <v>0</v>
      </c>
      <c r="S87" s="269">
        <f t="shared" si="57"/>
        <v>0</v>
      </c>
      <c r="T87" s="420"/>
      <c r="U87" s="421" t="s">
        <v>93</v>
      </c>
      <c r="V87" s="261"/>
      <c r="W87" s="261"/>
      <c r="X87" s="265">
        <f>10000000/39</f>
        <v>256410.25641025641</v>
      </c>
      <c r="Y87" s="270">
        <f t="shared" si="57"/>
        <v>3.4022160279662699E-3</v>
      </c>
      <c r="Z87" s="265">
        <f>1500000/39</f>
        <v>38461.538461538461</v>
      </c>
      <c r="AA87" s="270">
        <f t="shared" si="69"/>
        <v>7.6460642954488179E-4</v>
      </c>
      <c r="AB87" s="265">
        <f t="shared" si="58"/>
        <v>294871.79487179487</v>
      </c>
      <c r="AC87" s="270">
        <f t="shared" si="54"/>
        <v>2.3464338899780489E-3</v>
      </c>
      <c r="AD87" s="293" t="s">
        <v>313</v>
      </c>
      <c r="AF87" s="138"/>
      <c r="AG87" s="139" t="s">
        <v>93</v>
      </c>
      <c r="AH87" s="91"/>
      <c r="AI87" s="91"/>
      <c r="AJ87" s="272">
        <v>338068</v>
      </c>
      <c r="AK87" s="272">
        <v>0</v>
      </c>
      <c r="AL87" s="272">
        <v>0</v>
      </c>
      <c r="AM87" s="272">
        <f t="shared" si="59"/>
        <v>112689.33333333333</v>
      </c>
      <c r="AN87" s="272">
        <v>0</v>
      </c>
      <c r="AO87" s="273">
        <f t="shared" si="60"/>
        <v>2.1408414927843521E-3</v>
      </c>
      <c r="AP87" s="273">
        <f t="shared" si="60"/>
        <v>0</v>
      </c>
      <c r="AQ87" s="273">
        <f t="shared" si="60"/>
        <v>0</v>
      </c>
      <c r="AR87" s="273">
        <f t="shared" si="60"/>
        <v>8.6964558582825174E-4</v>
      </c>
      <c r="AS87" s="273">
        <f t="shared" ref="AS87:AS96" si="71">AR87</f>
        <v>8.6964558582825174E-4</v>
      </c>
      <c r="AT87" s="273">
        <f t="shared" si="61"/>
        <v>0</v>
      </c>
      <c r="AU87" s="177"/>
      <c r="AV87" s="258">
        <f t="shared" si="55"/>
        <v>0</v>
      </c>
      <c r="AW87" s="258">
        <f t="shared" si="56"/>
        <v>-338068</v>
      </c>
      <c r="BB87" s="391">
        <f t="shared" si="34"/>
        <v>-1.3762350632394703E-3</v>
      </c>
      <c r="BC87" s="391">
        <f t="shared" si="35"/>
        <v>7.6460642954488179E-4</v>
      </c>
      <c r="BD87" s="391">
        <f t="shared" si="36"/>
        <v>7.6460642954488179E-4</v>
      </c>
      <c r="BE87" s="391" t="e">
        <f>#REF!-AO87</f>
        <v>#REF!</v>
      </c>
      <c r="BF87" s="391" t="e">
        <f>#REF!-AP87</f>
        <v>#REF!</v>
      </c>
      <c r="BG87" s="391" t="e">
        <f>#REF!-AQ87</f>
        <v>#REF!</v>
      </c>
    </row>
    <row r="88" spans="1:59" s="88" customFormat="1" ht="33.75" customHeight="1" collapsed="1">
      <c r="A88" s="420"/>
      <c r="B88" s="290" t="s">
        <v>162</v>
      </c>
      <c r="C88" s="291"/>
      <c r="D88" s="291"/>
      <c r="E88" s="276">
        <v>0</v>
      </c>
      <c r="F88" s="292">
        <v>0</v>
      </c>
      <c r="G88" s="278">
        <v>0</v>
      </c>
      <c r="H88" s="279">
        <f t="shared" si="65"/>
        <v>0</v>
      </c>
      <c r="I88" s="368">
        <f t="shared" si="66"/>
        <v>0</v>
      </c>
      <c r="J88" s="369">
        <f t="shared" si="66"/>
        <v>0</v>
      </c>
      <c r="K88" s="368">
        <f t="shared" si="66"/>
        <v>0</v>
      </c>
      <c r="L88" s="370">
        <f t="shared" si="66"/>
        <v>0</v>
      </c>
      <c r="M88" s="278">
        <v>0</v>
      </c>
      <c r="N88" s="371">
        <f t="shared" si="67"/>
        <v>0</v>
      </c>
      <c r="O88" s="278">
        <f t="shared" si="70"/>
        <v>0</v>
      </c>
      <c r="P88" s="372">
        <f t="shared" si="68"/>
        <v>0</v>
      </c>
      <c r="Q88" s="217"/>
      <c r="R88" s="268">
        <f>20000000/10</f>
        <v>2000000</v>
      </c>
      <c r="S88" s="269">
        <f t="shared" si="57"/>
        <v>2.2194048603723576E-2</v>
      </c>
      <c r="T88" s="420"/>
      <c r="U88" s="290" t="s">
        <v>162</v>
      </c>
      <c r="V88" s="291"/>
      <c r="W88" s="291"/>
      <c r="X88" s="279">
        <f>10000000/10</f>
        <v>1000000</v>
      </c>
      <c r="Y88" s="285">
        <f t="shared" si="57"/>
        <v>1.3268642509068453E-2</v>
      </c>
      <c r="Z88" s="279">
        <f>1500000/10</f>
        <v>150000</v>
      </c>
      <c r="AA88" s="285">
        <f t="shared" si="69"/>
        <v>2.9819650752250389E-3</v>
      </c>
      <c r="AB88" s="279">
        <f t="shared" si="58"/>
        <v>1150000</v>
      </c>
      <c r="AC88" s="285">
        <f t="shared" si="54"/>
        <v>9.1510921709143916E-3</v>
      </c>
      <c r="AD88" s="293" t="s">
        <v>314</v>
      </c>
      <c r="AF88" s="138"/>
      <c r="AG88" s="98" t="s">
        <v>162</v>
      </c>
      <c r="AH88" s="99"/>
      <c r="AI88" s="99"/>
      <c r="AJ88" s="289">
        <v>553957</v>
      </c>
      <c r="AK88" s="289">
        <v>0</v>
      </c>
      <c r="AL88" s="289">
        <v>7090461</v>
      </c>
      <c r="AM88" s="289">
        <f t="shared" si="59"/>
        <v>2548139.3333333335</v>
      </c>
      <c r="AN88" s="289">
        <v>0</v>
      </c>
      <c r="AO88" s="373">
        <f t="shared" si="60"/>
        <v>3.5079751139366674E-3</v>
      </c>
      <c r="AP88" s="373">
        <f t="shared" si="60"/>
        <v>0</v>
      </c>
      <c r="AQ88" s="373">
        <f t="shared" si="60"/>
        <v>5.3311774120263104E-2</v>
      </c>
      <c r="AR88" s="273">
        <f t="shared" si="60"/>
        <v>1.966448871211127E-2</v>
      </c>
      <c r="AS88" s="273">
        <f t="shared" si="71"/>
        <v>1.966448871211127E-2</v>
      </c>
      <c r="AT88" s="373">
        <f t="shared" si="61"/>
        <v>0</v>
      </c>
      <c r="AU88" s="177"/>
      <c r="AV88" s="258">
        <f t="shared" si="55"/>
        <v>0</v>
      </c>
      <c r="AW88" s="258">
        <f t="shared" si="56"/>
        <v>1446043</v>
      </c>
      <c r="BB88" s="391">
        <f t="shared" si="34"/>
        <v>-5.2601003871162845E-4</v>
      </c>
      <c r="BC88" s="391">
        <f t="shared" si="35"/>
        <v>2.9819650752250389E-3</v>
      </c>
      <c r="BD88" s="391">
        <f t="shared" si="36"/>
        <v>-5.0329809045038067E-2</v>
      </c>
      <c r="BE88" s="391" t="e">
        <f>#REF!-AO88</f>
        <v>#REF!</v>
      </c>
      <c r="BF88" s="391" t="e">
        <f>#REF!-AP88</f>
        <v>#REF!</v>
      </c>
      <c r="BG88" s="391" t="e">
        <f>#REF!-AQ88</f>
        <v>#REF!</v>
      </c>
    </row>
    <row r="89" spans="1:59" s="88" customFormat="1" ht="33.75" hidden="1" customHeight="1" outlineLevel="1">
      <c r="A89" s="420"/>
      <c r="B89" s="290" t="s">
        <v>97</v>
      </c>
      <c r="C89" s="291"/>
      <c r="D89" s="291"/>
      <c r="E89" s="276">
        <v>0</v>
      </c>
      <c r="F89" s="292">
        <v>0</v>
      </c>
      <c r="G89" s="278">
        <v>0</v>
      </c>
      <c r="H89" s="279">
        <f>AVERAGE(E89:G89)</f>
        <v>0</v>
      </c>
      <c r="I89" s="368">
        <f t="shared" si="66"/>
        <v>0</v>
      </c>
      <c r="J89" s="369">
        <f t="shared" si="66"/>
        <v>0</v>
      </c>
      <c r="K89" s="368">
        <f t="shared" si="66"/>
        <v>0</v>
      </c>
      <c r="L89" s="370">
        <f t="shared" si="66"/>
        <v>0</v>
      </c>
      <c r="M89" s="278">
        <v>0</v>
      </c>
      <c r="N89" s="371">
        <f t="shared" si="67"/>
        <v>0</v>
      </c>
      <c r="O89" s="278">
        <f t="shared" si="70"/>
        <v>0</v>
      </c>
      <c r="P89" s="372">
        <f t="shared" si="68"/>
        <v>0</v>
      </c>
      <c r="Q89" s="217"/>
      <c r="R89" s="268">
        <f>AVERAGE(E89:G89)</f>
        <v>0</v>
      </c>
      <c r="S89" s="269">
        <f t="shared" si="57"/>
        <v>0</v>
      </c>
      <c r="T89" s="420"/>
      <c r="U89" s="290" t="s">
        <v>97</v>
      </c>
      <c r="V89" s="291"/>
      <c r="W89" s="291"/>
      <c r="X89" s="279">
        <f>AVERAGE(F89:H89)</f>
        <v>0</v>
      </c>
      <c r="Y89" s="285">
        <f t="shared" si="57"/>
        <v>0</v>
      </c>
      <c r="Z89" s="279">
        <v>0</v>
      </c>
      <c r="AA89" s="285">
        <f t="shared" si="69"/>
        <v>0</v>
      </c>
      <c r="AB89" s="279">
        <f t="shared" si="58"/>
        <v>0</v>
      </c>
      <c r="AC89" s="285">
        <f t="shared" si="54"/>
        <v>0</v>
      </c>
      <c r="AD89" s="293"/>
      <c r="AF89" s="138"/>
      <c r="AG89" s="98" t="s">
        <v>97</v>
      </c>
      <c r="AH89" s="99"/>
      <c r="AI89" s="99"/>
      <c r="AJ89" s="289">
        <v>0</v>
      </c>
      <c r="AK89" s="289">
        <v>0</v>
      </c>
      <c r="AL89" s="289">
        <v>0</v>
      </c>
      <c r="AM89" s="289">
        <f t="shared" si="59"/>
        <v>0</v>
      </c>
      <c r="AN89" s="289">
        <v>0</v>
      </c>
      <c r="AO89" s="373">
        <f t="shared" si="60"/>
        <v>0</v>
      </c>
      <c r="AP89" s="373">
        <f t="shared" si="60"/>
        <v>0</v>
      </c>
      <c r="AQ89" s="373">
        <f t="shared" si="60"/>
        <v>0</v>
      </c>
      <c r="AR89" s="273">
        <f t="shared" si="60"/>
        <v>0</v>
      </c>
      <c r="AS89" s="273">
        <f t="shared" si="71"/>
        <v>0</v>
      </c>
      <c r="AT89" s="373">
        <f t="shared" si="61"/>
        <v>0</v>
      </c>
      <c r="AU89" s="177"/>
      <c r="AV89" s="258">
        <f t="shared" si="55"/>
        <v>0</v>
      </c>
      <c r="AW89" s="258">
        <f t="shared" si="56"/>
        <v>0</v>
      </c>
      <c r="BB89" s="391">
        <f t="shared" si="34"/>
        <v>0</v>
      </c>
      <c r="BC89" s="391">
        <f t="shared" si="35"/>
        <v>0</v>
      </c>
      <c r="BD89" s="391">
        <f t="shared" si="36"/>
        <v>0</v>
      </c>
      <c r="BE89" s="391" t="e">
        <f>#REF!-AO89</f>
        <v>#REF!</v>
      </c>
      <c r="BF89" s="391" t="e">
        <f>#REF!-AP89</f>
        <v>#REF!</v>
      </c>
      <c r="BG89" s="391" t="e">
        <f>#REF!-AQ89</f>
        <v>#REF!</v>
      </c>
    </row>
    <row r="90" spans="1:59" s="88" customFormat="1" ht="33.75" hidden="1" customHeight="1" outlineLevel="1">
      <c r="A90" s="420"/>
      <c r="B90" s="290" t="s">
        <v>165</v>
      </c>
      <c r="C90" s="291"/>
      <c r="D90" s="291"/>
      <c r="E90" s="276">
        <v>0</v>
      </c>
      <c r="F90" s="292">
        <v>0</v>
      </c>
      <c r="G90" s="278">
        <v>0</v>
      </c>
      <c r="H90" s="279">
        <f t="shared" si="65"/>
        <v>0</v>
      </c>
      <c r="I90" s="368">
        <f t="shared" si="66"/>
        <v>0</v>
      </c>
      <c r="J90" s="369">
        <f t="shared" si="66"/>
        <v>0</v>
      </c>
      <c r="K90" s="368">
        <f t="shared" si="66"/>
        <v>0</v>
      </c>
      <c r="L90" s="370">
        <f t="shared" si="66"/>
        <v>0</v>
      </c>
      <c r="M90" s="278">
        <v>0</v>
      </c>
      <c r="N90" s="371">
        <f t="shared" si="67"/>
        <v>0</v>
      </c>
      <c r="O90" s="278">
        <f t="shared" si="70"/>
        <v>0</v>
      </c>
      <c r="P90" s="372">
        <f t="shared" si="68"/>
        <v>0</v>
      </c>
      <c r="Q90" s="217"/>
      <c r="R90" s="268">
        <f>AVERAGE(E90:G90)</f>
        <v>0</v>
      </c>
      <c r="S90" s="269">
        <f t="shared" si="57"/>
        <v>0</v>
      </c>
      <c r="T90" s="420"/>
      <c r="U90" s="290" t="s">
        <v>165</v>
      </c>
      <c r="V90" s="291"/>
      <c r="W90" s="291"/>
      <c r="X90" s="279">
        <f>AVERAGE(F90:H90)</f>
        <v>0</v>
      </c>
      <c r="Y90" s="285">
        <f t="shared" si="57"/>
        <v>0</v>
      </c>
      <c r="Z90" s="279">
        <v>0</v>
      </c>
      <c r="AA90" s="285">
        <f t="shared" si="69"/>
        <v>0</v>
      </c>
      <c r="AB90" s="279">
        <f t="shared" si="58"/>
        <v>0</v>
      </c>
      <c r="AC90" s="285">
        <f t="shared" si="54"/>
        <v>0</v>
      </c>
      <c r="AD90" s="293"/>
      <c r="AF90" s="138"/>
      <c r="AG90" s="98" t="s">
        <v>165</v>
      </c>
      <c r="AH90" s="99"/>
      <c r="AI90" s="99"/>
      <c r="AJ90" s="289">
        <v>175100</v>
      </c>
      <c r="AK90" s="289">
        <v>0</v>
      </c>
      <c r="AL90" s="289">
        <v>143366</v>
      </c>
      <c r="AM90" s="289">
        <f t="shared" si="59"/>
        <v>106155.33333333333</v>
      </c>
      <c r="AN90" s="289">
        <v>0</v>
      </c>
      <c r="AO90" s="373">
        <f t="shared" si="60"/>
        <v>1.1088341558104879E-3</v>
      </c>
      <c r="AP90" s="373">
        <f t="shared" si="60"/>
        <v>0</v>
      </c>
      <c r="AQ90" s="373">
        <f t="shared" si="60"/>
        <v>1.0779406033720009E-3</v>
      </c>
      <c r="AR90" s="273">
        <f t="shared" si="60"/>
        <v>8.192214321863649E-4</v>
      </c>
      <c r="AS90" s="273">
        <f t="shared" si="71"/>
        <v>8.192214321863649E-4</v>
      </c>
      <c r="AT90" s="373">
        <f t="shared" si="61"/>
        <v>0</v>
      </c>
      <c r="AU90" s="177"/>
      <c r="AV90" s="258">
        <f t="shared" si="55"/>
        <v>0</v>
      </c>
      <c r="AW90" s="258">
        <f t="shared" si="56"/>
        <v>-175100</v>
      </c>
      <c r="BB90" s="391">
        <f t="shared" si="34"/>
        <v>-1.1088341558104879E-3</v>
      </c>
      <c r="BC90" s="391">
        <f t="shared" si="35"/>
        <v>0</v>
      </c>
      <c r="BD90" s="391">
        <f t="shared" si="36"/>
        <v>-1.0779406033720009E-3</v>
      </c>
      <c r="BE90" s="391" t="e">
        <f>#REF!-AO90</f>
        <v>#REF!</v>
      </c>
      <c r="BF90" s="391" t="e">
        <f>#REF!-AP90</f>
        <v>#REF!</v>
      </c>
      <c r="BG90" s="391" t="e">
        <f>#REF!-AQ90</f>
        <v>#REF!</v>
      </c>
    </row>
    <row r="91" spans="1:59" s="88" customFormat="1" ht="33.75" customHeight="1" collapsed="1">
      <c r="A91" s="420"/>
      <c r="B91" s="290" t="s">
        <v>101</v>
      </c>
      <c r="C91" s="291"/>
      <c r="D91" s="291"/>
      <c r="E91" s="276">
        <v>0</v>
      </c>
      <c r="F91" s="292">
        <v>0</v>
      </c>
      <c r="G91" s="278">
        <v>0</v>
      </c>
      <c r="H91" s="279">
        <f t="shared" si="65"/>
        <v>0</v>
      </c>
      <c r="I91" s="368">
        <f t="shared" si="66"/>
        <v>0</v>
      </c>
      <c r="J91" s="369">
        <f t="shared" si="66"/>
        <v>0</v>
      </c>
      <c r="K91" s="368">
        <f t="shared" si="66"/>
        <v>0</v>
      </c>
      <c r="L91" s="370">
        <f t="shared" si="66"/>
        <v>0</v>
      </c>
      <c r="M91" s="278">
        <v>0</v>
      </c>
      <c r="N91" s="371">
        <f t="shared" si="67"/>
        <v>0</v>
      </c>
      <c r="O91" s="278">
        <f t="shared" si="70"/>
        <v>0</v>
      </c>
      <c r="P91" s="372">
        <f t="shared" si="68"/>
        <v>0</v>
      </c>
      <c r="Q91" s="217"/>
      <c r="R91" s="268">
        <f>3000000/6</f>
        <v>500000</v>
      </c>
      <c r="S91" s="269">
        <f t="shared" si="57"/>
        <v>5.5485121509308939E-3</v>
      </c>
      <c r="T91" s="420"/>
      <c r="U91" s="290" t="s">
        <v>101</v>
      </c>
      <c r="V91" s="291"/>
      <c r="W91" s="291"/>
      <c r="X91" s="279">
        <f>3000000/6</f>
        <v>500000</v>
      </c>
      <c r="Y91" s="285">
        <f t="shared" si="57"/>
        <v>6.6343212545342265E-3</v>
      </c>
      <c r="Z91" s="279">
        <v>0</v>
      </c>
      <c r="AA91" s="285">
        <f t="shared" si="69"/>
        <v>0</v>
      </c>
      <c r="AB91" s="279">
        <f t="shared" si="58"/>
        <v>500000</v>
      </c>
      <c r="AC91" s="285">
        <f t="shared" si="54"/>
        <v>3.9787357264845181E-3</v>
      </c>
      <c r="AD91" s="293" t="s">
        <v>315</v>
      </c>
      <c r="AF91" s="138"/>
      <c r="AG91" s="98" t="s">
        <v>101</v>
      </c>
      <c r="AH91" s="99"/>
      <c r="AI91" s="99"/>
      <c r="AJ91" s="289">
        <v>1841336</v>
      </c>
      <c r="AK91" s="289">
        <v>7063188</v>
      </c>
      <c r="AL91" s="289">
        <v>3293326</v>
      </c>
      <c r="AM91" s="289">
        <f t="shared" si="59"/>
        <v>4065950</v>
      </c>
      <c r="AN91" s="289">
        <v>0</v>
      </c>
      <c r="AO91" s="373">
        <f t="shared" si="60"/>
        <v>1.1660401194308742E-2</v>
      </c>
      <c r="AP91" s="373">
        <f t="shared" si="60"/>
        <v>7.2199505998021565E-2</v>
      </c>
      <c r="AQ91" s="373">
        <f t="shared" si="60"/>
        <v>2.4761866938749062E-2</v>
      </c>
      <c r="AR91" s="273">
        <f t="shared" si="60"/>
        <v>3.1377729951060557E-2</v>
      </c>
      <c r="AS91" s="273">
        <f t="shared" si="71"/>
        <v>3.1377729951060557E-2</v>
      </c>
      <c r="AT91" s="373">
        <f t="shared" si="61"/>
        <v>0</v>
      </c>
      <c r="AU91" s="177"/>
      <c r="AV91" s="258">
        <f t="shared" si="55"/>
        <v>0</v>
      </c>
      <c r="AW91" s="258">
        <f t="shared" si="56"/>
        <v>-1341336</v>
      </c>
      <c r="BB91" s="391">
        <f t="shared" si="34"/>
        <v>-1.1660401194308742E-2</v>
      </c>
      <c r="BC91" s="391">
        <f t="shared" si="35"/>
        <v>-7.2199505998021565E-2</v>
      </c>
      <c r="BD91" s="391">
        <f t="shared" si="36"/>
        <v>-2.4761866938749062E-2</v>
      </c>
      <c r="BE91" s="391" t="e">
        <f>#REF!-AO91</f>
        <v>#REF!</v>
      </c>
      <c r="BF91" s="391" t="e">
        <f>#REF!-AP91</f>
        <v>#REF!</v>
      </c>
      <c r="BG91" s="391" t="e">
        <f>#REF!-AQ91</f>
        <v>#REF!</v>
      </c>
    </row>
    <row r="92" spans="1:59" s="88" customFormat="1" ht="33.75" hidden="1" customHeight="1" outlineLevel="1">
      <c r="A92" s="420"/>
      <c r="B92" s="290" t="s">
        <v>103</v>
      </c>
      <c r="C92" s="291"/>
      <c r="D92" s="291"/>
      <c r="E92" s="276">
        <v>0</v>
      </c>
      <c r="F92" s="292">
        <v>0</v>
      </c>
      <c r="G92" s="278">
        <v>0</v>
      </c>
      <c r="H92" s="279">
        <f t="shared" si="65"/>
        <v>0</v>
      </c>
      <c r="I92" s="368">
        <f t="shared" si="66"/>
        <v>0</v>
      </c>
      <c r="J92" s="369">
        <f t="shared" si="66"/>
        <v>0</v>
      </c>
      <c r="K92" s="368">
        <f t="shared" si="66"/>
        <v>0</v>
      </c>
      <c r="L92" s="370">
        <f t="shared" si="66"/>
        <v>0</v>
      </c>
      <c r="M92" s="278">
        <v>0</v>
      </c>
      <c r="N92" s="371">
        <f t="shared" si="67"/>
        <v>0</v>
      </c>
      <c r="O92" s="278">
        <f t="shared" si="70"/>
        <v>0</v>
      </c>
      <c r="P92" s="372">
        <f t="shared" si="68"/>
        <v>0</v>
      </c>
      <c r="Q92" s="217"/>
      <c r="R92" s="268">
        <f>AVERAGE(E92:G92)</f>
        <v>0</v>
      </c>
      <c r="S92" s="269">
        <f t="shared" si="57"/>
        <v>0</v>
      </c>
      <c r="T92" s="420"/>
      <c r="U92" s="290" t="s">
        <v>103</v>
      </c>
      <c r="V92" s="291"/>
      <c r="W92" s="291"/>
      <c r="X92" s="279">
        <f>AVERAGE(F92:H92)</f>
        <v>0</v>
      </c>
      <c r="Y92" s="285">
        <f t="shared" si="57"/>
        <v>0</v>
      </c>
      <c r="Z92" s="279">
        <v>0</v>
      </c>
      <c r="AA92" s="285">
        <f t="shared" si="69"/>
        <v>0</v>
      </c>
      <c r="AB92" s="279">
        <f t="shared" si="58"/>
        <v>0</v>
      </c>
      <c r="AC92" s="285">
        <f t="shared" si="54"/>
        <v>0</v>
      </c>
      <c r="AD92" s="293"/>
      <c r="AF92" s="138"/>
      <c r="AG92" s="98" t="s">
        <v>103</v>
      </c>
      <c r="AH92" s="99"/>
      <c r="AI92" s="99"/>
      <c r="AJ92" s="289">
        <v>0</v>
      </c>
      <c r="AK92" s="289">
        <v>0</v>
      </c>
      <c r="AL92" s="289">
        <v>0</v>
      </c>
      <c r="AM92" s="289">
        <f t="shared" si="59"/>
        <v>0</v>
      </c>
      <c r="AN92" s="289">
        <v>0</v>
      </c>
      <c r="AO92" s="373">
        <f t="shared" si="60"/>
        <v>0</v>
      </c>
      <c r="AP92" s="373">
        <f t="shared" si="60"/>
        <v>0</v>
      </c>
      <c r="AQ92" s="373">
        <f t="shared" si="60"/>
        <v>0</v>
      </c>
      <c r="AR92" s="273">
        <f t="shared" si="60"/>
        <v>0</v>
      </c>
      <c r="AS92" s="273">
        <f t="shared" si="71"/>
        <v>0</v>
      </c>
      <c r="AT92" s="373">
        <f t="shared" si="61"/>
        <v>0</v>
      </c>
      <c r="AU92" s="177"/>
      <c r="AV92" s="258">
        <f t="shared" si="55"/>
        <v>0</v>
      </c>
      <c r="AW92" s="258">
        <f t="shared" si="56"/>
        <v>0</v>
      </c>
      <c r="BB92" s="391">
        <f t="shared" si="34"/>
        <v>0</v>
      </c>
      <c r="BC92" s="391">
        <f t="shared" si="35"/>
        <v>0</v>
      </c>
      <c r="BD92" s="391">
        <f t="shared" si="36"/>
        <v>0</v>
      </c>
      <c r="BE92" s="391" t="e">
        <f>#REF!-AO92</f>
        <v>#REF!</v>
      </c>
      <c r="BF92" s="391" t="e">
        <f>#REF!-AP92</f>
        <v>#REF!</v>
      </c>
      <c r="BG92" s="391" t="e">
        <f>#REF!-AQ92</f>
        <v>#REF!</v>
      </c>
    </row>
    <row r="93" spans="1:59" s="88" customFormat="1" ht="33.75" hidden="1" customHeight="1" outlineLevel="1">
      <c r="A93" s="420"/>
      <c r="B93" s="290" t="s">
        <v>169</v>
      </c>
      <c r="C93" s="291"/>
      <c r="D93" s="291"/>
      <c r="E93" s="276">
        <v>0</v>
      </c>
      <c r="F93" s="292">
        <v>0</v>
      </c>
      <c r="G93" s="278">
        <v>0</v>
      </c>
      <c r="H93" s="279">
        <f t="shared" si="65"/>
        <v>0</v>
      </c>
      <c r="I93" s="368">
        <f t="shared" si="66"/>
        <v>0</v>
      </c>
      <c r="J93" s="369">
        <f t="shared" si="66"/>
        <v>0</v>
      </c>
      <c r="K93" s="368">
        <f t="shared" si="66"/>
        <v>0</v>
      </c>
      <c r="L93" s="370">
        <f t="shared" si="66"/>
        <v>0</v>
      </c>
      <c r="M93" s="278">
        <v>0</v>
      </c>
      <c r="N93" s="371">
        <f t="shared" si="67"/>
        <v>0</v>
      </c>
      <c r="O93" s="278">
        <f t="shared" si="70"/>
        <v>0</v>
      </c>
      <c r="P93" s="372">
        <f t="shared" si="68"/>
        <v>0</v>
      </c>
      <c r="Q93" s="217"/>
      <c r="R93" s="268">
        <f>AVERAGE(E93:G93)</f>
        <v>0</v>
      </c>
      <c r="S93" s="269">
        <f t="shared" si="57"/>
        <v>0</v>
      </c>
      <c r="T93" s="420"/>
      <c r="U93" s="290" t="s">
        <v>169</v>
      </c>
      <c r="V93" s="291"/>
      <c r="W93" s="291"/>
      <c r="X93" s="279">
        <f>AVERAGE(F93:H93)</f>
        <v>0</v>
      </c>
      <c r="Y93" s="285">
        <f t="shared" si="57"/>
        <v>0</v>
      </c>
      <c r="Z93" s="279">
        <v>0</v>
      </c>
      <c r="AA93" s="285">
        <f t="shared" si="69"/>
        <v>0</v>
      </c>
      <c r="AB93" s="279">
        <f t="shared" si="58"/>
        <v>0</v>
      </c>
      <c r="AC93" s="285">
        <f t="shared" si="54"/>
        <v>0</v>
      </c>
      <c r="AD93" s="293"/>
      <c r="AF93" s="138"/>
      <c r="AG93" s="98" t="s">
        <v>169</v>
      </c>
      <c r="AH93" s="99"/>
      <c r="AI93" s="99"/>
      <c r="AJ93" s="289">
        <v>417198</v>
      </c>
      <c r="AK93" s="289">
        <v>218342</v>
      </c>
      <c r="AL93" s="289">
        <v>1292571</v>
      </c>
      <c r="AM93" s="289">
        <f t="shared" si="59"/>
        <v>642703.66666666663</v>
      </c>
      <c r="AN93" s="289">
        <v>0</v>
      </c>
      <c r="AO93" s="373">
        <f t="shared" si="60"/>
        <v>2.6419382760469669E-3</v>
      </c>
      <c r="AP93" s="373">
        <f t="shared" si="60"/>
        <v>2.2318795052064344E-3</v>
      </c>
      <c r="AQ93" s="373">
        <f t="shared" si="60"/>
        <v>9.7185857430712331E-3</v>
      </c>
      <c r="AR93" s="273">
        <f t="shared" si="60"/>
        <v>4.9598696715953483E-3</v>
      </c>
      <c r="AS93" s="273">
        <f t="shared" si="71"/>
        <v>4.9598696715953483E-3</v>
      </c>
      <c r="AT93" s="373">
        <f t="shared" si="61"/>
        <v>0</v>
      </c>
      <c r="AU93" s="177"/>
      <c r="AV93" s="258">
        <f t="shared" si="55"/>
        <v>0</v>
      </c>
      <c r="AW93" s="258">
        <f t="shared" si="56"/>
        <v>-417198</v>
      </c>
      <c r="BB93" s="391">
        <f t="shared" si="34"/>
        <v>-2.6419382760469669E-3</v>
      </c>
      <c r="BC93" s="391">
        <f t="shared" si="35"/>
        <v>-2.2318795052064344E-3</v>
      </c>
      <c r="BD93" s="391">
        <f t="shared" si="36"/>
        <v>-9.7185857430712331E-3</v>
      </c>
      <c r="BE93" s="391" t="e">
        <f>#REF!-AO93</f>
        <v>#REF!</v>
      </c>
      <c r="BF93" s="391" t="e">
        <f>#REF!-AP93</f>
        <v>#REF!</v>
      </c>
      <c r="BG93" s="391" t="e">
        <f>#REF!-AQ93</f>
        <v>#REF!</v>
      </c>
    </row>
    <row r="94" spans="1:59" s="88" customFormat="1" ht="33.75" customHeight="1" collapsed="1" thickBot="1">
      <c r="A94" s="420"/>
      <c r="B94" s="290" t="s">
        <v>171</v>
      </c>
      <c r="C94" s="291"/>
      <c r="D94" s="291"/>
      <c r="E94" s="276">
        <v>0</v>
      </c>
      <c r="F94" s="292">
        <v>0</v>
      </c>
      <c r="G94" s="278">
        <v>0</v>
      </c>
      <c r="H94" s="279">
        <f t="shared" si="65"/>
        <v>0</v>
      </c>
      <c r="I94" s="368">
        <f t="shared" si="66"/>
        <v>0</v>
      </c>
      <c r="J94" s="369">
        <f t="shared" si="66"/>
        <v>0</v>
      </c>
      <c r="K94" s="368">
        <f t="shared" si="66"/>
        <v>0</v>
      </c>
      <c r="L94" s="370">
        <f t="shared" si="66"/>
        <v>0</v>
      </c>
      <c r="M94" s="278">
        <v>0</v>
      </c>
      <c r="N94" s="371">
        <f t="shared" si="67"/>
        <v>0</v>
      </c>
      <c r="O94" s="278">
        <f t="shared" si="70"/>
        <v>0</v>
      </c>
      <c r="P94" s="372">
        <f t="shared" si="68"/>
        <v>0</v>
      </c>
      <c r="Q94" s="217"/>
      <c r="R94" s="268">
        <v>719721</v>
      </c>
      <c r="S94" s="269">
        <f t="shared" si="57"/>
        <v>7.9867614275602669E-3</v>
      </c>
      <c r="T94" s="420"/>
      <c r="U94" s="290" t="s">
        <v>171</v>
      </c>
      <c r="V94" s="291"/>
      <c r="W94" s="291"/>
      <c r="X94" s="279">
        <v>719721</v>
      </c>
      <c r="Y94" s="285">
        <f t="shared" si="57"/>
        <v>9.5497206552692566E-3</v>
      </c>
      <c r="Z94" s="279">
        <f>3000000/10</f>
        <v>300000</v>
      </c>
      <c r="AA94" s="285">
        <f t="shared" si="69"/>
        <v>5.9639301504500778E-3</v>
      </c>
      <c r="AB94" s="279">
        <f t="shared" si="58"/>
        <v>1019721</v>
      </c>
      <c r="AC94" s="285">
        <f t="shared" si="54"/>
        <v>8.1144007474930387E-3</v>
      </c>
      <c r="AD94" s="293" t="s">
        <v>316</v>
      </c>
      <c r="AF94" s="138"/>
      <c r="AG94" s="98" t="s">
        <v>171</v>
      </c>
      <c r="AH94" s="99"/>
      <c r="AI94" s="99"/>
      <c r="AJ94" s="289">
        <v>0</v>
      </c>
      <c r="AK94" s="289">
        <v>0</v>
      </c>
      <c r="AL94" s="289">
        <v>0</v>
      </c>
      <c r="AM94" s="289">
        <f t="shared" si="59"/>
        <v>0</v>
      </c>
      <c r="AN94" s="289">
        <v>0</v>
      </c>
      <c r="AO94" s="373">
        <f t="shared" si="60"/>
        <v>0</v>
      </c>
      <c r="AP94" s="373">
        <f t="shared" si="60"/>
        <v>0</v>
      </c>
      <c r="AQ94" s="373">
        <f t="shared" si="60"/>
        <v>0</v>
      </c>
      <c r="AR94" s="273">
        <f t="shared" si="60"/>
        <v>0</v>
      </c>
      <c r="AS94" s="273">
        <f t="shared" si="71"/>
        <v>0</v>
      </c>
      <c r="AT94" s="373">
        <f t="shared" si="61"/>
        <v>0</v>
      </c>
      <c r="AU94" s="177"/>
      <c r="AV94" s="258">
        <f t="shared" si="55"/>
        <v>0</v>
      </c>
      <c r="AW94" s="258">
        <f t="shared" si="56"/>
        <v>719721</v>
      </c>
      <c r="BB94" s="391">
        <f t="shared" si="34"/>
        <v>5.9639301504500778E-3</v>
      </c>
      <c r="BC94" s="391">
        <f t="shared" si="35"/>
        <v>5.9639301504500778E-3</v>
      </c>
      <c r="BD94" s="391">
        <f t="shared" si="36"/>
        <v>5.9639301504500778E-3</v>
      </c>
      <c r="BE94" s="391" t="e">
        <f>#REF!-AO94</f>
        <v>#REF!</v>
      </c>
      <c r="BF94" s="391" t="e">
        <f>#REF!-AP94</f>
        <v>#REF!</v>
      </c>
      <c r="BG94" s="391" t="e">
        <f>#REF!-AQ94</f>
        <v>#REF!</v>
      </c>
    </row>
    <row r="95" spans="1:59" s="88" customFormat="1" ht="33.75" hidden="1" customHeight="1" outlineLevel="1" collapsed="1">
      <c r="A95" s="420"/>
      <c r="B95" s="290" t="s">
        <v>173</v>
      </c>
      <c r="C95" s="291"/>
      <c r="D95" s="291"/>
      <c r="E95" s="276">
        <v>0</v>
      </c>
      <c r="F95" s="292">
        <v>0</v>
      </c>
      <c r="G95" s="278">
        <v>0</v>
      </c>
      <c r="H95" s="279">
        <f t="shared" si="65"/>
        <v>0</v>
      </c>
      <c r="I95" s="368">
        <f t="shared" si="66"/>
        <v>0</v>
      </c>
      <c r="J95" s="369">
        <f t="shared" si="66"/>
        <v>0</v>
      </c>
      <c r="K95" s="368">
        <f t="shared" si="66"/>
        <v>0</v>
      </c>
      <c r="L95" s="370">
        <f t="shared" si="66"/>
        <v>0</v>
      </c>
      <c r="M95" s="278">
        <v>0</v>
      </c>
      <c r="N95" s="371">
        <f t="shared" si="67"/>
        <v>0</v>
      </c>
      <c r="O95" s="278">
        <f t="shared" si="70"/>
        <v>0</v>
      </c>
      <c r="P95" s="372">
        <f t="shared" si="68"/>
        <v>0</v>
      </c>
      <c r="Q95" s="217"/>
      <c r="R95" s="268">
        <f>AVERAGE(E95:G95)</f>
        <v>0</v>
      </c>
      <c r="S95" s="269">
        <f t="shared" si="57"/>
        <v>0</v>
      </c>
      <c r="T95" s="420"/>
      <c r="U95" s="290" t="s">
        <v>173</v>
      </c>
      <c r="V95" s="291"/>
      <c r="W95" s="291"/>
      <c r="X95" s="279">
        <f>AVERAGE(F95:H95)</f>
        <v>0</v>
      </c>
      <c r="Y95" s="285">
        <f t="shared" si="57"/>
        <v>0</v>
      </c>
      <c r="Z95" s="279">
        <v>0</v>
      </c>
      <c r="AA95" s="285">
        <f t="shared" si="69"/>
        <v>0</v>
      </c>
      <c r="AB95" s="279">
        <f t="shared" si="58"/>
        <v>0</v>
      </c>
      <c r="AC95" s="285">
        <f t="shared" si="54"/>
        <v>0</v>
      </c>
      <c r="AD95" s="293"/>
      <c r="AF95" s="138"/>
      <c r="AG95" s="98" t="s">
        <v>173</v>
      </c>
      <c r="AH95" s="99"/>
      <c r="AI95" s="99"/>
      <c r="AJ95" s="289">
        <v>0</v>
      </c>
      <c r="AK95" s="289">
        <v>68000</v>
      </c>
      <c r="AL95" s="289">
        <v>0</v>
      </c>
      <c r="AM95" s="289">
        <f t="shared" si="59"/>
        <v>22666.666666666668</v>
      </c>
      <c r="AN95" s="289">
        <v>0</v>
      </c>
      <c r="AO95" s="373">
        <f t="shared" si="60"/>
        <v>0</v>
      </c>
      <c r="AP95" s="373">
        <f t="shared" si="60"/>
        <v>6.950921323155304E-4</v>
      </c>
      <c r="AQ95" s="373">
        <f t="shared" si="60"/>
        <v>0</v>
      </c>
      <c r="AR95" s="273">
        <f t="shared" si="60"/>
        <v>1.7492309191145309E-4</v>
      </c>
      <c r="AS95" s="273">
        <f t="shared" si="71"/>
        <v>1.7492309191145309E-4</v>
      </c>
      <c r="AT95" s="373">
        <f t="shared" si="61"/>
        <v>0</v>
      </c>
      <c r="AU95" s="177"/>
      <c r="AV95" s="258">
        <f t="shared" si="55"/>
        <v>0</v>
      </c>
      <c r="AW95" s="258">
        <f t="shared" si="56"/>
        <v>0</v>
      </c>
      <c r="BB95" s="391">
        <f t="shared" si="34"/>
        <v>0</v>
      </c>
      <c r="BC95" s="391">
        <f t="shared" si="35"/>
        <v>-6.950921323155304E-4</v>
      </c>
      <c r="BD95" s="391">
        <f t="shared" si="36"/>
        <v>0</v>
      </c>
      <c r="BE95" s="391" t="e">
        <f>#REF!-AO95</f>
        <v>#REF!</v>
      </c>
      <c r="BF95" s="391" t="e">
        <f>#REF!-AP95</f>
        <v>#REF!</v>
      </c>
      <c r="BG95" s="391" t="e">
        <f>#REF!-AQ95</f>
        <v>#REF!</v>
      </c>
    </row>
    <row r="96" spans="1:59" s="88" customFormat="1" ht="33.75" hidden="1" customHeight="1" outlineLevel="1">
      <c r="A96" s="420"/>
      <c r="B96" s="290" t="s">
        <v>175</v>
      </c>
      <c r="C96" s="291"/>
      <c r="D96" s="291"/>
      <c r="E96" s="276">
        <v>0</v>
      </c>
      <c r="F96" s="292">
        <v>0</v>
      </c>
      <c r="G96" s="278">
        <v>0</v>
      </c>
      <c r="H96" s="279">
        <f t="shared" si="65"/>
        <v>0</v>
      </c>
      <c r="I96" s="368">
        <f t="shared" si="66"/>
        <v>0</v>
      </c>
      <c r="J96" s="369">
        <f t="shared" si="66"/>
        <v>0</v>
      </c>
      <c r="K96" s="368">
        <f t="shared" si="66"/>
        <v>0</v>
      </c>
      <c r="L96" s="370">
        <f t="shared" si="66"/>
        <v>0</v>
      </c>
      <c r="M96" s="278">
        <v>0</v>
      </c>
      <c r="N96" s="371">
        <f t="shared" si="67"/>
        <v>0</v>
      </c>
      <c r="O96" s="278">
        <f t="shared" si="70"/>
        <v>0</v>
      </c>
      <c r="P96" s="372">
        <f t="shared" si="68"/>
        <v>0</v>
      </c>
      <c r="Q96" s="217"/>
      <c r="R96" s="268">
        <f>AVERAGE(E96:G96)</f>
        <v>0</v>
      </c>
      <c r="S96" s="269">
        <f t="shared" si="57"/>
        <v>0</v>
      </c>
      <c r="T96" s="420"/>
      <c r="U96" s="290" t="s">
        <v>175</v>
      </c>
      <c r="V96" s="291"/>
      <c r="W96" s="291"/>
      <c r="X96" s="279">
        <f>AVERAGE(F96:H96)</f>
        <v>0</v>
      </c>
      <c r="Y96" s="285">
        <f t="shared" si="57"/>
        <v>0</v>
      </c>
      <c r="Z96" s="279">
        <v>0</v>
      </c>
      <c r="AA96" s="285">
        <f t="shared" si="69"/>
        <v>0</v>
      </c>
      <c r="AB96" s="279">
        <f t="shared" si="58"/>
        <v>0</v>
      </c>
      <c r="AC96" s="285">
        <f t="shared" si="54"/>
        <v>0</v>
      </c>
      <c r="AD96" s="293"/>
      <c r="AF96" s="138"/>
      <c r="AG96" s="98" t="s">
        <v>175</v>
      </c>
      <c r="AH96" s="99"/>
      <c r="AI96" s="99"/>
      <c r="AJ96" s="289">
        <v>0</v>
      </c>
      <c r="AK96" s="289">
        <v>0</v>
      </c>
      <c r="AL96" s="289">
        <v>0</v>
      </c>
      <c r="AM96" s="289">
        <f t="shared" si="59"/>
        <v>0</v>
      </c>
      <c r="AN96" s="289">
        <v>0</v>
      </c>
      <c r="AO96" s="373">
        <f t="shared" si="60"/>
        <v>0</v>
      </c>
      <c r="AP96" s="373">
        <f t="shared" si="60"/>
        <v>0</v>
      </c>
      <c r="AQ96" s="373">
        <f t="shared" si="60"/>
        <v>0</v>
      </c>
      <c r="AR96" s="273">
        <f t="shared" si="60"/>
        <v>0</v>
      </c>
      <c r="AS96" s="273">
        <f t="shared" si="71"/>
        <v>0</v>
      </c>
      <c r="AT96" s="373">
        <f t="shared" si="61"/>
        <v>0</v>
      </c>
      <c r="AU96" s="177"/>
      <c r="AV96" s="258">
        <f t="shared" si="55"/>
        <v>0</v>
      </c>
      <c r="AW96" s="258">
        <f t="shared" si="56"/>
        <v>0</v>
      </c>
      <c r="BB96" s="391">
        <f t="shared" si="34"/>
        <v>0</v>
      </c>
      <c r="BC96" s="391">
        <f t="shared" si="35"/>
        <v>0</v>
      </c>
      <c r="BD96" s="391">
        <f t="shared" si="36"/>
        <v>0</v>
      </c>
      <c r="BE96" s="391" t="e">
        <f>#REF!-AO96</f>
        <v>#REF!</v>
      </c>
      <c r="BF96" s="391" t="e">
        <f>#REF!-AP96</f>
        <v>#REF!</v>
      </c>
      <c r="BG96" s="391" t="e">
        <f>#REF!-AQ96</f>
        <v>#REF!</v>
      </c>
    </row>
    <row r="97" spans="1:59" s="88" customFormat="1" ht="33.75" hidden="1" customHeight="1" outlineLevel="1" thickBot="1">
      <c r="A97" s="420"/>
      <c r="B97" s="260" t="s">
        <v>177</v>
      </c>
      <c r="C97" s="261"/>
      <c r="D97" s="261"/>
      <c r="E97" s="262">
        <v>0</v>
      </c>
      <c r="F97" s="263">
        <v>0</v>
      </c>
      <c r="G97" s="264">
        <v>0</v>
      </c>
      <c r="H97" s="265">
        <f>AVERAGE(E97:G97)</f>
        <v>0</v>
      </c>
      <c r="I97" s="365">
        <f t="shared" si="66"/>
        <v>0</v>
      </c>
      <c r="J97" s="366">
        <f t="shared" si="66"/>
        <v>0</v>
      </c>
      <c r="K97" s="365">
        <f t="shared" si="66"/>
        <v>0</v>
      </c>
      <c r="L97" s="266">
        <f t="shared" si="66"/>
        <v>0</v>
      </c>
      <c r="M97" s="264">
        <v>0</v>
      </c>
      <c r="N97" s="267">
        <f t="shared" si="67"/>
        <v>0</v>
      </c>
      <c r="O97" s="264">
        <f t="shared" si="70"/>
        <v>0</v>
      </c>
      <c r="P97" s="367">
        <f t="shared" si="68"/>
        <v>0</v>
      </c>
      <c r="Q97" s="217"/>
      <c r="R97" s="268">
        <f>AVERAGE(E97:G97)</f>
        <v>0</v>
      </c>
      <c r="S97" s="269">
        <f t="shared" si="57"/>
        <v>0</v>
      </c>
      <c r="T97" s="420"/>
      <c r="U97" s="260" t="s">
        <v>177</v>
      </c>
      <c r="V97" s="261"/>
      <c r="W97" s="261"/>
      <c r="X97" s="265">
        <f>AVERAGE(F97:H97)</f>
        <v>0</v>
      </c>
      <c r="Y97" s="270">
        <f t="shared" si="57"/>
        <v>0</v>
      </c>
      <c r="Z97" s="265">
        <v>0</v>
      </c>
      <c r="AA97" s="270">
        <f t="shared" si="69"/>
        <v>0</v>
      </c>
      <c r="AB97" s="265">
        <f t="shared" si="58"/>
        <v>0</v>
      </c>
      <c r="AC97" s="270">
        <f t="shared" si="54"/>
        <v>0</v>
      </c>
      <c r="AD97" s="271"/>
      <c r="AF97" s="138"/>
      <c r="AG97" s="90" t="s">
        <v>177</v>
      </c>
      <c r="AH97" s="91"/>
      <c r="AI97" s="91"/>
      <c r="AJ97" s="272">
        <v>0</v>
      </c>
      <c r="AK97" s="272">
        <v>0</v>
      </c>
      <c r="AL97" s="272">
        <v>0</v>
      </c>
      <c r="AM97" s="272">
        <f t="shared" si="59"/>
        <v>0</v>
      </c>
      <c r="AN97" s="272">
        <v>0</v>
      </c>
      <c r="AO97" s="273">
        <f t="shared" si="60"/>
        <v>0</v>
      </c>
      <c r="AP97" s="273">
        <f t="shared" si="60"/>
        <v>0</v>
      </c>
      <c r="AQ97" s="273">
        <f t="shared" si="60"/>
        <v>0</v>
      </c>
      <c r="AR97" s="273">
        <f t="shared" si="60"/>
        <v>0</v>
      </c>
      <c r="AS97" s="273">
        <f>AR97</f>
        <v>0</v>
      </c>
      <c r="AT97" s="273">
        <f t="shared" si="61"/>
        <v>0</v>
      </c>
      <c r="AU97" s="177"/>
      <c r="AV97" s="258">
        <f t="shared" si="55"/>
        <v>0</v>
      </c>
      <c r="AW97" s="258">
        <f t="shared" si="56"/>
        <v>0</v>
      </c>
      <c r="BB97" s="391">
        <f t="shared" si="34"/>
        <v>0</v>
      </c>
      <c r="BC97" s="391">
        <f t="shared" si="35"/>
        <v>0</v>
      </c>
      <c r="BD97" s="391">
        <f t="shared" si="36"/>
        <v>0</v>
      </c>
      <c r="BE97" s="391" t="e">
        <f>#REF!-AO97</f>
        <v>#REF!</v>
      </c>
      <c r="BF97" s="391" t="e">
        <f>#REF!-AP97</f>
        <v>#REF!</v>
      </c>
      <c r="BG97" s="391" t="e">
        <f>#REF!-AQ97</f>
        <v>#REF!</v>
      </c>
    </row>
    <row r="98" spans="1:59" s="88" customFormat="1" ht="33.75" customHeight="1" thickTop="1" thickBot="1">
      <c r="A98" s="422" t="s">
        <v>179</v>
      </c>
      <c r="B98" s="423"/>
      <c r="C98" s="423"/>
      <c r="D98" s="423"/>
      <c r="E98" s="424">
        <f>E20+E38+E86</f>
        <v>52897396</v>
      </c>
      <c r="F98" s="425">
        <f t="shared" ref="F98:G98" si="72">F20+F38+F86</f>
        <v>56564537</v>
      </c>
      <c r="G98" s="426">
        <f t="shared" si="72"/>
        <v>49980034</v>
      </c>
      <c r="H98" s="427">
        <f>H20+H38+H86</f>
        <v>53147322.333333336</v>
      </c>
      <c r="I98" s="428">
        <f t="shared" si="66"/>
        <v>0.83051688420319636</v>
      </c>
      <c r="J98" s="429">
        <f t="shared" si="66"/>
        <v>0.79670946228016382</v>
      </c>
      <c r="K98" s="428">
        <f t="shared" si="66"/>
        <v>0.75488520881676924</v>
      </c>
      <c r="L98" s="430">
        <f t="shared" si="66"/>
        <v>0.79364390563116949</v>
      </c>
      <c r="M98" s="426">
        <f t="shared" ref="M98" si="73">M20+M38+M86</f>
        <v>30399743</v>
      </c>
      <c r="N98" s="431">
        <f t="shared" si="67"/>
        <v>0.70910171704600933</v>
      </c>
      <c r="O98" s="426">
        <f>O20+O38+O86</f>
        <v>83547065.333333343</v>
      </c>
      <c r="P98" s="432">
        <f t="shared" si="68"/>
        <v>0.76064600934866022</v>
      </c>
      <c r="Q98" s="217"/>
      <c r="R98" s="433">
        <f>R20+R38+R86</f>
        <v>66922204.064411029</v>
      </c>
      <c r="S98" s="434">
        <f t="shared" si="57"/>
        <v>0.74263732483692291</v>
      </c>
      <c r="T98" s="422" t="s">
        <v>179</v>
      </c>
      <c r="U98" s="423"/>
      <c r="V98" s="423"/>
      <c r="W98" s="423"/>
      <c r="X98" s="427">
        <f>X20+X38+X86</f>
        <v>51986062.600439206</v>
      </c>
      <c r="Y98" s="435">
        <f t="shared" si="57"/>
        <v>0.68978448009928139</v>
      </c>
      <c r="Z98" s="427">
        <f>Z20+Z38+Z86</f>
        <v>29406633.002511166</v>
      </c>
      <c r="AA98" s="435">
        <f t="shared" si="69"/>
        <v>0.58459701728965552</v>
      </c>
      <c r="AB98" s="427">
        <f t="shared" si="58"/>
        <v>81392695.602950364</v>
      </c>
      <c r="AC98" s="435">
        <f t="shared" si="54"/>
        <v>0.64768005174067589</v>
      </c>
      <c r="AD98" s="436"/>
      <c r="AF98" s="140" t="s">
        <v>179</v>
      </c>
      <c r="AG98" s="141"/>
      <c r="AH98" s="141"/>
      <c r="AI98" s="141"/>
      <c r="AJ98" s="437">
        <v>92766307</v>
      </c>
      <c r="AK98" s="437">
        <v>81722158</v>
      </c>
      <c r="AL98" s="437">
        <v>118619010</v>
      </c>
      <c r="AM98" s="437">
        <f t="shared" si="59"/>
        <v>97702491.666666672</v>
      </c>
      <c r="AN98" s="437">
        <f>AN20+AN38+AN86</f>
        <v>26288477</v>
      </c>
      <c r="AO98" s="438">
        <f t="shared" si="60"/>
        <v>0.58744974134781014</v>
      </c>
      <c r="AP98" s="438">
        <f t="shared" si="60"/>
        <v>0.83535925090656882</v>
      </c>
      <c r="AQ98" s="438">
        <f t="shared" si="60"/>
        <v>0.89187287927953218</v>
      </c>
      <c r="AR98" s="438">
        <f t="shared" si="60"/>
        <v>0.75398920278469028</v>
      </c>
      <c r="AS98" s="438">
        <f>AS20+AS38+AS86</f>
        <v>0.66639902271382678</v>
      </c>
      <c r="AT98" s="438">
        <f t="shared" si="61"/>
        <v>0.568185250794079</v>
      </c>
      <c r="AU98" s="177"/>
      <c r="AV98" s="258">
        <f t="shared" si="55"/>
        <v>-6584503</v>
      </c>
      <c r="AW98" s="258">
        <f t="shared" si="56"/>
        <v>-25844102.935588971</v>
      </c>
      <c r="BB98" s="391">
        <f t="shared" si="34"/>
        <v>-2.8527240581546209E-3</v>
      </c>
      <c r="BC98" s="391">
        <f t="shared" si="35"/>
        <v>-0.2507622336169133</v>
      </c>
      <c r="BD98" s="391">
        <f t="shared" si="36"/>
        <v>-0.30727586198987666</v>
      </c>
      <c r="BE98" s="391" t="e">
        <f>#REF!-AO98</f>
        <v>#REF!</v>
      </c>
      <c r="BF98" s="391" t="e">
        <f>#REF!-AP98</f>
        <v>#REF!</v>
      </c>
      <c r="BG98" s="391" t="e">
        <f>#REF!-AQ98</f>
        <v>#REF!</v>
      </c>
    </row>
    <row r="99" spans="1:59" s="88" customFormat="1" ht="33.75" customHeight="1" collapsed="1" thickBot="1">
      <c r="A99" s="439" t="s">
        <v>181</v>
      </c>
      <c r="B99" s="440"/>
      <c r="C99" s="440"/>
      <c r="D99" s="440"/>
      <c r="E99" s="441">
        <f>E19-E98</f>
        <v>-6896564</v>
      </c>
      <c r="F99" s="442">
        <f t="shared" ref="F99:G99" si="74">F19-F98</f>
        <v>-8016932</v>
      </c>
      <c r="G99" s="443">
        <f t="shared" si="74"/>
        <v>-541529</v>
      </c>
      <c r="H99" s="444">
        <f>H19-H98</f>
        <v>-5151675</v>
      </c>
      <c r="I99" s="445">
        <f t="shared" si="66"/>
        <v>-0.10827967495768473</v>
      </c>
      <c r="J99" s="446">
        <f t="shared" si="66"/>
        <v>-0.11291819789591204</v>
      </c>
      <c r="K99" s="445">
        <f t="shared" si="66"/>
        <v>-8.1791107274023916E-3</v>
      </c>
      <c r="L99" s="447">
        <f t="shared" si="66"/>
        <v>-7.692947241818314E-2</v>
      </c>
      <c r="M99" s="443">
        <f t="shared" ref="M99" si="75">M19-M98</f>
        <v>-2536963</v>
      </c>
      <c r="N99" s="448">
        <f t="shared" si="67"/>
        <v>-5.9176974600811429E-2</v>
      </c>
      <c r="O99" s="443">
        <f>O19-O98</f>
        <v>-7688638</v>
      </c>
      <c r="P99" s="449">
        <f t="shared" si="68"/>
        <v>-7.0000445721139115E-2</v>
      </c>
      <c r="Q99" s="217"/>
      <c r="R99" s="450">
        <f>R19-R98</f>
        <v>-3841956.0644110292</v>
      </c>
      <c r="S99" s="451">
        <f t="shared" si="57"/>
        <v>-4.2634279813454461E-2</v>
      </c>
      <c r="T99" s="439" t="s">
        <v>181</v>
      </c>
      <c r="U99" s="440"/>
      <c r="V99" s="440"/>
      <c r="W99" s="440"/>
      <c r="X99" s="452">
        <f>X19-X98</f>
        <v>1900597.3995607942</v>
      </c>
      <c r="Y99" s="453">
        <f t="shared" si="57"/>
        <v>2.5218347448437314E-2</v>
      </c>
      <c r="Z99" s="444">
        <f>Z19-Z98</f>
        <v>3289926.997488834</v>
      </c>
      <c r="AA99" s="453">
        <f t="shared" si="69"/>
        <v>6.5402982710344518E-2</v>
      </c>
      <c r="AB99" s="444">
        <f t="shared" si="58"/>
        <v>5190524.3970496282</v>
      </c>
      <c r="AC99" s="453">
        <f t="shared" si="54"/>
        <v>4.1303449715461737E-2</v>
      </c>
      <c r="AD99" s="454"/>
      <c r="AF99" s="146" t="s">
        <v>181</v>
      </c>
      <c r="AG99" s="147"/>
      <c r="AH99" s="147"/>
      <c r="AI99" s="147"/>
      <c r="AJ99" s="455">
        <v>20213532.442000002</v>
      </c>
      <c r="AK99" s="455">
        <v>-12213483.309999999</v>
      </c>
      <c r="AL99" s="455">
        <v>-27658953.216000002</v>
      </c>
      <c r="AM99" s="455">
        <f t="shared" si="59"/>
        <v>-6552968.0279999999</v>
      </c>
      <c r="AN99" s="455">
        <f>AN19-AN98</f>
        <v>1583508.3999999985</v>
      </c>
      <c r="AO99" s="456">
        <f t="shared" si="60"/>
        <v>0.12800374175484286</v>
      </c>
      <c r="AP99" s="456">
        <f t="shared" si="60"/>
        <v>-0.12484553171982413</v>
      </c>
      <c r="AQ99" s="456">
        <f t="shared" si="60"/>
        <v>-0.20796219967281632</v>
      </c>
      <c r="AR99" s="456">
        <f t="shared" si="60"/>
        <v>-5.057053361711724E-2</v>
      </c>
      <c r="AS99" s="456">
        <f>AS19-AS98</f>
        <v>3.7019646453746224E-2</v>
      </c>
      <c r="AT99" s="456">
        <f>AN99/AN$7</f>
        <v>3.4225113816541364E-2</v>
      </c>
      <c r="AU99" s="177"/>
      <c r="AV99" s="258">
        <f t="shared" si="55"/>
        <v>7475403</v>
      </c>
      <c r="AW99" s="258">
        <f t="shared" si="56"/>
        <v>-24055488.506411031</v>
      </c>
      <c r="BB99" s="391">
        <f t="shared" si="34"/>
        <v>-6.2600759044498341E-2</v>
      </c>
      <c r="BC99" s="391">
        <f t="shared" si="35"/>
        <v>0.19024851443016866</v>
      </c>
      <c r="BD99" s="391">
        <f t="shared" si="36"/>
        <v>0.27336518238316082</v>
      </c>
      <c r="BE99" s="391" t="e">
        <f>#REF!-AO99</f>
        <v>#REF!</v>
      </c>
      <c r="BF99" s="391" t="e">
        <f>#REF!-AP99</f>
        <v>#REF!</v>
      </c>
      <c r="BG99" s="391" t="e">
        <f>#REF!-AQ99</f>
        <v>#REF!</v>
      </c>
    </row>
    <row r="100" spans="1:59" s="88" customFormat="1" ht="33.75" hidden="1" customHeight="1" outlineLevel="1" collapsed="1">
      <c r="A100" s="457" t="s">
        <v>183</v>
      </c>
      <c r="B100" s="458"/>
      <c r="C100" s="458"/>
      <c r="D100" s="458"/>
      <c r="E100" s="459">
        <f>E101+E105+E106+E107</f>
        <v>690000</v>
      </c>
      <c r="F100" s="460">
        <f t="shared" ref="F100:G100" si="76">F101+F105+F106+F107</f>
        <v>1080000</v>
      </c>
      <c r="G100" s="461">
        <f t="shared" si="76"/>
        <v>855000</v>
      </c>
      <c r="H100" s="462">
        <f>H101+H105+H106+H107</f>
        <v>875000</v>
      </c>
      <c r="I100" s="463">
        <f t="shared" si="66"/>
        <v>1.0833362196131648E-2</v>
      </c>
      <c r="J100" s="464">
        <f t="shared" si="66"/>
        <v>1.5211761023741376E-2</v>
      </c>
      <c r="K100" s="463">
        <f t="shared" si="66"/>
        <v>1.2913693766961777E-2</v>
      </c>
      <c r="L100" s="465">
        <f t="shared" si="66"/>
        <v>1.3066291714036744E-2</v>
      </c>
      <c r="M100" s="459">
        <f t="shared" ref="M100" si="77">M101+M105+M106+M107</f>
        <v>0</v>
      </c>
      <c r="N100" s="466">
        <f t="shared" si="67"/>
        <v>0</v>
      </c>
      <c r="O100" s="467">
        <f t="shared" ref="O100:O111" si="78">H100+M100</f>
        <v>875000</v>
      </c>
      <c r="P100" s="468">
        <f t="shared" si="68"/>
        <v>7.9663511282488178E-3</v>
      </c>
      <c r="Q100" s="217"/>
      <c r="R100" s="469">
        <f>R101+R105+R106+R107</f>
        <v>0</v>
      </c>
      <c r="S100" s="470">
        <f t="shared" si="57"/>
        <v>0</v>
      </c>
      <c r="T100" s="457" t="s">
        <v>183</v>
      </c>
      <c r="U100" s="458"/>
      <c r="V100" s="458"/>
      <c r="W100" s="458"/>
      <c r="X100" s="469">
        <f>X101+X105+X106+X107</f>
        <v>0</v>
      </c>
      <c r="Y100" s="470">
        <f t="shared" si="57"/>
        <v>0</v>
      </c>
      <c r="Z100" s="469">
        <f>Z101+Z105+Z106+Z107</f>
        <v>0</v>
      </c>
      <c r="AA100" s="470">
        <f t="shared" si="69"/>
        <v>0</v>
      </c>
      <c r="AB100" s="471">
        <f t="shared" si="58"/>
        <v>0</v>
      </c>
      <c r="AC100" s="470">
        <f t="shared" si="54"/>
        <v>0</v>
      </c>
      <c r="AD100" s="472"/>
      <c r="AF100" s="152" t="s">
        <v>183</v>
      </c>
      <c r="AG100" s="153"/>
      <c r="AH100" s="153"/>
      <c r="AI100" s="153"/>
      <c r="AJ100" s="473">
        <v>480930</v>
      </c>
      <c r="AK100" s="473">
        <v>85542</v>
      </c>
      <c r="AL100" s="473">
        <v>41814</v>
      </c>
      <c r="AM100" s="473">
        <f t="shared" si="59"/>
        <v>202762</v>
      </c>
      <c r="AN100" s="473">
        <v>41814</v>
      </c>
      <c r="AO100" s="474">
        <f t="shared" si="60"/>
        <v>3.045526045425117E-3</v>
      </c>
      <c r="AP100" s="474">
        <f t="shared" si="60"/>
        <v>8.7440545856669262E-4</v>
      </c>
      <c r="AQ100" s="474">
        <f t="shared" si="60"/>
        <v>3.1439119728106276E-4</v>
      </c>
      <c r="AR100" s="474">
        <f t="shared" si="60"/>
        <v>1.5647539395066197E-3</v>
      </c>
      <c r="AS100" s="474">
        <f>AR100</f>
        <v>1.5647539395066197E-3</v>
      </c>
      <c r="AT100" s="474">
        <f t="shared" ref="AT100:AT119" si="79">AO100/AO$7</f>
        <v>3.045526045425117E-3</v>
      </c>
      <c r="AU100" s="177"/>
      <c r="AV100" s="258">
        <f t="shared" si="55"/>
        <v>-225000</v>
      </c>
      <c r="AW100" s="258">
        <f t="shared" si="56"/>
        <v>-480930</v>
      </c>
      <c r="BB100" s="391">
        <f t="shared" si="34"/>
        <v>-3.045526045425117E-3</v>
      </c>
      <c r="BC100" s="391">
        <f t="shared" si="35"/>
        <v>-8.7440545856669262E-4</v>
      </c>
      <c r="BD100" s="391">
        <f t="shared" si="36"/>
        <v>-3.1439119728106276E-4</v>
      </c>
      <c r="BE100" s="391" t="e">
        <f>#REF!-AO100</f>
        <v>#REF!</v>
      </c>
      <c r="BF100" s="391" t="e">
        <f>#REF!-AP100</f>
        <v>#REF!</v>
      </c>
      <c r="BG100" s="391" t="e">
        <f>#REF!-AQ100</f>
        <v>#REF!</v>
      </c>
    </row>
    <row r="101" spans="1:59" s="88" customFormat="1" ht="33.75" hidden="1" customHeight="1" outlineLevel="2">
      <c r="A101" s="475"/>
      <c r="B101" s="421" t="s">
        <v>185</v>
      </c>
      <c r="C101" s="261"/>
      <c r="D101" s="261"/>
      <c r="E101" s="262">
        <f>SUM(E102:E104)</f>
        <v>0</v>
      </c>
      <c r="F101" s="263">
        <f t="shared" ref="F101:G101" si="80">SUM(F102:F104)</f>
        <v>0</v>
      </c>
      <c r="G101" s="264">
        <f t="shared" si="80"/>
        <v>0</v>
      </c>
      <c r="H101" s="476">
        <f>SUM(H102:H104)</f>
        <v>0</v>
      </c>
      <c r="I101" s="365">
        <f t="shared" si="66"/>
        <v>0</v>
      </c>
      <c r="J101" s="366">
        <f t="shared" si="66"/>
        <v>0</v>
      </c>
      <c r="K101" s="365">
        <f t="shared" si="66"/>
        <v>0</v>
      </c>
      <c r="L101" s="477">
        <f t="shared" si="66"/>
        <v>0</v>
      </c>
      <c r="M101" s="262">
        <f t="shared" ref="M101" si="81">SUM(M102:M104)</f>
        <v>0</v>
      </c>
      <c r="N101" s="478">
        <f t="shared" si="67"/>
        <v>0</v>
      </c>
      <c r="O101" s="271">
        <f t="shared" si="78"/>
        <v>0</v>
      </c>
      <c r="P101" s="269">
        <f t="shared" si="68"/>
        <v>0</v>
      </c>
      <c r="Q101" s="217"/>
      <c r="R101" s="268">
        <f>SUM(R102:R104)</f>
        <v>0</v>
      </c>
      <c r="S101" s="269">
        <f t="shared" si="57"/>
        <v>0</v>
      </c>
      <c r="T101" s="475"/>
      <c r="U101" s="421" t="s">
        <v>185</v>
      </c>
      <c r="V101" s="261"/>
      <c r="W101" s="261"/>
      <c r="X101" s="268">
        <f>SUM(X102:X104)</f>
        <v>0</v>
      </c>
      <c r="Y101" s="269">
        <f t="shared" si="57"/>
        <v>0</v>
      </c>
      <c r="Z101" s="268">
        <f>SUM(Z102:Z104)</f>
        <v>0</v>
      </c>
      <c r="AA101" s="269">
        <f t="shared" si="69"/>
        <v>0</v>
      </c>
      <c r="AB101" s="271">
        <f t="shared" si="58"/>
        <v>0</v>
      </c>
      <c r="AC101" s="269">
        <f t="shared" si="54"/>
        <v>0</v>
      </c>
      <c r="AD101" s="268"/>
      <c r="AF101" s="160"/>
      <c r="AG101" s="139" t="s">
        <v>185</v>
      </c>
      <c r="AH101" s="91"/>
      <c r="AI101" s="91"/>
      <c r="AJ101" s="272">
        <v>0</v>
      </c>
      <c r="AK101" s="272">
        <v>0</v>
      </c>
      <c r="AL101" s="272">
        <v>0</v>
      </c>
      <c r="AM101" s="272">
        <f t="shared" si="59"/>
        <v>0</v>
      </c>
      <c r="AN101" s="272">
        <v>0</v>
      </c>
      <c r="AO101" s="273">
        <f t="shared" si="60"/>
        <v>0</v>
      </c>
      <c r="AP101" s="273">
        <f t="shared" si="60"/>
        <v>0</v>
      </c>
      <c r="AQ101" s="273">
        <f t="shared" si="60"/>
        <v>0</v>
      </c>
      <c r="AR101" s="273">
        <f t="shared" si="60"/>
        <v>0</v>
      </c>
      <c r="AS101" s="273">
        <f t="shared" ref="AS101:AS118" si="82">AR101</f>
        <v>0</v>
      </c>
      <c r="AT101" s="273">
        <f t="shared" si="79"/>
        <v>0</v>
      </c>
      <c r="AU101" s="177"/>
      <c r="AV101" s="258">
        <f t="shared" si="55"/>
        <v>0</v>
      </c>
      <c r="AW101" s="258">
        <f t="shared" si="56"/>
        <v>0</v>
      </c>
      <c r="BB101" s="391">
        <f t="shared" si="34"/>
        <v>0</v>
      </c>
      <c r="BC101" s="391">
        <f t="shared" si="35"/>
        <v>0</v>
      </c>
      <c r="BD101" s="391">
        <f t="shared" si="36"/>
        <v>0</v>
      </c>
      <c r="BE101" s="391" t="e">
        <f>#REF!-AO101</f>
        <v>#REF!</v>
      </c>
      <c r="BF101" s="391" t="e">
        <f>#REF!-AP101</f>
        <v>#REF!</v>
      </c>
      <c r="BG101" s="391" t="e">
        <f>#REF!-AQ101</f>
        <v>#REF!</v>
      </c>
    </row>
    <row r="102" spans="1:59" s="88" customFormat="1" ht="33.75" hidden="1" customHeight="1" outlineLevel="2">
      <c r="A102" s="479"/>
      <c r="B102" s="480"/>
      <c r="C102" s="261" t="s">
        <v>187</v>
      </c>
      <c r="D102" s="261"/>
      <c r="E102" s="262">
        <v>0</v>
      </c>
      <c r="F102" s="263">
        <v>0</v>
      </c>
      <c r="G102" s="264">
        <v>0</v>
      </c>
      <c r="H102" s="476">
        <f>AVERAGE(E102:G102)</f>
        <v>0</v>
      </c>
      <c r="I102" s="365">
        <f t="shared" si="66"/>
        <v>0</v>
      </c>
      <c r="J102" s="366">
        <f t="shared" si="66"/>
        <v>0</v>
      </c>
      <c r="K102" s="365">
        <f t="shared" si="66"/>
        <v>0</v>
      </c>
      <c r="L102" s="477">
        <f t="shared" si="66"/>
        <v>0</v>
      </c>
      <c r="M102" s="262">
        <v>0</v>
      </c>
      <c r="N102" s="478">
        <f t="shared" si="67"/>
        <v>0</v>
      </c>
      <c r="O102" s="271">
        <f t="shared" si="78"/>
        <v>0</v>
      </c>
      <c r="P102" s="269">
        <f t="shared" si="68"/>
        <v>0</v>
      </c>
      <c r="Q102" s="217"/>
      <c r="R102" s="268">
        <v>0</v>
      </c>
      <c r="S102" s="269">
        <f t="shared" si="57"/>
        <v>0</v>
      </c>
      <c r="T102" s="479"/>
      <c r="U102" s="480"/>
      <c r="V102" s="261" t="s">
        <v>187</v>
      </c>
      <c r="W102" s="261"/>
      <c r="X102" s="268">
        <v>0</v>
      </c>
      <c r="Y102" s="269">
        <f t="shared" si="57"/>
        <v>0</v>
      </c>
      <c r="Z102" s="268">
        <v>0</v>
      </c>
      <c r="AA102" s="269">
        <f t="shared" si="69"/>
        <v>0</v>
      </c>
      <c r="AB102" s="271">
        <f t="shared" si="58"/>
        <v>0</v>
      </c>
      <c r="AC102" s="269">
        <f t="shared" si="54"/>
        <v>0</v>
      </c>
      <c r="AD102" s="268"/>
      <c r="AF102" s="161"/>
      <c r="AG102" s="162"/>
      <c r="AH102" s="91" t="s">
        <v>187</v>
      </c>
      <c r="AI102" s="91"/>
      <c r="AJ102" s="272">
        <v>0</v>
      </c>
      <c r="AK102" s="272">
        <v>0</v>
      </c>
      <c r="AL102" s="272">
        <v>0</v>
      </c>
      <c r="AM102" s="272">
        <f t="shared" si="59"/>
        <v>0</v>
      </c>
      <c r="AN102" s="272">
        <v>0</v>
      </c>
      <c r="AO102" s="273">
        <f t="shared" si="60"/>
        <v>0</v>
      </c>
      <c r="AP102" s="273">
        <f t="shared" si="60"/>
        <v>0</v>
      </c>
      <c r="AQ102" s="273">
        <f t="shared" si="60"/>
        <v>0</v>
      </c>
      <c r="AR102" s="273">
        <f t="shared" si="60"/>
        <v>0</v>
      </c>
      <c r="AS102" s="273">
        <f t="shared" si="82"/>
        <v>0</v>
      </c>
      <c r="AT102" s="273">
        <f t="shared" si="79"/>
        <v>0</v>
      </c>
      <c r="AU102" s="177"/>
      <c r="AV102" s="258">
        <f t="shared" si="55"/>
        <v>0</v>
      </c>
      <c r="AW102" s="258">
        <f t="shared" si="56"/>
        <v>0</v>
      </c>
      <c r="BB102" s="391">
        <f t="shared" ref="BB102:BB119" si="83">AA102-AO102</f>
        <v>0</v>
      </c>
      <c r="BC102" s="391">
        <f t="shared" ref="BC102:BC112" si="84">AA102-AP102</f>
        <v>0</v>
      </c>
      <c r="BD102" s="391">
        <f t="shared" ref="BD102:BD112" si="85">AA102-AQ102</f>
        <v>0</v>
      </c>
      <c r="BE102" s="391" t="e">
        <f>#REF!-AO102</f>
        <v>#REF!</v>
      </c>
      <c r="BF102" s="391" t="e">
        <f>#REF!-AP102</f>
        <v>#REF!</v>
      </c>
      <c r="BG102" s="391" t="e">
        <f>#REF!-AQ102</f>
        <v>#REF!</v>
      </c>
    </row>
    <row r="103" spans="1:59" s="88" customFormat="1" ht="33.75" hidden="1" customHeight="1" outlineLevel="2">
      <c r="A103" s="479"/>
      <c r="B103" s="480"/>
      <c r="C103" s="261" t="s">
        <v>189</v>
      </c>
      <c r="D103" s="261"/>
      <c r="E103" s="262">
        <v>0</v>
      </c>
      <c r="F103" s="263">
        <v>0</v>
      </c>
      <c r="G103" s="264">
        <v>0</v>
      </c>
      <c r="H103" s="476">
        <f t="shared" ref="H103:H111" si="86">AVERAGE(E103:G103)</f>
        <v>0</v>
      </c>
      <c r="I103" s="365">
        <f t="shared" si="66"/>
        <v>0</v>
      </c>
      <c r="J103" s="366">
        <f t="shared" si="66"/>
        <v>0</v>
      </c>
      <c r="K103" s="365">
        <f t="shared" si="66"/>
        <v>0</v>
      </c>
      <c r="L103" s="477">
        <f t="shared" si="66"/>
        <v>0</v>
      </c>
      <c r="M103" s="262">
        <v>0</v>
      </c>
      <c r="N103" s="478">
        <f t="shared" si="67"/>
        <v>0</v>
      </c>
      <c r="O103" s="271">
        <f t="shared" si="78"/>
        <v>0</v>
      </c>
      <c r="P103" s="269">
        <f t="shared" si="68"/>
        <v>0</v>
      </c>
      <c r="Q103" s="217"/>
      <c r="R103" s="268">
        <v>0</v>
      </c>
      <c r="S103" s="269">
        <f t="shared" si="57"/>
        <v>0</v>
      </c>
      <c r="T103" s="479"/>
      <c r="U103" s="480"/>
      <c r="V103" s="261" t="s">
        <v>189</v>
      </c>
      <c r="W103" s="261"/>
      <c r="X103" s="268">
        <v>0</v>
      </c>
      <c r="Y103" s="269">
        <f t="shared" si="57"/>
        <v>0</v>
      </c>
      <c r="Z103" s="268">
        <v>0</v>
      </c>
      <c r="AA103" s="269">
        <f t="shared" si="69"/>
        <v>0</v>
      </c>
      <c r="AB103" s="271">
        <f t="shared" si="58"/>
        <v>0</v>
      </c>
      <c r="AC103" s="269">
        <f t="shared" si="54"/>
        <v>0</v>
      </c>
      <c r="AD103" s="268"/>
      <c r="AF103" s="161"/>
      <c r="AG103" s="162"/>
      <c r="AH103" s="91" t="s">
        <v>189</v>
      </c>
      <c r="AI103" s="91"/>
      <c r="AJ103" s="272">
        <v>0</v>
      </c>
      <c r="AK103" s="272">
        <v>0</v>
      </c>
      <c r="AL103" s="272">
        <v>0</v>
      </c>
      <c r="AM103" s="272">
        <f t="shared" si="59"/>
        <v>0</v>
      </c>
      <c r="AN103" s="272">
        <v>0</v>
      </c>
      <c r="AO103" s="273">
        <f t="shared" si="60"/>
        <v>0</v>
      </c>
      <c r="AP103" s="273">
        <f t="shared" si="60"/>
        <v>0</v>
      </c>
      <c r="AQ103" s="273">
        <f t="shared" si="60"/>
        <v>0</v>
      </c>
      <c r="AR103" s="273">
        <f t="shared" si="60"/>
        <v>0</v>
      </c>
      <c r="AS103" s="273">
        <f t="shared" si="82"/>
        <v>0</v>
      </c>
      <c r="AT103" s="273">
        <f t="shared" si="79"/>
        <v>0</v>
      </c>
      <c r="AU103" s="177"/>
      <c r="AV103" s="258">
        <f t="shared" si="55"/>
        <v>0</v>
      </c>
      <c r="AW103" s="258">
        <f t="shared" si="56"/>
        <v>0</v>
      </c>
      <c r="BB103" s="391">
        <f t="shared" si="83"/>
        <v>0</v>
      </c>
      <c r="BC103" s="391">
        <f t="shared" si="84"/>
        <v>0</v>
      </c>
      <c r="BD103" s="391">
        <f t="shared" si="85"/>
        <v>0</v>
      </c>
      <c r="BE103" s="391" t="e">
        <f>#REF!-AO103</f>
        <v>#REF!</v>
      </c>
      <c r="BF103" s="391" t="e">
        <f>#REF!-AP103</f>
        <v>#REF!</v>
      </c>
      <c r="BG103" s="391" t="e">
        <f>#REF!-AQ103</f>
        <v>#REF!</v>
      </c>
    </row>
    <row r="104" spans="1:59" s="88" customFormat="1" ht="33.75" hidden="1" customHeight="1" outlineLevel="2">
      <c r="A104" s="479"/>
      <c r="B104" s="480"/>
      <c r="C104" s="261" t="s">
        <v>191</v>
      </c>
      <c r="D104" s="261"/>
      <c r="E104" s="262">
        <v>0</v>
      </c>
      <c r="F104" s="263">
        <v>0</v>
      </c>
      <c r="G104" s="264">
        <v>0</v>
      </c>
      <c r="H104" s="476">
        <f t="shared" si="86"/>
        <v>0</v>
      </c>
      <c r="I104" s="365">
        <f t="shared" si="66"/>
        <v>0</v>
      </c>
      <c r="J104" s="366">
        <f t="shared" si="66"/>
        <v>0</v>
      </c>
      <c r="K104" s="365">
        <f t="shared" si="66"/>
        <v>0</v>
      </c>
      <c r="L104" s="477">
        <f t="shared" si="66"/>
        <v>0</v>
      </c>
      <c r="M104" s="262">
        <v>0</v>
      </c>
      <c r="N104" s="478">
        <f t="shared" si="67"/>
        <v>0</v>
      </c>
      <c r="O104" s="271">
        <f t="shared" si="78"/>
        <v>0</v>
      </c>
      <c r="P104" s="269">
        <f t="shared" si="68"/>
        <v>0</v>
      </c>
      <c r="Q104" s="217"/>
      <c r="R104" s="268">
        <v>0</v>
      </c>
      <c r="S104" s="269">
        <f t="shared" si="57"/>
        <v>0</v>
      </c>
      <c r="T104" s="479"/>
      <c r="U104" s="480"/>
      <c r="V104" s="261" t="s">
        <v>191</v>
      </c>
      <c r="W104" s="261"/>
      <c r="X104" s="268">
        <v>0</v>
      </c>
      <c r="Y104" s="269">
        <f t="shared" si="57"/>
        <v>0</v>
      </c>
      <c r="Z104" s="268">
        <v>0</v>
      </c>
      <c r="AA104" s="269">
        <f t="shared" si="69"/>
        <v>0</v>
      </c>
      <c r="AB104" s="271">
        <f t="shared" si="58"/>
        <v>0</v>
      </c>
      <c r="AC104" s="269">
        <f t="shared" si="54"/>
        <v>0</v>
      </c>
      <c r="AD104" s="268"/>
      <c r="AF104" s="161"/>
      <c r="AG104" s="162"/>
      <c r="AH104" s="91" t="s">
        <v>191</v>
      </c>
      <c r="AI104" s="91"/>
      <c r="AJ104" s="272">
        <v>0</v>
      </c>
      <c r="AK104" s="272">
        <v>0</v>
      </c>
      <c r="AL104" s="272">
        <v>0</v>
      </c>
      <c r="AM104" s="272">
        <f t="shared" si="59"/>
        <v>0</v>
      </c>
      <c r="AN104" s="272">
        <v>0</v>
      </c>
      <c r="AO104" s="273">
        <f t="shared" si="60"/>
        <v>0</v>
      </c>
      <c r="AP104" s="273">
        <f t="shared" si="60"/>
        <v>0</v>
      </c>
      <c r="AQ104" s="273">
        <f t="shared" si="60"/>
        <v>0</v>
      </c>
      <c r="AR104" s="273">
        <f t="shared" si="60"/>
        <v>0</v>
      </c>
      <c r="AS104" s="273">
        <f t="shared" si="82"/>
        <v>0</v>
      </c>
      <c r="AT104" s="273">
        <f t="shared" si="79"/>
        <v>0</v>
      </c>
      <c r="AU104" s="177"/>
      <c r="AV104" s="258">
        <f t="shared" si="55"/>
        <v>0</v>
      </c>
      <c r="AW104" s="258">
        <f t="shared" si="56"/>
        <v>0</v>
      </c>
      <c r="BB104" s="391">
        <f t="shared" si="83"/>
        <v>0</v>
      </c>
      <c r="BC104" s="391">
        <f t="shared" si="84"/>
        <v>0</v>
      </c>
      <c r="BD104" s="391">
        <f t="shared" si="85"/>
        <v>0</v>
      </c>
      <c r="BE104" s="391" t="e">
        <f>#REF!-AO104</f>
        <v>#REF!</v>
      </c>
      <c r="BF104" s="391" t="e">
        <f>#REF!-AP104</f>
        <v>#REF!</v>
      </c>
      <c r="BG104" s="391" t="e">
        <f>#REF!-AQ104</f>
        <v>#REF!</v>
      </c>
    </row>
    <row r="105" spans="1:59" s="88" customFormat="1" ht="33.75" hidden="1" customHeight="1" outlineLevel="2">
      <c r="A105" s="479"/>
      <c r="B105" s="260" t="s">
        <v>193</v>
      </c>
      <c r="C105" s="261"/>
      <c r="D105" s="261"/>
      <c r="E105" s="262">
        <v>0</v>
      </c>
      <c r="F105" s="263">
        <v>0</v>
      </c>
      <c r="G105" s="264">
        <v>0</v>
      </c>
      <c r="H105" s="476">
        <f t="shared" si="86"/>
        <v>0</v>
      </c>
      <c r="I105" s="365">
        <f t="shared" si="66"/>
        <v>0</v>
      </c>
      <c r="J105" s="366">
        <f t="shared" si="66"/>
        <v>0</v>
      </c>
      <c r="K105" s="365">
        <f t="shared" si="66"/>
        <v>0</v>
      </c>
      <c r="L105" s="477">
        <f t="shared" si="66"/>
        <v>0</v>
      </c>
      <c r="M105" s="262">
        <v>0</v>
      </c>
      <c r="N105" s="478">
        <f t="shared" si="67"/>
        <v>0</v>
      </c>
      <c r="O105" s="271">
        <f t="shared" si="78"/>
        <v>0</v>
      </c>
      <c r="P105" s="269">
        <f t="shared" si="68"/>
        <v>0</v>
      </c>
      <c r="Q105" s="217"/>
      <c r="R105" s="268">
        <v>0</v>
      </c>
      <c r="S105" s="269">
        <f t="shared" si="57"/>
        <v>0</v>
      </c>
      <c r="T105" s="479"/>
      <c r="U105" s="260" t="s">
        <v>193</v>
      </c>
      <c r="V105" s="261"/>
      <c r="W105" s="261"/>
      <c r="X105" s="268">
        <v>0</v>
      </c>
      <c r="Y105" s="269">
        <f t="shared" si="57"/>
        <v>0</v>
      </c>
      <c r="Z105" s="268">
        <v>0</v>
      </c>
      <c r="AA105" s="269">
        <f t="shared" si="69"/>
        <v>0</v>
      </c>
      <c r="AB105" s="271">
        <f t="shared" si="58"/>
        <v>0</v>
      </c>
      <c r="AC105" s="269">
        <f t="shared" si="54"/>
        <v>0</v>
      </c>
      <c r="AD105" s="268"/>
      <c r="AF105" s="161"/>
      <c r="AG105" s="90" t="s">
        <v>193</v>
      </c>
      <c r="AH105" s="91"/>
      <c r="AI105" s="91"/>
      <c r="AJ105" s="272">
        <v>0</v>
      </c>
      <c r="AK105" s="272">
        <v>0</v>
      </c>
      <c r="AL105" s="272">
        <v>0</v>
      </c>
      <c r="AM105" s="272">
        <f t="shared" si="59"/>
        <v>0</v>
      </c>
      <c r="AN105" s="272">
        <v>0</v>
      </c>
      <c r="AO105" s="273">
        <f t="shared" si="60"/>
        <v>0</v>
      </c>
      <c r="AP105" s="273">
        <f t="shared" si="60"/>
        <v>0</v>
      </c>
      <c r="AQ105" s="273">
        <f t="shared" si="60"/>
        <v>0</v>
      </c>
      <c r="AR105" s="273">
        <f t="shared" si="60"/>
        <v>0</v>
      </c>
      <c r="AS105" s="273">
        <f t="shared" si="82"/>
        <v>0</v>
      </c>
      <c r="AT105" s="273">
        <f t="shared" si="79"/>
        <v>0</v>
      </c>
      <c r="AU105" s="177"/>
      <c r="AV105" s="258">
        <f t="shared" si="55"/>
        <v>0</v>
      </c>
      <c r="AW105" s="258">
        <f t="shared" si="56"/>
        <v>0</v>
      </c>
      <c r="BB105" s="391">
        <f t="shared" si="83"/>
        <v>0</v>
      </c>
      <c r="BC105" s="391">
        <f t="shared" si="84"/>
        <v>0</v>
      </c>
      <c r="BD105" s="391">
        <f t="shared" si="85"/>
        <v>0</v>
      </c>
      <c r="BE105" s="391" t="e">
        <f>#REF!-AO105</f>
        <v>#REF!</v>
      </c>
      <c r="BF105" s="391" t="e">
        <f>#REF!-AP105</f>
        <v>#REF!</v>
      </c>
      <c r="BG105" s="391" t="e">
        <f>#REF!-AQ105</f>
        <v>#REF!</v>
      </c>
    </row>
    <row r="106" spans="1:59" s="88" customFormat="1" ht="33.75" hidden="1" customHeight="1" outlineLevel="1" collapsed="1">
      <c r="A106" s="479"/>
      <c r="B106" s="260" t="s">
        <v>195</v>
      </c>
      <c r="C106" s="261"/>
      <c r="D106" s="261"/>
      <c r="E106" s="262">
        <v>690000</v>
      </c>
      <c r="F106" s="263">
        <v>1080000</v>
      </c>
      <c r="G106" s="264">
        <v>855000</v>
      </c>
      <c r="H106" s="476">
        <f t="shared" si="86"/>
        <v>875000</v>
      </c>
      <c r="I106" s="365">
        <f t="shared" si="66"/>
        <v>1.0833362196131648E-2</v>
      </c>
      <c r="J106" s="366">
        <f t="shared" si="66"/>
        <v>1.5211761023741376E-2</v>
      </c>
      <c r="K106" s="365">
        <f t="shared" si="66"/>
        <v>1.2913693766961777E-2</v>
      </c>
      <c r="L106" s="477">
        <f t="shared" si="66"/>
        <v>1.3066291714036744E-2</v>
      </c>
      <c r="M106" s="262">
        <v>0</v>
      </c>
      <c r="N106" s="478">
        <f t="shared" si="67"/>
        <v>0</v>
      </c>
      <c r="O106" s="271">
        <f t="shared" si="78"/>
        <v>875000</v>
      </c>
      <c r="P106" s="269">
        <f t="shared" si="68"/>
        <v>7.9663511282488178E-3</v>
      </c>
      <c r="Q106" s="217"/>
      <c r="R106" s="268">
        <v>0</v>
      </c>
      <c r="S106" s="269">
        <f t="shared" si="57"/>
        <v>0</v>
      </c>
      <c r="T106" s="479"/>
      <c r="U106" s="260" t="s">
        <v>195</v>
      </c>
      <c r="V106" s="261"/>
      <c r="W106" s="261"/>
      <c r="X106" s="268">
        <v>0</v>
      </c>
      <c r="Y106" s="269">
        <f t="shared" si="57"/>
        <v>0</v>
      </c>
      <c r="Z106" s="268">
        <v>0</v>
      </c>
      <c r="AA106" s="269">
        <f t="shared" si="69"/>
        <v>0</v>
      </c>
      <c r="AB106" s="271">
        <f t="shared" si="58"/>
        <v>0</v>
      </c>
      <c r="AC106" s="269">
        <f t="shared" si="54"/>
        <v>0</v>
      </c>
      <c r="AD106" s="268"/>
      <c r="AF106" s="161"/>
      <c r="AG106" s="90" t="s">
        <v>195</v>
      </c>
      <c r="AH106" s="91"/>
      <c r="AI106" s="91"/>
      <c r="AJ106" s="272">
        <v>480930</v>
      </c>
      <c r="AK106" s="272">
        <v>85542</v>
      </c>
      <c r="AL106" s="272">
        <v>41814</v>
      </c>
      <c r="AM106" s="272">
        <f t="shared" si="59"/>
        <v>202762</v>
      </c>
      <c r="AN106" s="272">
        <v>41814</v>
      </c>
      <c r="AO106" s="273">
        <f t="shared" si="60"/>
        <v>3.045526045425117E-3</v>
      </c>
      <c r="AP106" s="273">
        <f t="shared" si="60"/>
        <v>8.7440545856669262E-4</v>
      </c>
      <c r="AQ106" s="273">
        <f t="shared" si="60"/>
        <v>3.1439119728106276E-4</v>
      </c>
      <c r="AR106" s="273">
        <f t="shared" si="60"/>
        <v>1.5647539395066197E-3</v>
      </c>
      <c r="AS106" s="273">
        <f t="shared" si="82"/>
        <v>1.5647539395066197E-3</v>
      </c>
      <c r="AT106" s="273">
        <f t="shared" si="79"/>
        <v>3.045526045425117E-3</v>
      </c>
      <c r="AU106" s="177"/>
      <c r="AV106" s="258">
        <f t="shared" si="55"/>
        <v>-225000</v>
      </c>
      <c r="AW106" s="258">
        <f t="shared" si="56"/>
        <v>-480930</v>
      </c>
      <c r="BB106" s="391">
        <f t="shared" si="83"/>
        <v>-3.045526045425117E-3</v>
      </c>
      <c r="BC106" s="391">
        <f t="shared" si="84"/>
        <v>-8.7440545856669262E-4</v>
      </c>
      <c r="BD106" s="391">
        <f t="shared" si="85"/>
        <v>-3.1439119728106276E-4</v>
      </c>
      <c r="BE106" s="391" t="e">
        <f>#REF!-AO106</f>
        <v>#REF!</v>
      </c>
      <c r="BF106" s="391" t="e">
        <f>#REF!-AP106</f>
        <v>#REF!</v>
      </c>
      <c r="BG106" s="391" t="e">
        <f>#REF!-AQ106</f>
        <v>#REF!</v>
      </c>
    </row>
    <row r="107" spans="1:59" s="88" customFormat="1" ht="33.75" hidden="1" customHeight="1" outlineLevel="2">
      <c r="A107" s="479"/>
      <c r="B107" s="260" t="s">
        <v>191</v>
      </c>
      <c r="C107" s="261"/>
      <c r="D107" s="261"/>
      <c r="E107" s="262">
        <v>0</v>
      </c>
      <c r="F107" s="263">
        <v>0</v>
      </c>
      <c r="G107" s="264">
        <v>0</v>
      </c>
      <c r="H107" s="476">
        <f t="shared" si="86"/>
        <v>0</v>
      </c>
      <c r="I107" s="365">
        <f t="shared" si="66"/>
        <v>0</v>
      </c>
      <c r="J107" s="366">
        <f t="shared" si="66"/>
        <v>0</v>
      </c>
      <c r="K107" s="365">
        <f t="shared" si="66"/>
        <v>0</v>
      </c>
      <c r="L107" s="477">
        <f t="shared" si="66"/>
        <v>0</v>
      </c>
      <c r="M107" s="262">
        <v>0</v>
      </c>
      <c r="N107" s="478">
        <f t="shared" si="67"/>
        <v>0</v>
      </c>
      <c r="O107" s="271">
        <f t="shared" si="78"/>
        <v>0</v>
      </c>
      <c r="P107" s="269">
        <f t="shared" si="68"/>
        <v>0</v>
      </c>
      <c r="Q107" s="217"/>
      <c r="R107" s="268">
        <v>0</v>
      </c>
      <c r="S107" s="269">
        <f t="shared" si="57"/>
        <v>0</v>
      </c>
      <c r="T107" s="479"/>
      <c r="U107" s="260" t="s">
        <v>191</v>
      </c>
      <c r="V107" s="261"/>
      <c r="W107" s="261"/>
      <c r="X107" s="268">
        <v>0</v>
      </c>
      <c r="Y107" s="269">
        <f t="shared" si="57"/>
        <v>0</v>
      </c>
      <c r="Z107" s="268">
        <v>0</v>
      </c>
      <c r="AA107" s="269">
        <f t="shared" si="69"/>
        <v>0</v>
      </c>
      <c r="AB107" s="271">
        <f t="shared" si="58"/>
        <v>0</v>
      </c>
      <c r="AC107" s="269">
        <f t="shared" si="54"/>
        <v>0</v>
      </c>
      <c r="AD107" s="268"/>
      <c r="AF107" s="161"/>
      <c r="AG107" s="90" t="s">
        <v>191</v>
      </c>
      <c r="AH107" s="91"/>
      <c r="AI107" s="91"/>
      <c r="AJ107" s="272">
        <v>0</v>
      </c>
      <c r="AK107" s="272">
        <v>0</v>
      </c>
      <c r="AL107" s="272">
        <v>0</v>
      </c>
      <c r="AM107" s="272">
        <f t="shared" si="59"/>
        <v>0</v>
      </c>
      <c r="AN107" s="272">
        <v>0</v>
      </c>
      <c r="AO107" s="273">
        <f t="shared" si="60"/>
        <v>0</v>
      </c>
      <c r="AP107" s="273">
        <f t="shared" si="60"/>
        <v>0</v>
      </c>
      <c r="AQ107" s="273">
        <f t="shared" si="60"/>
        <v>0</v>
      </c>
      <c r="AR107" s="273">
        <f t="shared" si="60"/>
        <v>0</v>
      </c>
      <c r="AS107" s="273">
        <f t="shared" si="82"/>
        <v>0</v>
      </c>
      <c r="AT107" s="273">
        <f t="shared" si="79"/>
        <v>0</v>
      </c>
      <c r="AU107" s="177"/>
      <c r="AV107" s="258">
        <f t="shared" si="55"/>
        <v>0</v>
      </c>
      <c r="AW107" s="258">
        <f t="shared" si="56"/>
        <v>0</v>
      </c>
      <c r="BB107" s="391">
        <f t="shared" si="83"/>
        <v>0</v>
      </c>
      <c r="BC107" s="391">
        <f t="shared" si="84"/>
        <v>0</v>
      </c>
      <c r="BD107" s="391">
        <f t="shared" si="85"/>
        <v>0</v>
      </c>
      <c r="BE107" s="391" t="e">
        <f>#REF!-AO107</f>
        <v>#REF!</v>
      </c>
      <c r="BF107" s="391" t="e">
        <f>#REF!-AP107</f>
        <v>#REF!</v>
      </c>
      <c r="BG107" s="391" t="e">
        <f>#REF!-AQ107</f>
        <v>#REF!</v>
      </c>
    </row>
    <row r="108" spans="1:59" s="88" customFormat="1" ht="33.75" hidden="1" customHeight="1" outlineLevel="1" collapsed="1">
      <c r="A108" s="481" t="s">
        <v>198</v>
      </c>
      <c r="B108" s="482"/>
      <c r="C108" s="482"/>
      <c r="D108" s="482"/>
      <c r="E108" s="483">
        <f>SUM(E109:E111)</f>
        <v>880000</v>
      </c>
      <c r="F108" s="484">
        <f t="shared" ref="F108:G108" si="87">SUM(F109:F111)</f>
        <v>18337</v>
      </c>
      <c r="G108" s="485">
        <f t="shared" si="87"/>
        <v>0</v>
      </c>
      <c r="H108" s="486">
        <f>SUM(H109:H111)</f>
        <v>299445.66666666669</v>
      </c>
      <c r="I108" s="487">
        <f t="shared" si="66"/>
        <v>1.3816461931298334E-2</v>
      </c>
      <c r="J108" s="488">
        <f t="shared" si="66"/>
        <v>2.5827598323365333E-4</v>
      </c>
      <c r="K108" s="487">
        <f t="shared" si="66"/>
        <v>0</v>
      </c>
      <c r="L108" s="489">
        <f t="shared" si="66"/>
        <v>4.4715936379095727E-3</v>
      </c>
      <c r="M108" s="483">
        <f t="shared" ref="M108" si="88">SUM(M109:M111)</f>
        <v>0</v>
      </c>
      <c r="N108" s="490">
        <f t="shared" si="67"/>
        <v>0</v>
      </c>
      <c r="O108" s="491">
        <f t="shared" si="78"/>
        <v>299445.66666666669</v>
      </c>
      <c r="P108" s="492">
        <f t="shared" si="68"/>
        <v>2.7262735137133934E-3</v>
      </c>
      <c r="Q108" s="217"/>
      <c r="R108" s="493">
        <f>SUM(R109:R111)</f>
        <v>0</v>
      </c>
      <c r="S108" s="492">
        <f t="shared" si="57"/>
        <v>0</v>
      </c>
      <c r="T108" s="481" t="s">
        <v>198</v>
      </c>
      <c r="U108" s="482"/>
      <c r="V108" s="482"/>
      <c r="W108" s="482"/>
      <c r="X108" s="493">
        <f>SUM(X109:X111)</f>
        <v>0</v>
      </c>
      <c r="Y108" s="492">
        <f t="shared" si="57"/>
        <v>0</v>
      </c>
      <c r="Z108" s="493">
        <f>SUM(Z109:Z111)</f>
        <v>0</v>
      </c>
      <c r="AA108" s="492">
        <f t="shared" si="69"/>
        <v>0</v>
      </c>
      <c r="AB108" s="491">
        <f t="shared" si="58"/>
        <v>0</v>
      </c>
      <c r="AC108" s="492">
        <f t="shared" si="54"/>
        <v>0</v>
      </c>
      <c r="AD108" s="493"/>
      <c r="AF108" s="163" t="s">
        <v>198</v>
      </c>
      <c r="AG108" s="164"/>
      <c r="AH108" s="164"/>
      <c r="AI108" s="164"/>
      <c r="AJ108" s="494">
        <v>0</v>
      </c>
      <c r="AK108" s="494">
        <v>0</v>
      </c>
      <c r="AL108" s="494">
        <v>3</v>
      </c>
      <c r="AM108" s="494">
        <f t="shared" si="59"/>
        <v>1</v>
      </c>
      <c r="AN108" s="494">
        <v>3</v>
      </c>
      <c r="AO108" s="495">
        <f t="shared" si="60"/>
        <v>0</v>
      </c>
      <c r="AP108" s="495">
        <f t="shared" si="60"/>
        <v>0</v>
      </c>
      <c r="AQ108" s="495">
        <f t="shared" si="60"/>
        <v>2.255640674996863E-8</v>
      </c>
      <c r="AR108" s="495">
        <f t="shared" si="60"/>
        <v>7.7171952313876363E-9</v>
      </c>
      <c r="AS108" s="495">
        <f t="shared" si="82"/>
        <v>7.7171952313876363E-9</v>
      </c>
      <c r="AT108" s="495">
        <f t="shared" si="79"/>
        <v>0</v>
      </c>
      <c r="AU108" s="177"/>
      <c r="AV108" s="258">
        <f t="shared" si="55"/>
        <v>-18337</v>
      </c>
      <c r="AW108" s="258">
        <f t="shared" si="56"/>
        <v>0</v>
      </c>
      <c r="BB108" s="391">
        <f t="shared" si="83"/>
        <v>0</v>
      </c>
      <c r="BC108" s="391">
        <f t="shared" si="84"/>
        <v>0</v>
      </c>
      <c r="BD108" s="391">
        <f t="shared" si="85"/>
        <v>-2.255640674996863E-8</v>
      </c>
      <c r="BE108" s="391" t="e">
        <f>#REF!-AO108</f>
        <v>#REF!</v>
      </c>
      <c r="BF108" s="391" t="e">
        <f>#REF!-AP108</f>
        <v>#REF!</v>
      </c>
      <c r="BG108" s="391" t="e">
        <f>#REF!-AQ108</f>
        <v>#REF!</v>
      </c>
    </row>
    <row r="109" spans="1:59" s="88" customFormat="1" ht="33.75" hidden="1" customHeight="1" outlineLevel="2">
      <c r="A109" s="475"/>
      <c r="B109" s="421" t="s">
        <v>200</v>
      </c>
      <c r="C109" s="261"/>
      <c r="D109" s="261"/>
      <c r="E109" s="262">
        <v>0</v>
      </c>
      <c r="F109" s="263">
        <v>0</v>
      </c>
      <c r="G109" s="264">
        <v>0</v>
      </c>
      <c r="H109" s="476">
        <f>AVERAGE(E109:G109)</f>
        <v>0</v>
      </c>
      <c r="I109" s="365">
        <f t="shared" si="66"/>
        <v>0</v>
      </c>
      <c r="J109" s="366">
        <f t="shared" si="66"/>
        <v>0</v>
      </c>
      <c r="K109" s="365">
        <f t="shared" si="66"/>
        <v>0</v>
      </c>
      <c r="L109" s="477">
        <f t="shared" si="66"/>
        <v>0</v>
      </c>
      <c r="M109" s="262">
        <v>0</v>
      </c>
      <c r="N109" s="478">
        <f t="shared" si="67"/>
        <v>0</v>
      </c>
      <c r="O109" s="271">
        <f t="shared" si="78"/>
        <v>0</v>
      </c>
      <c r="P109" s="269">
        <f t="shared" si="68"/>
        <v>0</v>
      </c>
      <c r="Q109" s="217"/>
      <c r="R109" s="268">
        <v>0</v>
      </c>
      <c r="S109" s="269">
        <f t="shared" si="57"/>
        <v>0</v>
      </c>
      <c r="T109" s="475"/>
      <c r="U109" s="421" t="s">
        <v>200</v>
      </c>
      <c r="V109" s="261"/>
      <c r="W109" s="261"/>
      <c r="X109" s="268">
        <v>0</v>
      </c>
      <c r="Y109" s="269">
        <f t="shared" si="57"/>
        <v>0</v>
      </c>
      <c r="Z109" s="268">
        <v>0</v>
      </c>
      <c r="AA109" s="269">
        <f t="shared" si="69"/>
        <v>0</v>
      </c>
      <c r="AB109" s="271">
        <f t="shared" si="58"/>
        <v>0</v>
      </c>
      <c r="AC109" s="269">
        <f t="shared" si="54"/>
        <v>0</v>
      </c>
      <c r="AD109" s="268"/>
      <c r="AF109" s="160"/>
      <c r="AG109" s="139" t="s">
        <v>200</v>
      </c>
      <c r="AH109" s="91"/>
      <c r="AI109" s="91"/>
      <c r="AJ109" s="272">
        <v>0</v>
      </c>
      <c r="AK109" s="272">
        <v>0</v>
      </c>
      <c r="AL109" s="272">
        <v>0</v>
      </c>
      <c r="AM109" s="272">
        <f t="shared" si="59"/>
        <v>0</v>
      </c>
      <c r="AN109" s="272">
        <v>0</v>
      </c>
      <c r="AO109" s="273">
        <f t="shared" si="60"/>
        <v>0</v>
      </c>
      <c r="AP109" s="273">
        <f t="shared" si="60"/>
        <v>0</v>
      </c>
      <c r="AQ109" s="273">
        <f t="shared" si="60"/>
        <v>0</v>
      </c>
      <c r="AR109" s="273">
        <f t="shared" si="60"/>
        <v>0</v>
      </c>
      <c r="AS109" s="273">
        <f t="shared" si="82"/>
        <v>0</v>
      </c>
      <c r="AT109" s="273">
        <f t="shared" si="79"/>
        <v>0</v>
      </c>
      <c r="AU109" s="177"/>
      <c r="AV109" s="258">
        <f t="shared" si="55"/>
        <v>0</v>
      </c>
      <c r="AW109" s="258">
        <f t="shared" si="56"/>
        <v>0</v>
      </c>
      <c r="BB109" s="391">
        <f t="shared" si="83"/>
        <v>0</v>
      </c>
      <c r="BC109" s="391">
        <f t="shared" si="84"/>
        <v>0</v>
      </c>
      <c r="BD109" s="391">
        <f t="shared" si="85"/>
        <v>0</v>
      </c>
      <c r="BE109" s="391" t="e">
        <f>#REF!-AO109</f>
        <v>#REF!</v>
      </c>
      <c r="BF109" s="391" t="e">
        <f>#REF!-AP109</f>
        <v>#REF!</v>
      </c>
      <c r="BG109" s="391" t="e">
        <f>#REF!-AQ109</f>
        <v>#REF!</v>
      </c>
    </row>
    <row r="110" spans="1:59" s="88" customFormat="1" ht="33.75" hidden="1" customHeight="1" outlineLevel="1" collapsed="1" thickBot="1">
      <c r="A110" s="479"/>
      <c r="B110" s="260" t="s">
        <v>202</v>
      </c>
      <c r="C110" s="261"/>
      <c r="D110" s="261"/>
      <c r="E110" s="262">
        <v>880000</v>
      </c>
      <c r="F110" s="263">
        <v>18337</v>
      </c>
      <c r="G110" s="264">
        <v>0</v>
      </c>
      <c r="H110" s="476">
        <f t="shared" si="86"/>
        <v>299445.66666666669</v>
      </c>
      <c r="I110" s="365">
        <f t="shared" si="66"/>
        <v>1.3816461931298334E-2</v>
      </c>
      <c r="J110" s="366">
        <f t="shared" si="66"/>
        <v>2.5827598323365333E-4</v>
      </c>
      <c r="K110" s="365">
        <f t="shared" si="66"/>
        <v>0</v>
      </c>
      <c r="L110" s="477">
        <f t="shared" si="66"/>
        <v>4.4715936379095727E-3</v>
      </c>
      <c r="M110" s="262">
        <v>0</v>
      </c>
      <c r="N110" s="478">
        <f t="shared" si="67"/>
        <v>0</v>
      </c>
      <c r="O110" s="271">
        <f t="shared" si="78"/>
        <v>299445.66666666669</v>
      </c>
      <c r="P110" s="269">
        <f t="shared" si="68"/>
        <v>2.7262735137133934E-3</v>
      </c>
      <c r="Q110" s="217"/>
      <c r="R110" s="268">
        <v>0</v>
      </c>
      <c r="S110" s="269">
        <f t="shared" si="57"/>
        <v>0</v>
      </c>
      <c r="T110" s="479"/>
      <c r="U110" s="260" t="s">
        <v>202</v>
      </c>
      <c r="V110" s="261"/>
      <c r="W110" s="261"/>
      <c r="X110" s="268">
        <v>0</v>
      </c>
      <c r="Y110" s="269">
        <f t="shared" si="57"/>
        <v>0</v>
      </c>
      <c r="Z110" s="268">
        <v>0</v>
      </c>
      <c r="AA110" s="269">
        <f t="shared" si="69"/>
        <v>0</v>
      </c>
      <c r="AB110" s="271">
        <f t="shared" si="58"/>
        <v>0</v>
      </c>
      <c r="AC110" s="269">
        <f t="shared" si="54"/>
        <v>0</v>
      </c>
      <c r="AD110" s="268"/>
      <c r="AF110" s="161"/>
      <c r="AG110" s="90" t="s">
        <v>202</v>
      </c>
      <c r="AH110" s="91"/>
      <c r="AI110" s="91"/>
      <c r="AJ110" s="272">
        <v>0</v>
      </c>
      <c r="AK110" s="272">
        <v>0</v>
      </c>
      <c r="AL110" s="272">
        <v>3</v>
      </c>
      <c r="AM110" s="272">
        <f t="shared" si="59"/>
        <v>1</v>
      </c>
      <c r="AN110" s="272">
        <v>3</v>
      </c>
      <c r="AO110" s="273">
        <f t="shared" si="60"/>
        <v>0</v>
      </c>
      <c r="AP110" s="273">
        <f t="shared" si="60"/>
        <v>0</v>
      </c>
      <c r="AQ110" s="273">
        <f t="shared" si="60"/>
        <v>2.255640674996863E-8</v>
      </c>
      <c r="AR110" s="273">
        <f t="shared" si="60"/>
        <v>7.7171952313876363E-9</v>
      </c>
      <c r="AS110" s="273">
        <f t="shared" si="82"/>
        <v>7.7171952313876363E-9</v>
      </c>
      <c r="AT110" s="273">
        <f t="shared" si="79"/>
        <v>0</v>
      </c>
      <c r="AU110" s="177"/>
      <c r="AV110" s="258">
        <f t="shared" si="55"/>
        <v>-18337</v>
      </c>
      <c r="AW110" s="258">
        <f t="shared" si="56"/>
        <v>0</v>
      </c>
      <c r="BB110" s="391">
        <f t="shared" si="83"/>
        <v>0</v>
      </c>
      <c r="BC110" s="391">
        <f t="shared" si="84"/>
        <v>0</v>
      </c>
      <c r="BD110" s="391">
        <f t="shared" si="85"/>
        <v>-2.255640674996863E-8</v>
      </c>
      <c r="BE110" s="391" t="e">
        <f>#REF!-AO110</f>
        <v>#REF!</v>
      </c>
      <c r="BF110" s="391" t="e">
        <f>#REF!-AP110</f>
        <v>#REF!</v>
      </c>
      <c r="BG110" s="391" t="e">
        <f>#REF!-AQ110</f>
        <v>#REF!</v>
      </c>
    </row>
    <row r="111" spans="1:59" s="88" customFormat="1" ht="33.75" hidden="1" customHeight="1" outlineLevel="2" thickBot="1">
      <c r="A111" s="479"/>
      <c r="B111" s="260" t="s">
        <v>191</v>
      </c>
      <c r="C111" s="261"/>
      <c r="D111" s="261"/>
      <c r="E111" s="262">
        <v>0</v>
      </c>
      <c r="F111" s="263">
        <v>0</v>
      </c>
      <c r="G111" s="264">
        <v>0</v>
      </c>
      <c r="H111" s="476">
        <f t="shared" si="86"/>
        <v>0</v>
      </c>
      <c r="I111" s="365">
        <f t="shared" si="66"/>
        <v>0</v>
      </c>
      <c r="J111" s="366">
        <f t="shared" si="66"/>
        <v>0</v>
      </c>
      <c r="K111" s="365">
        <f t="shared" si="66"/>
        <v>0</v>
      </c>
      <c r="L111" s="477">
        <f t="shared" si="66"/>
        <v>0</v>
      </c>
      <c r="M111" s="262">
        <v>0</v>
      </c>
      <c r="N111" s="478">
        <f t="shared" si="67"/>
        <v>0</v>
      </c>
      <c r="O111" s="271">
        <f t="shared" si="78"/>
        <v>0</v>
      </c>
      <c r="P111" s="269">
        <f t="shared" si="68"/>
        <v>0</v>
      </c>
      <c r="Q111" s="217"/>
      <c r="R111" s="268">
        <v>0</v>
      </c>
      <c r="S111" s="269">
        <f t="shared" si="57"/>
        <v>0</v>
      </c>
      <c r="T111" s="479"/>
      <c r="U111" s="260" t="s">
        <v>191</v>
      </c>
      <c r="V111" s="261"/>
      <c r="W111" s="261"/>
      <c r="X111" s="268">
        <v>0</v>
      </c>
      <c r="Y111" s="269">
        <f t="shared" si="57"/>
        <v>0</v>
      </c>
      <c r="Z111" s="268">
        <v>0</v>
      </c>
      <c r="AA111" s="269">
        <f t="shared" si="69"/>
        <v>0</v>
      </c>
      <c r="AB111" s="271">
        <f t="shared" si="58"/>
        <v>0</v>
      </c>
      <c r="AC111" s="269">
        <f t="shared" si="54"/>
        <v>0</v>
      </c>
      <c r="AD111" s="268"/>
      <c r="AF111" s="161"/>
      <c r="AG111" s="90" t="s">
        <v>191</v>
      </c>
      <c r="AH111" s="91"/>
      <c r="AI111" s="91"/>
      <c r="AJ111" s="272">
        <v>0</v>
      </c>
      <c r="AK111" s="272">
        <v>0</v>
      </c>
      <c r="AL111" s="272">
        <v>0</v>
      </c>
      <c r="AM111" s="272">
        <f t="shared" si="59"/>
        <v>0</v>
      </c>
      <c r="AN111" s="272">
        <v>0</v>
      </c>
      <c r="AO111" s="273">
        <f t="shared" si="60"/>
        <v>0</v>
      </c>
      <c r="AP111" s="273">
        <f t="shared" si="60"/>
        <v>0</v>
      </c>
      <c r="AQ111" s="273">
        <f t="shared" si="60"/>
        <v>0</v>
      </c>
      <c r="AR111" s="273">
        <f t="shared" si="60"/>
        <v>0</v>
      </c>
      <c r="AS111" s="273">
        <f>AR111</f>
        <v>0</v>
      </c>
      <c r="AT111" s="273">
        <f t="shared" si="79"/>
        <v>0</v>
      </c>
      <c r="AU111" s="177"/>
      <c r="AV111" s="258">
        <f t="shared" si="55"/>
        <v>0</v>
      </c>
      <c r="AW111" s="258">
        <f t="shared" si="56"/>
        <v>0</v>
      </c>
      <c r="BB111" s="391">
        <f t="shared" si="83"/>
        <v>0</v>
      </c>
      <c r="BC111" s="391">
        <f t="shared" si="84"/>
        <v>0</v>
      </c>
      <c r="BD111" s="391">
        <f t="shared" si="85"/>
        <v>0</v>
      </c>
      <c r="BE111" s="391" t="e">
        <f>#REF!-AO111</f>
        <v>#REF!</v>
      </c>
      <c r="BF111" s="391" t="e">
        <f>#REF!-AP111</f>
        <v>#REF!</v>
      </c>
      <c r="BG111" s="391" t="e">
        <f>#REF!-AQ111</f>
        <v>#REF!</v>
      </c>
    </row>
    <row r="112" spans="1:59" s="88" customFormat="1" ht="33.75" hidden="1" customHeight="1" outlineLevel="1" collapsed="1" thickBot="1">
      <c r="A112" s="439" t="s">
        <v>205</v>
      </c>
      <c r="B112" s="440"/>
      <c r="C112" s="440"/>
      <c r="D112" s="440"/>
      <c r="E112" s="441">
        <f>E99+E100-E108</f>
        <v>-7086564</v>
      </c>
      <c r="F112" s="442">
        <f t="shared" ref="F112:G112" si="89">F99+F100-F108</f>
        <v>-6955269</v>
      </c>
      <c r="G112" s="443">
        <f t="shared" si="89"/>
        <v>313471</v>
      </c>
      <c r="H112" s="496">
        <f>H99+H100-H108</f>
        <v>-4576120.666666667</v>
      </c>
      <c r="I112" s="445">
        <f t="shared" si="66"/>
        <v>-0.11126277469285141</v>
      </c>
      <c r="J112" s="446">
        <f t="shared" si="66"/>
        <v>-9.7964712855404312E-2</v>
      </c>
      <c r="K112" s="445">
        <f t="shared" si="66"/>
        <v>4.7345830395593867E-3</v>
      </c>
      <c r="L112" s="497">
        <f t="shared" si="66"/>
        <v>-6.8334774342055968E-2</v>
      </c>
      <c r="M112" s="441">
        <f t="shared" ref="M112" si="90">M99+M100-M108</f>
        <v>-2536963</v>
      </c>
      <c r="N112" s="498">
        <f t="shared" si="67"/>
        <v>-5.9176974600811429E-2</v>
      </c>
      <c r="O112" s="454">
        <f>O99+O100-O108</f>
        <v>-7113083.666666667</v>
      </c>
      <c r="P112" s="499">
        <f t="shared" si="68"/>
        <v>-6.4760368106603697E-2</v>
      </c>
      <c r="Q112" s="217"/>
      <c r="R112" s="500">
        <f>R99+R100-R108</f>
        <v>-3841956.0644110292</v>
      </c>
      <c r="S112" s="499">
        <f>R112/R$7</f>
        <v>-4.2634279813454461E-2</v>
      </c>
      <c r="T112" s="439" t="s">
        <v>205</v>
      </c>
      <c r="U112" s="440"/>
      <c r="V112" s="440"/>
      <c r="W112" s="440"/>
      <c r="X112" s="500">
        <f>X99+X100-X108</f>
        <v>1900597.3995607942</v>
      </c>
      <c r="Y112" s="499">
        <f>X112/X$7</f>
        <v>2.5218347448437314E-2</v>
      </c>
      <c r="Z112" s="500">
        <f>Z99+Z100-Z108</f>
        <v>3289926.997488834</v>
      </c>
      <c r="AA112" s="499">
        <f>Z112/Z$7</f>
        <v>6.5402982710344518E-2</v>
      </c>
      <c r="AB112" s="454">
        <f t="shared" si="58"/>
        <v>5190524.3970496282</v>
      </c>
      <c r="AC112" s="499">
        <f>AB112/AB$7</f>
        <v>4.1303449715461737E-2</v>
      </c>
      <c r="AD112" s="500"/>
      <c r="AF112" s="146" t="s">
        <v>205</v>
      </c>
      <c r="AG112" s="147"/>
      <c r="AH112" s="147"/>
      <c r="AI112" s="147"/>
      <c r="AJ112" s="455">
        <v>20694462.442000002</v>
      </c>
      <c r="AK112" s="455">
        <v>-12127941.309999999</v>
      </c>
      <c r="AL112" s="455">
        <v>-27617142.216000002</v>
      </c>
      <c r="AM112" s="455">
        <f t="shared" si="59"/>
        <v>-6350207.0279999999</v>
      </c>
      <c r="AN112" s="455">
        <v>-27617142.216000002</v>
      </c>
      <c r="AO112" s="456">
        <f t="shared" si="60"/>
        <v>0.13104926780026796</v>
      </c>
      <c r="AP112" s="456">
        <f t="shared" si="60"/>
        <v>-0.12397112626125743</v>
      </c>
      <c r="AQ112" s="456">
        <f t="shared" si="60"/>
        <v>-0.20764783103194201</v>
      </c>
      <c r="AR112" s="456">
        <f t="shared" si="60"/>
        <v>-4.900578739480585E-2</v>
      </c>
      <c r="AS112" s="456">
        <f>AS99+AS100-AS108</f>
        <v>3.8584392676057615E-2</v>
      </c>
      <c r="AT112" s="456">
        <f t="shared" si="79"/>
        <v>0.13104926780026796</v>
      </c>
      <c r="AU112" s="177"/>
      <c r="AV112" s="258">
        <f t="shared" si="55"/>
        <v>7268740</v>
      </c>
      <c r="AW112" s="258">
        <f t="shared" si="56"/>
        <v>-24536418.506411031</v>
      </c>
      <c r="BB112" s="391">
        <f t="shared" si="83"/>
        <v>-6.5646285089923442E-2</v>
      </c>
      <c r="BC112" s="391">
        <f t="shared" si="84"/>
        <v>0.18937410897160195</v>
      </c>
      <c r="BD112" s="391">
        <f t="shared" si="85"/>
        <v>0.27305081374228651</v>
      </c>
      <c r="BE112" s="391" t="e">
        <f>#REF!-AO112</f>
        <v>#REF!</v>
      </c>
      <c r="BF112" s="391" t="e">
        <f>#REF!-AP112</f>
        <v>#REF!</v>
      </c>
      <c r="BG112" s="391" t="e">
        <f>#REF!-AQ112</f>
        <v>#REF!</v>
      </c>
    </row>
    <row r="113" spans="1:54" s="88" customFormat="1" ht="33.75" hidden="1" customHeight="1" outlineLevel="2">
      <c r="A113" s="457" t="s">
        <v>207</v>
      </c>
      <c r="B113" s="458"/>
      <c r="C113" s="458"/>
      <c r="D113" s="458"/>
      <c r="E113" s="459">
        <f>E114+E115</f>
        <v>0</v>
      </c>
      <c r="F113" s="459">
        <f t="shared" ref="F113:G113" si="91">F114+F115</f>
        <v>0</v>
      </c>
      <c r="G113" s="459">
        <f t="shared" si="91"/>
        <v>0</v>
      </c>
      <c r="H113" s="459">
        <f>H114+H115</f>
        <v>0</v>
      </c>
      <c r="I113" s="463">
        <f t="shared" si="66"/>
        <v>0</v>
      </c>
      <c r="J113" s="501">
        <f t="shared" si="66"/>
        <v>0</v>
      </c>
      <c r="K113" s="501">
        <f t="shared" si="66"/>
        <v>0</v>
      </c>
      <c r="L113" s="501">
        <f t="shared" si="66"/>
        <v>0</v>
      </c>
      <c r="M113" s="459">
        <f>M114+M115</f>
        <v>0</v>
      </c>
      <c r="N113" s="466">
        <f t="shared" si="67"/>
        <v>0</v>
      </c>
      <c r="O113" s="467">
        <f t="shared" ref="O113:O118" si="92">H113+M113</f>
        <v>0</v>
      </c>
      <c r="P113" s="468">
        <f t="shared" si="68"/>
        <v>0</v>
      </c>
      <c r="Q113" s="217"/>
      <c r="R113" s="472">
        <f>R114+R115</f>
        <v>0</v>
      </c>
      <c r="S113" s="468">
        <f t="shared" si="57"/>
        <v>0</v>
      </c>
      <c r="T113" s="457" t="s">
        <v>207</v>
      </c>
      <c r="U113" s="458"/>
      <c r="V113" s="458"/>
      <c r="W113" s="458"/>
      <c r="X113" s="472">
        <f>X114+X115</f>
        <v>0</v>
      </c>
      <c r="Y113" s="468">
        <f t="shared" si="57"/>
        <v>0</v>
      </c>
      <c r="Z113" s="472">
        <f>Z114+Z115</f>
        <v>0</v>
      </c>
      <c r="AA113" s="468">
        <f t="shared" ref="AA113:AA118" si="93">Z113/Z$7</f>
        <v>0</v>
      </c>
      <c r="AB113" s="467">
        <f t="shared" si="58"/>
        <v>0</v>
      </c>
      <c r="AC113" s="468">
        <f t="shared" ref="AC113:AC118" si="94">AB113/AB$7</f>
        <v>0</v>
      </c>
      <c r="AD113" s="472"/>
      <c r="AF113" s="152" t="s">
        <v>207</v>
      </c>
      <c r="AG113" s="153"/>
      <c r="AH113" s="153"/>
      <c r="AI113" s="153"/>
      <c r="AJ113" s="473">
        <v>0</v>
      </c>
      <c r="AK113" s="473">
        <v>0</v>
      </c>
      <c r="AL113" s="473">
        <v>0</v>
      </c>
      <c r="AM113" s="473">
        <f t="shared" si="59"/>
        <v>0</v>
      </c>
      <c r="AN113" s="473">
        <v>0</v>
      </c>
      <c r="AO113" s="474">
        <f t="shared" si="60"/>
        <v>0</v>
      </c>
      <c r="AP113" s="474">
        <f t="shared" si="60"/>
        <v>0</v>
      </c>
      <c r="AQ113" s="474">
        <f t="shared" si="60"/>
        <v>0</v>
      </c>
      <c r="AR113" s="474">
        <f t="shared" si="60"/>
        <v>0</v>
      </c>
      <c r="AS113" s="474">
        <f t="shared" si="82"/>
        <v>0</v>
      </c>
      <c r="AT113" s="474">
        <f t="shared" si="79"/>
        <v>0</v>
      </c>
      <c r="AU113" s="177"/>
      <c r="AV113" s="258">
        <f t="shared" ref="AV113:AV119" si="95">F113-G113</f>
        <v>0</v>
      </c>
      <c r="BB113" s="391">
        <f t="shared" si="83"/>
        <v>0</v>
      </c>
    </row>
    <row r="114" spans="1:54" s="88" customFormat="1" ht="33.75" hidden="1" customHeight="1" outlineLevel="2">
      <c r="A114" s="475"/>
      <c r="B114" s="421" t="s">
        <v>209</v>
      </c>
      <c r="C114" s="261"/>
      <c r="D114" s="261"/>
      <c r="E114" s="262">
        <v>0</v>
      </c>
      <c r="F114" s="262">
        <v>0</v>
      </c>
      <c r="G114" s="262">
        <v>0</v>
      </c>
      <c r="H114" s="262">
        <f>AVERAGE(E114:G114)</f>
        <v>0</v>
      </c>
      <c r="I114" s="365">
        <f t="shared" ref="I114:L119" si="96">E114/E$7</f>
        <v>0</v>
      </c>
      <c r="J114" s="502">
        <f t="shared" si="96"/>
        <v>0</v>
      </c>
      <c r="K114" s="502">
        <f t="shared" si="96"/>
        <v>0</v>
      </c>
      <c r="L114" s="502">
        <f t="shared" si="96"/>
        <v>0</v>
      </c>
      <c r="M114" s="262">
        <f>AVERAGE(I114:I114)</f>
        <v>0</v>
      </c>
      <c r="N114" s="478">
        <f t="shared" si="67"/>
        <v>0</v>
      </c>
      <c r="O114" s="271">
        <f t="shared" si="92"/>
        <v>0</v>
      </c>
      <c r="P114" s="269">
        <f t="shared" si="68"/>
        <v>0</v>
      </c>
      <c r="Q114" s="217"/>
      <c r="R114" s="268">
        <v>0</v>
      </c>
      <c r="S114" s="269">
        <f t="shared" si="57"/>
        <v>0</v>
      </c>
      <c r="T114" s="475"/>
      <c r="U114" s="421" t="s">
        <v>209</v>
      </c>
      <c r="V114" s="261"/>
      <c r="W114" s="261"/>
      <c r="X114" s="268">
        <v>0</v>
      </c>
      <c r="Y114" s="269">
        <f t="shared" si="57"/>
        <v>0</v>
      </c>
      <c r="Z114" s="268">
        <f>AVERAGE(C114:E114)</f>
        <v>0</v>
      </c>
      <c r="AA114" s="269">
        <f t="shared" si="93"/>
        <v>0</v>
      </c>
      <c r="AB114" s="271">
        <f t="shared" si="58"/>
        <v>0</v>
      </c>
      <c r="AC114" s="269">
        <f t="shared" si="94"/>
        <v>0</v>
      </c>
      <c r="AD114" s="268"/>
      <c r="AF114" s="160"/>
      <c r="AG114" s="139" t="s">
        <v>209</v>
      </c>
      <c r="AH114" s="91"/>
      <c r="AI114" s="91"/>
      <c r="AJ114" s="272">
        <v>0</v>
      </c>
      <c r="AK114" s="272">
        <v>0</v>
      </c>
      <c r="AL114" s="272">
        <v>0</v>
      </c>
      <c r="AM114" s="272">
        <f t="shared" si="59"/>
        <v>0</v>
      </c>
      <c r="AN114" s="272">
        <v>0</v>
      </c>
      <c r="AO114" s="273">
        <f t="shared" si="60"/>
        <v>0</v>
      </c>
      <c r="AP114" s="273">
        <f t="shared" si="60"/>
        <v>0</v>
      </c>
      <c r="AQ114" s="273">
        <f t="shared" si="60"/>
        <v>0</v>
      </c>
      <c r="AR114" s="273">
        <f t="shared" si="60"/>
        <v>0</v>
      </c>
      <c r="AS114" s="273">
        <f t="shared" si="82"/>
        <v>0</v>
      </c>
      <c r="AT114" s="273">
        <f t="shared" si="79"/>
        <v>0</v>
      </c>
      <c r="AU114" s="177"/>
      <c r="AV114" s="258">
        <f t="shared" si="95"/>
        <v>0</v>
      </c>
      <c r="BB114" s="391">
        <f t="shared" si="83"/>
        <v>0</v>
      </c>
    </row>
    <row r="115" spans="1:54" s="88" customFormat="1" ht="33.75" hidden="1" customHeight="1" outlineLevel="2">
      <c r="A115" s="479"/>
      <c r="B115" s="260" t="s">
        <v>191</v>
      </c>
      <c r="C115" s="261"/>
      <c r="D115" s="261"/>
      <c r="E115" s="262">
        <v>0</v>
      </c>
      <c r="F115" s="262">
        <v>0</v>
      </c>
      <c r="G115" s="262">
        <v>0</v>
      </c>
      <c r="H115" s="262">
        <f t="shared" ref="H115" si="97">AVERAGE(E115:G115)</f>
        <v>0</v>
      </c>
      <c r="I115" s="365">
        <f t="shared" si="96"/>
        <v>0</v>
      </c>
      <c r="J115" s="502">
        <f t="shared" si="96"/>
        <v>0</v>
      </c>
      <c r="K115" s="502">
        <f t="shared" si="96"/>
        <v>0</v>
      </c>
      <c r="L115" s="502">
        <f t="shared" si="96"/>
        <v>0</v>
      </c>
      <c r="M115" s="262">
        <f>AVERAGE(I115:I115)</f>
        <v>0</v>
      </c>
      <c r="N115" s="478">
        <f t="shared" si="67"/>
        <v>0</v>
      </c>
      <c r="O115" s="271">
        <f t="shared" si="92"/>
        <v>0</v>
      </c>
      <c r="P115" s="269">
        <f t="shared" si="68"/>
        <v>0</v>
      </c>
      <c r="Q115" s="217"/>
      <c r="R115" s="268">
        <v>0</v>
      </c>
      <c r="S115" s="269">
        <f t="shared" si="57"/>
        <v>0</v>
      </c>
      <c r="T115" s="479"/>
      <c r="U115" s="260" t="s">
        <v>191</v>
      </c>
      <c r="V115" s="261"/>
      <c r="W115" s="261"/>
      <c r="X115" s="268">
        <v>0</v>
      </c>
      <c r="Y115" s="269">
        <f t="shared" si="57"/>
        <v>0</v>
      </c>
      <c r="Z115" s="268">
        <f>AVERAGE(C115:E115)</f>
        <v>0</v>
      </c>
      <c r="AA115" s="269">
        <f t="shared" si="93"/>
        <v>0</v>
      </c>
      <c r="AB115" s="271">
        <f t="shared" si="58"/>
        <v>0</v>
      </c>
      <c r="AC115" s="269">
        <f t="shared" si="94"/>
        <v>0</v>
      </c>
      <c r="AD115" s="268"/>
      <c r="AF115" s="161"/>
      <c r="AG115" s="90" t="s">
        <v>191</v>
      </c>
      <c r="AH115" s="91"/>
      <c r="AI115" s="91"/>
      <c r="AJ115" s="272">
        <v>0</v>
      </c>
      <c r="AK115" s="272">
        <v>0</v>
      </c>
      <c r="AL115" s="272">
        <v>0</v>
      </c>
      <c r="AM115" s="272">
        <f t="shared" si="59"/>
        <v>0</v>
      </c>
      <c r="AN115" s="272">
        <v>0</v>
      </c>
      <c r="AO115" s="273">
        <f t="shared" si="60"/>
        <v>0</v>
      </c>
      <c r="AP115" s="273">
        <f t="shared" si="60"/>
        <v>0</v>
      </c>
      <c r="AQ115" s="273">
        <f t="shared" si="60"/>
        <v>0</v>
      </c>
      <c r="AR115" s="273">
        <f t="shared" si="60"/>
        <v>0</v>
      </c>
      <c r="AS115" s="273">
        <f t="shared" si="82"/>
        <v>0</v>
      </c>
      <c r="AT115" s="273">
        <f t="shared" si="79"/>
        <v>0</v>
      </c>
      <c r="AU115" s="177"/>
      <c r="AV115" s="258">
        <f t="shared" si="95"/>
        <v>0</v>
      </c>
      <c r="BB115" s="391">
        <f t="shared" si="83"/>
        <v>0</v>
      </c>
    </row>
    <row r="116" spans="1:54" s="88" customFormat="1" ht="33.75" hidden="1" customHeight="1" outlineLevel="2">
      <c r="A116" s="481" t="s">
        <v>212</v>
      </c>
      <c r="B116" s="482"/>
      <c r="C116" s="482"/>
      <c r="D116" s="482"/>
      <c r="E116" s="483">
        <f>E117+E118</f>
        <v>0</v>
      </c>
      <c r="F116" s="483">
        <f t="shared" ref="F116:G116" si="98">F117+F118</f>
        <v>0</v>
      </c>
      <c r="G116" s="483">
        <f t="shared" si="98"/>
        <v>0</v>
      </c>
      <c r="H116" s="483">
        <f>H117+H118</f>
        <v>0</v>
      </c>
      <c r="I116" s="487">
        <f t="shared" si="96"/>
        <v>0</v>
      </c>
      <c r="J116" s="503">
        <f t="shared" si="96"/>
        <v>0</v>
      </c>
      <c r="K116" s="503">
        <f t="shared" si="96"/>
        <v>0</v>
      </c>
      <c r="L116" s="503">
        <f t="shared" si="96"/>
        <v>0</v>
      </c>
      <c r="M116" s="483">
        <f>M117+M118</f>
        <v>0</v>
      </c>
      <c r="N116" s="490">
        <f t="shared" si="67"/>
        <v>0</v>
      </c>
      <c r="O116" s="491">
        <f t="shared" si="92"/>
        <v>0</v>
      </c>
      <c r="P116" s="492">
        <f t="shared" si="68"/>
        <v>0</v>
      </c>
      <c r="Q116" s="217"/>
      <c r="R116" s="493">
        <f>R117+R118</f>
        <v>0</v>
      </c>
      <c r="S116" s="492">
        <f t="shared" si="57"/>
        <v>0</v>
      </c>
      <c r="T116" s="481" t="s">
        <v>212</v>
      </c>
      <c r="U116" s="482"/>
      <c r="V116" s="482"/>
      <c r="W116" s="482"/>
      <c r="X116" s="493">
        <f>X117+X118</f>
        <v>0</v>
      </c>
      <c r="Y116" s="492">
        <f t="shared" si="57"/>
        <v>0</v>
      </c>
      <c r="Z116" s="493">
        <f>Z117+Z118</f>
        <v>0</v>
      </c>
      <c r="AA116" s="492">
        <f t="shared" si="93"/>
        <v>0</v>
      </c>
      <c r="AB116" s="491">
        <f t="shared" si="58"/>
        <v>0</v>
      </c>
      <c r="AC116" s="492">
        <f t="shared" si="94"/>
        <v>0</v>
      </c>
      <c r="AD116" s="493"/>
      <c r="AF116" s="163" t="s">
        <v>212</v>
      </c>
      <c r="AG116" s="164"/>
      <c r="AH116" s="164"/>
      <c r="AI116" s="164"/>
      <c r="AJ116" s="494">
        <v>0</v>
      </c>
      <c r="AK116" s="494">
        <v>0</v>
      </c>
      <c r="AL116" s="494">
        <v>0</v>
      </c>
      <c r="AM116" s="494">
        <f t="shared" si="59"/>
        <v>0</v>
      </c>
      <c r="AN116" s="494">
        <v>0</v>
      </c>
      <c r="AO116" s="495">
        <f t="shared" si="60"/>
        <v>0</v>
      </c>
      <c r="AP116" s="495">
        <f t="shared" si="60"/>
        <v>0</v>
      </c>
      <c r="AQ116" s="495">
        <f t="shared" si="60"/>
        <v>0</v>
      </c>
      <c r="AR116" s="495">
        <f t="shared" si="60"/>
        <v>0</v>
      </c>
      <c r="AS116" s="495">
        <f t="shared" si="82"/>
        <v>0</v>
      </c>
      <c r="AT116" s="495">
        <f t="shared" si="79"/>
        <v>0</v>
      </c>
      <c r="AU116" s="177"/>
      <c r="AV116" s="258">
        <f t="shared" si="95"/>
        <v>0</v>
      </c>
      <c r="BB116" s="391">
        <f t="shared" si="83"/>
        <v>0</v>
      </c>
    </row>
    <row r="117" spans="1:54" s="88" customFormat="1" ht="33.75" hidden="1" customHeight="1" outlineLevel="2">
      <c r="A117" s="475"/>
      <c r="B117" s="421" t="s">
        <v>214</v>
      </c>
      <c r="C117" s="261"/>
      <c r="D117" s="261"/>
      <c r="E117" s="262">
        <v>0</v>
      </c>
      <c r="F117" s="262">
        <v>0</v>
      </c>
      <c r="G117" s="262">
        <v>0</v>
      </c>
      <c r="H117" s="262">
        <f>AVERAGE(E117:G117)</f>
        <v>0</v>
      </c>
      <c r="I117" s="365">
        <f t="shared" si="96"/>
        <v>0</v>
      </c>
      <c r="J117" s="502">
        <f t="shared" si="96"/>
        <v>0</v>
      </c>
      <c r="K117" s="502">
        <f t="shared" si="96"/>
        <v>0</v>
      </c>
      <c r="L117" s="502">
        <f t="shared" si="96"/>
        <v>0</v>
      </c>
      <c r="M117" s="262">
        <f>AVERAGE(I117:I117)</f>
        <v>0</v>
      </c>
      <c r="N117" s="478">
        <f t="shared" si="67"/>
        <v>0</v>
      </c>
      <c r="O117" s="271">
        <f t="shared" si="92"/>
        <v>0</v>
      </c>
      <c r="P117" s="269">
        <f t="shared" si="68"/>
        <v>0</v>
      </c>
      <c r="Q117" s="217"/>
      <c r="R117" s="268">
        <v>0</v>
      </c>
      <c r="S117" s="269">
        <f t="shared" si="57"/>
        <v>0</v>
      </c>
      <c r="T117" s="475"/>
      <c r="U117" s="421" t="s">
        <v>214</v>
      </c>
      <c r="V117" s="261"/>
      <c r="W117" s="261"/>
      <c r="X117" s="268">
        <v>0</v>
      </c>
      <c r="Y117" s="269">
        <f t="shared" si="57"/>
        <v>0</v>
      </c>
      <c r="Z117" s="268">
        <f>AVERAGE(C117:E117)</f>
        <v>0</v>
      </c>
      <c r="AA117" s="269">
        <f t="shared" si="93"/>
        <v>0</v>
      </c>
      <c r="AB117" s="271">
        <f t="shared" si="58"/>
        <v>0</v>
      </c>
      <c r="AC117" s="269">
        <f t="shared" si="94"/>
        <v>0</v>
      </c>
      <c r="AD117" s="268"/>
      <c r="AF117" s="160"/>
      <c r="AG117" s="139" t="s">
        <v>214</v>
      </c>
      <c r="AH117" s="91"/>
      <c r="AI117" s="91"/>
      <c r="AJ117" s="272">
        <v>0</v>
      </c>
      <c r="AK117" s="272">
        <v>0</v>
      </c>
      <c r="AL117" s="272">
        <v>0</v>
      </c>
      <c r="AM117" s="272">
        <f t="shared" si="59"/>
        <v>0</v>
      </c>
      <c r="AN117" s="272">
        <v>0</v>
      </c>
      <c r="AO117" s="273">
        <f t="shared" si="60"/>
        <v>0</v>
      </c>
      <c r="AP117" s="273">
        <f t="shared" si="60"/>
        <v>0</v>
      </c>
      <c r="AQ117" s="273">
        <f t="shared" si="60"/>
        <v>0</v>
      </c>
      <c r="AR117" s="273">
        <f t="shared" si="60"/>
        <v>0</v>
      </c>
      <c r="AS117" s="273">
        <f t="shared" si="82"/>
        <v>0</v>
      </c>
      <c r="AT117" s="273">
        <f t="shared" si="79"/>
        <v>0</v>
      </c>
      <c r="AU117" s="177"/>
      <c r="AV117" s="258">
        <f t="shared" si="95"/>
        <v>0</v>
      </c>
      <c r="BB117" s="391">
        <f t="shared" si="83"/>
        <v>0</v>
      </c>
    </row>
    <row r="118" spans="1:54" s="88" customFormat="1" ht="33.75" hidden="1" customHeight="1" outlineLevel="2" thickBot="1">
      <c r="A118" s="479"/>
      <c r="B118" s="260" t="s">
        <v>191</v>
      </c>
      <c r="C118" s="261"/>
      <c r="D118" s="261"/>
      <c r="E118" s="262">
        <v>0</v>
      </c>
      <c r="F118" s="262">
        <v>0</v>
      </c>
      <c r="G118" s="262">
        <v>0</v>
      </c>
      <c r="H118" s="262">
        <f t="shared" ref="H118" si="99">AVERAGE(E118:G118)</f>
        <v>0</v>
      </c>
      <c r="I118" s="365">
        <f t="shared" si="96"/>
        <v>0</v>
      </c>
      <c r="J118" s="502">
        <f t="shared" si="96"/>
        <v>0</v>
      </c>
      <c r="K118" s="502">
        <f t="shared" si="96"/>
        <v>0</v>
      </c>
      <c r="L118" s="502">
        <f t="shared" si="96"/>
        <v>0</v>
      </c>
      <c r="M118" s="262">
        <f>AVERAGE(I118:I118)</f>
        <v>0</v>
      </c>
      <c r="N118" s="478">
        <f t="shared" si="67"/>
        <v>0</v>
      </c>
      <c r="O118" s="271">
        <f t="shared" si="92"/>
        <v>0</v>
      </c>
      <c r="P118" s="269">
        <f t="shared" si="68"/>
        <v>0</v>
      </c>
      <c r="Q118" s="217"/>
      <c r="R118" s="268">
        <v>0</v>
      </c>
      <c r="S118" s="269">
        <f t="shared" si="57"/>
        <v>0</v>
      </c>
      <c r="T118" s="479"/>
      <c r="U118" s="260" t="s">
        <v>191</v>
      </c>
      <c r="V118" s="261"/>
      <c r="W118" s="261"/>
      <c r="X118" s="268">
        <v>0</v>
      </c>
      <c r="Y118" s="269">
        <f t="shared" si="57"/>
        <v>0</v>
      </c>
      <c r="Z118" s="268">
        <f>AVERAGE(C118:E118)</f>
        <v>0</v>
      </c>
      <c r="AA118" s="269">
        <f t="shared" si="93"/>
        <v>0</v>
      </c>
      <c r="AB118" s="271">
        <f t="shared" si="58"/>
        <v>0</v>
      </c>
      <c r="AC118" s="269">
        <f t="shared" si="94"/>
        <v>0</v>
      </c>
      <c r="AD118" s="268"/>
      <c r="AF118" s="161"/>
      <c r="AG118" s="90" t="s">
        <v>191</v>
      </c>
      <c r="AH118" s="91"/>
      <c r="AI118" s="91"/>
      <c r="AJ118" s="272">
        <v>0</v>
      </c>
      <c r="AK118" s="272">
        <v>0</v>
      </c>
      <c r="AL118" s="272">
        <v>0</v>
      </c>
      <c r="AM118" s="272">
        <f t="shared" si="59"/>
        <v>0</v>
      </c>
      <c r="AN118" s="272">
        <v>0</v>
      </c>
      <c r="AO118" s="273">
        <f t="shared" si="60"/>
        <v>0</v>
      </c>
      <c r="AP118" s="273">
        <f t="shared" si="60"/>
        <v>0</v>
      </c>
      <c r="AQ118" s="273">
        <f t="shared" si="60"/>
        <v>0</v>
      </c>
      <c r="AR118" s="273">
        <f t="shared" si="60"/>
        <v>0</v>
      </c>
      <c r="AS118" s="273">
        <f t="shared" si="82"/>
        <v>0</v>
      </c>
      <c r="AT118" s="273">
        <f t="shared" si="79"/>
        <v>0</v>
      </c>
      <c r="AU118" s="177"/>
      <c r="AV118" s="258">
        <f t="shared" si="95"/>
        <v>0</v>
      </c>
      <c r="BB118" s="391">
        <f t="shared" si="83"/>
        <v>0</v>
      </c>
    </row>
    <row r="119" spans="1:54" s="88" customFormat="1" ht="33.75" hidden="1" customHeight="1" outlineLevel="2" thickBot="1">
      <c r="A119" s="439" t="s">
        <v>217</v>
      </c>
      <c r="B119" s="440"/>
      <c r="C119" s="440"/>
      <c r="D119" s="440"/>
      <c r="E119" s="441">
        <f>E112+E113-E116</f>
        <v>-7086564</v>
      </c>
      <c r="F119" s="441">
        <f t="shared" ref="F119:G119" si="100">F112+F113-F116</f>
        <v>-6955269</v>
      </c>
      <c r="G119" s="441">
        <f t="shared" si="100"/>
        <v>313471</v>
      </c>
      <c r="H119" s="441">
        <f>H112+H113-H116</f>
        <v>-4576120.666666667</v>
      </c>
      <c r="I119" s="445">
        <f t="shared" si="96"/>
        <v>-0.11126277469285141</v>
      </c>
      <c r="J119" s="504">
        <f t="shared" si="96"/>
        <v>-9.7964712855404312E-2</v>
      </c>
      <c r="K119" s="504">
        <f t="shared" si="96"/>
        <v>4.7345830395593867E-3</v>
      </c>
      <c r="L119" s="504">
        <f t="shared" si="96"/>
        <v>-6.8334774342055968E-2</v>
      </c>
      <c r="M119" s="441">
        <f>M112+M113-M116</f>
        <v>-2536963</v>
      </c>
      <c r="N119" s="498">
        <f t="shared" si="67"/>
        <v>-5.9176974600811429E-2</v>
      </c>
      <c r="O119" s="454">
        <f>O112+O113-O116</f>
        <v>-7113083.666666667</v>
      </c>
      <c r="P119" s="499">
        <f t="shared" si="68"/>
        <v>-6.4760368106603697E-2</v>
      </c>
      <c r="Q119" s="217"/>
      <c r="R119" s="500">
        <f>R112+R113-R116</f>
        <v>-3841956.0644110292</v>
      </c>
      <c r="S119" s="499">
        <f t="shared" si="57"/>
        <v>-4.2634279813454461E-2</v>
      </c>
      <c r="T119" s="439" t="s">
        <v>217</v>
      </c>
      <c r="U119" s="440"/>
      <c r="V119" s="440"/>
      <c r="W119" s="440"/>
      <c r="X119" s="500">
        <f>X112+X113-X116</f>
        <v>1900597.3995607942</v>
      </c>
      <c r="Y119" s="499">
        <f>X119/X$7</f>
        <v>2.5218347448437314E-2</v>
      </c>
      <c r="Z119" s="500">
        <f>Z112+Z113-Z116</f>
        <v>3289926.997488834</v>
      </c>
      <c r="AA119" s="499">
        <f>Z119/Z$7</f>
        <v>6.5402982710344518E-2</v>
      </c>
      <c r="AB119" s="454">
        <f t="shared" si="58"/>
        <v>5190524.3970496282</v>
      </c>
      <c r="AC119" s="499">
        <f>AB119/AB$7</f>
        <v>4.1303449715461737E-2</v>
      </c>
      <c r="AD119" s="500"/>
      <c r="AF119" s="146" t="s">
        <v>217</v>
      </c>
      <c r="AG119" s="147"/>
      <c r="AH119" s="147"/>
      <c r="AI119" s="147"/>
      <c r="AJ119" s="455">
        <v>20694462.442000002</v>
      </c>
      <c r="AK119" s="455">
        <v>-12127941.309999999</v>
      </c>
      <c r="AL119" s="455">
        <v>-27617142.216000002</v>
      </c>
      <c r="AM119" s="455">
        <f>AVERAGE(AJ119:AL119)</f>
        <v>-6350207.0279999999</v>
      </c>
      <c r="AN119" s="455">
        <v>-27617142.216000002</v>
      </c>
      <c r="AO119" s="456">
        <f t="shared" si="60"/>
        <v>0.13104926780026796</v>
      </c>
      <c r="AP119" s="456">
        <f t="shared" si="60"/>
        <v>-0.12397112626125743</v>
      </c>
      <c r="AQ119" s="456">
        <f t="shared" si="60"/>
        <v>-0.20764783103194201</v>
      </c>
      <c r="AR119" s="456">
        <f t="shared" si="60"/>
        <v>-4.900578739480585E-2</v>
      </c>
      <c r="AS119" s="456">
        <f>AS112+AS113-AS116</f>
        <v>3.8584392676057615E-2</v>
      </c>
      <c r="AT119" s="456">
        <f t="shared" si="79"/>
        <v>0.13104926780026796</v>
      </c>
      <c r="AU119" s="177"/>
      <c r="AV119" s="258">
        <f t="shared" si="95"/>
        <v>-7268740</v>
      </c>
      <c r="BB119" s="391">
        <f t="shared" si="83"/>
        <v>-6.5646285089923442E-2</v>
      </c>
    </row>
    <row r="120" spans="1:54" ht="33.75" customHeight="1">
      <c r="A120" s="505"/>
      <c r="B120" s="506"/>
      <c r="C120" s="507"/>
      <c r="D120" s="507"/>
      <c r="E120" s="508"/>
      <c r="F120" s="508"/>
      <c r="G120" s="508"/>
      <c r="H120" s="508"/>
      <c r="I120" s="508"/>
      <c r="J120" s="508"/>
      <c r="K120" s="508"/>
      <c r="L120" s="508"/>
      <c r="M120" s="508"/>
      <c r="N120" s="509"/>
      <c r="O120" s="508"/>
      <c r="P120" s="508"/>
      <c r="Q120" s="219"/>
      <c r="R120" s="219"/>
      <c r="S120" s="219"/>
      <c r="T120" s="510"/>
      <c r="U120" s="510"/>
      <c r="V120" s="507"/>
      <c r="W120" s="507"/>
      <c r="X120" s="506" t="s">
        <v>317</v>
      </c>
      <c r="Y120" s="219"/>
      <c r="Z120" s="219"/>
      <c r="AA120" s="219"/>
      <c r="AB120" s="508"/>
      <c r="AC120" s="508"/>
      <c r="AD120" s="508"/>
      <c r="AF120" s="172"/>
      <c r="AG120" s="172"/>
      <c r="AH120" s="176"/>
      <c r="AI120" s="176"/>
      <c r="AJ120" s="511"/>
      <c r="AK120" s="511"/>
      <c r="AL120" s="511"/>
      <c r="AM120" s="511"/>
      <c r="AN120" s="511"/>
      <c r="AO120" s="511"/>
      <c r="AP120" s="511"/>
      <c r="AQ120" s="511"/>
      <c r="AR120" s="511"/>
      <c r="AS120" s="511"/>
      <c r="AT120" s="511"/>
      <c r="AU120"/>
    </row>
    <row r="121" spans="1:54" ht="33.75" customHeight="1">
      <c r="A121" s="505"/>
      <c r="B121" s="505"/>
      <c r="C121" s="507"/>
      <c r="D121" s="507"/>
      <c r="E121" s="512"/>
      <c r="F121" s="508"/>
      <c r="G121" s="508"/>
      <c r="H121" s="508"/>
      <c r="I121" s="512"/>
      <c r="J121" s="508"/>
      <c r="K121" s="508"/>
      <c r="L121" s="508"/>
      <c r="M121" s="508"/>
      <c r="N121" s="509"/>
      <c r="O121" s="508"/>
      <c r="P121" s="508"/>
      <c r="Q121" s="219"/>
      <c r="R121" s="219"/>
      <c r="S121" s="219"/>
      <c r="T121" s="505"/>
      <c r="U121" s="505"/>
      <c r="V121" s="507"/>
      <c r="W121" s="507"/>
      <c r="X121" s="261" t="s">
        <v>318</v>
      </c>
      <c r="Y121" s="219"/>
      <c r="Z121" s="219"/>
      <c r="AA121" s="219"/>
      <c r="AB121" s="508"/>
      <c r="AC121" s="508"/>
      <c r="AD121" s="508"/>
      <c r="AH121" s="176"/>
      <c r="AI121" s="176"/>
      <c r="AJ121" s="511"/>
      <c r="AK121" s="511"/>
      <c r="AL121" s="511"/>
      <c r="AM121" s="511"/>
      <c r="AN121" s="511"/>
      <c r="AO121" s="511"/>
      <c r="AP121" s="511"/>
      <c r="AQ121" s="511"/>
      <c r="AR121" s="511"/>
      <c r="AS121" s="511"/>
      <c r="AT121" s="511"/>
      <c r="AU121"/>
    </row>
    <row r="122" spans="1:54" ht="22" customHeight="1">
      <c r="H122" s="511"/>
      <c r="L122" s="511"/>
      <c r="M122" s="511"/>
      <c r="N122" s="513"/>
      <c r="O122" s="511"/>
      <c r="P122" s="511"/>
      <c r="AB122" s="511"/>
      <c r="AC122" s="511"/>
      <c r="AD122" s="511"/>
      <c r="AJ122" s="511"/>
      <c r="AK122" s="511"/>
      <c r="AL122" s="511"/>
      <c r="AM122" s="511"/>
      <c r="AN122" s="511"/>
      <c r="AO122" s="511"/>
      <c r="AP122" s="511"/>
      <c r="AQ122" s="511"/>
      <c r="AR122" s="511"/>
      <c r="AS122" s="511"/>
      <c r="AT122" s="511"/>
    </row>
    <row r="123" spans="1:54" ht="22" customHeight="1"/>
    <row r="124" spans="1:54" ht="22" customHeight="1"/>
    <row r="125" spans="1:54" ht="22" customHeight="1"/>
    <row r="126" spans="1:54" ht="22" customHeight="1"/>
    <row r="127" spans="1:54" ht="22" customHeight="1"/>
    <row r="128" spans="1:54" ht="22" customHeight="1"/>
  </sheetData>
  <mergeCells count="35">
    <mergeCell ref="X5:Y5"/>
    <mergeCell ref="Z5:AA5"/>
    <mergeCell ref="AJ5:AL5"/>
    <mergeCell ref="AB3:AC5"/>
    <mergeCell ref="AL3:AL4"/>
    <mergeCell ref="AF3:AI6"/>
    <mergeCell ref="AD3:AD6"/>
    <mergeCell ref="AK3:AK4"/>
    <mergeCell ref="AJ3:AJ4"/>
    <mergeCell ref="AJ6:AN6"/>
    <mergeCell ref="AM3:AM5"/>
    <mergeCell ref="AN3:AN4"/>
    <mergeCell ref="AO6:AS6"/>
    <mergeCell ref="AP3:AP4"/>
    <mergeCell ref="AQ3:AQ4"/>
    <mergeCell ref="AR3:AR5"/>
    <mergeCell ref="AS3:AS5"/>
    <mergeCell ref="AO3:AO4"/>
    <mergeCell ref="AO5:AQ5"/>
    <mergeCell ref="A1:AU1"/>
    <mergeCell ref="A3:D6"/>
    <mergeCell ref="E3:E4"/>
    <mergeCell ref="F3:F4"/>
    <mergeCell ref="G3:G4"/>
    <mergeCell ref="H3:L4"/>
    <mergeCell ref="M3:N4"/>
    <mergeCell ref="O3:P5"/>
    <mergeCell ref="R3:R4"/>
    <mergeCell ref="S3:S4"/>
    <mergeCell ref="AT3:AT4"/>
    <mergeCell ref="H5:L5"/>
    <mergeCell ref="M5:N5"/>
    <mergeCell ref="T3:W6"/>
    <mergeCell ref="X3:Y4"/>
    <mergeCell ref="Z3:AA4"/>
  </mergeCells>
  <phoneticPr fontId="2"/>
  <printOptions verticalCentered="1"/>
  <pageMargins left="0.39370078740157483" right="0.19685039370078741" top="0" bottom="0" header="0" footer="0"/>
  <pageSetup paperSize="8" scale="49" orientation="landscape" cellComments="asDisplaye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3</vt:i4>
      </vt:variant>
    </vt:vector>
  </HeadingPairs>
  <TitlesOfParts>
    <vt:vector size="12" baseType="lpstr">
      <vt:lpstr>料飲</vt:lpstr>
      <vt:lpstr>料飲共通</vt:lpstr>
      <vt:lpstr>ﾇｰﾍﾞﾙﾌﾟｰｽ</vt:lpstr>
      <vt:lpstr>ｶﾌｪﾙﾎﾟ</vt:lpstr>
      <vt:lpstr>ｶﾌｪｾﾚｽﾃ</vt:lpstr>
      <vt:lpstr>ｼﾞｭｴﾙｽﾞ</vt:lpstr>
      <vt:lpstr>ｶﾞｰﾃﾞﾝ</vt:lpstr>
      <vt:lpstr>ﾋﾞｱｶﾞｰﾃﾞﾝ</vt:lpstr>
      <vt:lpstr>赤れんが</vt:lpstr>
      <vt:lpstr>赤れんが!Print_Area</vt:lpstr>
      <vt:lpstr>料飲!Print_Area</vt:lpstr>
      <vt:lpstr>料飲!Print_Titles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宮嶋 元希</dc:creator>
  <cp:lastModifiedBy>SATOSHI IGA</cp:lastModifiedBy>
  <cp:lastPrinted>2025-03-25T14:33:05Z</cp:lastPrinted>
  <dcterms:created xsi:type="dcterms:W3CDTF">2024-12-04T05:26:20Z</dcterms:created>
  <dcterms:modified xsi:type="dcterms:W3CDTF">2026-02-12T10:14:49Z</dcterms:modified>
</cp:coreProperties>
</file>